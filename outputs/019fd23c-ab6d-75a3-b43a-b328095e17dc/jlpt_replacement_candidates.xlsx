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a8ae036d9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1248cc916049441f"/>
    <x:sheet xmlns:r="http://schemas.openxmlformats.org/officeDocument/2006/relationships" name="제외 후보" sheetId="2" r:id="Rc969a8abfee046c1"/>
    <x:sheet xmlns:r="http://schemas.openxmlformats.org/officeDocument/2006/relationships" name="변형 그룹" sheetId="3" r:id="R4a49513082f641f4"/>
    <x:sheet xmlns:r="http://schemas.openxmlformats.org/officeDocument/2006/relationships" name="점수 감사" sheetId="4" r:id="R6504df1b44444f96"/>
    <x:sheet xmlns:r="http://schemas.openxmlformats.org/officeDocument/2006/relationships" name="선정 규칙" sheetId="5" r:id="R02c9f22f00ed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"/>
    <x:numFmt numFmtId="202" formatCode="0"/>
  </x:numFmts>
  <x:fonts count="8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b/>
      <x:sz val="11"/>
      <x:color rgb="FFFFFFFF"/>
      <x:name val="Aptos"/>
    </x:font>
    <x:font>
      <x:sz val="11"/>
      <x:color rgb="FF1F2937"/>
      <x:name val="Aptos"/>
    </x:font>
    <x:font>
      <x:sz val="11"/>
      <x:color rgb="FF134E4A"/>
      <x:name val="Aptos"/>
    </x:font>
    <x:font>
      <x:b/>
      <x:sz val="10"/>
      <x:color rgb="FF0F172A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F172A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  <x:fill>
      <x:patternFill patternType="solid">
        <x:fgColor rgb="FFCCFBF1"/>
      </x:patternFill>
    </x:fill>
    <x:fill>
      <x:patternFill patternType="solid">
        <x:fgColor rgb="FFDBEAFE"/>
      </x:patternFill>
    </x:fill>
  </x:fills>
  <x:borders count="10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202" fontId="1" fillId="0" borderId="5" xfId="0" applyNumberFormat="1" applyFont="1" applyFill="1" applyBorder="1"/>
    <x:xf numFmtId="202" fontId="1" fillId="0" borderId="8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9" xfId="0" applyNumberFormat="1" applyFont="1" applyFill="1" applyBorder="1"/>
    <x:xf numFmtId="0" fontId="5" fillId="2" borderId="1" xfId="0" applyNumberFormat="1" applyFont="1" applyFill="1" applyBorder="1"/>
    <x:xf numFmtId="0" fontId="5" fillId="2" borderId="3" xfId="0" applyNumberFormat="1" applyFont="1" applyFill="1" applyBorder="1"/>
    <x:xf numFmtId="0" fontId="4" fillId="2" borderId="1" xfId="0" applyNumberFormat="1" applyFont="1" applyFill="1" applyBorder="1"/>
    <x:xf numFmtId="0" fontId="4" fillId="2" borderId="3" xfId="0" applyNumberFormat="1" applyFont="1" applyFill="1" applyBorder="1"/>
    <x:xf numFmtId="201" fontId="5" fillId="0" borderId="6" xfId="0" applyNumberFormat="1" applyFont="1" applyFill="1" applyBorder="1"/>
    <x:xf numFmtId="201" fontId="5" fillId="0" borderId="9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" fillId="7" borderId="9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201" fontId="1" fillId="0" borderId="5" xfId="0" applyNumberFormat="1" applyFont="1" applyFill="1" applyBorder="1"/>
    <x:xf numFmtId="201" fontId="7" fillId="7" borderId="8" xfId="0" applyNumberFormat="1" applyFont="1" applyFill="1" applyBorder="1"/>
    <x:xf numFmtId="201" fontId="1" fillId="0" borderId="8" xfId="0" applyNumberFormat="1" applyFont="1" applyFill="1" applyBorder="1"/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334155"/>
      </x:font>
      <x:fill>
        <x:patternFill patternType="solid">
          <x:bgColor rgb="FFF1F5F9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fb21eca034950" /><Relationship Type="http://schemas.openxmlformats.org/officeDocument/2006/relationships/theme" Target="/xl/theme/theme1.xml" Id="Rc0e1341d63024615" /><Relationship Type="http://schemas.openxmlformats.org/officeDocument/2006/relationships/sharedStrings" Target="/xl/sharedStrings.xml" Id="R7e2f925e471145f8" /><Relationship Type="http://schemas.openxmlformats.org/officeDocument/2006/relationships/worksheet" Target="/xl/worksheets/sheet1.xml" Id="R1248cc916049441f" /><Relationship Type="http://schemas.openxmlformats.org/officeDocument/2006/relationships/worksheet" Target="/xl/worksheets/sheet2.xml" Id="Rc969a8abfee046c1" /><Relationship Type="http://schemas.openxmlformats.org/officeDocument/2006/relationships/worksheet" Target="/xl/worksheets/sheet3.xml" Id="R4a49513082f641f4" /><Relationship Type="http://schemas.openxmlformats.org/officeDocument/2006/relationships/worksheet" Target="/xl/worksheets/sheet4.xml" Id="R6504df1b44444f96" /><Relationship Type="http://schemas.openxmlformats.org/officeDocument/2006/relationships/worksheet" Target="/xl/worksheets/sheet5.xml" Id="R02c9f22f00ed46fc" /></Relationships>
</file>

<file path=xl/tables/table1.xml><?xml version="1.0" encoding="utf-8"?>
<x:table xmlns:x="http://schemas.openxmlformats.org/spreadsheetml/2006/main" id="1" name="ReplacementCandidatesTable" displayName="ReplacementCandidatesTable" ref="A1:AF1347" headerRowCount="1" totalsRowCount="0" totalsRowShown="0">
  <x:autoFilter ref="A1:AF1347"/>
  <x:tableColumns count="32">
    <x:tableColumn id="1" name="전체순위"/>
    <x:tableColumn id="2" name="단계"/>
    <x:tableColumn id="3" name="권장조치"/>
    <x:tableColumn id="4" name="신뢰도"/>
    <x:tableColumn id="5" name="급수"/>
    <x:tableColumn id="6" name="급수내순위"/>
    <x:tableColumn id="7" name="단어ID"/>
    <x:tableColumn id="8" name="표기"/>
    <x:tableColumn id="9" name="읽기"/>
    <x:tableColumn id="10" name="한국어뜻"/>
    <x:tableColumn id="11" name="품사"/>
    <x:tableColumn id="12" name="Zipf빈도"/>
    <x:tableColumn id="13" name="예문"/>
    <x:tableColumn id="14" name="제거점수"/>
    <x:tableColumn id="15" name="주요사유"/>
    <x:tableColumn id="16" name="사유코드"/>
    <x:tableColumn id="17" name="변형그룹"/>
    <x:tableColumn id="18" name="변형관계"/>
    <x:tableColumn id="19" name="대표단어ID"/>
    <x:tableColumn id="20" name="대표표기"/>
    <x:tableColumn id="21" name="대표읽기"/>
    <x:tableColumn id="22" name="대표가최빈출"/>
    <x:tableColumn id="23" name="JMdict일치"/>
    <x:tableColumn id="24" name="JMdict우선태그"/>
    <x:tableColumn id="25" name="JMdict우선점수"/>
    <x:tableColumn id="26" name="JMdict표기우선태그"/>
    <x:tableColumn id="27" name="JMdict표기우선점수"/>
    <x:tableColumn id="28" name="JMdict정보"/>
    <x:tableColumn id="29" name="기존뜻감사"/>
    <x:tableColumn id="30" name="기존태그"/>
    <x:tableColumn id="31" name="검토결정"/>
    <x:tableColumn id="32" name="검토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riantGroupsTable" displayName="VariantGroupsTable" ref="A1:P233" headerRowCount="1" totalsRowCount="0" totalsRowShown="0">
  <x:autoFilter ref="A1:P233"/>
  <x:tableColumns count="16">
    <x:tableColumn id="1" name="그룹ID"/>
    <x:tableColumn id="2" name="관계"/>
    <x:tableColumn id="3" name="대표단어ID"/>
    <x:tableColumn id="4" name="대표표기"/>
    <x:tableColumn id="5" name="대표읽기"/>
    <x:tableColumn id="6" name="대표가최빈출"/>
    <x:tableColumn id="7" name="핵심멤버수"/>
    <x:tableColumn id="8" name="그룹크기"/>
    <x:tableColumn id="9" name="멤버단어ID"/>
    <x:tableColumn id="10" name="멤버급수"/>
    <x:tableColumn id="11" name="멤버표기"/>
    <x:tableColumn id="12" name="멤버읽기"/>
    <x:tableColumn id="13" name="멤버뜻"/>
    <x:tableColumn id="14" name="Zipf빈도"/>
    <x:tableColumn id="15" name="최빈출핵심"/>
    <x:tableColumn id="16" name="대표여부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reAuditTable" displayName="ScoreAuditTable" ref="A1:M1347" headerRowCount="1" totalsRowCount="0" totalsRowShown="0">
  <x:autoFilter ref="A1:M1347"/>
  <x:tableColumns count="13">
    <x:tableColumn id="1" name="단어ID"/>
    <x:tableColumn id="2" name="변형"/>
    <x:tableColumn id="3" name="JMdict표기"/>
    <x:tableColumn id="4" name="JMdict불일치"/>
    <x:tableColumn id="5" name="빈도"/>
    <x:tableColumn id="6" name="우선태그"/>
    <x:tableColumn id="7" name="예문"/>
    <x:tableColumn id="8" name="freq-core"/>
    <x:tableColumn id="9" name="기존콘텐츠"/>
    <x:tableColumn id="10" name="뜻감사"/>
    <x:tableColumn id="11" name="수식점수"/>
    <x:tableColumn id="12" name="분석점수"/>
    <x:tableColumn id="13" name="검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ef7b50a6bb40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0266ab7f634e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3ce778009743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15" t="str">
        <x:v>JLPT 단어장 교체 후보 — 1차 선별</x:v>
      </x:c>
      <x:c r="B1" s="15"/>
      <x:c r="C1" s="15"/>
      <x:c r="D1" s="15"/>
      <x:c r="E1" s="15"/>
      <x:c r="F1" s="15"/>
      <x:c r="G1" s="15"/>
      <x:c r="H1" s="15"/>
    </x:row>
    <x:row r="3">
      <x:c r="A3" s="47" t="str">
        <x:v>핵심 지표</x:v>
      </x:c>
      <x:c r="B3" s="48" t="str">
        <x:v>값</x:v>
      </x:c>
      <x:c r="D3" s="52" t="str">
        <x:v>판정 안내</x:v>
      </x:c>
      <x:c r="E3" s="52"/>
      <x:c r="F3" s="52"/>
      <x:c r="G3" s="52"/>
      <x:c r="H3" s="52"/>
    </x:row>
    <x:row r="4">
      <x:c r="A4" s="41" t="str">
        <x:v>현재 활성 단어</x:v>
      </x:c>
      <x:c r="B4" s="49" t="n">
        <x:f>6638</x:f>
        <x:v>6638</x:v>
      </x:c>
      <x:c r="D4" s="56" t="str">
        <x:v>1차 제외 추천: 대표 표기가 이미 있어 중복 제거 근거가 강한 행
1차 검토 후보: 저빈도·비표준 표기 등 근거는 있으나 의미 차이 확인 필요
2차 보류: 1,346개 수량을 맞춘 상대 순위이며 아직 삭제 확정이 아님
최빈출 2,699개는 후보에서 전부 보호했습니다. 급수별 수량을 억지로 유지하지 않아 고빈도 초급 단어가 과도하게 빠지는 것을 막았습니다.</x:v>
      </x:c>
      <x:c r="E4" s="56"/>
      <x:c r="F4" s="56"/>
      <x:c r="G4" s="56"/>
      <x:c r="H4" s="56"/>
    </x:row>
    <x:row r="5">
      <x:c r="A5" s="41" t="str">
        <x:v>PDF 최빈출 핵심</x:v>
      </x:c>
      <x:c r="B5" s="49" t="n">
        <x:f>2699</x:f>
        <x:v>2699</x:v>
      </x:c>
      <x:c r="D5" s="56"/>
      <x:c r="E5" s="56"/>
      <x:c r="F5" s="56"/>
      <x:c r="G5" s="56"/>
      <x:c r="H5" s="56"/>
    </x:row>
    <x:row r="6">
      <x:c r="A6" s="41" t="str">
        <x:v>기존 핵심 일치</x:v>
      </x:c>
      <x:c r="B6" s="49" t="n">
        <x:f>1353</x:f>
        <x:v>1353</x:v>
      </x:c>
      <x:c r="D6" s="56"/>
      <x:c r="E6" s="56"/>
      <x:c r="F6" s="56"/>
      <x:c r="G6" s="56"/>
      <x:c r="H6" s="56"/>
    </x:row>
    <x:row r="7">
      <x:c r="A7" s="41" t="str">
        <x:v>신규 핵심 추가</x:v>
      </x:c>
      <x:c r="B7" s="49" t="n">
        <x:f>B5-B6</x:f>
        <x:v>1346</x:v>
      </x:c>
      <x:c r="D7" s="56"/>
      <x:c r="E7" s="56"/>
      <x:c r="F7" s="56"/>
      <x:c r="G7" s="56"/>
      <x:c r="H7" s="56"/>
    </x:row>
    <x:row r="8">
      <x:c r="A8" s="41" t="str">
        <x:v>전체 교체 순위</x:v>
      </x:c>
      <x:c r="B8" s="49" t="n">
        <x:f>COUNTA('제외 후보'!A2:A1347)</x:f>
        <x:v>1346</x:v>
      </x:c>
      <x:c r="D8" s="56"/>
      <x:c r="E8" s="56"/>
      <x:c r="F8" s="56"/>
      <x:c r="G8" s="56"/>
      <x:c r="H8" s="56"/>
    </x:row>
    <x:row r="9">
      <x:c r="A9" s="41" t="str">
        <x:v>1차 제외 추천</x:v>
      </x:c>
      <x:c r="B9" s="49" t="n">
        <x:f>COUNTIF('제외 후보'!B2:B1347,"1차 제외 추천")</x:f>
        <x:v>76</x:v>
      </x:c>
      <x:c r="D9" s="56"/>
      <x:c r="E9" s="56"/>
      <x:c r="F9" s="56"/>
      <x:c r="G9" s="56"/>
      <x:c r="H9" s="56"/>
    </x:row>
    <x:row r="10">
      <x:c r="A10" s="41" t="str">
        <x:v>1차 검토 후보</x:v>
      </x:c>
      <x:c r="B10" s="49" t="n">
        <x:f>COUNTIF('제외 후보'!B2:B1347,"1차 검토 후보")</x:f>
        <x:v>169</x:v>
      </x:c>
      <x:c r="D10" s="56"/>
      <x:c r="E10" s="56"/>
      <x:c r="F10" s="56"/>
      <x:c r="G10" s="56"/>
      <x:c r="H10" s="56"/>
    </x:row>
    <x:row r="11">
      <x:c r="A11" s="43" t="str">
        <x:v>2차 보류</x:v>
      </x:c>
      <x:c r="B11" s="50" t="n">
        <x:f>COUNTIF('제외 후보'!B2:B1347,"2차 보류")</x:f>
        <x:v>1101</x:v>
      </x:c>
      <x:c r="D11" s="56"/>
      <x:c r="E11" s="56"/>
      <x:c r="F11" s="56"/>
      <x:c r="G11" s="56"/>
      <x:c r="H11" s="56"/>
    </x:row>
    <x:row r="14">
      <x:c r="A14" s="63" t="str">
        <x:v>급수</x:v>
      </x:c>
      <x:c r="B14" s="64" t="str">
        <x:v>현재</x:v>
      </x:c>
      <x:c r="C14" s="64" t="str">
        <x:v>최종 핵심</x:v>
      </x:c>
      <x:c r="D14" s="64" t="str">
        <x:v>제외 순위</x:v>
      </x:c>
      <x:c r="E14" s="64" t="str">
        <x:v>기존 보충 유지</x:v>
      </x:c>
      <x:c r="F14" s="64" t="str">
        <x:v>교체 후</x:v>
      </x:c>
      <x:c r="G14" s="64" t="str">
        <x:v>증감</x:v>
      </x:c>
      <x:c r="H14" s="65" t="str">
        <x:v>총수 검증</x:v>
      </x:c>
    </x:row>
    <x:row r="15">
      <x:c r="A15" s="19" t="str">
        <x:v>N5</x:v>
      </x:c>
      <x:c r="B15" s="72" t="n">
        <x:v>339</x:v>
      </x:c>
      <x:c r="C15" s="72" t="n">
        <x:v>291</x:v>
      </x:c>
      <x:c r="D15" s="72" t="n">
        <x:f>COUNTIF('제외 후보'!E$2:E$1347,A15)</x:f>
        <x:v>19</x:v>
      </x:c>
      <x:c r="E15" s="72" t="n">
        <x:f>184-D15</x:f>
        <x:v>165</x:v>
      </x:c>
      <x:c r="F15" s="72" t="n">
        <x:f>C15+E15</x:f>
        <x:v>456</x:v>
      </x:c>
      <x:c r="G15" s="72" t="n">
        <x:f>F15-B15</x:f>
        <x:v>117</x:v>
      </x:c>
      <x:c r="H15" s="21" t="str">
        <x:f>IF(F15&gt;0,"OK","CHECK")</x:f>
        <x:v>OK</x:v>
      </x:c>
    </x:row>
    <x:row r="16">
      <x:c r="A16" s="19" t="str">
        <x:v>N4</x:v>
      </x:c>
      <x:c r="B16" s="72" t="n">
        <x:v>600</x:v>
      </x:c>
      <x:c r="C16" s="72" t="n">
        <x:v>272</x:v>
      </x:c>
      <x:c r="D16" s="72" t="n">
        <x:f>COUNTIF('제외 후보'!E$2:E$1347,A16)</x:f>
        <x:v>80</x:v>
      </x:c>
      <x:c r="E16" s="72" t="n">
        <x:f>372-D16</x:f>
        <x:v>292</x:v>
      </x:c>
      <x:c r="F16" s="72" t="n">
        <x:f>C16+E16</x:f>
        <x:v>564</x:v>
      </x:c>
      <x:c r="G16" s="72" t="n">
        <x:f>F16-B16</x:f>
        <x:v>-36</x:v>
      </x:c>
      <x:c r="H16" s="21" t="str">
        <x:f>IF(F16&gt;0,"OK","CHECK")</x:f>
        <x:v>OK</x:v>
      </x:c>
    </x:row>
    <x:row r="17">
      <x:c r="A17" s="19" t="str">
        <x:v>N3</x:v>
      </x:c>
      <x:c r="B17" s="72" t="n">
        <x:v>1499</x:v>
      </x:c>
      <x:c r="C17" s="72" t="n">
        <x:v>725</x:v>
      </x:c>
      <x:c r="D17" s="72" t="n">
        <x:f>COUNTIF('제외 후보'!E$2:E$1347,A17)</x:f>
        <x:v>154</x:v>
      </x:c>
      <x:c r="E17" s="72" t="n">
        <x:f>1100-D17</x:f>
        <x:v>946</x:v>
      </x:c>
      <x:c r="F17" s="72" t="n">
        <x:f>C17+E17</x:f>
        <x:v>1671</x:v>
      </x:c>
      <x:c r="G17" s="72" t="n">
        <x:f>F17-B17</x:f>
        <x:v>172</x:v>
      </x:c>
      <x:c r="H17" s="21" t="str">
        <x:f>IF(F17&gt;0,"OK","CHECK")</x:f>
        <x:v>OK</x:v>
      </x:c>
    </x:row>
    <x:row r="18">
      <x:c r="A18" s="19" t="str">
        <x:v>N2</x:v>
      </x:c>
      <x:c r="B18" s="72" t="n">
        <x:v>1700</x:v>
      </x:c>
      <x:c r="C18" s="72" t="n">
        <x:v>398</x:v>
      </x:c>
      <x:c r="D18" s="72" t="n">
        <x:f>COUNTIF('제외 후보'!E$2:E$1347,A18)</x:f>
        <x:v>501</x:v>
      </x:c>
      <x:c r="E18" s="72" t="n">
        <x:f>1477-D18</x:f>
        <x:v>976</x:v>
      </x:c>
      <x:c r="F18" s="72" t="n">
        <x:f>C18+E18</x:f>
        <x:v>1374</x:v>
      </x:c>
      <x:c r="G18" s="72" t="n">
        <x:f>F18-B18</x:f>
        <x:v>-326</x:v>
      </x:c>
      <x:c r="H18" s="21" t="str">
        <x:f>IF(F18&gt;0,"OK","CHECK")</x:f>
        <x:v>OK</x:v>
      </x:c>
    </x:row>
    <x:row r="19">
      <x:c r="A19" s="19" t="str">
        <x:v>N1</x:v>
      </x:c>
      <x:c r="B19" s="72" t="n">
        <x:v>2500</x:v>
      </x:c>
      <x:c r="C19" s="72" t="n">
        <x:v>1013</x:v>
      </x:c>
      <x:c r="D19" s="72" t="n">
        <x:f>COUNTIF('제외 후보'!E$2:E$1347,A19)</x:f>
        <x:v>592</x:v>
      </x:c>
      <x:c r="E19" s="72" t="n">
        <x:f>2152-D19</x:f>
        <x:v>1560</x:v>
      </x:c>
      <x:c r="F19" s="72" t="n">
        <x:f>C19+E19</x:f>
        <x:v>2573</x:v>
      </x:c>
      <x:c r="G19" s="72" t="n">
        <x:f>F19-B19</x:f>
        <x:v>73</x:v>
      </x:c>
      <x:c r="H19" s="21" t="str">
        <x:f>IF(F19&gt;0,"OK","CHECK")</x:f>
        <x:v>OK</x:v>
      </x:c>
    </x:row>
    <x:row r="20">
      <x:c r="A20" s="69" t="str">
        <x:v>합계</x:v>
      </x:c>
      <x:c r="B20" s="73" t="n">
        <x:f>SUM(B15:B19)</x:f>
        <x:v>6638</x:v>
      </x:c>
      <x:c r="C20" s="73" t="n">
        <x:f>SUM(C15:C19)</x:f>
        <x:v>2699</x:v>
      </x:c>
      <x:c r="D20" s="73" t="n">
        <x:f>SUM(D15:D19)</x:f>
        <x:v>1346</x:v>
      </x:c>
      <x:c r="E20" s="73" t="n">
        <x:f>SUM(E15:E19)</x:f>
        <x:v>3939</x:v>
      </x:c>
      <x:c r="F20" s="73" t="n">
        <x:f>SUM(F15:F19)</x:f>
        <x:v>6638</x:v>
      </x:c>
      <x:c r="G20" s="73" t="n">
        <x:f>SUM(G15:G19)</x:f>
        <x:v>0</x:v>
      </x:c>
      <x:c r="H20" s="71" t="str">
        <x:f>IF(AND(D20=B7,F20=B4),"OK","CHECK")</x:f>
        <x:v>OK</x:v>
      </x:c>
    </x:row>
    <x:row r="23">
      <x:c r="A23" s="28" t="str">
        <x:v>권장 조치</x:v>
      </x:c>
      <x:c r="B23" s="29" t="str">
        <x:v>건수</x:v>
      </x:c>
      <x:c r="C23" s="30" t="str">
        <x:v>설명</x:v>
      </x:c>
    </x:row>
    <x:row r="24">
      <x:c r="A24" s="19" t="str">
        <x:v>중복 변형 제거 검토</x:v>
      </x:c>
      <x:c r="B24" s="72" t="n">
        <x:f>COUNTIF('제외 후보'!C$2:C$1347,A24)</x:f>
        <x:v>112</x:v>
      </x:c>
      <x:c r="C24" s="21" t="str">
        <x:v>대표 표기가 이미 존재</x:v>
      </x:c>
    </x:row>
    <x:row r="25">
      <x:c r="A25" s="19" t="str">
        <x:v>표기 교정·교체 검토</x:v>
      </x:c>
      <x:c r="B25" s="72" t="n">
        <x:f>COUNTIF('제외 후보'!C$2:C$1347,A25)</x:f>
        <x:v>45</x:v>
      </x:c>
      <x:c r="C25" s="21" t="str">
        <x:v>희귀·비표준 표기</x:v>
      </x:c>
    </x:row>
    <x:row r="26">
      <x:c r="A26" s="19" t="str">
        <x:v>저활용 제외 검토</x:v>
      </x:c>
      <x:c r="B26" s="72" t="n">
        <x:f>COUNTIF('제외 후보'!C$2:C$1347,A26)</x:f>
        <x:v>86</x:v>
      </x:c>
      <x:c r="C26" s="21" t="str">
        <x:v>낮은 빈도·우선 태그 없음·예문 없음</x:v>
      </x:c>
    </x:row>
    <x:row r="27">
      <x:c r="A27" s="19" t="str">
        <x:v>데이터 정규화 검토</x:v>
      </x:c>
      <x:c r="B27" s="72" t="n">
        <x:f>COUNTIF('제외 후보'!C$2:C$1347,A27)</x:f>
        <x:v>42</x:v>
      </x:c>
      <x:c r="C27" s="21" t="str">
        <x:v>표기+읽기 조합 재확인 필요</x:v>
      </x:c>
    </x:row>
    <x:row r="28">
      <x:c r="A28" s="22" t="str">
        <x:v>2차 보류</x:v>
      </x:c>
      <x:c r="B28" s="74" t="n">
        <x:f>COUNTIF('제외 후보'!C$2:C$1347,A28)</x:f>
        <x:v>1061</x:v>
      </x:c>
      <x:c r="C28" s="24" t="str">
        <x:v>수량 충족용 상대 하위 순위</x:v>
      </x:c>
    </x:row>
  </x:sheetData>
  <x:mergeCells>
    <x:mergeCell ref="A1:H1"/>
    <x:mergeCell ref="D3:H3"/>
    <x:mergeCell ref="D4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2" hidden="0" customWidth="1"/>
    <x:col min="4" max="4" width="10" hidden="0" customWidth="1"/>
    <x:col min="5" max="5" width="9" hidden="0" customWidth="1"/>
    <x:col min="6" max="6" width="12" hidden="0" customWidth="1"/>
    <x:col min="7" max="7" width="22" hidden="0" customWidth="1"/>
    <x:col min="8" max="8" width="18" hidden="0" customWidth="1"/>
    <x:col min="9" max="9" width="20" hidden="0" customWidth="1"/>
    <x:col min="10" max="10" width="34" hidden="0" customWidth="1"/>
    <x:col min="11" max="11" width="14" hidden="0" customWidth="1"/>
    <x:col min="12" max="12" width="11" hidden="0" customWidth="1"/>
    <x:col min="13" max="13" width="9" hidden="0" customWidth="1"/>
    <x:col min="14" max="14" width="11" hidden="0" customWidth="1"/>
    <x:col min="15" max="15" width="48" hidden="0" customWidth="1"/>
    <x:col min="16" max="16" width="42" hidden="0" customWidth="1"/>
    <x:col min="17" max="17" width="13" hidden="0" customWidth="1"/>
    <x:col min="18" max="18" width="28" hidden="0" customWidth="1"/>
    <x:col min="19" max="19" width="22" hidden="0" customWidth="1"/>
    <x:col min="20" max="20" width="18" hidden="0" customWidth="1"/>
    <x:col min="21" max="21" width="18" hidden="0" customWidth="1"/>
    <x:col min="22" max="22" width="14" hidden="0" customWidth="1"/>
    <x:col min="23" max="23" width="13" hidden="0" customWidth="1"/>
    <x:col min="24" max="24" width="24" hidden="0" customWidth="1"/>
    <x:col min="25" max="25" width="14" hidden="0" customWidth="1"/>
    <x:col min="26" max="26" width="24" hidden="0" customWidth="1"/>
    <x:col min="27" max="27" width="17" hidden="0" customWidth="1"/>
    <x:col min="28" max="28" width="45" hidden="0" customWidth="1"/>
    <x:col min="29" max="29" width="19" hidden="0" customWidth="1"/>
    <x:col min="30" max="30" width="34" hidden="0" customWidth="1"/>
    <x:col min="31" max="31" width="14" hidden="0" customWidth="1"/>
    <x:col min="32" max="32" width="30" hidden="0" customWidth="1"/>
  </x:cols>
  <x:sheetData>
    <x:row r="1" ht="32" customHeight="1">
      <x:c r="A1" s="7" t="str">
        <x:v>전체순위</x:v>
      </x:c>
      <x:c r="B1" s="7" t="str">
        <x:v>단계</x:v>
      </x:c>
      <x:c r="C1" s="7" t="str">
        <x:v>권장조치</x:v>
      </x:c>
      <x:c r="D1" s="7" t="str">
        <x:v>신뢰도</x:v>
      </x:c>
      <x:c r="E1" s="7" t="str">
        <x:v>급수</x:v>
      </x:c>
      <x:c r="F1" s="7" t="str">
        <x:v>급수내순위</x:v>
      </x:c>
      <x:c r="G1" s="7" t="str">
        <x:v>단어ID</x:v>
      </x:c>
      <x:c r="H1" s="7" t="str">
        <x:v>표기</x:v>
      </x:c>
      <x:c r="I1" s="7" t="str">
        <x:v>읽기</x:v>
      </x:c>
      <x:c r="J1" s="7" t="str">
        <x:v>한국어뜻</x:v>
      </x:c>
      <x:c r="K1" s="7" t="str">
        <x:v>품사</x:v>
      </x:c>
      <x:c r="L1" s="7" t="str">
        <x:v>Zipf빈도</x:v>
      </x:c>
      <x:c r="M1" s="7" t="str">
        <x:v>예문</x:v>
      </x:c>
      <x:c r="N1" s="7" t="str">
        <x:v>제거점수</x:v>
      </x:c>
      <x:c r="O1" s="7" t="str">
        <x:v>주요사유</x:v>
      </x:c>
      <x:c r="P1" s="7" t="str">
        <x:v>사유코드</x:v>
      </x:c>
      <x:c r="Q1" s="7" t="str">
        <x:v>변형그룹</x:v>
      </x:c>
      <x:c r="R1" s="7" t="str">
        <x:v>변형관계</x:v>
      </x:c>
      <x:c r="S1" s="7" t="str">
        <x:v>대표단어ID</x:v>
      </x:c>
      <x:c r="T1" s="7" t="str">
        <x:v>대표표기</x:v>
      </x:c>
      <x:c r="U1" s="7" t="str">
        <x:v>대표읽기</x:v>
      </x:c>
      <x:c r="V1" s="7" t="str">
        <x:v>대표가최빈출</x:v>
      </x:c>
      <x:c r="W1" s="7" t="str">
        <x:v>JMdict일치</x:v>
      </x:c>
      <x:c r="X1" s="7" t="str">
        <x:v>JMdict우선태그</x:v>
      </x:c>
      <x:c r="Y1" s="7" t="str">
        <x:v>JMdict우선점수</x:v>
      </x:c>
      <x:c r="Z1" s="7" t="str">
        <x:v>JMdict표기우선태그</x:v>
      </x:c>
      <x:c r="AA1" s="7" t="str">
        <x:v>JMdict표기우선점수</x:v>
      </x:c>
      <x:c r="AB1" s="7" t="str">
        <x:v>JMdict정보</x:v>
      </x:c>
      <x:c r="AC1" s="7" t="str">
        <x:v>기존뜻감사</x:v>
      </x:c>
      <x:c r="AD1" s="7" t="str">
        <x:v>기존태그</x:v>
      </x:c>
      <x:c r="AE1" s="7" t="str">
        <x:v>검토결정</x:v>
      </x:c>
      <x:c r="AF1" s="7" t="str">
        <x:v>검토메모</x:v>
      </x:c>
    </x:row>
    <x:row r="2">
      <x:c r="A2" s="10" t="n">
        <x:v>1</x:v>
      </x:c>
      <x:c r="B2" s="2" t="str">
        <x:v>1차 제외 추천</x:v>
      </x:c>
      <x:c r="C2" s="2" t="str">
        <x:v>중복 변형 제거 검토</x:v>
      </x:c>
      <x:c r="D2" s="2" t="str">
        <x:v>높음</x:v>
      </x:c>
      <x:c r="E2" s="2" t="str">
        <x:v>N2</x:v>
      </x:c>
      <x:c r="F2" s="10" t="n">
        <x:v>1</x:v>
      </x:c>
      <x:c r="G2" s="2" t="str">
        <x:v>w_9a60d1f52c950ad3</x:v>
      </x:c>
      <x:c r="H2" s="2" t="str">
        <x:v>ずうっと</x:v>
      </x:c>
      <x:c r="I2" s="2" t="str">
        <x:v>ずうっと</x:v>
      </x:c>
      <x:c r="J2" s="8" t="str">
        <x:v>쭉, 줄곧</x:v>
      </x:c>
      <x:c r="K2" s="2" t="str">
        <x:v>adverb</x:v>
      </x:c>
      <x:c r="L2" s="9" t="n">
        <x:v>4.24</x:v>
      </x:c>
      <x:c r="M2" s="2" t="str">
        <x:v>없음</x:v>
      </x:c>
      <x:c r="N2" s="11" t="n">
        <x:v>133</x:v>
      </x:c>
      <x:c r="O2" s="8" t="str">
        <x:v>JMdict에서 희귀·비표준 표기로 표시; 검증된 예문 없음; JMdict 우선 어휘 표지 없음; 동일 JMdict 표제어의 표기·읽기 변형</x:v>
      </x:c>
      <x:c r="P2" s="8" t="str">
        <x:v>jmdict_uncommon_or_irregular,no_example,no_jmdict_priority,same_jmdict_entry,weak_legacy_content</x:v>
      </x:c>
      <x:c r="Q2" s="2" t="str">
        <x:v>vg_083</x:v>
      </x:c>
      <x:c r="R2" s="2" t="str">
        <x:v>same_jmdict_entry</x:v>
      </x:c>
      <x:c r="S2" s="2" t="str">
        <x:v>w_7cd203c92785ebef</x:v>
      </x:c>
      <x:c r="T2" s="2" t="str">
        <x:v>ずっと</x:v>
      </x:c>
      <x:c r="U2" s="2" t="str">
        <x:v>ずっと</x:v>
      </x:c>
      <x:c r="V2" s="2" t="str">
        <x:v>아니오</x:v>
      </x:c>
      <x:c r="W2" s="2" t="str">
        <x:v>예</x:v>
      </x:c>
      <x:c r="X2" s="2" t="str"/>
      <x:c r="Y2" s="2" t="n">
        <x:v>0</x:v>
      </x:c>
      <x:c r="Z2" s="2" t="str"/>
      <x:c r="AA2" s="2" t="n">
        <x:v>0</x:v>
      </x:c>
      <x:c r="AB2" s="8" t="str">
        <x:v>search-only kana form | ずーっと is emphatic</x:v>
      </x:c>
      <x:c r="AC2" s="8" t="str"/>
      <x:c r="AD2" s="8" t="str">
        <x:v>["draft-ko-missing"]</x:v>
      </x:c>
      <x:c r="AE2" s="8" t="str">
        <x:v>검토 필요</x:v>
      </x:c>
      <x:c r="AF2" s="8" t="str"/>
    </x:row>
    <x:row r="3">
      <x:c r="A3" s="10" t="n">
        <x:v>2</x:v>
      </x:c>
      <x:c r="B3" s="2" t="str">
        <x:v>1차 제외 추천</x:v>
      </x:c>
      <x:c r="C3" s="2" t="str">
        <x:v>중복 변형 제거 검토</x:v>
      </x:c>
      <x:c r="D3" s="2" t="str">
        <x:v>높음</x:v>
      </x:c>
      <x:c r="E3" s="2" t="str">
        <x:v>N2</x:v>
      </x:c>
      <x:c r="F3" s="10" t="n">
        <x:v>2</x:v>
      </x:c>
      <x:c r="G3" s="2" t="str">
        <x:v>w_7b003e655b3eac1a</x:v>
      </x:c>
      <x:c r="H3" s="2" t="str">
        <x:v>売行き</x:v>
      </x:c>
      <x:c r="I3" s="2" t="str">
        <x:v>うれゆき</x:v>
      </x:c>
      <x:c r="J3" s="8" t="str">
        <x:v>팔림새, 매출</x:v>
      </x:c>
      <x:c r="K3" s="2" t="str">
        <x:v>noun</x:v>
      </x:c>
      <x:c r="L3" s="9" t="n">
        <x:v>1.2</x:v>
      </x:c>
      <x:c r="M3" s="2" t="str">
        <x:v>없음</x:v>
      </x:c>
      <x:c r="N3" s="11" t="n">
        <x:v>128</x:v>
      </x:c>
      <x:c r="O3" s="8" t="str">
        <x:v>일반 사용 빈도 매우 낮음(Zipf ≤ 1.5); JMdict에서 희귀·비표준 표기로 표시; 검증된 예문 없음; 동일 JMdict 표제어의 표기·읽기 변형</x:v>
      </x:c>
      <x:c r="P3" s="8" t="str">
        <x:v>frequency_le_1_5,jmdict_uncommon_or_irregular,no_example,same_jmdict_entry,same_reading_meaning,weak_legacy_content</x:v>
      </x:c>
      <x:c r="Q3" s="2" t="str">
        <x:v>vg_019</x:v>
      </x:c>
      <x:c r="R3" s="2" t="str">
        <x:v>same_jmdict_entry,same_reading_meaning</x:v>
      </x:c>
      <x:c r="S3" s="2" t="str">
        <x:v>w_0d74e407f9afe5a5</x:v>
      </x:c>
      <x:c r="T3" s="2" t="str">
        <x:v>売れ行き</x:v>
      </x:c>
      <x:c r="U3" s="2" t="str">
        <x:v>うれゆき</x:v>
      </x:c>
      <x:c r="V3" s="2" t="str">
        <x:v>아니오</x:v>
      </x:c>
      <x:c r="W3" s="2" t="str">
        <x:v>예</x:v>
      </x:c>
      <x:c r="X3" s="2" t="str">
        <x:v>news1,nf06</x:v>
      </x:c>
      <x:c r="Y3" s="2" t="n">
        <x:v>100</x:v>
      </x:c>
      <x:c r="Z3" s="2" t="str"/>
      <x:c r="AA3" s="2" t="n">
        <x:v>0</x:v>
      </x:c>
      <x:c r="AB3" s="8" t="str">
        <x:v>search-only kanji form</x:v>
      </x:c>
      <x:c r="AC3" s="8" t="str"/>
      <x:c r="AD3" s="8" t="str">
        <x:v>["draft-ko-missing"]</x:v>
      </x:c>
      <x:c r="AE3" s="8" t="str">
        <x:v>검토 필요</x:v>
      </x:c>
      <x:c r="AF3" s="8" t="str"/>
    </x:row>
    <x:row r="4">
      <x:c r="A4" s="10" t="n">
        <x:v>3</x:v>
      </x:c>
      <x:c r="B4" s="2" t="str">
        <x:v>1차 제외 추천</x:v>
      </x:c>
      <x:c r="C4" s="2" t="str">
        <x:v>중복 변형 제거 검토</x:v>
      </x:c>
      <x:c r="D4" s="2" t="str">
        <x:v>높음</x:v>
      </x:c>
      <x:c r="E4" s="2" t="str">
        <x:v>N2</x:v>
      </x:c>
      <x:c r="F4" s="10" t="n">
        <x:v>3</x:v>
      </x:c>
      <x:c r="G4" s="2" t="str">
        <x:v>w_1ddadf8a748f9f4b</x:v>
      </x:c>
      <x:c r="H4" s="2" t="str">
        <x:v>ひゃっかじてん</x:v>
      </x:c>
      <x:c r="I4" s="2" t="str">
        <x:v>ひゃっかじてん</x:v>
      </x:c>
      <x:c r="J4" s="8" t="str">
        <x:v>백과사전</x:v>
      </x:c>
      <x:c r="K4" s="2" t="str">
        <x:v>noun</x:v>
      </x:c>
      <x:c r="L4" s="9" t="n">
        <x:v>0</x:v>
      </x:c>
      <x:c r="M4" s="2" t="str">
        <x:v>없음</x:v>
      </x:c>
      <x:c r="N4" s="11" t="n">
        <x:v>123</x:v>
      </x:c>
      <x:c r="O4" s="8" t="str">
        <x:v>일반 사용 빈도가 없거나 0; 검증된 예문 없음; JMdict 우선 어휘 표지 없음; 읽기와 한국어 뜻이 같은 표기 변형</x:v>
      </x:c>
      <x:c r="P4" s="8" t="str">
        <x:v>frequency_missing_or_zero,no_example,no_jmdict_priority,same_reading_meaning,weak_legacy_content</x:v>
      </x:c>
      <x:c r="Q4" s="2" t="str">
        <x:v>vg_029</x:v>
      </x:c>
      <x:c r="R4" s="2" t="str">
        <x:v>same_reading_meaning</x:v>
      </x:c>
      <x:c r="S4" s="2" t="str">
        <x:v>w_de42b53ac78fd7b6</x:v>
      </x:c>
      <x:c r="T4" s="2" t="str">
        <x:v>百科事典</x:v>
      </x:c>
      <x:c r="U4" s="2" t="str">
        <x:v>ひゃっかじてん</x:v>
      </x:c>
      <x:c r="V4" s="2" t="str">
        <x:v>아니오</x:v>
      </x:c>
      <x:c r="W4" s="2" t="str">
        <x:v>아니오</x:v>
      </x:c>
      <x:c r="X4" s="2" t="str"/>
      <x:c r="Y4" s="2" t="n">
        <x:v>0</x:v>
      </x:c>
      <x:c r="Z4" s="2" t="str"/>
      <x:c r="AA4" s="2" t="n">
        <x:v>0</x:v>
      </x:c>
      <x:c r="AB4" s="8" t="str"/>
      <x:c r="AC4" s="8" t="str"/>
      <x:c r="AD4" s="8" t="str">
        <x:v>["draft-ko-missing"]</x:v>
      </x:c>
      <x:c r="AE4" s="8" t="str">
        <x:v>검토 필요</x:v>
      </x:c>
      <x:c r="AF4" s="8" t="str"/>
    </x:row>
    <x:row r="5">
      <x:c r="A5" s="10" t="n">
        <x:v>4</x:v>
      </x:c>
      <x:c r="B5" s="2" t="str">
        <x:v>1차 제외 추천</x:v>
      </x:c>
      <x:c r="C5" s="2" t="str">
        <x:v>중복 변형 제거 검토</x:v>
      </x:c>
      <x:c r="D5" s="2" t="str">
        <x:v>높음</x:v>
      </x:c>
      <x:c r="E5" s="2" t="str">
        <x:v>N1</x:v>
      </x:c>
      <x:c r="F5" s="10" t="n">
        <x:v>1</x:v>
      </x:c>
      <x:c r="G5" s="2" t="str">
        <x:v>w_bec36ef217b20be6</x:v>
      </x:c>
      <x:c r="H5" s="2" t="str">
        <x:v>肝腎</x:v>
      </x:c>
      <x:c r="I5" s="2" t="str">
        <x:v>かんじん</x:v>
      </x:c>
      <x:c r="J5" s="8" t="str">
        <x:v>중요함, 핵심임</x:v>
      </x:c>
      <x:c r="K5" s="2" t="str">
        <x:v>adjective</x:v>
      </x:c>
      <x:c r="L5" s="9" t="n">
        <x:v>1.53</x:v>
      </x:c>
      <x:c r="M5" s="2" t="str">
        <x:v>없음</x:v>
      </x:c>
      <x:c r="N5" s="11" t="n">
        <x:v>122</x:v>
      </x:c>
      <x:c r="O5" s="8" t="str">
        <x:v>일반 사용 빈도 매우 낮음(Zipf ≤ 2.0); JMdict에서 희귀·비표준 표기로 표시; 검증된 예문 없음; 동일 JMdict 표제어의 표기·읽기 변형</x:v>
      </x:c>
      <x:c r="P5" s="8" t="str">
        <x:v>frequency_le_2_0,jmdict_uncommon_or_irregular,no_example,same_jmdict_entry,same_reading_meaning,weak_legacy_content</x:v>
      </x:c>
      <x:c r="Q5" s="2" t="str">
        <x:v>vg_106</x:v>
      </x:c>
      <x:c r="R5" s="2" t="str">
        <x:v>same_jmdict_entry,same_reading_meaning</x:v>
      </x:c>
      <x:c r="S5" s="2" t="str">
        <x:v>w_c1d96f9e53c5c773</x:v>
      </x:c>
      <x:c r="T5" s="2" t="str">
        <x:v>肝心</x:v>
      </x:c>
      <x:c r="U5" s="2" t="str">
        <x:v>かんじん</x:v>
      </x:c>
      <x:c r="V5" s="2" t="str">
        <x:v>아니오</x:v>
      </x:c>
      <x:c r="W5" s="2" t="str">
        <x:v>예</x:v>
      </x:c>
      <x:c r="X5" s="2" t="str">
        <x:v>ichi1,news1,nf07</x:v>
      </x:c>
      <x:c r="Y5" s="2" t="n">
        <x:v>100</x:v>
      </x:c>
      <x:c r="Z5" s="2" t="str"/>
      <x:c r="AA5" s="2" t="n">
        <x:v>0</x:v>
      </x:c>
      <x:c r="AB5" s="8" t="str">
        <x:v>rarely used kanji form</x:v>
      </x:c>
      <x:c r="AC5" s="8" t="str"/>
      <x:c r="AD5" s="8" t="str">
        <x:v>["draft-ko-missing"]</x:v>
      </x:c>
      <x:c r="AE5" s="8" t="str">
        <x:v>검토 필요</x:v>
      </x:c>
      <x:c r="AF5" s="8" t="str"/>
    </x:row>
    <x:row r="6">
      <x:c r="A6" s="10" t="n">
        <x:v>5</x:v>
      </x:c>
      <x:c r="B6" s="2" t="str">
        <x:v>1차 제외 추천</x:v>
      </x:c>
      <x:c r="C6" s="2" t="str">
        <x:v>중복 변형 제거 검토</x:v>
      </x:c>
      <x:c r="D6" s="2" t="str">
        <x:v>높음</x:v>
      </x:c>
      <x:c r="E6" s="2" t="str">
        <x:v>N3</x:v>
      </x:c>
      <x:c r="F6" s="10" t="n">
        <x:v>1</x:v>
      </x:c>
      <x:c r="G6" s="2" t="str">
        <x:v>w_d15b110e14f8ad30</x:v>
      </x:c>
      <x:c r="H6" s="2" t="str">
        <x:v>知合い</x:v>
      </x:c>
      <x:c r="I6" s="2" t="str">
        <x:v>しりあい</x:v>
      </x:c>
      <x:c r="J6" s="8" t="str">
        <x:v>아는 사람, 지인</x:v>
      </x:c>
      <x:c r="K6" s="2" t="str">
        <x:v>noun</x:v>
      </x:c>
      <x:c r="L6" s="9" t="n">
        <x:v>1.89</x:v>
      </x:c>
      <x:c r="M6" s="2" t="str">
        <x:v>없음</x:v>
      </x:c>
      <x:c r="N6" s="11" t="n">
        <x:v>122</x:v>
      </x:c>
      <x:c r="O6" s="8" t="str">
        <x:v>일반 사용 빈도 매우 낮음(Zipf ≤ 2.0); JMdict에서 희귀·비표준 표기로 표시; 검증된 예문 없음; 동일 JMdict 표제어의 표기·읽기 변형</x:v>
      </x:c>
      <x:c r="P6" s="8" t="str">
        <x:v>frequency_le_2_0,jmdict_uncommon_or_irregular,no_example,same_jmdict_entry,same_reading_meaning,weak_legacy_content</x:v>
      </x:c>
      <x:c r="Q6" s="2" t="str">
        <x:v>vg_054</x:v>
      </x:c>
      <x:c r="R6" s="2" t="str">
        <x:v>same_jmdict_entry,same_reading_meaning</x:v>
      </x:c>
      <x:c r="S6" s="2" t="str">
        <x:v>w_56afecb4ab165d9c</x:v>
      </x:c>
      <x:c r="T6" s="2" t="str">
        <x:v>知り合い</x:v>
      </x:c>
      <x:c r="U6" s="2" t="str">
        <x:v>しりあい</x:v>
      </x:c>
      <x:c r="V6" s="2" t="str">
        <x:v>아니오</x:v>
      </x:c>
      <x:c r="W6" s="2" t="str">
        <x:v>예</x:v>
      </x:c>
      <x:c r="X6" s="2" t="str">
        <x:v>ichi1,news1,nf09</x:v>
      </x:c>
      <x:c r="Y6" s="2" t="n">
        <x:v>100</x:v>
      </x:c>
      <x:c r="Z6" s="2" t="str"/>
      <x:c r="AA6" s="2" t="n">
        <x:v>0</x:v>
      </x:c>
      <x:c r="AB6" s="8" t="str">
        <x:v>search-only kanji form</x:v>
      </x:c>
      <x:c r="AC6" s="8" t="str"/>
      <x:c r="AD6" s="8" t="str">
        <x:v>["draft-ko-missing"]</x:v>
      </x:c>
      <x:c r="AE6" s="8" t="str">
        <x:v>검토 필요</x:v>
      </x:c>
      <x:c r="AF6" s="8" t="str"/>
    </x:row>
    <x:row r="7">
      <x:c r="A7" s="10" t="n">
        <x:v>6</x:v>
      </x:c>
      <x:c r="B7" s="2" t="str">
        <x:v>1차 제외 추천</x:v>
      </x:c>
      <x:c r="C7" s="2" t="str">
        <x:v>중복 변형 제거 검토</x:v>
      </x:c>
      <x:c r="D7" s="2" t="str">
        <x:v>높음</x:v>
      </x:c>
      <x:c r="E7" s="2" t="str">
        <x:v>N2</x:v>
      </x:c>
      <x:c r="F7" s="10" t="n">
        <x:v>4</x:v>
      </x:c>
      <x:c r="G7" s="2" t="str">
        <x:v>w_974ee5fbfe542c3a</x:v>
      </x:c>
      <x:c r="H7" s="2" t="str">
        <x:v>かたづく</x:v>
      </x:c>
      <x:c r="I7" s="2" t="str">
        <x:v>かたづく</x:v>
      </x:c>
      <x:c r="J7" s="8" t="str">
        <x:v>정리되다, 해결되다</x:v>
      </x:c>
      <x:c r="K7" s="2" t="str">
        <x:v>verb</x:v>
      </x:c>
      <x:c r="L7" s="9" t="n">
        <x:v>0</x:v>
      </x:c>
      <x:c r="M7" s="2" t="str">
        <x:v>없음</x:v>
      </x:c>
      <x:c r="N7" s="11" t="n">
        <x:v>118</x:v>
      </x:c>
      <x:c r="O7" s="8" t="str">
        <x:v>일반 사용 빈도가 없거나 0; 검증된 예문 없음; JMdict 우선 어휘 표지 없음; 읽기와 한국어 뜻이 같은 표기 변형</x:v>
      </x:c>
      <x:c r="P7" s="8" t="str">
        <x:v>frequency_missing_or_zero,no_example,no_jmdict_priority,same_reading_meaning</x:v>
      </x:c>
      <x:c r="Q7" s="2" t="str">
        <x:v>vg_092</x:v>
      </x:c>
      <x:c r="R7" s="2" t="str">
        <x:v>same_reading_meaning</x:v>
      </x:c>
      <x:c r="S7" s="2" t="str">
        <x:v>w_e880d8a6de524d47</x:v>
      </x:c>
      <x:c r="T7" s="2" t="str">
        <x:v>片付く</x:v>
      </x:c>
      <x:c r="U7" s="2" t="str">
        <x:v>かたづく</x:v>
      </x:c>
      <x:c r="V7" s="2" t="str">
        <x:v>아니오</x:v>
      </x:c>
      <x:c r="W7" s="2" t="str">
        <x:v>아니오</x:v>
      </x:c>
      <x:c r="X7" s="2" t="str"/>
      <x:c r="Y7" s="2" t="n">
        <x:v>0</x:v>
      </x:c>
      <x:c r="Z7" s="2" t="str"/>
      <x:c r="AA7" s="2" t="n">
        <x:v>0</x:v>
      </x:c>
      <x:c r="AB7" s="8" t="str"/>
      <x:c r="AC7" s="8" t="str"/>
      <x:c r="AD7" s="8" t="str">
        <x:v>["ko-reviewed"]</x:v>
      </x:c>
      <x:c r="AE7" s="8" t="str">
        <x:v>검토 필요</x:v>
      </x:c>
      <x:c r="AF7" s="8" t="str"/>
    </x:row>
    <x:row r="8">
      <x:c r="A8" s="10" t="n">
        <x:v>7</x:v>
      </x:c>
      <x:c r="B8" s="2" t="str">
        <x:v>1차 제외 추천</x:v>
      </x:c>
      <x:c r="C8" s="2" t="str">
        <x:v>중복 변형 제거 검토</x:v>
      </x:c>
      <x:c r="D8" s="2" t="str">
        <x:v>높음</x:v>
      </x:c>
      <x:c r="E8" s="2" t="str">
        <x:v>N2</x:v>
      </x:c>
      <x:c r="F8" s="10" t="n">
        <x:v>5</x:v>
      </x:c>
      <x:c r="G8" s="2" t="str">
        <x:v>w_7ca6b596e606b1f3</x:v>
      </x:c>
      <x:c r="H8" s="2" t="str">
        <x:v>剥す</x:v>
      </x:c>
      <x:c r="I8" s="2" t="str">
        <x:v>はがす</x:v>
      </x:c>
      <x:c r="J8" s="8" t="str">
        <x:v>벗기다, 떼어 내다</x:v>
      </x:c>
      <x:c r="K8" s="2" t="str">
        <x:v>verb</x:v>
      </x:c>
      <x:c r="L8" s="9" t="n">
        <x:v>2.55</x:v>
      </x:c>
      <x:c r="M8" s="2" t="str">
        <x:v>없음</x:v>
      </x:c>
      <x:c r="N8" s="11" t="n">
        <x:v>118</x:v>
      </x:c>
      <x:c r="O8" s="8" t="str">
        <x:v>일반 사용 빈도 낮은 편(Zipf ≤ 3.0); JMdict에서 희귀·비표준 표기로 표시; 기존 한국어 뜻 품질 감사 대상; 검증된 예문 없음</x:v>
      </x:c>
      <x:c r="P8" s="8" t="str">
        <x:v>frequency_le_3_0,jmdict_uncommon_or_irregular,legacy_gloss_audit:senses_5_6,no_example,same_jmdict_entry,same_reading_meaning,weak_legacy_content</x:v>
      </x:c>
      <x:c r="Q8" s="2" t="str">
        <x:v>vg_022</x:v>
      </x:c>
      <x:c r="R8" s="2" t="str">
        <x:v>same_jmdict_entry,same_reading_meaning</x:v>
      </x:c>
      <x:c r="S8" s="2" t="str">
        <x:v>w_0ea31b98d247240b</x:v>
      </x:c>
      <x:c r="T8" s="2" t="str">
        <x:v>剥がす</x:v>
      </x:c>
      <x:c r="U8" s="2" t="str">
        <x:v>はがす</x:v>
      </x:c>
      <x:c r="V8" s="2" t="str">
        <x:v>예</x:v>
      </x:c>
      <x:c r="W8" s="2" t="str">
        <x:v>예</x:v>
      </x:c>
      <x:c r="X8" s="2" t="str">
        <x:v>ichi1</x:v>
      </x:c>
      <x:c r="Y8" s="2" t="n">
        <x:v>100</x:v>
      </x:c>
      <x:c r="Z8" s="2" t="str"/>
      <x:c r="AA8" s="2" t="n">
        <x:v>0</x:v>
      </x:c>
      <x:c r="AB8" s="8" t="str">
        <x:v>irregular okurigana usage | word usually written using kana alone</x:v>
      </x:c>
      <x:c r="AC8" s="8" t="str">
        <x:v>senses_5_6</x:v>
      </x:c>
      <x:c r="AD8" s="8" t="str">
        <x:v>["draft-ko-missing"]</x:v>
      </x:c>
      <x:c r="AE8" s="8" t="str">
        <x:v>검토 필요</x:v>
      </x:c>
      <x:c r="AF8" s="8" t="str"/>
    </x:row>
    <x:row r="9">
      <x:c r="A9" s="10" t="n">
        <x:v>8</x:v>
      </x:c>
      <x:c r="B9" s="2" t="str">
        <x:v>1차 제외 추천</x:v>
      </x:c>
      <x:c r="C9" s="2" t="str">
        <x:v>중복 변형 제거 검토</x:v>
      </x:c>
      <x:c r="D9" s="2" t="str">
        <x:v>높음</x:v>
      </x:c>
      <x:c r="E9" s="2" t="str">
        <x:v>N3</x:v>
      </x:c>
      <x:c r="F9" s="10" t="n">
        <x:v>2</x:v>
      </x:c>
      <x:c r="G9" s="2" t="str">
        <x:v>w_c9624a11c7f3b950</x:v>
      </x:c>
      <x:c r="H9" s="2" t="str">
        <x:v>尤も</x:v>
      </x:c>
      <x:c r="I9" s="2" t="str">
        <x:v>もっとも</x:v>
      </x:c>
      <x:c r="J9" s="8" t="str">
        <x:v>지당함, 당연함</x:v>
      </x:c>
      <x:c r="K9" s="2" t="str">
        <x:v>adverb</x:v>
      </x:c>
      <x:c r="L9" s="9" t="n">
        <x:v>2.84</x:v>
      </x:c>
      <x:c r="M9" s="2" t="str">
        <x:v>없음</x:v>
      </x:c>
      <x:c r="N9" s="11" t="n">
        <x:v>118</x:v>
      </x:c>
      <x:c r="O9" s="8" t="str">
        <x:v>일반 사용 빈도 낮은 편(Zipf ≤ 3.0); JMdict에서 희귀·비표준 표기로 표시; 기존 한국어 뜻 품질 감사 대상; 검증된 예문 없음</x:v>
      </x:c>
      <x:c r="P9" s="8" t="str">
        <x:v>frequency_le_3_0,jmdict_uncommon_or_irregular,legacy_gloss_audit:senses_5_6,no_example,same_jmdict_entry,weak_legacy_content</x:v>
      </x:c>
      <x:c r="Q9" s="2" t="str">
        <x:v>vg_087</x:v>
      </x:c>
      <x:c r="R9" s="2" t="str">
        <x:v>same_jmdict_entry</x:v>
      </x:c>
      <x:c r="S9" s="2" t="str">
        <x:v>w_83de4c2c646b19a2</x:v>
      </x:c>
      <x:c r="T9" s="2" t="str">
        <x:v>最も</x:v>
      </x:c>
      <x:c r="U9" s="2" t="str">
        <x:v>もっとも</x:v>
      </x:c>
      <x:c r="V9" s="2" t="str">
        <x:v>예</x:v>
      </x:c>
      <x:c r="W9" s="2" t="str">
        <x:v>예</x:v>
      </x:c>
      <x:c r="X9" s="2" t="str">
        <x:v>ichi1,news1,nf01</x:v>
      </x:c>
      <x:c r="Y9" s="2" t="n">
        <x:v>100</x:v>
      </x:c>
      <x:c r="Z9" s="2" t="str"/>
      <x:c r="AA9" s="2" t="n">
        <x:v>0</x:v>
      </x:c>
      <x:c r="AB9" s="8" t="str">
        <x:v>rarely used kanji form | word usually written using kana alone</x:v>
      </x:c>
      <x:c r="AC9" s="8" t="str">
        <x:v>senses_5_6</x:v>
      </x:c>
      <x:c r="AD9" s="8" t="str">
        <x:v>["draft-ko-missing"]</x:v>
      </x:c>
      <x:c r="AE9" s="8" t="str">
        <x:v>검토 필요</x:v>
      </x:c>
      <x:c r="AF9" s="8" t="str"/>
    </x:row>
    <x:row r="10">
      <x:c r="A10" s="10" t="n">
        <x:v>9</x:v>
      </x:c>
      <x:c r="B10" s="2" t="str">
        <x:v>1차 제외 추천</x:v>
      </x:c>
      <x:c r="C10" s="2" t="str">
        <x:v>중복 변형 제거 검토</x:v>
      </x:c>
      <x:c r="D10" s="2" t="str">
        <x:v>높음</x:v>
      </x:c>
      <x:c r="E10" s="2" t="str">
        <x:v>N2</x:v>
      </x:c>
      <x:c r="F10" s="10" t="n">
        <x:v>6</x:v>
      </x:c>
      <x:c r="G10" s="2" t="str">
        <x:v>w_6827f6df872f2504</x:v>
      </x:c>
      <x:c r="H10" s="2" t="str">
        <x:v>思いっ切り</x:v>
      </x:c>
      <x:c r="I10" s="2" t="str">
        <x:v>おもいっきり</x:v>
      </x:c>
      <x:c r="J10" s="8" t="str">
        <x:v>매우, 많음, 완전히</x:v>
      </x:c>
      <x:c r="K10" s="2" t="str">
        <x:v>adverb</x:v>
      </x:c>
      <x:c r="L10" s="9" t="n">
        <x:v>2.32</x:v>
      </x:c>
      <x:c r="M10" s="2" t="str">
        <x:v>없음</x:v>
      </x:c>
      <x:c r="N10" s="11" t="n">
        <x:v>116</x:v>
      </x:c>
      <x:c r="O10" s="8" t="str">
        <x:v>일반 사용 빈도 낮음(Zipf ≤ 2.5); JMdict에서 희귀·비표준 표기로 표시; 검증된 예문 없음; 동일 JMdict 표제어의 표기·읽기 변형</x:v>
      </x:c>
      <x:c r="P10" s="8" t="str">
        <x:v>frequency_le_2_5,jmdict_uncommon_or_irregular,no_example,same_jmdict_entry,weak_legacy_content</x:v>
      </x:c>
      <x:c r="Q10" s="2" t="str">
        <x:v>vg_070</x:v>
      </x:c>
      <x:c r="R10" s="2" t="str">
        <x:v>same_jmdict_entry</x:v>
      </x:c>
      <x:c r="S10" s="2" t="str">
        <x:v>w_c5ab894cc1ca5bbb</x:v>
      </x:c>
      <x:c r="T10" s="2" t="str">
        <x:v>思いっきり</x:v>
      </x:c>
      <x:c r="U10" s="2" t="str">
        <x:v>おもいっきり</x:v>
      </x:c>
      <x:c r="V10" s="2" t="str">
        <x:v>아니오</x:v>
      </x:c>
      <x:c r="W10" s="2" t="str">
        <x:v>예</x:v>
      </x:c>
      <x:c r="X10" s="2" t="str">
        <x:v>spec1</x:v>
      </x:c>
      <x:c r="Y10" s="2" t="n">
        <x:v>100</x:v>
      </x:c>
      <x:c r="Z10" s="2" t="str"/>
      <x:c r="AA10" s="2" t="n">
        <x:v>0</x:v>
      </x:c>
      <x:c r="AB10" s="8" t="str">
        <x:v>rarely used kanji form</x:v>
      </x:c>
      <x:c r="AC10" s="8" t="str"/>
      <x:c r="AD10" s="8" t="str">
        <x:v>["draft-ko-missing"]</x:v>
      </x:c>
      <x:c r="AE10" s="8" t="str">
        <x:v>검토 필요</x:v>
      </x:c>
      <x:c r="AF10" s="8" t="str"/>
    </x:row>
    <x:row r="11">
      <x:c r="A11" s="10" t="n">
        <x:v>10</x:v>
      </x:c>
      <x:c r="B11" s="2" t="str">
        <x:v>1차 제외 추천</x:v>
      </x:c>
      <x:c r="C11" s="2" t="str">
        <x:v>중복 변형 제거 검토</x:v>
      </x:c>
      <x:c r="D11" s="2" t="str">
        <x:v>높음</x:v>
      </x:c>
      <x:c r="E11" s="2" t="str">
        <x:v>N2</x:v>
      </x:c>
      <x:c r="F11" s="10" t="n">
        <x:v>7</x:v>
      </x:c>
      <x:c r="G11" s="2" t="str">
        <x:v>w_752d5bb4d91954b3</x:v>
      </x:c>
      <x:c r="H11" s="2" t="str">
        <x:v>慶ぶ</x:v>
      </x:c>
      <x:c r="I11" s="2" t="str">
        <x:v>よろこぶ</x:v>
      </x:c>
      <x:c r="J11" s="8" t="str">
        <x:v>기뻐하다, 축하하다</x:v>
      </x:c>
      <x:c r="K11" s="2" t="str">
        <x:v>verb</x:v>
      </x:c>
      <x:c r="L11" s="9" t="n">
        <x:v>2.27</x:v>
      </x:c>
      <x:c r="M11" s="2" t="str">
        <x:v>없음</x:v>
      </x:c>
      <x:c r="N11" s="11" t="n">
        <x:v>111</x:v>
      </x:c>
      <x:c r="O11" s="8" t="str">
        <x:v>일반 사용 빈도 낮음(Zipf ≤ 2.5); JMdict에서 희귀·비표준 표기로 표시; 검증된 예문 없음; 동일 JMdict 표제어의 표기·읽기 변형</x:v>
      </x:c>
      <x:c r="P11" s="8" t="str">
        <x:v>frequency_le_2_5,jmdict_uncommon_or_irregular,no_example,same_jmdict_entry</x:v>
      </x:c>
      <x:c r="Q11" s="2" t="str">
        <x:v>vg_079</x:v>
      </x:c>
      <x:c r="R11" s="2" t="str">
        <x:v>same_jmdict_entry</x:v>
      </x:c>
      <x:c r="S11" s="2" t="str">
        <x:v>w_ef8cc6c70940c388</x:v>
      </x:c>
      <x:c r="T11" s="2" t="str">
        <x:v>喜ぶ</x:v>
      </x:c>
      <x:c r="U11" s="2" t="str">
        <x:v>よろこぶ</x:v>
      </x:c>
      <x:c r="V11" s="2" t="str">
        <x:v>예</x:v>
      </x:c>
      <x:c r="W11" s="2" t="str">
        <x:v>예</x:v>
      </x:c>
      <x:c r="X11" s="2" t="str">
        <x:v>ichi1,news1,nf15</x:v>
      </x:c>
      <x:c r="Y11" s="2" t="n">
        <x:v>100</x:v>
      </x:c>
      <x:c r="Z11" s="2" t="str"/>
      <x:c r="AA11" s="2" t="n">
        <x:v>0</x:v>
      </x:c>
      <x:c r="AB11" s="8" t="str">
        <x:v>as よろこんで... | rarely used kanji form</x:v>
      </x:c>
      <x:c r="AC11" s="8" t="str"/>
      <x:c r="AD11" s="8" t="str">
        <x:v>["backfill-replacement","assistant-ko-reviewed"]</x:v>
      </x:c>
      <x:c r="AE11" s="8" t="str">
        <x:v>검토 필요</x:v>
      </x:c>
      <x:c r="AF11" s="8" t="str"/>
    </x:row>
    <x:row r="12">
      <x:c r="A12" s="10" t="n">
        <x:v>11</x:v>
      </x:c>
      <x:c r="B12" s="2" t="str">
        <x:v>1차 검토 후보</x:v>
      </x:c>
      <x:c r="C12" s="2" t="str">
        <x:v>중복 변형 제거 검토</x:v>
      </x:c>
      <x:c r="D12" s="2" t="str">
        <x:v>중간</x:v>
      </x:c>
      <x:c r="E12" s="2" t="str">
        <x:v>N1</x:v>
      </x:c>
      <x:c r="F12" s="10" t="n">
        <x:v>2</x:v>
      </x:c>
      <x:c r="G12" s="2" t="str">
        <x:v>w_c2cc27b9a22c206e</x:v>
      </x:c>
      <x:c r="H12" s="2" t="str">
        <x:v>濯ぐ</x:v>
      </x:c>
      <x:c r="I12" s="2" t="str">
        <x:v>ゆすぐ</x:v>
      </x:c>
      <x:c r="J12" s="8" t="str">
        <x:v>헹구다, 씻어내다</x:v>
      </x:c>
      <x:c r="K12" s="2" t="str">
        <x:v>verb</x:v>
      </x:c>
      <x:c r="L12" s="9" t="n">
        <x:v>1.43</x:v>
      </x:c>
      <x:c r="M12" s="2" t="str">
        <x:v>없음</x:v>
      </x:c>
      <x:c r="N12" s="11" t="n">
        <x:v>110</x:v>
      </x:c>
      <x:c r="O12" s="8" t="str">
        <x:v>일반 사용 빈도 매우 낮음(Zipf ≤ 1.5); 검증된 예문 없음; JMdict 우선 어휘 표지 없음; 동일 JMdict 표제어의 표기·읽기 변형</x:v>
      </x:c>
      <x:c r="P12" s="8" t="str">
        <x:v>frequency_le_1_5,no_example,no_jmdict_priority,same_jmdict_entry</x:v>
      </x:c>
      <x:c r="Q12" s="2" t="str">
        <x:v>vg_104</x:v>
      </x:c>
      <x:c r="R12" s="2" t="str">
        <x:v>same_jmdict_entry</x:v>
      </x:c>
      <x:c r="S12" s="2" t="str">
        <x:v>w_ba5c28cac9377917</x:v>
      </x:c>
      <x:c r="T12" s="2" t="str">
        <x:v>濯ぐ</x:v>
      </x:c>
      <x:c r="U12" s="2" t="str">
        <x:v>すすぐ</x:v>
      </x:c>
      <x:c r="V12" s="2" t="str">
        <x:v>아니오</x:v>
      </x:c>
      <x:c r="W12" s="2" t="str">
        <x:v>예</x:v>
      </x:c>
      <x:c r="X12" s="2" t="str"/>
      <x:c r="Y12" s="2" t="n">
        <x:v>0</x:v>
      </x:c>
      <x:c r="Z12" s="2" t="str"/>
      <x:c r="AA12" s="2" t="n">
        <x:v>0</x:v>
      </x:c>
      <x:c r="AB12" s="8" t="str">
        <x:v>esp. 濯ぐ | esp. 雪ぐ | word usually written using kana alone</x:v>
      </x:c>
      <x:c r="AC12" s="8" t="str"/>
      <x:c r="AD12" s="8" t="str">
        <x:v>["ko-reviewed"]</x:v>
      </x:c>
      <x:c r="AE12" s="8" t="str">
        <x:v>검토 필요</x:v>
      </x:c>
      <x:c r="AF12" s="8" t="str"/>
    </x:row>
    <x:row r="13">
      <x:c r="A13" s="10" t="n">
        <x:v>12</x:v>
      </x:c>
      <x:c r="B13" s="2" t="str">
        <x:v>1차 검토 후보</x:v>
      </x:c>
      <x:c r="C13" s="2" t="str">
        <x:v>중복 변형 제거 검토</x:v>
      </x:c>
      <x:c r="D13" s="2" t="str">
        <x:v>중간</x:v>
      </x:c>
      <x:c r="E13" s="2" t="str">
        <x:v>N1</x:v>
      </x:c>
      <x:c r="F13" s="10" t="n">
        <x:v>3</x:v>
      </x:c>
      <x:c r="G13" s="2" t="str">
        <x:v>w_538b76225c57664f</x:v>
      </x:c>
      <x:c r="H13" s="2" t="str">
        <x:v>真ん円い</x:v>
      </x:c>
      <x:c r="I13" s="2" t="str">
        <x:v>まんまるい</x:v>
      </x:c>
      <x:c r="J13" s="8" t="str">
        <x:v>동그랗다, 둥글다</x:v>
      </x:c>
      <x:c r="K13" s="2" t="str">
        <x:v>adjective</x:v>
      </x:c>
      <x:c r="L13" s="9" t="n">
        <x:v>1.88</x:v>
      </x:c>
      <x:c r="M13" s="2" t="str">
        <x:v>없음</x:v>
      </x:c>
      <x:c r="N13" s="11" t="n">
        <x:v>109</x:v>
      </x:c>
      <x:c r="O13" s="8" t="str">
        <x:v>일반 사용 빈도 매우 낮음(Zipf ≤ 2.0); 검증된 예문 없음; JMdict 우선 어휘 표지 없음; 동일 JMdict 표제어의 표기·읽기 변형</x:v>
      </x:c>
      <x:c r="P13" s="8" t="str">
        <x:v>frequency_le_2_0,no_example,no_jmdict_priority,same_jmdict_entry,weak_legacy_content</x:v>
      </x:c>
      <x:c r="Q13" s="2" t="str">
        <x:v>vg_052</x:v>
      </x:c>
      <x:c r="R13" s="2" t="str">
        <x:v>same_jmdict_entry</x:v>
      </x:c>
      <x:c r="S13" s="2" t="str">
        <x:v>w_b8c80d155447f46a</x:v>
      </x:c>
      <x:c r="T13" s="2" t="str">
        <x:v>真ん丸い</x:v>
      </x:c>
      <x:c r="U13" s="2" t="str">
        <x:v>まんまるい</x:v>
      </x:c>
      <x:c r="V13" s="2" t="str">
        <x:v>아니오</x:v>
      </x:c>
      <x:c r="W13" s="2" t="str">
        <x:v>예</x:v>
      </x:c>
      <x:c r="X13" s="2" t="str"/>
      <x:c r="Y13" s="2" t="n">
        <x:v>0</x:v>
      </x:c>
      <x:c r="Z13" s="2" t="str"/>
      <x:c r="AA13" s="2" t="n">
        <x:v>0</x:v>
      </x:c>
      <x:c r="AB13" s="8" t="str"/>
      <x:c r="AC13" s="8" t="str"/>
      <x:c r="AD13" s="8" t="str">
        <x:v>["draft-ko-missing"]</x:v>
      </x:c>
      <x:c r="AE13" s="8" t="str">
        <x:v>검토 필요</x:v>
      </x:c>
      <x:c r="AF13" s="8" t="str"/>
    </x:row>
    <x:row r="14">
      <x:c r="A14" s="10" t="n">
        <x:v>13</x:v>
      </x:c>
      <x:c r="B14" s="2" t="str">
        <x:v>1차 검토 후보</x:v>
      </x:c>
      <x:c r="C14" s="2" t="str">
        <x:v>표기 교정·교체 검토</x:v>
      </x:c>
      <x:c r="D14" s="2" t="str">
        <x:v>중간</x:v>
      </x:c>
      <x:c r="E14" s="2" t="str">
        <x:v>N2</x:v>
      </x:c>
      <x:c r="F14" s="10" t="n">
        <x:v>8</x:v>
      </x:c>
      <x:c r="G14" s="2" t="str">
        <x:v>w_df9ada6a3bbb5a4e</x:v>
      </x:c>
      <x:c r="H14" s="2" t="str">
        <x:v>引っ繰り返す</x:v>
      </x:c>
      <x:c r="I14" s="2" t="str">
        <x:v>ひっくりかえす</x:v>
      </x:c>
      <x:c r="J14" s="8" t="str">
        <x:v>뒤집다, 엎다</x:v>
      </x:c>
      <x:c r="K14" s="2" t="str">
        <x:v>verb</x:v>
      </x:c>
      <x:c r="L14" s="9" t="n">
        <x:v>0</x:v>
      </x:c>
      <x:c r="M14" s="2" t="str">
        <x:v>없음</x:v>
      </x:c>
      <x:c r="N14" s="11" t="n">
        <x:v>108</x:v>
      </x:c>
      <x:c r="O14" s="8" t="str">
        <x:v>일반 사용 빈도가 없거나 0; JMdict에서 희귀·비표준 표기로 표시; 검증된 예문 없음; JMdict 우선 어휘 표지 없음</x:v>
      </x:c>
      <x:c r="P14" s="8" t="str">
        <x:v>frequency_missing_or_zero,jmdict_uncommon_or_irregular,no_example,no_jmdict_priority</x:v>
      </x:c>
      <x:c r="Q14" s="2" t="str"/>
      <x:c r="R14" s="2" t="str"/>
      <x:c r="S14" s="2" t="str"/>
      <x:c r="T14" s="2" t="str"/>
      <x:c r="U14" s="2" t="str"/>
      <x:c r="V14" s="2" t="str">
        <x:v>아니오</x:v>
      </x:c>
      <x:c r="W14" s="2" t="str">
        <x:v>예</x:v>
      </x:c>
      <x:c r="X14" s="2" t="str"/>
      <x:c r="Y14" s="2" t="n">
        <x:v>0</x:v>
      </x:c>
      <x:c r="Z14" s="2" t="str"/>
      <x:c r="AA14" s="2" t="n">
        <x:v>0</x:v>
      </x:c>
      <x:c r="AB14" s="8" t="str">
        <x:v>rarely used kanji form</x:v>
      </x:c>
      <x:c r="AC14" s="8" t="str"/>
      <x:c r="AD14" s="8" t="str">
        <x:v>["ko-reviewed"]</x:v>
      </x:c>
      <x:c r="AE14" s="8" t="str">
        <x:v>검토 필요</x:v>
      </x:c>
      <x:c r="AF14" s="8" t="str"/>
    </x:row>
    <x:row r="15">
      <x:c r="A15" s="10" t="n">
        <x:v>14</x:v>
      </x:c>
      <x:c r="B15" s="2" t="str">
        <x:v>1차 제외 추천</x:v>
      </x:c>
      <x:c r="C15" s="2" t="str">
        <x:v>중복 변형 제거 검토</x:v>
      </x:c>
      <x:c r="D15" s="2" t="str">
        <x:v>높음</x:v>
      </x:c>
      <x:c r="E15" s="2" t="str">
        <x:v>N2</x:v>
      </x:c>
      <x:c r="F15" s="10" t="n">
        <x:v>9</x:v>
      </x:c>
      <x:c r="G15" s="2" t="str">
        <x:v>w_b71640e718ced668</x:v>
      </x:c>
      <x:c r="H15" s="2" t="str">
        <x:v>まじる</x:v>
      </x:c>
      <x:c r="I15" s="2" t="str">
        <x:v>まじる</x:v>
      </x:c>
      <x:c r="J15" s="8" t="str">
        <x:v>섞이다</x:v>
      </x:c>
      <x:c r="K15" s="2" t="str">
        <x:v>verb</x:v>
      </x:c>
      <x:c r="L15" s="9" t="n">
        <x:v>1.53</x:v>
      </x:c>
      <x:c r="M15" s="2" t="str">
        <x:v>없음</x:v>
      </x:c>
      <x:c r="N15" s="11" t="n">
        <x:v>104</x:v>
      </x:c>
      <x:c r="O15" s="8" t="str">
        <x:v>일반 사용 빈도 매우 낮음(Zipf ≤ 2.0); 검증된 예문 없음; JMdict 우선 어휘 표지 없음; 읽기와 한국어 뜻이 같은 표기 변형</x:v>
      </x:c>
      <x:c r="P15" s="8" t="str">
        <x:v>frequency_le_2_0,no_example,no_jmdict_priority,same_reading_meaning</x:v>
      </x:c>
      <x:c r="Q15" s="2" t="str">
        <x:v>vg_102</x:v>
      </x:c>
      <x:c r="R15" s="2" t="str">
        <x:v>same_reading_meaning</x:v>
      </x:c>
      <x:c r="S15" s="2" t="str">
        <x:v>w_be7b504a9dae8c48</x:v>
      </x:c>
      <x:c r="T15" s="2" t="str">
        <x:v>混じる</x:v>
      </x:c>
      <x:c r="U15" s="2" t="str">
        <x:v>まじる</x:v>
      </x:c>
      <x:c r="V15" s="2" t="str">
        <x:v>아니오</x:v>
      </x:c>
      <x:c r="W15" s="2" t="str">
        <x:v>아니오</x:v>
      </x:c>
      <x:c r="X15" s="2" t="str"/>
      <x:c r="Y15" s="2" t="n">
        <x:v>0</x:v>
      </x:c>
      <x:c r="Z15" s="2" t="str"/>
      <x:c r="AA15" s="2" t="n">
        <x:v>0</x:v>
      </x:c>
      <x:c r="AB15" s="8" t="str"/>
      <x:c r="AC15" s="8" t="str"/>
      <x:c r="AD15" s="8" t="str">
        <x:v>["ko-reviewed"]</x:v>
      </x:c>
      <x:c r="AE15" s="8" t="str">
        <x:v>검토 필요</x:v>
      </x:c>
      <x:c r="AF15" s="8" t="str"/>
    </x:row>
    <x:row r="16">
      <x:c r="A16" s="10" t="n">
        <x:v>15</x:v>
      </x:c>
      <x:c r="B16" s="2" t="str">
        <x:v>1차 제외 추천</x:v>
      </x:c>
      <x:c r="C16" s="2" t="str">
        <x:v>중복 변형 제거 검토</x:v>
      </x:c>
      <x:c r="D16" s="2" t="str">
        <x:v>높음</x:v>
      </x:c>
      <x:c r="E16" s="2" t="str">
        <x:v>N2</x:v>
      </x:c>
      <x:c r="F16" s="10" t="n">
        <x:v>10</x:v>
      </x:c>
      <x:c r="G16" s="2" t="str">
        <x:v>w_98d39ac0388c03a9</x:v>
      </x:c>
      <x:c r="H16" s="2" t="str">
        <x:v>そうっと</x:v>
      </x:c>
      <x:c r="I16" s="2" t="str">
        <x:v>そうっと</x:v>
      </x:c>
      <x:c r="J16" s="8" t="str">
        <x:v>살며시, 조심스럽게</x:v>
      </x:c>
      <x:c r="K16" s="2" t="str">
        <x:v>adverb</x:v>
      </x:c>
      <x:c r="L16" s="9" t="n">
        <x:v>1.75</x:v>
      </x:c>
      <x:c r="M16" s="2" t="str">
        <x:v>없음</x:v>
      </x:c>
      <x:c r="N16" s="11" t="n">
        <x:v>104</x:v>
      </x:c>
      <x:c r="O16" s="8" t="str">
        <x:v>일반 사용 빈도 매우 낮음(Zipf ≤ 2.0); 검증된 예문 없음; JMdict 우선 어휘 표지 없음; 동일 JMdict 표제어의 표기·읽기 변형</x:v>
      </x:c>
      <x:c r="P16" s="8" t="str">
        <x:v>frequency_le_2_0,no_example,no_jmdict_priority,same_jmdict_entry</x:v>
      </x:c>
      <x:c r="Q16" s="2" t="str">
        <x:v>vg_094</x:v>
      </x:c>
      <x:c r="R16" s="2" t="str">
        <x:v>same_jmdict_entry</x:v>
      </x:c>
      <x:c r="S16" s="2" t="str">
        <x:v>w_e3f8ae1ac4c6e455</x:v>
      </x:c>
      <x:c r="T16" s="2" t="str">
        <x:v>そっと</x:v>
      </x:c>
      <x:c r="U16" s="2" t="str">
        <x:v>そっと</x:v>
      </x:c>
      <x:c r="V16" s="2" t="str">
        <x:v>예</x:v>
      </x:c>
      <x:c r="W16" s="2" t="str">
        <x:v>예</x:v>
      </x:c>
      <x:c r="X16" s="2" t="str"/>
      <x:c r="Y16" s="2" t="n">
        <x:v>0</x:v>
      </x:c>
      <x:c r="Z16" s="2" t="str"/>
      <x:c r="AA16" s="2" t="n">
        <x:v>0</x:v>
      </x:c>
      <x:c r="AB16" s="8" t="str">
        <x:v>as 〜しておく | onomatopoeic or mimetic word</x:v>
      </x:c>
      <x:c r="AC16" s="8" t="str"/>
      <x:c r="AD16" s="8" t="str">
        <x:v>["ko-reviewed"]</x:v>
      </x:c>
      <x:c r="AE16" s="8" t="str">
        <x:v>검토 필요</x:v>
      </x:c>
      <x:c r="AF16" s="8" t="str"/>
    </x:row>
    <x:row r="17">
      <x:c r="A17" s="10" t="n">
        <x:v>16</x:v>
      </x:c>
      <x:c r="B17" s="2" t="str">
        <x:v>1차 제외 추천</x:v>
      </x:c>
      <x:c r="C17" s="2" t="str">
        <x:v>중복 변형 제거 검토</x:v>
      </x:c>
      <x:c r="D17" s="2" t="str">
        <x:v>높음</x:v>
      </x:c>
      <x:c r="E17" s="2" t="str">
        <x:v>N2</x:v>
      </x:c>
      <x:c r="F17" s="10" t="n">
        <x:v>11</x:v>
      </x:c>
      <x:c r="G17" s="2" t="str">
        <x:v>w_783eefeaaefb6a0d</x:v>
      </x:c>
      <x:c r="H17" s="2" t="str">
        <x:v>まぜる</x:v>
      </x:c>
      <x:c r="I17" s="2" t="str">
        <x:v>まぜる</x:v>
      </x:c>
      <x:c r="J17" s="8" t="str">
        <x:v>섞다</x:v>
      </x:c>
      <x:c r="K17" s="2" t="str">
        <x:v>verb</x:v>
      </x:c>
      <x:c r="L17" s="9" t="n">
        <x:v>2.09</x:v>
      </x:c>
      <x:c r="M17" s="2" t="str">
        <x:v>없음</x:v>
      </x:c>
      <x:c r="N17" s="11" t="n">
        <x:v>103</x:v>
      </x:c>
      <x:c r="O17" s="8" t="str">
        <x:v>일반 사용 빈도 낮음(Zipf ≤ 2.5); 검증된 예문 없음; JMdict 우선 어휘 표지 없음; 읽기와 한국어 뜻이 같은 표기 변형</x:v>
      </x:c>
      <x:c r="P17" s="8" t="str">
        <x:v>frequency_le_2_5,no_example,no_jmdict_priority,same_reading_meaning,weak_legacy_content</x:v>
      </x:c>
      <x:c r="Q17" s="2" t="str">
        <x:v>vg_012</x:v>
      </x:c>
      <x:c r="R17" s="2" t="str">
        <x:v>same_reading_meaning</x:v>
      </x:c>
      <x:c r="S17" s="2" t="str">
        <x:v>w_08116245559f84d3</x:v>
      </x:c>
      <x:c r="T17" s="2" t="str">
        <x:v>混ぜる</x:v>
      </x:c>
      <x:c r="U17" s="2" t="str">
        <x:v>まぜる</x:v>
      </x:c>
      <x:c r="V17" s="2" t="str">
        <x:v>예</x:v>
      </x:c>
      <x:c r="W17" s="2" t="str">
        <x:v>아니오</x:v>
      </x:c>
      <x:c r="X17" s="2" t="str"/>
      <x:c r="Y17" s="2" t="n">
        <x:v>0</x:v>
      </x:c>
      <x:c r="Z17" s="2" t="str"/>
      <x:c r="AA17" s="2" t="n">
        <x:v>0</x:v>
      </x:c>
      <x:c r="AB17" s="8" t="str"/>
      <x:c r="AC17" s="8" t="str"/>
      <x:c r="AD17" s="8" t="str">
        <x:v>["draft-ko-missing"]</x:v>
      </x:c>
      <x:c r="AE17" s="8" t="str">
        <x:v>검토 필요</x:v>
      </x:c>
      <x:c r="AF17" s="8" t="str"/>
    </x:row>
    <x:row r="18">
      <x:c r="A18" s="10" t="n">
        <x:v>17</x:v>
      </x:c>
      <x:c r="B18" s="2" t="str">
        <x:v>1차 제외 추천</x:v>
      </x:c>
      <x:c r="C18" s="2" t="str">
        <x:v>중복 변형 제거 검토</x:v>
      </x:c>
      <x:c r="D18" s="2" t="str">
        <x:v>높음</x:v>
      </x:c>
      <x:c r="E18" s="2" t="str">
        <x:v>N5</x:v>
      </x:c>
      <x:c r="F18" s="10" t="n">
        <x:v>1</x:v>
      </x:c>
      <x:c r="G18" s="2" t="str">
        <x:v>w_0edc5f4d78d15ddd</x:v>
      </x:c>
      <x:c r="H18" s="2" t="str">
        <x:v>片仮名</x:v>
      </x:c>
      <x:c r="I18" s="2" t="str">
        <x:v>かたかな</x:v>
      </x:c>
      <x:c r="J18" s="8" t="str">
        <x:v>가타카나</x:v>
      </x:c>
      <x:c r="K18" s="2" t="str">
        <x:v>noun</x:v>
      </x:c>
      <x:c r="L18" s="9" t="n">
        <x:v>2.45</x:v>
      </x:c>
      <x:c r="M18" s="2" t="str">
        <x:v>없음</x:v>
      </x:c>
      <x:c r="N18" s="11" t="n">
        <x:v>103</x:v>
      </x:c>
      <x:c r="O18" s="8" t="str">
        <x:v>일반 사용 빈도 낮음(Zipf ≤ 2.5); 검증된 예문 없음; JMdict 우선 어휘 표지 없음; 읽기와 한국어 뜻이 같은 표기 변형</x:v>
      </x:c>
      <x:c r="P18" s="8" t="str">
        <x:v>frequency_le_2_5,no_example,no_jmdict_priority,same_reading_meaning,weak_legacy_content</x:v>
      </x:c>
      <x:c r="Q18" s="2" t="str">
        <x:v>vg_009</x:v>
      </x:c>
      <x:c r="R18" s="2" t="str">
        <x:v>same_reading_meaning</x:v>
      </x:c>
      <x:c r="S18" s="2" t="str">
        <x:v>w_061c9a2227408a77</x:v>
      </x:c>
      <x:c r="T18" s="2" t="str">
        <x:v>かたかな</x:v>
      </x:c>
      <x:c r="U18" s="2" t="str">
        <x:v>かたかな</x:v>
      </x:c>
      <x:c r="V18" s="2" t="str">
        <x:v>아니오</x:v>
      </x:c>
      <x:c r="W18" s="2" t="str">
        <x:v>예</x:v>
      </x:c>
      <x:c r="X18" s="2" t="str"/>
      <x:c r="Y18" s="2" t="n">
        <x:v>0</x:v>
      </x:c>
      <x:c r="Z18" s="2" t="str"/>
      <x:c r="AA18" s="2" t="n">
        <x:v>0</x:v>
      </x:c>
      <x:c r="AB18" s="8" t="str">
        <x:v>word usually written using kana alone</x:v>
      </x:c>
      <x:c r="AC18" s="8" t="str"/>
      <x:c r="AD18" s="8" t="str">
        <x:v>["draft-ko-missing"]</x:v>
      </x:c>
      <x:c r="AE18" s="8" t="str">
        <x:v>검토 필요</x:v>
      </x:c>
      <x:c r="AF18" s="8" t="str"/>
    </x:row>
    <x:row r="19">
      <x:c r="A19" s="10" t="n">
        <x:v>18</x:v>
      </x:c>
      <x:c r="B19" s="2" t="str">
        <x:v>1차 검토 후보</x:v>
      </x:c>
      <x:c r="C19" s="2" t="str">
        <x:v>표기 교정·교체 검토</x:v>
      </x:c>
      <x:c r="D19" s="2" t="str">
        <x:v>중간</x:v>
      </x:c>
      <x:c r="E19" s="2" t="str">
        <x:v>N2</x:v>
      </x:c>
      <x:c r="F19" s="10" t="n">
        <x:v>12</x:v>
      </x:c>
      <x:c r="G19" s="2" t="str">
        <x:v>w_8934d6c8263dfd61</x:v>
      </x:c>
      <x:c r="H19" s="2" t="str">
        <x:v>タイア</x:v>
      </x:c>
      <x:c r="I19" s="2" t="str">
        <x:v>タイア</x:v>
      </x:c>
      <x:c r="J19" s="8" t="str">
        <x:v>타이어</x:v>
      </x:c>
      <x:c r="K19" s="2" t="str">
        <x:v>noun</x:v>
      </x:c>
      <x:c r="L19" s="9" t="n">
        <x:v>1.17</x:v>
      </x:c>
      <x:c r="M19" s="2" t="str">
        <x:v>없음</x:v>
      </x:c>
      <x:c r="N19" s="11" t="n">
        <x:v>100</x:v>
      </x:c>
      <x:c r="O19" s="8" t="str">
        <x:v>일반 사용 빈도 매우 낮음(Zipf ≤ 1.5); JMdict에서 희귀·비표준 표기로 표시; 검증된 예문 없음; JMdict 우선 어휘 표지 없음</x:v>
      </x:c>
      <x:c r="P19" s="8" t="str">
        <x:v>frequency_le_1_5,jmdict_uncommon_or_irregular,no_example,no_jmdict_priority</x:v>
      </x:c>
      <x:c r="Q19" s="2" t="str"/>
      <x:c r="R19" s="2" t="str"/>
      <x:c r="S19" s="2" t="str"/>
      <x:c r="T19" s="2" t="str"/>
      <x:c r="U19" s="2" t="str"/>
      <x:c r="V19" s="2" t="str">
        <x:v>아니오</x:v>
      </x:c>
      <x:c r="W19" s="2" t="str">
        <x:v>예</x:v>
      </x:c>
      <x:c r="X19" s="2" t="str"/>
      <x:c r="Y19" s="2" t="n">
        <x:v>0</x:v>
      </x:c>
      <x:c r="Z19" s="2" t="str"/>
      <x:c r="AA19" s="2" t="n">
        <x:v>0</x:v>
      </x:c>
      <x:c r="AB19" s="8" t="str">
        <x:v>rarely used kana form</x:v>
      </x:c>
      <x:c r="AC19" s="8" t="str"/>
      <x:c r="AD19" s="8" t="str">
        <x:v>["ko-reviewed"]</x:v>
      </x:c>
      <x:c r="AE19" s="8" t="str">
        <x:v>검토 필요</x:v>
      </x:c>
      <x:c r="AF19" s="8" t="str"/>
    </x:row>
    <x:row r="20">
      <x:c r="A20" s="10" t="n">
        <x:v>19</x:v>
      </x:c>
      <x:c r="B20" s="2" t="str">
        <x:v>1차 검토 후보</x:v>
      </x:c>
      <x:c r="C20" s="2" t="str">
        <x:v>표기 교정·교체 검토</x:v>
      </x:c>
      <x:c r="D20" s="2" t="str">
        <x:v>중간</x:v>
      </x:c>
      <x:c r="E20" s="2" t="str">
        <x:v>N2</x:v>
      </x:c>
      <x:c r="F20" s="10" t="n">
        <x:v>13</x:v>
      </x:c>
      <x:c r="G20" s="2" t="str">
        <x:v>w_b68082aedaf58a82</x:v>
      </x:c>
      <x:c r="H20" s="2" t="str">
        <x:v>ウエートレス</x:v>
      </x:c>
      <x:c r="I20" s="2" t="str">
        <x:v>ウエートレス</x:v>
      </x:c>
      <x:c r="J20" s="8" t="str">
        <x:v>웨이트리스</x:v>
      </x:c>
      <x:c r="K20" s="2" t="str">
        <x:v>noun</x:v>
      </x:c>
      <x:c r="L20" s="9" t="n">
        <x:v>1.36</x:v>
      </x:c>
      <x:c r="M20" s="2" t="str">
        <x:v>없음</x:v>
      </x:c>
      <x:c r="N20" s="11" t="n">
        <x:v>100</x:v>
      </x:c>
      <x:c r="O20" s="8" t="str">
        <x:v>일반 사용 빈도 매우 낮음(Zipf ≤ 1.5); JMdict에서 희귀·비표준 표기로 표시; 검증된 예문 없음; JMdict 우선 어휘 표지 없음</x:v>
      </x:c>
      <x:c r="P20" s="8" t="str">
        <x:v>frequency_le_1_5,jmdict_uncommon_or_irregular,no_example,no_jmdict_priority</x:v>
      </x:c>
      <x:c r="Q20" s="2" t="str"/>
      <x:c r="R20" s="2" t="str"/>
      <x:c r="S20" s="2" t="str"/>
      <x:c r="T20" s="2" t="str"/>
      <x:c r="U20" s="2" t="str"/>
      <x:c r="V20" s="2" t="str">
        <x:v>아니오</x:v>
      </x:c>
      <x:c r="W20" s="2" t="str">
        <x:v>예</x:v>
      </x:c>
      <x:c r="X20" s="2" t="str"/>
      <x:c r="Y20" s="2" t="n">
        <x:v>0</x:v>
      </x:c>
      <x:c r="Z20" s="2" t="str"/>
      <x:c r="AA20" s="2" t="n">
        <x:v>0</x:v>
      </x:c>
      <x:c r="AB20" s="8" t="str">
        <x:v>search-only kana form</x:v>
      </x:c>
      <x:c r="AC20" s="8" t="str"/>
      <x:c r="AD20" s="8" t="str">
        <x:v>["ko-reviewed"]</x:v>
      </x:c>
      <x:c r="AE20" s="8" t="str">
        <x:v>검토 필요</x:v>
      </x:c>
      <x:c r="AF20" s="8" t="str"/>
    </x:row>
    <x:row r="21">
      <x:c r="A21" s="10" t="n">
        <x:v>20</x:v>
      </x:c>
      <x:c r="B21" s="2" t="str">
        <x:v>1차 검토 후보</x:v>
      </x:c>
      <x:c r="C21" s="2" t="str">
        <x:v>표기 교정·교체 검토</x:v>
      </x:c>
      <x:c r="D21" s="2" t="str">
        <x:v>중간</x:v>
      </x:c>
      <x:c r="E21" s="2" t="str">
        <x:v>N2</x:v>
      </x:c>
      <x:c r="F21" s="10" t="n">
        <x:v>14</x:v>
      </x:c>
      <x:c r="G21" s="2" t="str">
        <x:v>w_0c65051e7fb4fb1f</x:v>
      </x:c>
      <x:c r="H21" s="2" t="str">
        <x:v>大凡</x:v>
      </x:c>
      <x:c r="I21" s="2" t="str">
        <x:v>おおよそ</x:v>
      </x:c>
      <x:c r="J21" s="8" t="str">
        <x:v>대략, 관한</x:v>
      </x:c>
      <x:c r="K21" s="2" t="str">
        <x:v>adverb</x:v>
      </x:c>
      <x:c r="L21" s="9" t="n">
        <x:v>1.7</x:v>
      </x:c>
      <x:c r="M21" s="2" t="str">
        <x:v>없음</x:v>
      </x:c>
      <x:c r="N21" s="11" t="n">
        <x:v>99</x:v>
      </x:c>
      <x:c r="O21" s="8" t="str">
        <x:v>일반 사용 빈도 매우 낮음(Zipf ≤ 2.0); JMdict에서 희귀·비표준 표기로 표시; 검증된 예문 없음; JMdict 우선 어휘 표지 없음</x:v>
      </x:c>
      <x:c r="P21" s="8" t="str">
        <x:v>frequency_le_2_0,jmdict_uncommon_or_irregular,no_example,no_jmdict_priority,weak_legacy_content</x:v>
      </x:c>
      <x:c r="Q21" s="2" t="str"/>
      <x:c r="R21" s="2" t="str"/>
      <x:c r="S21" s="2" t="str"/>
      <x:c r="T21" s="2" t="str"/>
      <x:c r="U21" s="2" t="str"/>
      <x:c r="V21" s="2" t="str">
        <x:v>아니오</x:v>
      </x:c>
      <x:c r="W21" s="2" t="str">
        <x:v>예</x:v>
      </x:c>
      <x:c r="X21" s="2" t="str"/>
      <x:c r="Y21" s="2" t="n">
        <x:v>0</x:v>
      </x:c>
      <x:c r="Z21" s="2" t="str"/>
      <x:c r="AA21" s="2" t="n">
        <x:v>0</x:v>
      </x:c>
      <x:c r="AB21" s="8" t="str">
        <x:v>rarely used kanji form | word usually written using kana alone</x:v>
      </x:c>
      <x:c r="AC21" s="8" t="str"/>
      <x:c r="AD21" s="8" t="str">
        <x:v>["draft-ko-missing"]</x:v>
      </x:c>
      <x:c r="AE21" s="8" t="str">
        <x:v>검토 필요</x:v>
      </x:c>
      <x:c r="AF21" s="8" t="str"/>
    </x:row>
    <x:row r="22">
      <x:c r="A22" s="10" t="n">
        <x:v>21</x:v>
      </x:c>
      <x:c r="B22" s="2" t="str">
        <x:v>1차 제외 추천</x:v>
      </x:c>
      <x:c r="C22" s="2" t="str">
        <x:v>중복 변형 제거 검토</x:v>
      </x:c>
      <x:c r="D22" s="2" t="str">
        <x:v>높음</x:v>
      </x:c>
      <x:c r="E22" s="2" t="str">
        <x:v>N4</x:v>
      </x:c>
      <x:c r="F22" s="10" t="n">
        <x:v>1</x:v>
      </x:c>
      <x:c r="G22" s="2" t="str">
        <x:v>w_0adc20f77143546a</x:v>
      </x:c>
      <x:c r="H22" s="2" t="str">
        <x:v>運転</x:v>
      </x:c>
      <x:c r="I22" s="2" t="str">
        <x:v>うんてんする</x:v>
      </x:c>
      <x:c r="J22" s="8" t="str">
        <x:v>운전</x:v>
      </x:c>
      <x:c r="K22" s="2" t="str">
        <x:v>verb</x:v>
      </x:c>
      <x:c r="L22" s="9" t="n">
        <x:v>5.04</x:v>
      </x:c>
      <x:c r="M22" s="2" t="str">
        <x:v>없음</x:v>
      </x:c>
      <x:c r="N22" s="11" t="n">
        <x:v>98</x:v>
      </x:c>
      <x:c r="O22" s="8" t="str">
        <x:v>현재 표기+읽기 조합을 JMdict에서 확인하지 못함; 검증된 예문 없음; JMdict 우선 어휘 표지 없음; 명사형과 する형 중복</x:v>
      </x:c>
      <x:c r="P22" s="8" t="str">
        <x:v>jmdict_exact_pair_not_found,no_example,no_jmdict_priority,noun_suru_variant,weak_legacy_content</x:v>
      </x:c>
      <x:c r="Q22" s="2" t="str">
        <x:v>vg_017</x:v>
      </x:c>
      <x:c r="R22" s="2" t="str">
        <x:v>noun_suru_variant</x:v>
      </x:c>
      <x:c r="S22" s="2" t="str">
        <x:v>w_85bb20751a1c4720</x:v>
      </x:c>
      <x:c r="T22" s="2" t="str">
        <x:v>運転</x:v>
      </x:c>
      <x:c r="U22" s="2" t="str">
        <x:v>うんてん</x:v>
      </x:c>
      <x:c r="V22" s="2" t="str">
        <x:v>아니오</x:v>
      </x:c>
      <x:c r="W22" s="2" t="str">
        <x:v>아니오</x:v>
      </x:c>
      <x:c r="X22" s="2" t="str"/>
      <x:c r="Y22" s="2" t="n">
        <x:v>0</x:v>
      </x:c>
      <x:c r="Z22" s="2" t="str"/>
      <x:c r="AA22" s="2" t="n">
        <x:v>0</x:v>
      </x:c>
      <x:c r="AB22" s="8" t="str"/>
      <x:c r="AC22" s="8" t="str"/>
      <x:c r="AD22" s="8" t="str">
        <x:v>["draft-ko-missing"]</x:v>
      </x:c>
      <x:c r="AE22" s="8" t="str">
        <x:v>검토 필요</x:v>
      </x:c>
      <x:c r="AF22" s="8" t="str"/>
    </x:row>
    <x:row r="23">
      <x:c r="A23" s="10" t="n">
        <x:v>22</x:v>
      </x:c>
      <x:c r="B23" s="2" t="str">
        <x:v>1차 제외 추천</x:v>
      </x:c>
      <x:c r="C23" s="2" t="str">
        <x:v>중복 변형 제거 검토</x:v>
      </x:c>
      <x:c r="D23" s="2" t="str">
        <x:v>높음</x:v>
      </x:c>
      <x:c r="E23" s="2" t="str">
        <x:v>N3</x:v>
      </x:c>
      <x:c r="F23" s="10" t="n">
        <x:v>3</x:v>
      </x:c>
      <x:c r="G23" s="2" t="str">
        <x:v>w_1c1503ab26f6fd96</x:v>
      </x:c>
      <x:c r="H23" s="2" t="str">
        <x:v>下す</x:v>
      </x:c>
      <x:c r="I23" s="2" t="str">
        <x:v>おろす</x:v>
      </x:c>
      <x:c r="J23" s="8" t="str">
        <x:v>내리다, (판단을) 내리다</x:v>
      </x:c>
      <x:c r="K23" s="2" t="str">
        <x:v>verb</x:v>
      </x:c>
      <x:c r="L23" s="9" t="n">
        <x:v>3.66</x:v>
      </x:c>
      <x:c r="M23" s="2" t="str">
        <x:v>없음</x:v>
      </x:c>
      <x:c r="N23" s="11" t="n">
        <x:v>96</x:v>
      </x:c>
      <x:c r="O23" s="8" t="str">
        <x:v>JMdict에서 희귀·비표준 표기로 표시; 검증된 예문 없음; 동일 JMdict 표제어의 표기·읽기 변형; 기존 데이터의 한국어 콘텐츠 보강 필요 태그</x:v>
      </x:c>
      <x:c r="P23" s="8" t="str">
        <x:v>jmdict_uncommon_or_irregular,no_example,same_jmdict_entry,weak_legacy_content</x:v>
      </x:c>
      <x:c r="Q23" s="2" t="str">
        <x:v>vg_027</x:v>
      </x:c>
      <x:c r="R23" s="2" t="str">
        <x:v>same_jmdict_entry</x:v>
      </x:c>
      <x:c r="S23" s="2" t="str">
        <x:v>w_ee3c1ca407d1bb22</x:v>
      </x:c>
      <x:c r="T23" s="2" t="str">
        <x:v>降ろす</x:v>
      </x:c>
      <x:c r="U23" s="2" t="str">
        <x:v>おろす</x:v>
      </x:c>
      <x:c r="V23" s="2" t="str">
        <x:v>아니오</x:v>
      </x:c>
      <x:c r="W23" s="2" t="str">
        <x:v>예</x:v>
      </x:c>
      <x:c r="X23" s="2" t="str">
        <x:v>ichi1</x:v>
      </x:c>
      <x:c r="Y23" s="2" t="n">
        <x:v>100</x:v>
      </x:c>
      <x:c r="Z23" s="2" t="str"/>
      <x:c r="AA23" s="2" t="n">
        <x:v>0</x:v>
      </x:c>
      <x:c r="AB23" s="8" t="str">
        <x:v>esp. 降ろす | irregular okurigana usage</x:v>
      </x:c>
      <x:c r="AC23" s="8" t="str"/>
      <x:c r="AD23" s="8" t="str">
        <x:v>["draft-ko-missing"]</x:v>
      </x:c>
      <x:c r="AE23" s="8" t="str">
        <x:v>검토 필요</x:v>
      </x:c>
      <x:c r="AF23" s="8" t="str"/>
    </x:row>
    <x:row r="24">
      <x:c r="A24" s="10" t="n">
        <x:v>23</x:v>
      </x:c>
      <x:c r="B24" s="2" t="str">
        <x:v>1차 제외 추천</x:v>
      </x:c>
      <x:c r="C24" s="2" t="str">
        <x:v>중복 변형 제거 검토</x:v>
      </x:c>
      <x:c r="D24" s="2" t="str">
        <x:v>높음</x:v>
      </x:c>
      <x:c r="E24" s="2" t="str">
        <x:v>N3</x:v>
      </x:c>
      <x:c r="F24" s="10" t="n">
        <x:v>4</x:v>
      </x:c>
      <x:c r="G24" s="2" t="str">
        <x:v>w_f56c74b2555e2887</x:v>
      </x:c>
      <x:c r="H24" s="2" t="str">
        <x:v>すくなくとも</x:v>
      </x:c>
      <x:c r="I24" s="2" t="str">
        <x:v>すくなくとも</x:v>
      </x:c>
      <x:c r="J24" s="8" t="str">
        <x:v>적어도</x:v>
      </x:c>
      <x:c r="K24" s="2" t="str">
        <x:v>adverb</x:v>
      </x:c>
      <x:c r="L24" s="9" t="n">
        <x:v>2.59</x:v>
      </x:c>
      <x:c r="M24" s="2" t="str">
        <x:v>없음</x:v>
      </x:c>
      <x:c r="N24" s="11" t="n">
        <x:v>95</x:v>
      </x:c>
      <x:c r="O24" s="8" t="str">
        <x:v>일반 사용 빈도 낮은 편(Zipf ≤ 3.0); 검증된 예문 없음; JMdict 우선 어휘 표지 없음; 읽기와 한국어 뜻이 같은 표기 변형</x:v>
      </x:c>
      <x:c r="P24" s="8" t="str">
        <x:v>frequency_le_3_0,no_example,no_jmdict_priority,same_reading_meaning,weak_legacy_content</x:v>
      </x:c>
      <x:c r="Q24" s="2" t="str">
        <x:v>vg_091</x:v>
      </x:c>
      <x:c r="R24" s="2" t="str">
        <x:v>same_reading_meaning</x:v>
      </x:c>
      <x:c r="S24" s="2" t="str">
        <x:v>w_95dcb750dac183f7</x:v>
      </x:c>
      <x:c r="T24" s="2" t="str">
        <x:v>少なくとも</x:v>
      </x:c>
      <x:c r="U24" s="2" t="str">
        <x:v>すくなくとも</x:v>
      </x:c>
      <x:c r="V24" s="2" t="str">
        <x:v>예</x:v>
      </x:c>
      <x:c r="W24" s="2" t="str">
        <x:v>아니오</x:v>
      </x:c>
      <x:c r="X24" s="2" t="str"/>
      <x:c r="Y24" s="2" t="n">
        <x:v>0</x:v>
      </x:c>
      <x:c r="Z24" s="2" t="str"/>
      <x:c r="AA24" s="2" t="n">
        <x:v>0</x:v>
      </x:c>
      <x:c r="AB24" s="8" t="str"/>
      <x:c r="AC24" s="8" t="str"/>
      <x:c r="AD24" s="8" t="str">
        <x:v>["draft-ko-missing"]</x:v>
      </x:c>
      <x:c r="AE24" s="8" t="str">
        <x:v>검토 필요</x:v>
      </x:c>
      <x:c r="AF24" s="8" t="str"/>
    </x:row>
    <x:row r="25">
      <x:c r="A25" s="10" t="n">
        <x:v>24</x:v>
      </x:c>
      <x:c r="B25" s="2" t="str">
        <x:v>1차 제외 추천</x:v>
      </x:c>
      <x:c r="C25" s="2" t="str">
        <x:v>중복 변형 제거 검토</x:v>
      </x:c>
      <x:c r="D25" s="2" t="str">
        <x:v>높음</x:v>
      </x:c>
      <x:c r="E25" s="2" t="str">
        <x:v>N2</x:v>
      </x:c>
      <x:c r="F25" s="10" t="n">
        <x:v>15</x:v>
      </x:c>
      <x:c r="G25" s="2" t="str">
        <x:v>w_de63da100ac1f50b</x:v>
      </x:c>
      <x:c r="H25" s="2" t="str">
        <x:v>つまずく</x:v>
      </x:c>
      <x:c r="I25" s="2" t="str">
        <x:v>つまずく</x:v>
      </x:c>
      <x:c r="J25" s="8" t="str">
        <x:v>발이 걸려 넘어지다</x:v>
      </x:c>
      <x:c r="K25" s="2" t="str">
        <x:v>verb</x:v>
      </x:c>
      <x:c r="L25" s="9" t="n">
        <x:v>2.61</x:v>
      </x:c>
      <x:c r="M25" s="2" t="str">
        <x:v>없음</x:v>
      </x:c>
      <x:c r="N25" s="11" t="n">
        <x:v>95</x:v>
      </x:c>
      <x:c r="O25" s="8" t="str">
        <x:v>일반 사용 빈도 낮은 편(Zipf ≤ 3.0); 검증된 예문 없음; JMdict 우선 어휘 표지 없음; 읽기와 한국어 뜻이 같은 표기 변형</x:v>
      </x:c>
      <x:c r="P25" s="8" t="str">
        <x:v>frequency_le_3_0,no_example,no_jmdict_priority,same_reading_meaning,weak_legacy_content</x:v>
      </x:c>
      <x:c r="Q25" s="2" t="str">
        <x:v>vg_057</x:v>
      </x:c>
      <x:c r="R25" s="2" t="str">
        <x:v>same_reading_meaning</x:v>
      </x:c>
      <x:c r="S25" s="2" t="str">
        <x:v>w_590d55e05e5f7b6c</x:v>
      </x:c>
      <x:c r="T25" s="2" t="str">
        <x:v>躓く</x:v>
      </x:c>
      <x:c r="U25" s="2" t="str">
        <x:v>つまずく</x:v>
      </x:c>
      <x:c r="V25" s="2" t="str">
        <x:v>아니오</x:v>
      </x:c>
      <x:c r="W25" s="2" t="str">
        <x:v>아니오</x:v>
      </x:c>
      <x:c r="X25" s="2" t="str"/>
      <x:c r="Y25" s="2" t="n">
        <x:v>0</x:v>
      </x:c>
      <x:c r="Z25" s="2" t="str"/>
      <x:c r="AA25" s="2" t="n">
        <x:v>0</x:v>
      </x:c>
      <x:c r="AB25" s="8" t="str"/>
      <x:c r="AC25" s="8" t="str"/>
      <x:c r="AD25" s="8" t="str">
        <x:v>["draft-ko-missing"]</x:v>
      </x:c>
      <x:c r="AE25" s="8" t="str">
        <x:v>검토 필요</x:v>
      </x:c>
      <x:c r="AF25" s="8" t="str"/>
    </x:row>
    <x:row r="26">
      <x:c r="A26" s="10" t="n">
        <x:v>25</x:v>
      </x:c>
      <x:c r="B26" s="2" t="str">
        <x:v>1차 제외 추천</x:v>
      </x:c>
      <x:c r="C26" s="2" t="str">
        <x:v>중복 변형 제거 검토</x:v>
      </x:c>
      <x:c r="D26" s="2" t="str">
        <x:v>높음</x:v>
      </x:c>
      <x:c r="E26" s="2" t="str">
        <x:v>N2</x:v>
      </x:c>
      <x:c r="F26" s="10" t="n">
        <x:v>16</x:v>
      </x:c>
      <x:c r="G26" s="2" t="str">
        <x:v>w_de76ea12bc756bce</x:v>
      </x:c>
      <x:c r="H26" s="2" t="str">
        <x:v>かけざん</x:v>
      </x:c>
      <x:c r="I26" s="2" t="str">
        <x:v>かけざん</x:v>
      </x:c>
      <x:c r="J26" s="8" t="str">
        <x:v>곱셈</x:v>
      </x:c>
      <x:c r="K26" s="2" t="str">
        <x:v>noun</x:v>
      </x:c>
      <x:c r="L26" s="9" t="n">
        <x:v>2.75</x:v>
      </x:c>
      <x:c r="M26" s="2" t="str">
        <x:v>없음</x:v>
      </x:c>
      <x:c r="N26" s="11" t="n">
        <x:v>95</x:v>
      </x:c>
      <x:c r="O26" s="8" t="str">
        <x:v>일반 사용 빈도 낮은 편(Zipf ≤ 3.0); 검증된 예문 없음; JMdict 우선 어휘 표지 없음; 읽기와 한국어 뜻이 같은 표기 변형</x:v>
      </x:c>
      <x:c r="P26" s="8" t="str">
        <x:v>frequency_le_3_0,no_example,no_jmdict_priority,same_reading_meaning,weak_legacy_content</x:v>
      </x:c>
      <x:c r="Q26" s="2" t="str">
        <x:v>vg_108</x:v>
      </x:c>
      <x:c r="R26" s="2" t="str">
        <x:v>same_reading_meaning</x:v>
      </x:c>
      <x:c r="S26" s="2" t="str">
        <x:v>w_c482266ac0be4b91</x:v>
      </x:c>
      <x:c r="T26" s="2" t="str">
        <x:v>掛け算</x:v>
      </x:c>
      <x:c r="U26" s="2" t="str">
        <x:v>かけざん</x:v>
      </x:c>
      <x:c r="V26" s="2" t="str">
        <x:v>아니오</x:v>
      </x:c>
      <x:c r="W26" s="2" t="str">
        <x:v>아니오</x:v>
      </x:c>
      <x:c r="X26" s="2" t="str"/>
      <x:c r="Y26" s="2" t="n">
        <x:v>0</x:v>
      </x:c>
      <x:c r="Z26" s="2" t="str"/>
      <x:c r="AA26" s="2" t="n">
        <x:v>0</x:v>
      </x:c>
      <x:c r="AB26" s="8" t="str"/>
      <x:c r="AC26" s="8" t="str"/>
      <x:c r="AD26" s="8" t="str">
        <x:v>["draft-ko-missing"]</x:v>
      </x:c>
      <x:c r="AE26" s="8" t="str">
        <x:v>검토 필요</x:v>
      </x:c>
      <x:c r="AF26" s="8" t="str"/>
    </x:row>
    <x:row r="27">
      <x:c r="A27" s="10" t="n">
        <x:v>26</x:v>
      </x:c>
      <x:c r="B27" s="2" t="str">
        <x:v>1차 검토 후보</x:v>
      </x:c>
      <x:c r="C27" s="2" t="str">
        <x:v>저활용 제외 검토</x:v>
      </x:c>
      <x:c r="D27" s="2" t="str">
        <x:v>중간</x:v>
      </x:c>
      <x:c r="E27" s="2" t="str">
        <x:v>N4</x:v>
      </x:c>
      <x:c r="F27" s="10" t="n">
        <x:v>2</x:v>
      </x:c>
      <x:c r="G27" s="2" t="str">
        <x:v>w_ed0aaec22c22bcb4</x:v>
      </x:c>
      <x:c r="H27" s="2" t="str">
        <x:v>食事</x:v>
      </x:c>
      <x:c r="I27" s="2" t="str">
        <x:v>しょくじする</x:v>
      </x:c>
      <x:c r="J27" s="8" t="str">
        <x:v>식사</x:v>
      </x:c>
      <x:c r="K27" s="2" t="str">
        <x:v>noun</x:v>
      </x:c>
      <x:c r="L27" s="9"/>
      <x:c r="M27" s="2" t="str">
        <x:v>없음</x:v>
      </x:c>
      <x:c r="N27" s="11" t="n">
        <x:v>93</x:v>
      </x:c>
      <x:c r="O27" s="8" t="str">
        <x:v>일반 사용 빈도가 없거나 0; 현재 표기+읽기 조합을 JMdict에서 확인하지 못함; 검증된 예문 없음; JMdict 우선 어휘 표지 없음</x:v>
      </x:c>
      <x:c r="P27" s="8" t="str">
        <x:v>frequency_missing_or_zero,jmdict_exact_pair_not_found,no_example,no_jmdict_priority</x:v>
      </x:c>
      <x:c r="Q27" s="2" t="str"/>
      <x:c r="R27" s="2" t="str"/>
      <x:c r="S27" s="2" t="str"/>
      <x:c r="T27" s="2" t="str"/>
      <x:c r="U27" s="2" t="str"/>
      <x:c r="V27" s="2" t="str">
        <x:v>아니오</x:v>
      </x:c>
      <x:c r="W27" s="2" t="str">
        <x:v>아니오</x:v>
      </x:c>
      <x:c r="X27" s="2" t="str"/>
      <x:c r="Y27" s="2" t="n">
        <x:v>0</x:v>
      </x:c>
      <x:c r="Z27" s="2" t="str"/>
      <x:c r="AA27" s="2" t="n">
        <x:v>0</x:v>
      </x:c>
      <x:c r="AB27" s="8" t="str"/>
      <x:c r="AC27" s="8" t="str"/>
      <x:c r="AD27" s="8" t="str">
        <x:v>["backfill-replacement","assistant-ko-reviewed"]</x:v>
      </x:c>
      <x:c r="AE27" s="8" t="str">
        <x:v>검토 필요</x:v>
      </x:c>
      <x:c r="AF27" s="8" t="str"/>
    </x:row>
    <x:row r="28">
      <x:c r="A28" s="10" t="n">
        <x:v>27</x:v>
      </x:c>
      <x:c r="B28" s="2" t="str">
        <x:v>1차 제외 추천</x:v>
      </x:c>
      <x:c r="C28" s="2" t="str">
        <x:v>중복 변형 제거 검토</x:v>
      </x:c>
      <x:c r="D28" s="2" t="str">
        <x:v>높음</x:v>
      </x:c>
      <x:c r="E28" s="2" t="str">
        <x:v>N2</x:v>
      </x:c>
      <x:c r="F28" s="10" t="n">
        <x:v>17</x:v>
      </x:c>
      <x:c r="G28" s="2" t="str">
        <x:v>w_a02732cc17e7d4fd</x:v>
      </x:c>
      <x:c r="H28" s="2" t="str">
        <x:v>煎る</x:v>
      </x:c>
      <x:c r="I28" s="2" t="str">
        <x:v>いる</x:v>
      </x:c>
      <x:c r="J28" s="8" t="str">
        <x:v>굽다, 볶다</x:v>
      </x:c>
      <x:c r="K28" s="2" t="str">
        <x:v>verb</x:v>
      </x:c>
      <x:c r="L28" s="9" t="n">
        <x:v>1.25</x:v>
      </x:c>
      <x:c r="M28" s="2" t="str">
        <x:v>없음</x:v>
      </x:c>
      <x:c r="N28" s="11" t="n">
        <x:v>91</x:v>
      </x:c>
      <x:c r="O28" s="8" t="str">
        <x:v>일반 사용 빈도 매우 낮음(Zipf ≤ 1.5); 검증된 예문 없음; 동일 JMdict 표제어의 표기·읽기 변형; 읽기와 한국어 뜻이 같은 표기 변형</x:v>
      </x:c>
      <x:c r="P28" s="8" t="str">
        <x:v>frequency_le_1_5,no_example,same_jmdict_entry,same_reading_meaning,weak_legacy_content</x:v>
      </x:c>
      <x:c r="Q28" s="2" t="str">
        <x:v>vg_031</x:v>
      </x:c>
      <x:c r="R28" s="2" t="str">
        <x:v>same_jmdict_entry,same_reading_meaning</x:v>
      </x:c>
      <x:c r="S28" s="2" t="str">
        <x:v>w_2442f06ad4b1e2c1</x:v>
      </x:c>
      <x:c r="T28" s="2" t="str">
        <x:v>炒る</x:v>
      </x:c>
      <x:c r="U28" s="2" t="str">
        <x:v>いる</x:v>
      </x:c>
      <x:c r="V28" s="2" t="str">
        <x:v>아니오</x:v>
      </x:c>
      <x:c r="W28" s="2" t="str">
        <x:v>예</x:v>
      </x:c>
      <x:c r="X28" s="2" t="str">
        <x:v>news2,nf46,spec2</x:v>
      </x:c>
      <x:c r="Y28" s="2" t="n">
        <x:v>70</x:v>
      </x:c>
      <x:c r="Z28" s="2" t="str">
        <x:v>news2,nf46</x:v>
      </x:c>
      <x:c r="AA28" s="2" t="n">
        <x:v>70</x:v>
      </x:c>
      <x:c r="AB28" s="8" t="str"/>
      <x:c r="AC28" s="8" t="str"/>
      <x:c r="AD28" s="8" t="str">
        <x:v>["draft-ko-missing"]</x:v>
      </x:c>
      <x:c r="AE28" s="8" t="str">
        <x:v>검토 필요</x:v>
      </x:c>
      <x:c r="AF28" s="8" t="str"/>
    </x:row>
    <x:row r="29">
      <x:c r="A29" s="10" t="n">
        <x:v>28</x:v>
      </x:c>
      <x:c r="B29" s="2" t="str">
        <x:v>1차 제외 추천</x:v>
      </x:c>
      <x:c r="C29" s="2" t="str">
        <x:v>중복 변형 제거 검토</x:v>
      </x:c>
      <x:c r="D29" s="2" t="str">
        <x:v>높음</x:v>
      </x:c>
      <x:c r="E29" s="2" t="str">
        <x:v>N1</x:v>
      </x:c>
      <x:c r="F29" s="10" t="n">
        <x:v>4</x:v>
      </x:c>
      <x:c r="G29" s="2" t="str">
        <x:v>w_3a7105fe1e3761ba</x:v>
      </x:c>
      <x:c r="H29" s="2" t="str">
        <x:v>断える</x:v>
      </x:c>
      <x:c r="I29" s="2" t="str">
        <x:v>たえる</x:v>
      </x:c>
      <x:c r="J29" s="8" t="str">
        <x:v>끊어지다, 그치다</x:v>
      </x:c>
      <x:c r="K29" s="2" t="str">
        <x:v>verb</x:v>
      </x:c>
      <x:c r="L29" s="9" t="n">
        <x:v>3.68</x:v>
      </x:c>
      <x:c r="M29" s="2" t="str">
        <x:v>없음</x:v>
      </x:c>
      <x:c r="N29" s="11" t="n">
        <x:v>91</x:v>
      </x:c>
      <x:c r="O29" s="8" t="str">
        <x:v>JMdict에서 희귀·비표준 표기로 표시; 검증된 예문 없음; 동일 JMdict 표제어의 표기·읽기 변형</x:v>
      </x:c>
      <x:c r="P29" s="8" t="str">
        <x:v>jmdict_uncommon_or_irregular,no_example,same_jmdict_entry</x:v>
      </x:c>
      <x:c r="Q29" s="2" t="str">
        <x:v>vg_025</x:v>
      </x:c>
      <x:c r="R29" s="2" t="str">
        <x:v>same_jmdict_entry</x:v>
      </x:c>
      <x:c r="S29" s="2" t="str">
        <x:v>w_15b6a51d0d12fccc</x:v>
      </x:c>
      <x:c r="T29" s="2" t="str">
        <x:v>絶える</x:v>
      </x:c>
      <x:c r="U29" s="2" t="str">
        <x:v>たえる</x:v>
      </x:c>
      <x:c r="V29" s="2" t="str">
        <x:v>아니오</x:v>
      </x:c>
      <x:c r="W29" s="2" t="str">
        <x:v>예</x:v>
      </x:c>
      <x:c r="X29" s="2" t="str">
        <x:v>ichi1,news2,nf41</x:v>
      </x:c>
      <x:c r="Y29" s="2" t="n">
        <x:v>100</x:v>
      </x:c>
      <x:c r="Z29" s="2" t="str"/>
      <x:c r="AA29" s="2" t="n">
        <x:v>0</x:v>
      </x:c>
      <x:c r="AB29" s="8" t="str">
        <x:v>search-only kanji form</x:v>
      </x:c>
      <x:c r="AC29" s="8" t="str"/>
      <x:c r="AD29" s="8" t="str">
        <x:v>["ko-reviewed"]</x:v>
      </x:c>
      <x:c r="AE29" s="8" t="str">
        <x:v>검토 필요</x:v>
      </x:c>
      <x:c r="AF29" s="8" t="str"/>
    </x:row>
    <x:row r="30">
      <x:c r="A30" s="10" t="n">
        <x:v>29</x:v>
      </x:c>
      <x:c r="B30" s="2" t="str">
        <x:v>1차 제외 추천</x:v>
      </x:c>
      <x:c r="C30" s="2" t="str">
        <x:v>중복 변형 제거 검토</x:v>
      </x:c>
      <x:c r="D30" s="2" t="str">
        <x:v>높음</x:v>
      </x:c>
      <x:c r="E30" s="2" t="str">
        <x:v>N2</x:v>
      </x:c>
      <x:c r="F30" s="10" t="n">
        <x:v>18</x:v>
      </x:c>
      <x:c r="G30" s="2" t="str">
        <x:v>w_38ac458c94532dec</x:v>
      </x:c>
      <x:c r="H30" s="2" t="str">
        <x:v>陽射</x:v>
      </x:c>
      <x:c r="I30" s="2" t="str">
        <x:v>ひざし</x:v>
      </x:c>
      <x:c r="J30" s="8" t="str">
        <x:v>햇살</x:v>
      </x:c>
      <x:c r="K30" s="2" t="str">
        <x:v>noun</x:v>
      </x:c>
      <x:c r="L30" s="9" t="n">
        <x:v>3.83</x:v>
      </x:c>
      <x:c r="M30" s="2" t="str">
        <x:v>없음</x:v>
      </x:c>
      <x:c r="N30" s="11" t="n">
        <x:v>91</x:v>
      </x:c>
      <x:c r="O30" s="8" t="str">
        <x:v>JMdict에서 희귀·비표준 표기로 표시; 검증된 예문 없음; 동일 JMdict 표제어의 표기·읽기 변형; 읽기와 한국어 뜻이 같은 표기 변형</x:v>
      </x:c>
      <x:c r="P30" s="8" t="str">
        <x:v>jmdict_uncommon_or_irregular,no_example,same_jmdict_entry,same_reading_meaning</x:v>
      </x:c>
      <x:c r="Q30" s="2" t="str">
        <x:v>vg_038</x:v>
      </x:c>
      <x:c r="R30" s="2" t="str">
        <x:v>same_jmdict_entry,same_reading_meaning</x:v>
      </x:c>
      <x:c r="S30" s="2" t="str">
        <x:v>w_d69788977c20d14c</x:v>
      </x:c>
      <x:c r="T30" s="2" t="str">
        <x:v>日差し</x:v>
      </x:c>
      <x:c r="U30" s="2" t="str">
        <x:v>ひざし</x:v>
      </x:c>
      <x:c r="V30" s="2" t="str">
        <x:v>아니오</x:v>
      </x:c>
      <x:c r="W30" s="2" t="str">
        <x:v>예</x:v>
      </x:c>
      <x:c r="X30" s="2" t="str">
        <x:v>ichi1,news1,nf14</x:v>
      </x:c>
      <x:c r="Y30" s="2" t="n">
        <x:v>100</x:v>
      </x:c>
      <x:c r="Z30" s="2" t="str"/>
      <x:c r="AA30" s="2" t="n">
        <x:v>0</x:v>
      </x:c>
      <x:c r="AB30" s="8" t="str">
        <x:v>search-only kanji form</x:v>
      </x:c>
      <x:c r="AC30" s="8" t="str"/>
      <x:c r="AD30" s="8" t="str">
        <x:v>["ko-reviewed"]</x:v>
      </x:c>
      <x:c r="AE30" s="8" t="str">
        <x:v>검토 필요</x:v>
      </x:c>
      <x:c r="AF30" s="8" t="str"/>
    </x:row>
    <x:row r="31">
      <x:c r="A31" s="10" t="n">
        <x:v>30</x:v>
      </x:c>
      <x:c r="B31" s="2" t="str">
        <x:v>1차 제외 추천</x:v>
      </x:c>
      <x:c r="C31" s="2" t="str">
        <x:v>중복 변형 제거 검토</x:v>
      </x:c>
      <x:c r="D31" s="2" t="str">
        <x:v>높음</x:v>
      </x:c>
      <x:c r="E31" s="2" t="str">
        <x:v>N2</x:v>
      </x:c>
      <x:c r="F31" s="10" t="n">
        <x:v>19</x:v>
      </x:c>
      <x:c r="G31" s="2" t="str">
        <x:v>w_d38bcdd07657b230</x:v>
      </x:c>
      <x:c r="H31" s="2" t="str">
        <x:v>卒直</x:v>
      </x:c>
      <x:c r="I31" s="2" t="str">
        <x:v>そっちょく</x:v>
      </x:c>
      <x:c r="J31" s="8" t="str">
        <x:v>솔직함, 솔직한</x:v>
      </x:c>
      <x:c r="K31" s="2" t="str">
        <x:v>adjective</x:v>
      </x:c>
      <x:c r="L31" s="9" t="n">
        <x:v>4.04</x:v>
      </x:c>
      <x:c r="M31" s="2" t="str">
        <x:v>없음</x:v>
      </x:c>
      <x:c r="N31" s="11" t="n">
        <x:v>91</x:v>
      </x:c>
      <x:c r="O31" s="8" t="str">
        <x:v>JMdict에서 희귀·비표준 표기로 표시; 검증된 예문 없음; 동일 JMdict 표제어의 표기·읽기 변형</x:v>
      </x:c>
      <x:c r="P31" s="8" t="str">
        <x:v>jmdict_uncommon_or_irregular,no_example,same_jmdict_entry</x:v>
      </x:c>
      <x:c r="Q31" s="2" t="str">
        <x:v>vg_110</x:v>
      </x:c>
      <x:c r="R31" s="2" t="str">
        <x:v>same_jmdict_entry</x:v>
      </x:c>
      <x:c r="S31" s="2" t="str">
        <x:v>w_c754546c7b68fe8e</x:v>
      </x:c>
      <x:c r="T31" s="2" t="str">
        <x:v>率直</x:v>
      </x:c>
      <x:c r="U31" s="2" t="str">
        <x:v>そっちょく</x:v>
      </x:c>
      <x:c r="V31" s="2" t="str">
        <x:v>아니오</x:v>
      </x:c>
      <x:c r="W31" s="2" t="str">
        <x:v>예</x:v>
      </x:c>
      <x:c r="X31" s="2" t="str">
        <x:v>ichi1,news1,nf05</x:v>
      </x:c>
      <x:c r="Y31" s="2" t="n">
        <x:v>100</x:v>
      </x:c>
      <x:c r="Z31" s="2" t="str"/>
      <x:c r="AA31" s="2" t="n">
        <x:v>0</x:v>
      </x:c>
      <x:c r="AB31" s="8" t="str">
        <x:v>rarely used kanji form</x:v>
      </x:c>
      <x:c r="AC31" s="8" t="str"/>
      <x:c r="AD31" s="8" t="str">
        <x:v>["ko-reviewed"]</x:v>
      </x:c>
      <x:c r="AE31" s="8" t="str">
        <x:v>검토 필요</x:v>
      </x:c>
      <x:c r="AF31" s="8" t="str"/>
    </x:row>
    <x:row r="32">
      <x:c r="A32" s="10" t="n">
        <x:v>31</x:v>
      </x:c>
      <x:c r="B32" s="2" t="str">
        <x:v>1차 검토 후보</x:v>
      </x:c>
      <x:c r="C32" s="2" t="str">
        <x:v>표기 교정·교체 검토</x:v>
      </x:c>
      <x:c r="D32" s="2" t="str">
        <x:v>중간</x:v>
      </x:c>
      <x:c r="E32" s="2" t="str">
        <x:v>N1</x:v>
      </x:c>
      <x:c r="F32" s="10" t="n">
        <x:v>5</x:v>
      </x:c>
      <x:c r="G32" s="2" t="str">
        <x:v>w_1a8c0155532e3245</x:v>
      </x:c>
      <x:c r="H32" s="2" t="str">
        <x:v>ティシュペーパー</x:v>
      </x:c>
      <x:c r="I32" s="2" t="str">
        <x:v>ティシュペーパー</x:v>
      </x:c>
      <x:c r="J32" s="8" t="str">
        <x:v>티슈 페이퍼</x:v>
      </x:c>
      <x:c r="K32" s="2" t="str">
        <x:v>noun</x:v>
      </x:c>
      <x:c r="L32" s="9" t="n">
        <x:v>2.08</x:v>
      </x:c>
      <x:c r="M32" s="2" t="str">
        <x:v>없음</x:v>
      </x:c>
      <x:c r="N32" s="11" t="n">
        <x:v>88</x:v>
      </x:c>
      <x:c r="O32" s="8" t="str">
        <x:v>일반 사용 빈도 낮음(Zipf ≤ 2.5); JMdict에서 희귀·비표준 표기로 표시; 검증된 예문 없음; JMdict 우선 어휘 표지 없음</x:v>
      </x:c>
      <x:c r="P32" s="8" t="str">
        <x:v>frequency_le_2_5,jmdict_uncommon_or_irregular,no_example,no_jmdict_priority</x:v>
      </x:c>
      <x:c r="Q32" s="2" t="str"/>
      <x:c r="R32" s="2" t="str"/>
      <x:c r="S32" s="2" t="str"/>
      <x:c r="T32" s="2" t="str"/>
      <x:c r="U32" s="2" t="str"/>
      <x:c r="V32" s="2" t="str">
        <x:v>아니오</x:v>
      </x:c>
      <x:c r="W32" s="2" t="str">
        <x:v>예</x:v>
      </x:c>
      <x:c r="X32" s="2" t="str"/>
      <x:c r="Y32" s="2" t="n">
        <x:v>0</x:v>
      </x:c>
      <x:c r="Z32" s="2" t="str"/>
      <x:c r="AA32" s="2" t="n">
        <x:v>0</x:v>
      </x:c>
      <x:c r="AB32" s="8" t="str">
        <x:v>search-only kana form</x:v>
      </x:c>
      <x:c r="AC32" s="8" t="str"/>
      <x:c r="AD32" s="8" t="str">
        <x:v>["ko-reviewed"]</x:v>
      </x:c>
      <x:c r="AE32" s="8" t="str">
        <x:v>검토 필요</x:v>
      </x:c>
      <x:c r="AF32" s="8" t="str"/>
    </x:row>
    <x:row r="33">
      <x:c r="A33" s="10" t="n">
        <x:v>32</x:v>
      </x:c>
      <x:c r="B33" s="2" t="str">
        <x:v>1차 제외 추천</x:v>
      </x:c>
      <x:c r="C33" s="2" t="str">
        <x:v>중복 변형 제거 검토</x:v>
      </x:c>
      <x:c r="D33" s="2" t="str">
        <x:v>높음</x:v>
      </x:c>
      <x:c r="E33" s="2" t="str">
        <x:v>N2</x:v>
      </x:c>
      <x:c r="F33" s="10" t="n">
        <x:v>20</x:v>
      </x:c>
      <x:c r="G33" s="2" t="str">
        <x:v>w_a015d80e0c488f30</x:v>
      </x:c>
      <x:c r="H33" s="2" t="str">
        <x:v>なにしろ</x:v>
      </x:c>
      <x:c r="I33" s="2" t="str">
        <x:v>なにしろ</x:v>
      </x:c>
      <x:c r="J33" s="8" t="str">
        <x:v>아무튼, 어쨌든</x:v>
      </x:c>
      <x:c r="K33" s="2" t="str">
        <x:v>adverb</x:v>
      </x:c>
      <x:c r="L33" s="9" t="n">
        <x:v>3.12</x:v>
      </x:c>
      <x:c r="M33" s="2" t="str">
        <x:v>없음</x:v>
      </x:c>
      <x:c r="N33" s="11" t="n">
        <x:v>84</x:v>
      </x:c>
      <x:c r="O33" s="8" t="str">
        <x:v>일반 사용 빈도 보통 이하(Zipf ≤ 3.5); 검증된 예문 없음; JMdict 우선 어휘 표지 없음; 읽기와 한국어 뜻이 같은 표기 변형</x:v>
      </x:c>
      <x:c r="P33" s="8" t="str">
        <x:v>frequency_le_3_5,no_example,no_jmdict_priority,same_reading_meaning</x:v>
      </x:c>
      <x:c r="Q33" s="2" t="str">
        <x:v>vg_085</x:v>
      </x:c>
      <x:c r="R33" s="2" t="str">
        <x:v>same_reading_meaning</x:v>
      </x:c>
      <x:c r="S33" s="2" t="str">
        <x:v>w_7eee80d45b634bc2</x:v>
      </x:c>
      <x:c r="T33" s="2" t="str">
        <x:v>何しろ</x:v>
      </x:c>
      <x:c r="U33" s="2" t="str">
        <x:v>なにしろ</x:v>
      </x:c>
      <x:c r="V33" s="2" t="str">
        <x:v>예</x:v>
      </x:c>
      <x:c r="W33" s="2" t="str">
        <x:v>아니오</x:v>
      </x:c>
      <x:c r="X33" s="2" t="str"/>
      <x:c r="Y33" s="2" t="n">
        <x:v>0</x:v>
      </x:c>
      <x:c r="Z33" s="2" t="str"/>
      <x:c r="AA33" s="2" t="n">
        <x:v>0</x:v>
      </x:c>
      <x:c r="AB33" s="8" t="str"/>
      <x:c r="AC33" s="8" t="str"/>
      <x:c r="AD33" s="8" t="str">
        <x:v>["ko-reviewed"]</x:v>
      </x:c>
      <x:c r="AE33" s="8" t="str">
        <x:v>검토 필요</x:v>
      </x:c>
      <x:c r="AF33" s="8" t="str"/>
    </x:row>
    <x:row r="34">
      <x:c r="A34" s="10" t="n">
        <x:v>33</x:v>
      </x:c>
      <x:c r="B34" s="2" t="str">
        <x:v>1차 제외 추천</x:v>
      </x:c>
      <x:c r="C34" s="2" t="str">
        <x:v>중복 변형 제거 검토</x:v>
      </x:c>
      <x:c r="D34" s="2" t="str">
        <x:v>높음</x:v>
      </x:c>
      <x:c r="E34" s="2" t="str">
        <x:v>N2</x:v>
      </x:c>
      <x:c r="F34" s="10" t="n">
        <x:v>21</x:v>
      </x:c>
      <x:c r="G34" s="2" t="str">
        <x:v>w_01f119facf6e9d97</x:v>
      </x:c>
      <x:c r="H34" s="2" t="str">
        <x:v>伯父さん</x:v>
      </x:c>
      <x:c r="I34" s="2" t="str">
        <x:v>おじさん</x:v>
      </x:c>
      <x:c r="J34" s="8" t="str">
        <x:v>삼촌, 아저씨</x:v>
      </x:c>
      <x:c r="K34" s="2" t="str">
        <x:v>noun</x:v>
      </x:c>
      <x:c r="L34" s="9" t="n">
        <x:v>3.51</x:v>
      </x:c>
      <x:c r="M34" s="2" t="str">
        <x:v>없음</x:v>
      </x:c>
      <x:c r="N34" s="11" t="n">
        <x:v>83</x:v>
      </x:c>
      <x:c r="O34" s="8" t="str">
        <x:v>검증된 예문 없음; JMdict 우선 어휘 표지 없음; 동일 JMdict 표제어의 표기·읽기 변형; 읽기와 한국어 뜻이 같은 표기 변형</x:v>
      </x:c>
      <x:c r="P34" s="8" t="str">
        <x:v>no_example,no_jmdict_priority,same_jmdict_entry,same_reading_meaning,weak_legacy_content</x:v>
      </x:c>
      <x:c r="Q34" s="2" t="str">
        <x:v>vg_004</x:v>
      </x:c>
      <x:c r="R34" s="2" t="str">
        <x:v>same_jmdict_entry,same_reading_meaning</x:v>
      </x:c>
      <x:c r="S34" s="2" t="str">
        <x:v>w_69c992c9db76a823</x:v>
      </x:c>
      <x:c r="T34" s="2" t="str">
        <x:v>叔父さん</x:v>
      </x:c>
      <x:c r="U34" s="2" t="str">
        <x:v>おじさん</x:v>
      </x:c>
      <x:c r="V34" s="2" t="str">
        <x:v>아니오</x:v>
      </x:c>
      <x:c r="W34" s="2" t="str">
        <x:v>예</x:v>
      </x:c>
      <x:c r="X34" s="2" t="str"/>
      <x:c r="Y34" s="2" t="n">
        <x:v>0</x:v>
      </x:c>
      <x:c r="Z34" s="2" t="str"/>
      <x:c r="AA34" s="2" t="n">
        <x:v>0</x:v>
      </x:c>
      <x:c r="AB34" s="8" t="str">
        <x:v>familiar language | honorific or respectful (sonkeigo) language | usu. オジサン | usu. 小父さん or おじさん; vocative | word usually written using kana alone | 伯父さん is older than one's parent and 叔父さん is younger</x:v>
      </x:c>
      <x:c r="AC34" s="8" t="str"/>
      <x:c r="AD34" s="8" t="str">
        <x:v>["draft-ko-missing"]</x:v>
      </x:c>
      <x:c r="AE34" s="8" t="str">
        <x:v>검토 필요</x:v>
      </x:c>
      <x:c r="AF34" s="8" t="str"/>
    </x:row>
    <x:row r="35">
      <x:c r="A35" s="10" t="n">
        <x:v>34</x:v>
      </x:c>
      <x:c r="B35" s="2" t="str">
        <x:v>1차 제외 추천</x:v>
      </x:c>
      <x:c r="C35" s="2" t="str">
        <x:v>중복 변형 제거 검토</x:v>
      </x:c>
      <x:c r="D35" s="2" t="str">
        <x:v>높음</x:v>
      </x:c>
      <x:c r="E35" s="2" t="str">
        <x:v>N2</x:v>
      </x:c>
      <x:c r="F35" s="10" t="n">
        <x:v>22</x:v>
      </x:c>
      <x:c r="G35" s="2" t="str">
        <x:v>w_a430acefffcd0bfe</x:v>
      </x:c>
      <x:c r="H35" s="2" t="str">
        <x:v>小父さん</x:v>
      </x:c>
      <x:c r="I35" s="2" t="str">
        <x:v>おじさん</x:v>
      </x:c>
      <x:c r="J35" s="8" t="str">
        <x:v>아저씨</x:v>
      </x:c>
      <x:c r="K35" s="2" t="str">
        <x:v>noun</x:v>
      </x:c>
      <x:c r="L35" s="9" t="n">
        <x:v>3.58</x:v>
      </x:c>
      <x:c r="M35" s="2" t="str">
        <x:v>없음</x:v>
      </x:c>
      <x:c r="N35" s="11" t="n">
        <x:v>83</x:v>
      </x:c>
      <x:c r="O35" s="8" t="str">
        <x:v>검증된 예문 없음; JMdict 우선 어휘 표지 없음; 동일 JMdict 표제어의 표기·읽기 변형; 읽기와 한국어 뜻이 같은 표기 변형</x:v>
      </x:c>
      <x:c r="P35" s="8" t="str">
        <x:v>no_example,no_jmdict_priority,same_jmdict_entry,same_reading_meaning,weak_legacy_content</x:v>
      </x:c>
      <x:c r="Q35" s="2" t="str">
        <x:v>vg_004</x:v>
      </x:c>
      <x:c r="R35" s="2" t="str">
        <x:v>same_jmdict_entry,same_reading_meaning</x:v>
      </x:c>
      <x:c r="S35" s="2" t="str">
        <x:v>w_69c992c9db76a823</x:v>
      </x:c>
      <x:c r="T35" s="2" t="str">
        <x:v>叔父さん</x:v>
      </x:c>
      <x:c r="U35" s="2" t="str">
        <x:v>おじさん</x:v>
      </x:c>
      <x:c r="V35" s="2" t="str">
        <x:v>아니오</x:v>
      </x:c>
      <x:c r="W35" s="2" t="str">
        <x:v>예</x:v>
      </x:c>
      <x:c r="X35" s="2" t="str"/>
      <x:c r="Y35" s="2" t="n">
        <x:v>0</x:v>
      </x:c>
      <x:c r="Z35" s="2" t="str"/>
      <x:c r="AA35" s="2" t="n">
        <x:v>0</x:v>
      </x:c>
      <x:c r="AB35" s="8" t="str">
        <x:v>familiar language | honorific or respectful (sonkeigo) language | usu. オジサン | usu. 小父さん or おじさん; vocative | word usually written using kana alone | 伯父さん is older than one's parent and 叔父さん is younger</x:v>
      </x:c>
      <x:c r="AC35" s="8" t="str"/>
      <x:c r="AD35" s="8" t="str">
        <x:v>["draft-ko-missing"]</x:v>
      </x:c>
      <x:c r="AE35" s="8" t="str">
        <x:v>검토 필요</x:v>
      </x:c>
      <x:c r="AF35" s="8" t="str"/>
    </x:row>
    <x:row r="36">
      <x:c r="A36" s="10" t="n">
        <x:v>35</x:v>
      </x:c>
      <x:c r="B36" s="2" t="str">
        <x:v>1차 제외 추천</x:v>
      </x:c>
      <x:c r="C36" s="2" t="str">
        <x:v>중복 변형 제거 검토</x:v>
      </x:c>
      <x:c r="D36" s="2" t="str">
        <x:v>높음</x:v>
      </x:c>
      <x:c r="E36" s="2" t="str">
        <x:v>N2</x:v>
      </x:c>
      <x:c r="F36" s="10" t="n">
        <x:v>23</x:v>
      </x:c>
      <x:c r="G36" s="2" t="str">
        <x:v>w_55429d3687c58e8f</x:v>
      </x:c>
      <x:c r="H36" s="2" t="str">
        <x:v>あみもの</x:v>
      </x:c>
      <x:c r="I36" s="2" t="str">
        <x:v>あみもの</x:v>
      </x:c>
      <x:c r="J36" s="8" t="str">
        <x:v>뜨개질</x:v>
      </x:c>
      <x:c r="K36" s="2" t="str">
        <x:v>noun</x:v>
      </x:c>
      <x:c r="L36" s="9" t="n">
        <x:v>3.71</x:v>
      </x:c>
      <x:c r="M36" s="2" t="str">
        <x:v>없음</x:v>
      </x:c>
      <x:c r="N36" s="11" t="n">
        <x:v>83</x:v>
      </x:c>
      <x:c r="O36" s="8" t="str">
        <x:v>검증된 예문 없음; JMdict 우선 어휘 표지 없음; 읽기와 한국어 뜻이 같은 표기 변형; 기존 데이터의 한국어 콘텐츠 보강 필요 태그</x:v>
      </x:c>
      <x:c r="P36" s="8" t="str">
        <x:v>no_example,no_jmdict_priority,same_reading_meaning,weak_legacy_content</x:v>
      </x:c>
      <x:c r="Q36" s="2" t="str">
        <x:v>vg_039</x:v>
      </x:c>
      <x:c r="R36" s="2" t="str">
        <x:v>same_reading_meaning</x:v>
      </x:c>
      <x:c r="S36" s="2" t="str">
        <x:v>w_38ec64286bb042f9</x:v>
      </x:c>
      <x:c r="T36" s="2" t="str">
        <x:v>編み物</x:v>
      </x:c>
      <x:c r="U36" s="2" t="str">
        <x:v>あみもの</x:v>
      </x:c>
      <x:c r="V36" s="2" t="str">
        <x:v>아니오</x:v>
      </x:c>
      <x:c r="W36" s="2" t="str">
        <x:v>아니오</x:v>
      </x:c>
      <x:c r="X36" s="2" t="str"/>
      <x:c r="Y36" s="2" t="n">
        <x:v>0</x:v>
      </x:c>
      <x:c r="Z36" s="2" t="str"/>
      <x:c r="AA36" s="2" t="n">
        <x:v>0</x:v>
      </x:c>
      <x:c r="AB36" s="8" t="str"/>
      <x:c r="AC36" s="8" t="str"/>
      <x:c r="AD36" s="8" t="str">
        <x:v>["draft-ko-missing"]</x:v>
      </x:c>
      <x:c r="AE36" s="8" t="str">
        <x:v>검토 필요</x:v>
      </x:c>
      <x:c r="AF36" s="8" t="str"/>
    </x:row>
    <x:row r="37">
      <x:c r="A37" s="10" t="n">
        <x:v>36</x:v>
      </x:c>
      <x:c r="B37" s="2" t="str">
        <x:v>1차 제외 추천</x:v>
      </x:c>
      <x:c r="C37" s="2" t="str">
        <x:v>중복 변형 제거 검토</x:v>
      </x:c>
      <x:c r="D37" s="2" t="str">
        <x:v>높음</x:v>
      </x:c>
      <x:c r="E37" s="2" t="str">
        <x:v>N2</x:v>
      </x:c>
      <x:c r="F37" s="10" t="n">
        <x:v>24</x:v>
      </x:c>
      <x:c r="G37" s="2" t="str">
        <x:v>w_74cbf7ffdd4409c9</x:v>
      </x:c>
      <x:c r="H37" s="2" t="str">
        <x:v>こくせき</x:v>
      </x:c>
      <x:c r="I37" s="2" t="str">
        <x:v>こくせき</x:v>
      </x:c>
      <x:c r="J37" s="8" t="str">
        <x:v>국적</x:v>
      </x:c>
      <x:c r="K37" s="2" t="str">
        <x:v>noun</x:v>
      </x:c>
      <x:c r="L37" s="9" t="n">
        <x:v>3.8</x:v>
      </x:c>
      <x:c r="M37" s="2" t="str">
        <x:v>없음</x:v>
      </x:c>
      <x:c r="N37" s="11" t="n">
        <x:v>83</x:v>
      </x:c>
      <x:c r="O37" s="8" t="str">
        <x:v>검증된 예문 없음; JMdict 우선 어휘 표지 없음; 읽기와 한국어 뜻이 같은 표기 변형; 기존 데이터의 한국어 콘텐츠 보강 필요 태그</x:v>
      </x:c>
      <x:c r="P37" s="8" t="str">
        <x:v>no_example,no_jmdict_priority,same_reading_meaning,weak_legacy_content</x:v>
      </x:c>
      <x:c r="Q37" s="2" t="str">
        <x:v>vg_034</x:v>
      </x:c>
      <x:c r="R37" s="2" t="str">
        <x:v>same_reading_meaning</x:v>
      </x:c>
      <x:c r="S37" s="2" t="str">
        <x:v>w_2f7be60f47f4f39e</x:v>
      </x:c>
      <x:c r="T37" s="2" t="str">
        <x:v>国籍</x:v>
      </x:c>
      <x:c r="U37" s="2" t="str">
        <x:v>こくせき</x:v>
      </x:c>
      <x:c r="V37" s="2" t="str">
        <x:v>아니오</x:v>
      </x:c>
      <x:c r="W37" s="2" t="str">
        <x:v>아니오</x:v>
      </x:c>
      <x:c r="X37" s="2" t="str"/>
      <x:c r="Y37" s="2" t="n">
        <x:v>0</x:v>
      </x:c>
      <x:c r="Z37" s="2" t="str"/>
      <x:c r="AA37" s="2" t="n">
        <x:v>0</x:v>
      </x:c>
      <x:c r="AB37" s="8" t="str"/>
      <x:c r="AC37" s="8" t="str"/>
      <x:c r="AD37" s="8" t="str">
        <x:v>["draft-ko-missing"]</x:v>
      </x:c>
      <x:c r="AE37" s="8" t="str">
        <x:v>검토 필요</x:v>
      </x:c>
      <x:c r="AF37" s="8" t="str"/>
    </x:row>
    <x:row r="38">
      <x:c r="A38" s="10" t="n">
        <x:v>37</x:v>
      </x:c>
      <x:c r="B38" s="2" t="str">
        <x:v>1차 검토 후보</x:v>
      </x:c>
      <x:c r="C38" s="2" t="str">
        <x:v>표기 교정·교체 검토</x:v>
      </x:c>
      <x:c r="D38" s="2" t="str">
        <x:v>중간</x:v>
      </x:c>
      <x:c r="E38" s="2" t="str">
        <x:v>N2</x:v>
      </x:c>
      <x:c r="F38" s="10" t="n">
        <x:v>25</x:v>
      </x:c>
      <x:c r="G38" s="2" t="str">
        <x:v>w_608682452546b0df</x:v>
      </x:c>
      <x:c r="H38" s="2" t="str">
        <x:v>逆様</x:v>
      </x:c>
      <x:c r="I38" s="2" t="str">
        <x:v>さかさま</x:v>
      </x:c>
      <x:c r="J38" s="8" t="str">
        <x:v>거꾸로, 반대</x:v>
      </x:c>
      <x:c r="K38" s="2" t="str">
        <x:v>adjective</x:v>
      </x:c>
      <x:c r="L38" s="9" t="n">
        <x:v>1.25</x:v>
      </x:c>
      <x:c r="M38" s="2" t="str">
        <x:v>없음</x:v>
      </x:c>
      <x:c r="N38" s="11" t="n">
        <x:v>81</x:v>
      </x:c>
      <x:c r="O38" s="8" t="str">
        <x:v>일반 사용 빈도 매우 낮음(Zipf ≤ 1.5); JMdict에서 희귀·비표준 표기로 표시; 검증된 예문 없음; 기존 데이터의 한국어 콘텐츠 보강 필요 태그</x:v>
      </x:c>
      <x:c r="P38" s="8" t="str">
        <x:v>frequency_le_1_5,jmdict_uncommon_or_irregular,no_example,weak_legacy_content</x:v>
      </x:c>
      <x:c r="Q38" s="2" t="str"/>
      <x:c r="R38" s="2" t="str"/>
      <x:c r="S38" s="2" t="str"/>
      <x:c r="T38" s="2" t="str"/>
      <x:c r="U38" s="2" t="str"/>
      <x:c r="V38" s="2" t="str">
        <x:v>아니오</x:v>
      </x:c>
      <x:c r="W38" s="2" t="str">
        <x:v>예</x:v>
      </x:c>
      <x:c r="X38" s="2" t="str">
        <x:v>ichi2</x:v>
      </x:c>
      <x:c r="Y38" s="2" t="n">
        <x:v>70</x:v>
      </x:c>
      <x:c r="Z38" s="2" t="str"/>
      <x:c r="AA38" s="2" t="n">
        <x:v>0</x:v>
      </x:c>
      <x:c r="AB38" s="8" t="str">
        <x:v>rarely used kanji form</x:v>
      </x:c>
      <x:c r="AC38" s="8" t="str"/>
      <x:c r="AD38" s="8" t="str">
        <x:v>["draft-ko-missing"]</x:v>
      </x:c>
      <x:c r="AE38" s="8" t="str">
        <x:v>검토 필요</x:v>
      </x:c>
      <x:c r="AF38" s="8" t="str"/>
    </x:row>
    <x:row r="39">
      <x:c r="A39" s="10" t="n">
        <x:v>38</x:v>
      </x:c>
      <x:c r="B39" s="2" t="str">
        <x:v>1차 제외 추천</x:v>
      </x:c>
      <x:c r="C39" s="2" t="str">
        <x:v>중복 변형 제거 검토</x:v>
      </x:c>
      <x:c r="D39" s="2" t="str">
        <x:v>높음</x:v>
      </x:c>
      <x:c r="E39" s="2" t="str">
        <x:v>N1</x:v>
      </x:c>
      <x:c r="F39" s="10" t="n">
        <x:v>6</x:v>
      </x:c>
      <x:c r="G39" s="2" t="str">
        <x:v>w_c849a3f0fc65ee8e</x:v>
      </x:c>
      <x:c r="H39" s="2" t="str">
        <x:v>成育</x:v>
      </x:c>
      <x:c r="I39" s="2" t="str">
        <x:v>せいいく</x:v>
      </x:c>
      <x:c r="J39" s="8" t="str">
        <x:v>생육, 성장</x:v>
      </x:c>
      <x:c r="K39" s="2" t="str">
        <x:v>noun</x:v>
      </x:c>
      <x:c r="L39" s="9" t="n">
        <x:v>2.4</x:v>
      </x:c>
      <x:c r="M39" s="2" t="str">
        <x:v>없음</x:v>
      </x:c>
      <x:c r="N39" s="11" t="n">
        <x:v>79</x:v>
      </x:c>
      <x:c r="O39" s="8" t="str">
        <x:v>일반 사용 빈도 낮음(Zipf ≤ 2.5); 검증된 예문 없음; 읽기와 한국어 뜻이 같은 표기 변형; 기존 데이터의 한국어 콘텐츠 보강 필요 태그</x:v>
      </x:c>
      <x:c r="P39" s="8" t="str">
        <x:v>frequency_le_2_5,no_example,same_reading_meaning,weak_legacy_content</x:v>
      </x:c>
      <x:c r="Q39" s="2" t="str">
        <x:v>vg_068</x:v>
      </x:c>
      <x:c r="R39" s="2" t="str">
        <x:v>same_reading_meaning</x:v>
      </x:c>
      <x:c r="S39" s="2" t="str">
        <x:v>w_6790384d17755893</x:v>
      </x:c>
      <x:c r="T39" s="2" t="str">
        <x:v>生育</x:v>
      </x:c>
      <x:c r="U39" s="2" t="str">
        <x:v>せいいく</x:v>
      </x:c>
      <x:c r="V39" s="2" t="str">
        <x:v>아니오</x:v>
      </x:c>
      <x:c r="W39" s="2" t="str">
        <x:v>예</x:v>
      </x:c>
      <x:c r="X39" s="2" t="str">
        <x:v>news2,nf32</x:v>
      </x:c>
      <x:c r="Y39" s="2" t="n">
        <x:v>70</x:v>
      </x:c>
      <x:c r="Z39" s="2" t="str">
        <x:v>news2,nf32</x:v>
      </x:c>
      <x:c r="AA39" s="2" t="n">
        <x:v>70</x:v>
      </x:c>
      <x:c r="AB39" s="8" t="str"/>
      <x:c r="AC39" s="8" t="str"/>
      <x:c r="AD39" s="8" t="str">
        <x:v>["draft-ko-missing"]</x:v>
      </x:c>
      <x:c r="AE39" s="8" t="str">
        <x:v>검토 필요</x:v>
      </x:c>
      <x:c r="AF39" s="8" t="str"/>
    </x:row>
    <x:row r="40">
      <x:c r="A40" s="10" t="n">
        <x:v>39</x:v>
      </x:c>
      <x:c r="B40" s="2" t="str">
        <x:v>1차 검토 후보</x:v>
      </x:c>
      <x:c r="C40" s="2" t="str">
        <x:v>중복 변형 제거 검토</x:v>
      </x:c>
      <x:c r="D40" s="2" t="str">
        <x:v>중간</x:v>
      </x:c>
      <x:c r="E40" s="2" t="str">
        <x:v>N3</x:v>
      </x:c>
      <x:c r="F40" s="10" t="n">
        <x:v>5</x:v>
      </x:c>
      <x:c r="G40" s="2" t="str">
        <x:v>w_035b26cd8b353d8d</x:v>
      </x:c>
      <x:c r="H40" s="2" t="str">
        <x:v>押える</x:v>
      </x:c>
      <x:c r="I40" s="2" t="str">
        <x:v>おさえる</x:v>
      </x:c>
      <x:c r="J40" s="8" t="str">
        <x:v>누르다, 억누르다</x:v>
      </x:c>
      <x:c r="K40" s="2" t="str">
        <x:v>verb</x:v>
      </x:c>
      <x:c r="L40" s="9" t="n">
        <x:v>1.35</x:v>
      </x:c>
      <x:c r="M40" s="2" t="str">
        <x:v>없음</x:v>
      </x:c>
      <x:c r="N40" s="11" t="n">
        <x:v>78</x:v>
      </x:c>
      <x:c r="O40" s="8" t="str">
        <x:v>일반 사용 빈도 매우 낮음(Zipf ≤ 1.5); 검증된 예문 없음; 동일 JMdict 표제어의 표기·읽기 변형; 기존 데이터의 한국어 콘텐츠 보강 필요 태그</x:v>
      </x:c>
      <x:c r="P40" s="8" t="str">
        <x:v>frequency_le_1_5,no_example,same_jmdict_entry,weak_legacy_content</x:v>
      </x:c>
      <x:c r="Q40" s="2" t="str">
        <x:v>vg_005</x:v>
      </x:c>
      <x:c r="R40" s="2" t="str">
        <x:v>same_jmdict_entry</x:v>
      </x:c>
      <x:c r="S40" s="2" t="str">
        <x:v>w_1c1342a535c8057b</x:v>
      </x:c>
      <x:c r="T40" s="2" t="str">
        <x:v>押さえる</x:v>
      </x:c>
      <x:c r="U40" s="2" t="str">
        <x:v>おさえる</x:v>
      </x:c>
      <x:c r="V40" s="2" t="str">
        <x:v>아니오</x:v>
      </x:c>
      <x:c r="W40" s="2" t="str">
        <x:v>예</x:v>
      </x:c>
      <x:c r="X40" s="2" t="str">
        <x:v>ichi1,news1,nf08</x:v>
      </x:c>
      <x:c r="Y40" s="2" t="n">
        <x:v>100</x:v>
      </x:c>
      <x:c r="Z40" s="2" t="str"/>
      <x:c r="AA40" s="2" t="n">
        <x:v>0</x:v>
      </x:c>
      <x:c r="AB40" s="8" t="str">
        <x:v>also written as 圧さえる</x:v>
      </x:c>
      <x:c r="AC40" s="8" t="str"/>
      <x:c r="AD40" s="8" t="str">
        <x:v>["draft-ko-missing"]</x:v>
      </x:c>
      <x:c r="AE40" s="8" t="str">
        <x:v>검토 필요</x:v>
      </x:c>
      <x:c r="AF40" s="8" t="str"/>
    </x:row>
    <x:row r="41">
      <x:c r="A41" s="10" t="n">
        <x:v>40</x:v>
      </x:c>
      <x:c r="B41" s="2" t="str">
        <x:v>1차 검토 후보</x:v>
      </x:c>
      <x:c r="C41" s="2" t="str">
        <x:v>표기 교정·교체 검토</x:v>
      </x:c>
      <x:c r="D41" s="2" t="str">
        <x:v>중간</x:v>
      </x:c>
      <x:c r="E41" s="2" t="str">
        <x:v>N1</x:v>
      </x:c>
      <x:c r="F41" s="10" t="n">
        <x:v>7</x:v>
      </x:c>
      <x:c r="G41" s="2" t="str">
        <x:v>w_ccdf99549e31659b</x:v>
      </x:c>
      <x:c r="H41" s="2" t="str">
        <x:v>割込む</x:v>
      </x:c>
      <x:c r="I41" s="2" t="str">
        <x:v>わりこむ</x:v>
      </x:c>
      <x:c r="J41" s="8" t="str">
        <x:v>자르다 안의, 방해하다</x:v>
      </x:c>
      <x:c r="K41" s="2" t="str">
        <x:v>verb</x:v>
      </x:c>
      <x:c r="L41" s="9" t="n">
        <x:v>0</x:v>
      </x:c>
      <x:c r="M41" s="2" t="str">
        <x:v>없음</x:v>
      </x:c>
      <x:c r="N41" s="11" t="n">
        <x:v>76</x:v>
      </x:c>
      <x:c r="O41" s="8" t="str">
        <x:v>일반 사용 빈도가 없거나 0; JMdict에서 희귀·비표준 표기로 표시; 검증된 예문 없음; 기존 데이터의 한국어 콘텐츠 보강 필요 태그</x:v>
      </x:c>
      <x:c r="P41" s="8" t="str">
        <x:v>frequency_missing_or_zero,jmdict_uncommon_or_irregular,no_example,weak_legacy_content</x:v>
      </x:c>
      <x:c r="Q41" s="2" t="str"/>
      <x:c r="R41" s="2" t="str"/>
      <x:c r="S41" s="2" t="str"/>
      <x:c r="T41" s="2" t="str"/>
      <x:c r="U41" s="2" t="str"/>
      <x:c r="V41" s="2" t="str">
        <x:v>아니오</x:v>
      </x:c>
      <x:c r="W41" s="2" t="str">
        <x:v>예</x:v>
      </x:c>
      <x:c r="X41" s="2" t="str">
        <x:v>ichi1,news2,nf40</x:v>
      </x:c>
      <x:c r="Y41" s="2" t="n">
        <x:v>100</x:v>
      </x:c>
      <x:c r="Z41" s="2" t="str"/>
      <x:c r="AA41" s="2" t="n">
        <x:v>0</x:v>
      </x:c>
      <x:c r="AB41" s="8" t="str">
        <x:v>search-only kanji form</x:v>
      </x:c>
      <x:c r="AC41" s="8" t="str"/>
      <x:c r="AD41" s="8" t="str">
        <x:v>["draft-ko-missing"]</x:v>
      </x:c>
      <x:c r="AE41" s="8" t="str">
        <x:v>검토 필요</x:v>
      </x:c>
      <x:c r="AF41" s="8" t="str"/>
    </x:row>
    <x:row r="42">
      <x:c r="A42" s="10" t="n">
        <x:v>41</x:v>
      </x:c>
      <x:c r="B42" s="2" t="str">
        <x:v>1차 검토 후보</x:v>
      </x:c>
      <x:c r="C42" s="2" t="str">
        <x:v>저활용 제외 검토</x:v>
      </x:c>
      <x:c r="D42" s="2" t="str">
        <x:v>중간</x:v>
      </x:c>
      <x:c r="E42" s="2" t="str">
        <x:v>N1</x:v>
      </x:c>
      <x:c r="F42" s="10" t="n">
        <x:v>8</x:v>
      </x:c>
      <x:c r="G42" s="2" t="str">
        <x:v>w_5e5058232b1bd8cc</x:v>
      </x:c>
      <x:c r="H42" s="2" t="str">
        <x:v>照り返す</x:v>
      </x:c>
      <x:c r="I42" s="2" t="str">
        <x:v>てりかえす</x:v>
      </x:c>
      <x:c r="J42" s="8" t="str">
        <x:v>반사하다, 되비치다</x:v>
      </x:c>
      <x:c r="K42" s="2" t="str">
        <x:v>verb</x:v>
      </x:c>
      <x:c r="L42" s="9" t="n">
        <x:v>0</x:v>
      </x:c>
      <x:c r="M42" s="2" t="str">
        <x:v>없음</x:v>
      </x:c>
      <x:c r="N42" s="11" t="n">
        <x:v>73</x:v>
      </x:c>
      <x:c r="O42" s="8" t="str">
        <x:v>일반 사용 빈도가 없거나 0; 기존 한국어 뜻 품질 감사 대상; 검증된 예문 없음; JMdict 우선 어휘 표지 없음</x:v>
      </x:c>
      <x:c r="P42" s="8" t="str">
        <x:v>frequency_missing_or_zero,legacy_gloss_audit:senses_5_6,no_example,no_jmdict_priority,weak_legacy_content</x:v>
      </x:c>
      <x:c r="Q42" s="2" t="str"/>
      <x:c r="R42" s="2" t="str"/>
      <x:c r="S42" s="2" t="str"/>
      <x:c r="T42" s="2" t="str"/>
      <x:c r="U42" s="2" t="str"/>
      <x:c r="V42" s="2" t="str">
        <x:v>아니오</x:v>
      </x:c>
      <x:c r="W42" s="2" t="str">
        <x:v>예</x:v>
      </x:c>
      <x:c r="X42" s="2" t="str"/>
      <x:c r="Y42" s="2" t="n">
        <x:v>0</x:v>
      </x:c>
      <x:c r="Z42" s="2" t="str"/>
      <x:c r="AA42" s="2" t="n">
        <x:v>0</x:v>
      </x:c>
      <x:c r="AB42" s="8" t="str"/>
      <x:c r="AC42" s="8" t="str">
        <x:v>senses_5_6</x:v>
      </x:c>
      <x:c r="AD42" s="8" t="str">
        <x:v>["draft-ko-missing"]</x:v>
      </x:c>
      <x:c r="AE42" s="8" t="str">
        <x:v>검토 필요</x:v>
      </x:c>
      <x:c r="AF42" s="8" t="str"/>
    </x:row>
    <x:row r="43">
      <x:c r="A43" s="10" t="n">
        <x:v>42</x:v>
      </x:c>
      <x:c r="B43" s="2" t="str">
        <x:v>1차 제외 추천</x:v>
      </x:c>
      <x:c r="C43" s="2" t="str">
        <x:v>중복 변형 제거 검토</x:v>
      </x:c>
      <x:c r="D43" s="2" t="str">
        <x:v>높음</x:v>
      </x:c>
      <x:c r="E43" s="2" t="str">
        <x:v>N1</x:v>
      </x:c>
      <x:c r="F43" s="10" t="n">
        <x:v>9</x:v>
      </x:c>
      <x:c r="G43" s="2" t="str">
        <x:v>w_0dc94c60969cdfdf</x:v>
      </x:c>
      <x:c r="H43" s="2" t="str">
        <x:v>具わる</x:v>
      </x:c>
      <x:c r="I43" s="2" t="str">
        <x:v>そなわる</x:v>
      </x:c>
      <x:c r="J43" s="8" t="str">
        <x:v>갖추어지다</x:v>
      </x:c>
      <x:c r="K43" s="2" t="str">
        <x:v>verb</x:v>
      </x:c>
      <x:c r="L43" s="9" t="n">
        <x:v>1.23</x:v>
      </x:c>
      <x:c r="M43" s="2" t="str">
        <x:v>없음</x:v>
      </x:c>
      <x:c r="N43" s="11" t="n">
        <x:v>73</x:v>
      </x:c>
      <x:c r="O43" s="8" t="str">
        <x:v>일반 사용 빈도 매우 낮음(Zipf ≤ 1.5); 검증된 예문 없음; 동일 JMdict 표제어의 표기·읽기 변형; 읽기와 한국어 뜻이 같은 표기 변형</x:v>
      </x:c>
      <x:c r="P43" s="8" t="str">
        <x:v>frequency_le_1_5,no_example,same_jmdict_entry,same_reading_meaning</x:v>
      </x:c>
      <x:c r="Q43" s="2" t="str">
        <x:v>vg_020</x:v>
      </x:c>
      <x:c r="R43" s="2" t="str">
        <x:v>same_jmdict_entry,same_reading_meaning</x:v>
      </x:c>
      <x:c r="S43" s="2" t="str">
        <x:v>w_141bffd3783912a5</x:v>
      </x:c>
      <x:c r="T43" s="2" t="str">
        <x:v>備わる</x:v>
      </x:c>
      <x:c r="U43" s="2" t="str">
        <x:v>そなわる</x:v>
      </x:c>
      <x:c r="V43" s="2" t="str">
        <x:v>아니오</x:v>
      </x:c>
      <x:c r="W43" s="2" t="str">
        <x:v>예</x:v>
      </x:c>
      <x:c r="X43" s="2" t="str">
        <x:v>ichi1,news1,nf22</x:v>
      </x:c>
      <x:c r="Y43" s="2" t="n">
        <x:v>100</x:v>
      </x:c>
      <x:c r="Z43" s="2" t="str">
        <x:v>ichi1</x:v>
      </x:c>
      <x:c r="AA43" s="2" t="n">
        <x:v>100</x:v>
      </x:c>
      <x:c r="AB43" s="8" t="str"/>
      <x:c r="AC43" s="8" t="str"/>
      <x:c r="AD43" s="8" t="str">
        <x:v>["ko-reviewed"]</x:v>
      </x:c>
      <x:c r="AE43" s="8" t="str">
        <x:v>검토 필요</x:v>
      </x:c>
      <x:c r="AF43" s="8" t="str"/>
    </x:row>
    <x:row r="44">
      <x:c r="A44" s="10" t="n">
        <x:v>43</x:v>
      </x:c>
      <x:c r="B44" s="2" t="str">
        <x:v>1차 제외 추천</x:v>
      </x:c>
      <x:c r="C44" s="2" t="str">
        <x:v>중복 변형 제거 검토</x:v>
      </x:c>
      <x:c r="D44" s="2" t="str">
        <x:v>높음</x:v>
      </x:c>
      <x:c r="E44" s="2" t="str">
        <x:v>N2</x:v>
      </x:c>
      <x:c r="F44" s="10" t="n">
        <x:v>26</x:v>
      </x:c>
      <x:c r="G44" s="2" t="str">
        <x:v>w_72d3532d250a8644</x:v>
      </x:c>
      <x:c r="H44" s="2" t="str">
        <x:v>寝巻</x:v>
      </x:c>
      <x:c r="I44" s="2" t="str">
        <x:v>ねまき</x:v>
      </x:c>
      <x:c r="J44" s="8" t="str">
        <x:v>자다 입다, 착용하다, 잠옷</x:v>
      </x:c>
      <x:c r="K44" s="2" t="str">
        <x:v>noun</x:v>
      </x:c>
      <x:c r="L44" s="9" t="n">
        <x:v>1.77</x:v>
      </x:c>
      <x:c r="M44" s="2" t="str">
        <x:v>없음</x:v>
      </x:c>
      <x:c r="N44" s="11" t="n">
        <x:v>72</x:v>
      </x:c>
      <x:c r="O44" s="8" t="str">
        <x:v>일반 사용 빈도 매우 낮음(Zipf ≤ 2.0); 검증된 예문 없음; 동일 JMdict 표제어의 표기·읽기 변형; 읽기와 한국어 뜻이 같은 표기 변형</x:v>
      </x:c>
      <x:c r="P44" s="8" t="str">
        <x:v>frequency_le_2_0,no_example,same_jmdict_entry,same_reading_meaning,weak_legacy_content</x:v>
      </x:c>
      <x:c r="Q44" s="2" t="str">
        <x:v>vg_075</x:v>
      </x:c>
      <x:c r="R44" s="2" t="str">
        <x:v>same_jmdict_entry,same_reading_meaning</x:v>
      </x:c>
      <x:c r="S44" s="2" t="str">
        <x:v>w_f4a6e48d03d550d9</x:v>
      </x:c>
      <x:c r="T44" s="2" t="str">
        <x:v>寝間着</x:v>
      </x:c>
      <x:c r="U44" s="2" t="str">
        <x:v>ねまき</x:v>
      </x:c>
      <x:c r="V44" s="2" t="str">
        <x:v>아니오</x:v>
      </x:c>
      <x:c r="W44" s="2" t="str">
        <x:v>예</x:v>
      </x:c>
      <x:c r="X44" s="2" t="str">
        <x:v>ichi1,news2,nf42</x:v>
      </x:c>
      <x:c r="Y44" s="2" t="n">
        <x:v>100</x:v>
      </x:c>
      <x:c r="Z44" s="2" t="str">
        <x:v>ichi1</x:v>
      </x:c>
      <x:c r="AA44" s="2" t="n">
        <x:v>100</x:v>
      </x:c>
      <x:c r="AB44" s="8" t="str"/>
      <x:c r="AC44" s="8" t="str"/>
      <x:c r="AD44" s="8" t="str">
        <x:v>["draft-ko-missing"]</x:v>
      </x:c>
      <x:c r="AE44" s="8" t="str">
        <x:v>검토 필요</x:v>
      </x:c>
      <x:c r="AF44" s="8" t="str"/>
    </x:row>
    <x:row r="45">
      <x:c r="A45" s="10" t="n">
        <x:v>44</x:v>
      </x:c>
      <x:c r="B45" s="2" t="str">
        <x:v>2차 보류</x:v>
      </x:c>
      <x:c r="C45" s="2" t="str">
        <x:v>데이터 정규화 검토</x:v>
      </x:c>
      <x:c r="D45" s="2" t="str">
        <x:v>낮음</x:v>
      </x:c>
      <x:c r="E45" s="2" t="str">
        <x:v>N2</x:v>
      </x:c>
      <x:c r="F45" s="10" t="n">
        <x:v>27</x:v>
      </x:c>
      <x:c r="G45" s="2" t="str">
        <x:v>w_cd1615bb2fb34c53</x:v>
      </x:c>
      <x:c r="H45" s="2" t="str">
        <x:v>傾らか</x:v>
      </x:c>
      <x:c r="I45" s="2" t="str">
        <x:v>なだらか</x:v>
      </x:c>
      <x:c r="J45" s="8" t="str">
        <x:v>완만함; 순조로움</x:v>
      </x:c>
      <x:c r="K45" s="2" t="str">
        <x:v>adjective</x:v>
      </x:c>
      <x:c r="L45" s="9" t="n">
        <x:v>2.75</x:v>
      </x:c>
      <x:c r="M45" s="2" t="str">
        <x:v>없음</x:v>
      </x:c>
      <x:c r="N45" s="11" t="n">
        <x:v>70</x:v>
      </x:c>
      <x:c r="O45" s="8" t="str">
        <x:v>일반 사용 빈도 낮은 편(Zipf ≤ 3.0); 현재 표기+읽기 조합을 JMdict에서 확인하지 못함; 검증된 예문 없음; JMdict 우선 어휘 표지 없음</x:v>
      </x:c>
      <x:c r="P45" s="8" t="str">
        <x:v>frequency_le_3_0,jmdict_exact_pair_not_found,no_example,no_jmdict_priority,weak_legacy_content</x:v>
      </x:c>
      <x:c r="Q45" s="2" t="str"/>
      <x:c r="R45" s="2" t="str"/>
      <x:c r="S45" s="2" t="str"/>
      <x:c r="T45" s="2" t="str"/>
      <x:c r="U45" s="2" t="str"/>
      <x:c r="V45" s="2" t="str">
        <x:v>아니오</x:v>
      </x:c>
      <x:c r="W45" s="2" t="str">
        <x:v>아니오</x:v>
      </x:c>
      <x:c r="X45" s="2" t="str"/>
      <x:c r="Y45" s="2" t="n">
        <x:v>0</x:v>
      </x:c>
      <x:c r="Z45" s="2" t="str"/>
      <x:c r="AA45" s="2" t="n">
        <x:v>0</x:v>
      </x:c>
      <x:c r="AB45" s="8" t="str"/>
      <x:c r="AC45" s="8" t="str"/>
      <x:c r="AD45" s="8" t="str">
        <x:v>["draft-ko-missing"]</x:v>
      </x:c>
      <x:c r="AE45" s="8" t="str">
        <x:v>검토 필요</x:v>
      </x:c>
      <x:c r="AF45" s="8" t="str"/>
    </x:row>
    <x:row r="46">
      <x:c r="A46" s="10" t="n">
        <x:v>45</x:v>
      </x:c>
      <x:c r="B46" s="2" t="str">
        <x:v>1차 검토 후보</x:v>
      </x:c>
      <x:c r="C46" s="2" t="str">
        <x:v>표기 교정·교체 검토</x:v>
      </x:c>
      <x:c r="D46" s="2" t="str">
        <x:v>중간</x:v>
      </x:c>
      <x:c r="E46" s="2" t="str">
        <x:v>N2</x:v>
      </x:c>
      <x:c r="F46" s="10" t="n">
        <x:v>28</x:v>
      </x:c>
      <x:c r="G46" s="2" t="str">
        <x:v>w_e77d2f8dd2832f93</x:v>
      </x:c>
      <x:c r="H46" s="2" t="str">
        <x:v>飽くまで</x:v>
      </x:c>
      <x:c r="I46" s="2" t="str">
        <x:v>あくまで</x:v>
      </x:c>
      <x:c r="J46" s="8" t="str">
        <x:v>어디까지나, 끝까지</x:v>
      </x:c>
      <x:c r="K46" s="2" t="str">
        <x:v>adverb</x:v>
      </x:c>
      <x:c r="L46" s="9" t="n">
        <x:v>2.32</x:v>
      </x:c>
      <x:c r="M46" s="2" t="str">
        <x:v>없음</x:v>
      </x:c>
      <x:c r="N46" s="11" t="n">
        <x:v>69</x:v>
      </x:c>
      <x:c r="O46" s="8" t="str">
        <x:v>일반 사용 빈도 낮음(Zipf ≤ 2.5); JMdict에서 희귀·비표준 표기로 표시; 검증된 예문 없음; 기존 데이터의 한국어 콘텐츠 보강 필요 태그</x:v>
      </x:c>
      <x:c r="P46" s="8" t="str">
        <x:v>frequency_le_2_5,jmdict_uncommon_or_irregular,no_example,weak_legacy_content</x:v>
      </x:c>
      <x:c r="Q46" s="2" t="str"/>
      <x:c r="R46" s="2" t="str"/>
      <x:c r="S46" s="2" t="str"/>
      <x:c r="T46" s="2" t="str"/>
      <x:c r="U46" s="2" t="str"/>
      <x:c r="V46" s="2" t="str">
        <x:v>아니오</x:v>
      </x:c>
      <x:c r="W46" s="2" t="str">
        <x:v>예</x:v>
      </x:c>
      <x:c r="X46" s="2" t="str">
        <x:v>ichi2</x:v>
      </x:c>
      <x:c r="Y46" s="2" t="n">
        <x:v>70</x:v>
      </x:c>
      <x:c r="Z46" s="2" t="str"/>
      <x:c r="AA46" s="2" t="n">
        <x:v>0</x:v>
      </x:c>
      <x:c r="AB46" s="8" t="str">
        <x:v>rarely used kanji form | word usually written using kana alone</x:v>
      </x:c>
      <x:c r="AC46" s="8" t="str"/>
      <x:c r="AD46" s="8" t="str">
        <x:v>["draft-ko-missing"]</x:v>
      </x:c>
      <x:c r="AE46" s="8" t="str">
        <x:v>검토 필요</x:v>
      </x:c>
      <x:c r="AF46" s="8" t="str"/>
    </x:row>
    <x:row r="47">
      <x:c r="A47" s="10" t="n">
        <x:v>46</x:v>
      </x:c>
      <x:c r="B47" s="2" t="str">
        <x:v>1차 검토 후보</x:v>
      </x:c>
      <x:c r="C47" s="2" t="str">
        <x:v>중복 변형 제거 검토</x:v>
      </x:c>
      <x:c r="D47" s="2" t="str">
        <x:v>중간</x:v>
      </x:c>
      <x:c r="E47" s="2" t="str">
        <x:v>N3</x:v>
      </x:c>
      <x:c r="F47" s="10" t="n">
        <x:v>6</x:v>
      </x:c>
      <x:c r="G47" s="2" t="str">
        <x:v>w_0cf78249edb1bc3d</x:v>
      </x:c>
      <x:c r="H47" s="2" t="str">
        <x:v>暖まる</x:v>
      </x:c>
      <x:c r="I47" s="2" t="str">
        <x:v>あたたまる</x:v>
      </x:c>
      <x:c r="J47" s="8" t="str">
        <x:v>따뜻해지다</x:v>
      </x:c>
      <x:c r="K47" s="2" t="str">
        <x:v>verb</x:v>
      </x:c>
      <x:c r="L47" s="9" t="n">
        <x:v>2.55</x:v>
      </x:c>
      <x:c r="M47" s="2" t="str">
        <x:v>없음</x:v>
      </x:c>
      <x:c r="N47" s="11" t="n">
        <x:v>68</x:v>
      </x:c>
      <x:c r="O47" s="8" t="str">
        <x:v>일반 사용 빈도 낮은 편(Zipf ≤ 3.0); 기존 한국어 뜻 품질 감사 대상; 검증된 예문 없음; 동일 JMdict 표제어의 표기·읽기 변형</x:v>
      </x:c>
      <x:c r="P47" s="8" t="str">
        <x:v>frequency_le_3_0,legacy_gloss_audit:mt_noise_token,no_example,same_jmdict_entry,weak_legacy_content</x:v>
      </x:c>
      <x:c r="Q47" s="2" t="str">
        <x:v>vg_018</x:v>
      </x:c>
      <x:c r="R47" s="2" t="str">
        <x:v>same_jmdict_entry</x:v>
      </x:c>
      <x:c r="S47" s="2" t="str">
        <x:v>w_5684428a0465e02c</x:v>
      </x:c>
      <x:c r="T47" s="2" t="str">
        <x:v>温まる</x:v>
      </x:c>
      <x:c r="U47" s="2" t="str">
        <x:v>あたたまる</x:v>
      </x:c>
      <x:c r="V47" s="2" t="str">
        <x:v>아니오</x:v>
      </x:c>
      <x:c r="W47" s="2" t="str">
        <x:v>예</x:v>
      </x:c>
      <x:c r="X47" s="2" t="str">
        <x:v>ichi1,news1,nf24</x:v>
      </x:c>
      <x:c r="Y47" s="2" t="n">
        <x:v>100</x:v>
      </x:c>
      <x:c r="Z47" s="2" t="str">
        <x:v>ichi1</x:v>
      </x:c>
      <x:c r="AA47" s="2" t="n">
        <x:v>100</x:v>
      </x:c>
      <x:c r="AB47" s="8" t="str"/>
      <x:c r="AC47" s="8" t="str">
        <x:v>mt_noise_token</x:v>
      </x:c>
      <x:c r="AD47" s="8" t="str">
        <x:v>["draft-ko-missing"]</x:v>
      </x:c>
      <x:c r="AE47" s="8" t="str">
        <x:v>검토 필요</x:v>
      </x:c>
      <x:c r="AF47" s="8" t="str"/>
    </x:row>
    <x:row r="48">
      <x:c r="A48" s="10" t="n">
        <x:v>47</x:v>
      </x:c>
      <x:c r="B48" s="2" t="str">
        <x:v>1차 제외 추천</x:v>
      </x:c>
      <x:c r="C48" s="2" t="str">
        <x:v>중복 변형 제거 검토</x:v>
      </x:c>
      <x:c r="D48" s="2" t="str">
        <x:v>높음</x:v>
      </x:c>
      <x:c r="E48" s="2" t="str">
        <x:v>N3</x:v>
      </x:c>
      <x:c r="F48" s="10" t="n">
        <x:v>7</x:v>
      </x:c>
      <x:c r="G48" s="2" t="str">
        <x:v>w_a40a6e3986ccc3b4</x:v>
      </x:c>
      <x:c r="H48" s="2" t="str">
        <x:v>暖める</x:v>
      </x:c>
      <x:c r="I48" s="2" t="str">
        <x:v>あたためる</x:v>
      </x:c>
      <x:c r="J48" s="8" t="str">
        <x:v>데우다, 따뜻하게 하다</x:v>
      </x:c>
      <x:c r="K48" s="2" t="str">
        <x:v>verb</x:v>
      </x:c>
      <x:c r="L48" s="9" t="n">
        <x:v>2.66</x:v>
      </x:c>
      <x:c r="M48" s="2" t="str">
        <x:v>없음</x:v>
      </x:c>
      <x:c r="N48" s="11" t="n">
        <x:v>68</x:v>
      </x:c>
      <x:c r="O48" s="8" t="str">
        <x:v>일반 사용 빈도 낮은 편(Zipf ≤ 3.0); 기존 한국어 뜻 품질 감사 대상; 검증된 예문 없음; 동일 JMdict 표제어의 표기·읽기 변형</x:v>
      </x:c>
      <x:c r="P48" s="8" t="str">
        <x:v>frequency_le_3_0,legacy_gloss_audit:mt_noise_token,no_example,same_jmdict_entry,weak_legacy_content</x:v>
      </x:c>
      <x:c r="Q48" s="2" t="str">
        <x:v>vg_037</x:v>
      </x:c>
      <x:c r="R48" s="2" t="str">
        <x:v>same_jmdict_entry</x:v>
      </x:c>
      <x:c r="S48" s="2" t="str">
        <x:v>w_35d4a46f36f62a2d</x:v>
      </x:c>
      <x:c r="T48" s="2" t="str">
        <x:v>温める</x:v>
      </x:c>
      <x:c r="U48" s="2" t="str">
        <x:v>あたためる</x:v>
      </x:c>
      <x:c r="V48" s="2" t="str">
        <x:v>예</x:v>
      </x:c>
      <x:c r="W48" s="2" t="str">
        <x:v>예</x:v>
      </x:c>
      <x:c r="X48" s="2" t="str">
        <x:v>ichi1</x:v>
      </x:c>
      <x:c r="Y48" s="2" t="n">
        <x:v>100</x:v>
      </x:c>
      <x:c r="Z48" s="2" t="str">
        <x:v>ichi1</x:v>
      </x:c>
      <x:c r="AA48" s="2" t="n">
        <x:v>100</x:v>
      </x:c>
      <x:c r="AB48" s="8" t="str"/>
      <x:c r="AC48" s="8" t="str">
        <x:v>mt_noise_token</x:v>
      </x:c>
      <x:c r="AD48" s="8" t="str">
        <x:v>["draft-ko-missing"]</x:v>
      </x:c>
      <x:c r="AE48" s="8" t="str">
        <x:v>검토 필요</x:v>
      </x:c>
      <x:c r="AF48" s="8" t="str"/>
    </x:row>
    <x:row r="49">
      <x:c r="A49" s="10" t="n">
        <x:v>48</x:v>
      </x:c>
      <x:c r="B49" s="2" t="str">
        <x:v>1차 검토 후보</x:v>
      </x:c>
      <x:c r="C49" s="2" t="str">
        <x:v>중복 변형 제거 검토</x:v>
      </x:c>
      <x:c r="D49" s="2" t="str">
        <x:v>중간</x:v>
      </x:c>
      <x:c r="E49" s="2" t="str">
        <x:v>N3</x:v>
      </x:c>
      <x:c r="F49" s="10" t="n">
        <x:v>8</x:v>
      </x:c>
      <x:c r="G49" s="2" t="str">
        <x:v>w_f7ccae9d8e37b9be</x:v>
      </x:c>
      <x:c r="H49" s="2" t="str">
        <x:v>超す</x:v>
      </x:c>
      <x:c r="I49" s="2" t="str">
        <x:v>こす</x:v>
      </x:c>
      <x:c r="J49" s="8" t="str">
        <x:v>넘다, 넘어서다</x:v>
      </x:c>
      <x:c r="K49" s="2" t="str">
        <x:v>verb</x:v>
      </x:c>
      <x:c r="L49" s="9" t="n">
        <x:v>2.93</x:v>
      </x:c>
      <x:c r="M49" s="2" t="str">
        <x:v>없음</x:v>
      </x:c>
      <x:c r="N49" s="11" t="n">
        <x:v>68</x:v>
      </x:c>
      <x:c r="O49" s="8" t="str">
        <x:v>일반 사용 빈도 낮은 편(Zipf ≤ 3.0); 기존 한국어 뜻 품질 감사 대상; 검증된 예문 없음; 동일 JMdict 표제어의 표기·읽기 변형</x:v>
      </x:c>
      <x:c r="P49" s="8" t="str">
        <x:v>frequency_le_3_0,legacy_gloss_audit:senses_5_6,no_example,same_jmdict_entry,weak_legacy_content</x:v>
      </x:c>
      <x:c r="Q49" s="2" t="str">
        <x:v>vg_111</x:v>
      </x:c>
      <x:c r="R49" s="2" t="str">
        <x:v>same_jmdict_entry</x:v>
      </x:c>
      <x:c r="S49" s="2" t="str">
        <x:v>w_d4c49a2343b8feb2</x:v>
      </x:c>
      <x:c r="T49" s="2" t="str">
        <x:v>越す</x:v>
      </x:c>
      <x:c r="U49" s="2" t="str">
        <x:v>こす</x:v>
      </x:c>
      <x:c r="V49" s="2" t="str">
        <x:v>아니오</x:v>
      </x:c>
      <x:c r="W49" s="2" t="str">
        <x:v>예</x:v>
      </x:c>
      <x:c r="X49" s="2" t="str">
        <x:v>ichi1,news2,nf29,nf30</x:v>
      </x:c>
      <x:c r="Y49" s="2" t="n">
        <x:v>100</x:v>
      </x:c>
      <x:c r="Z49" s="2" t="str">
        <x:v>ichi1,news2,nf30</x:v>
      </x:c>
      <x:c r="AA49" s="2" t="n">
        <x:v>100</x:v>
      </x:c>
      <x:c r="AB49" s="8" t="str">
        <x:v>honorific or respectful (sonkeigo) language | often 超す</x:v>
      </x:c>
      <x:c r="AC49" s="8" t="str">
        <x:v>senses_5_6</x:v>
      </x:c>
      <x:c r="AD49" s="8" t="str">
        <x:v>["draft-ko-missing"]</x:v>
      </x:c>
      <x:c r="AE49" s="8" t="str">
        <x:v>검토 필요</x:v>
      </x:c>
      <x:c r="AF49" s="8" t="str"/>
    </x:row>
    <x:row r="50">
      <x:c r="A50" s="10" t="n">
        <x:v>49</x:v>
      </x:c>
      <x:c r="B50" s="2" t="str">
        <x:v>2차 보류</x:v>
      </x:c>
      <x:c r="C50" s="2" t="str">
        <x:v>데이터 정규화 검토</x:v>
      </x:c>
      <x:c r="D50" s="2" t="str">
        <x:v>낮음</x:v>
      </x:c>
      <x:c r="E50" s="2" t="str">
        <x:v>N4</x:v>
      </x:c>
      <x:c r="F50" s="10" t="n">
        <x:v>3</x:v>
      </x:c>
      <x:c r="G50" s="2" t="str">
        <x:v>w_9993087dc90cdc3f</x:v>
      </x:c>
      <x:c r="H50" s="2" t="str">
        <x:v>回る、回す</x:v>
      </x:c>
      <x:c r="I50" s="2" t="str">
        <x:v>まわる、まわす</x:v>
      </x:c>
      <x:c r="J50" s="8" t="str">
        <x:v>돌다, 돌리다</x:v>
      </x:c>
      <x:c r="K50" s="2" t="str">
        <x:v>verb</x:v>
      </x:c>
      <x:c r="L50" s="9" t="n">
        <x:v>3.76</x:v>
      </x:c>
      <x:c r="M50" s="2" t="str">
        <x:v>없음</x:v>
      </x:c>
      <x:c r="N50" s="11" t="n">
        <x:v>68</x:v>
      </x:c>
      <x:c r="O50" s="8" t="str">
        <x:v>현재 표기+읽기 조합을 JMdict에서 확인하지 못함; 기존 한국어 뜻 품질 감사 대상; 검증된 예문 없음; JMdict 우선 어휘 표지 없음</x:v>
      </x:c>
      <x:c r="P50" s="8" t="str">
        <x:v>jmdict_exact_pair_not_found,legacy_gloss_audit:mt_noise_token,no_example,no_jmdict_priority,weak_legacy_content</x:v>
      </x:c>
      <x:c r="Q50" s="2" t="str"/>
      <x:c r="R50" s="2" t="str"/>
      <x:c r="S50" s="2" t="str"/>
      <x:c r="T50" s="2" t="str"/>
      <x:c r="U50" s="2" t="str"/>
      <x:c r="V50" s="2" t="str">
        <x:v>아니오</x:v>
      </x:c>
      <x:c r="W50" s="2" t="str">
        <x:v>아니오</x:v>
      </x:c>
      <x:c r="X50" s="2" t="str"/>
      <x:c r="Y50" s="2" t="n">
        <x:v>0</x:v>
      </x:c>
      <x:c r="Z50" s="2" t="str"/>
      <x:c r="AA50" s="2" t="n">
        <x:v>0</x:v>
      </x:c>
      <x:c r="AB50" s="8" t="str"/>
      <x:c r="AC50" s="8" t="str">
        <x:v>mt_noise_token</x:v>
      </x:c>
      <x:c r="AD50" s="8" t="str">
        <x:v>["draft-ko-missing"]</x:v>
      </x:c>
      <x:c r="AE50" s="8" t="str">
        <x:v>검토 필요</x:v>
      </x:c>
      <x:c r="AF50" s="8" t="str"/>
    </x:row>
    <x:row r="51">
      <x:c r="A51" s="10" t="n">
        <x:v>50</x:v>
      </x:c>
      <x:c r="B51" s="2" t="str">
        <x:v>2차 보류</x:v>
      </x:c>
      <x:c r="C51" s="2" t="str">
        <x:v>데이터 정규화 검토</x:v>
      </x:c>
      <x:c r="D51" s="2" t="str">
        <x:v>낮음</x:v>
      </x:c>
      <x:c r="E51" s="2" t="str">
        <x:v>N4</x:v>
      </x:c>
      <x:c r="F51" s="10" t="n">
        <x:v>4</x:v>
      </x:c>
      <x:c r="G51" s="2" t="str">
        <x:v>w_1edabef57d377161</x:v>
      </x:c>
      <x:c r="H51" s="2" t="str">
        <x:v>遠慮</x:v>
      </x:c>
      <x:c r="I51" s="2" t="str">
        <x:v>えんりょする</x:v>
      </x:c>
      <x:c r="J51" s="8" t="str">
        <x:v>사양, 삼감</x:v>
      </x:c>
      <x:c r="K51" s="2" t="str">
        <x:v>noun</x:v>
      </x:c>
      <x:c r="L51" s="9" t="n">
        <x:v>4.19</x:v>
      </x:c>
      <x:c r="M51" s="2" t="str">
        <x:v>없음</x:v>
      </x:c>
      <x:c r="N51" s="11" t="n">
        <x:v>68</x:v>
      </x:c>
      <x:c r="O51" s="8" t="str">
        <x:v>현재 표기+읽기 조합을 JMdict에서 확인하지 못함; 기존 한국어 뜻 품질 감사 대상; 검증된 예문 없음; JMdict 우선 어휘 표지 없음</x:v>
      </x:c>
      <x:c r="P51" s="8" t="str">
        <x:v>jmdict_exact_pair_not_found,legacy_gloss_audit:senses_5_6,no_example,no_jmdict_priority,weak_legacy_content</x:v>
      </x:c>
      <x:c r="Q51" s="2" t="str"/>
      <x:c r="R51" s="2" t="str"/>
      <x:c r="S51" s="2" t="str"/>
      <x:c r="T51" s="2" t="str"/>
      <x:c r="U51" s="2" t="str"/>
      <x:c r="V51" s="2" t="str">
        <x:v>아니오</x:v>
      </x:c>
      <x:c r="W51" s="2" t="str">
        <x:v>아니오</x:v>
      </x:c>
      <x:c r="X51" s="2" t="str"/>
      <x:c r="Y51" s="2" t="n">
        <x:v>0</x:v>
      </x:c>
      <x:c r="Z51" s="2" t="str"/>
      <x:c r="AA51" s="2" t="n">
        <x:v>0</x:v>
      </x:c>
      <x:c r="AB51" s="8" t="str"/>
      <x:c r="AC51" s="8" t="str">
        <x:v>senses_5_6</x:v>
      </x:c>
      <x:c r="AD51" s="8" t="str">
        <x:v>["draft-ko-missing"]</x:v>
      </x:c>
      <x:c r="AE51" s="8" t="str">
        <x:v>검토 필요</x:v>
      </x:c>
      <x:c r="AF51" s="8" t="str"/>
    </x:row>
    <x:row r="52">
      <x:c r="A52" s="10" t="n">
        <x:v>51</x:v>
      </x:c>
      <x:c r="B52" s="2" t="str">
        <x:v>1차 제외 추천</x:v>
      </x:c>
      <x:c r="C52" s="2" t="str">
        <x:v>중복 변형 제거 검토</x:v>
      </x:c>
      <x:c r="D52" s="2" t="str">
        <x:v>높음</x:v>
      </x:c>
      <x:c r="E52" s="2" t="str">
        <x:v>N2</x:v>
      </x:c>
      <x:c r="F52" s="10" t="n">
        <x:v>29</x:v>
      </x:c>
      <x:c r="G52" s="2" t="str">
        <x:v>w_55c70829a8a13b07</x:v>
      </x:c>
      <x:c r="H52" s="2" t="str">
        <x:v>果して</x:v>
      </x:c>
      <x:c r="I52" s="2" t="str">
        <x:v>はたして</x:v>
      </x:c>
      <x:c r="J52" s="8" t="str">
        <x:v>과연, 역시</x:v>
      </x:c>
      <x:c r="K52" s="2" t="str">
        <x:v>adverb</x:v>
      </x:c>
      <x:c r="L52" s="9" t="n">
        <x:v>1.94</x:v>
      </x:c>
      <x:c r="M52" s="2" t="str">
        <x:v>없음</x:v>
      </x:c>
      <x:c r="N52" s="11" t="n">
        <x:v>67</x:v>
      </x:c>
      <x:c r="O52" s="8" t="str">
        <x:v>일반 사용 빈도 매우 낮음(Zipf ≤ 2.0); 검증된 예문 없음; 동일 JMdict 표제어의 표기·읽기 변형; 읽기와 한국어 뜻이 같은 표기 변형</x:v>
      </x:c>
      <x:c r="P52" s="8" t="str">
        <x:v>frequency_le_2_0,no_example,same_jmdict_entry,same_reading_meaning</x:v>
      </x:c>
      <x:c r="Q52" s="2" t="str">
        <x:v>vg_053</x:v>
      </x:c>
      <x:c r="R52" s="2" t="str">
        <x:v>same_jmdict_entry,same_reading_meaning</x:v>
      </x:c>
      <x:c r="S52" s="2" t="str">
        <x:v>w_bdef0744a164ce01</x:v>
      </x:c>
      <x:c r="T52" s="2" t="str">
        <x:v>果たして</x:v>
      </x:c>
      <x:c r="U52" s="2" t="str">
        <x:v>はたして</x:v>
      </x:c>
      <x:c r="V52" s="2" t="str">
        <x:v>예</x:v>
      </x:c>
      <x:c r="W52" s="2" t="str">
        <x:v>예</x:v>
      </x:c>
      <x:c r="X52" s="2" t="str">
        <x:v>ichi1,news1,nf06</x:v>
      </x:c>
      <x:c r="Y52" s="2" t="n">
        <x:v>100</x:v>
      </x:c>
      <x:c r="Z52" s="2" t="str"/>
      <x:c r="AA52" s="2" t="n">
        <x:v>0</x:v>
      </x:c>
      <x:c r="AB52" s="8" t="str">
        <x:v>used in interrogative and hypothetical sentences</x:v>
      </x:c>
      <x:c r="AC52" s="8" t="str"/>
      <x:c r="AD52" s="8" t="str">
        <x:v>["ko-reviewed"]</x:v>
      </x:c>
      <x:c r="AE52" s="8" t="str">
        <x:v>검토 필요</x:v>
      </x:c>
      <x:c r="AF52" s="8" t="str"/>
    </x:row>
    <x:row r="53">
      <x:c r="A53" s="10" t="n">
        <x:v>52</x:v>
      </x:c>
      <x:c r="B53" s="2" t="str">
        <x:v>1차 제외 추천</x:v>
      </x:c>
      <x:c r="C53" s="2" t="str">
        <x:v>중복 변형 제거 검토</x:v>
      </x:c>
      <x:c r="D53" s="2" t="str">
        <x:v>높음</x:v>
      </x:c>
      <x:c r="E53" s="2" t="str">
        <x:v>N2</x:v>
      </x:c>
      <x:c r="F53" s="10" t="n">
        <x:v>30</x:v>
      </x:c>
      <x:c r="G53" s="2" t="str">
        <x:v>w_6b9618a530ed3936</x:v>
      </x:c>
      <x:c r="H53" s="2" t="str">
        <x:v>腰掛</x:v>
      </x:c>
      <x:c r="I53" s="2" t="str">
        <x:v>こしかけ</x:v>
      </x:c>
      <x:c r="J53" s="8" t="str">
        <x:v>좌석, 벤치</x:v>
      </x:c>
      <x:c r="K53" s="2" t="str">
        <x:v>noun</x:v>
      </x:c>
      <x:c r="L53" s="9" t="n">
        <x:v>2.21</x:v>
      </x:c>
      <x:c r="M53" s="2" t="str">
        <x:v>없음</x:v>
      </x:c>
      <x:c r="N53" s="11" t="n">
        <x:v>66</x:v>
      </x:c>
      <x:c r="O53" s="8" t="str">
        <x:v>일반 사용 빈도 낮음(Zipf ≤ 2.5); 검증된 예문 없음; 동일 JMdict 표제어의 표기·읽기 변형; 읽기와 한국어 뜻이 같은 표기 변형</x:v>
      </x:c>
      <x:c r="P53" s="8" t="str">
        <x:v>frequency_le_2_5,no_example,same_jmdict_entry,same_reading_meaning,weak_legacy_content</x:v>
      </x:c>
      <x:c r="Q53" s="2" t="str">
        <x:v>vg_028</x:v>
      </x:c>
      <x:c r="R53" s="2" t="str">
        <x:v>same_jmdict_entry,same_reading_meaning</x:v>
      </x:c>
      <x:c r="S53" s="2" t="str">
        <x:v>w_1d6479a34c016b7b</x:v>
      </x:c>
      <x:c r="T53" s="2" t="str">
        <x:v>腰掛け</x:v>
      </x:c>
      <x:c r="U53" s="2" t="str">
        <x:v>こしかけ</x:v>
      </x:c>
      <x:c r="V53" s="2" t="str">
        <x:v>아니오</x:v>
      </x:c>
      <x:c r="W53" s="2" t="str">
        <x:v>예</x:v>
      </x:c>
      <x:c r="X53" s="2" t="str">
        <x:v>ichi1,news2,nf37</x:v>
      </x:c>
      <x:c r="Y53" s="2" t="n">
        <x:v>100</x:v>
      </x:c>
      <x:c r="Z53" s="2" t="str">
        <x:v>ichi1</x:v>
      </x:c>
      <x:c r="AA53" s="2" t="n">
        <x:v>100</x:v>
      </x:c>
      <x:c r="AB53" s="8" t="str">
        <x:v>colloquial</x:v>
      </x:c>
      <x:c r="AC53" s="8" t="str"/>
      <x:c r="AD53" s="8" t="str">
        <x:v>["draft-ko-missing"]</x:v>
      </x:c>
      <x:c r="AE53" s="8" t="str">
        <x:v>검토 필요</x:v>
      </x:c>
      <x:c r="AF53" s="8" t="str"/>
    </x:row>
    <x:row r="54">
      <x:c r="A54" s="10" t="n">
        <x:v>53</x:v>
      </x:c>
      <x:c r="B54" s="2" t="str">
        <x:v>1차 제외 추천</x:v>
      </x:c>
      <x:c r="C54" s="2" t="str">
        <x:v>중복 변형 제거 검토</x:v>
      </x:c>
      <x:c r="D54" s="2" t="str">
        <x:v>높음</x:v>
      </x:c>
      <x:c r="E54" s="2" t="str">
        <x:v>N1</x:v>
      </x:c>
      <x:c r="F54" s="10" t="n">
        <x:v>10</x:v>
      </x:c>
      <x:c r="G54" s="2" t="str">
        <x:v>w_f1e8d7483ee776ca</x:v>
      </x:c>
      <x:c r="H54" s="2" t="str">
        <x:v>貴い</x:v>
      </x:c>
      <x:c r="I54" s="2" t="str">
        <x:v>とうとい</x:v>
      </x:c>
      <x:c r="J54" s="8" t="str">
        <x:v>귀중한, 고귀한</x:v>
      </x:c>
      <x:c r="K54" s="2" t="str">
        <x:v>adjective</x:v>
      </x:c>
      <x:c r="L54" s="9" t="n">
        <x:v>2.36</x:v>
      </x:c>
      <x:c r="M54" s="2" t="str">
        <x:v>없음</x:v>
      </x:c>
      <x:c r="N54" s="11" t="n">
        <x:v>66</x:v>
      </x:c>
      <x:c r="O54" s="8" t="str">
        <x:v>일반 사용 빈도 낮음(Zipf ≤ 2.5); 검증된 예문 없음; 동일 JMdict 표제어의 표기·읽기 변형; 읽기와 한국어 뜻이 같은 표기 변형</x:v>
      </x:c>
      <x:c r="P54" s="8" t="str">
        <x:v>frequency_le_2_5,no_example,same_jmdict_entry,same_reading_meaning,weak_legacy_content</x:v>
      </x:c>
      <x:c r="Q54" s="2" t="str">
        <x:v>vg_069</x:v>
      </x:c>
      <x:c r="R54" s="2" t="str">
        <x:v>same_jmdict_entry,same_reading_meaning</x:v>
      </x:c>
      <x:c r="S54" s="2" t="str">
        <x:v>w_67ec351f9f370984</x:v>
      </x:c>
      <x:c r="T54" s="2" t="str">
        <x:v>尊い</x:v>
      </x:c>
      <x:c r="U54" s="2" t="str">
        <x:v>とうとい</x:v>
      </x:c>
      <x:c r="V54" s="2" t="str">
        <x:v>예</x:v>
      </x:c>
      <x:c r="W54" s="2" t="str">
        <x:v>예</x:v>
      </x:c>
      <x:c r="X54" s="2" t="str">
        <x:v>ichi1,news2,nf27</x:v>
      </x:c>
      <x:c r="Y54" s="2" t="n">
        <x:v>100</x:v>
      </x:c>
      <x:c r="Z54" s="2" t="str">
        <x:v>ichi1,news2,nf27</x:v>
      </x:c>
      <x:c r="AA54" s="2" t="n">
        <x:v>100</x:v>
      </x:c>
      <x:c r="AB54" s="8" t="str"/>
      <x:c r="AC54" s="8" t="str"/>
      <x:c r="AD54" s="8" t="str">
        <x:v>["draft-ko-missing"]</x:v>
      </x:c>
      <x:c r="AE54" s="8" t="str">
        <x:v>검토 필요</x:v>
      </x:c>
      <x:c r="AF54" s="8" t="str"/>
    </x:row>
    <x:row r="55">
      <x:c r="A55" s="10" t="n">
        <x:v>54</x:v>
      </x:c>
      <x:c r="B55" s="2" t="str">
        <x:v>1차 제외 추천</x:v>
      </x:c>
      <x:c r="C55" s="2" t="str">
        <x:v>중복 변형 제거 검토</x:v>
      </x:c>
      <x:c r="D55" s="2" t="str">
        <x:v>높음</x:v>
      </x:c>
      <x:c r="E55" s="2" t="str">
        <x:v>N2</x:v>
      </x:c>
      <x:c r="F55" s="10" t="n">
        <x:v>31</x:v>
      </x:c>
      <x:c r="G55" s="2" t="str">
        <x:v>w_2c0a3b86789fa920</x:v>
      </x:c>
      <x:c r="H55" s="2" t="str">
        <x:v>規準</x:v>
      </x:c>
      <x:c r="I55" s="2" t="str">
        <x:v>きじゅん</x:v>
      </x:c>
      <x:c r="J55" s="8" t="str">
        <x:v>기준, 표준</x:v>
      </x:c>
      <x:c r="K55" s="2" t="str">
        <x:v>noun</x:v>
      </x:c>
      <x:c r="L55" s="9" t="n">
        <x:v>2.5</x:v>
      </x:c>
      <x:c r="M55" s="2" t="str">
        <x:v>없음</x:v>
      </x:c>
      <x:c r="N55" s="11" t="n">
        <x:v>66</x:v>
      </x:c>
      <x:c r="O55" s="8" t="str">
        <x:v>일반 사용 빈도 낮음(Zipf ≤ 2.5); 검증된 예문 없음; 동일 JMdict 표제어의 표기·읽기 변형; 읽기와 한국어 뜻이 같은 표기 변형</x:v>
      </x:c>
      <x:c r="P55" s="8" t="str">
        <x:v>frequency_le_2_5,no_example,same_jmdict_entry,same_reading_meaning,weak_legacy_content</x:v>
      </x:c>
      <x:c r="Q55" s="2" t="str">
        <x:v>vg_023</x:v>
      </x:c>
      <x:c r="R55" s="2" t="str">
        <x:v>same_jmdict_entry,same_reading_meaning</x:v>
      </x:c>
      <x:c r="S55" s="2" t="str">
        <x:v>w_0f5632f509adb0be</x:v>
      </x:c>
      <x:c r="T55" s="2" t="str">
        <x:v>基準</x:v>
      </x:c>
      <x:c r="U55" s="2" t="str">
        <x:v>きじゅん</x:v>
      </x:c>
      <x:c r="V55" s="2" t="str">
        <x:v>예</x:v>
      </x:c>
      <x:c r="W55" s="2" t="str">
        <x:v>예</x:v>
      </x:c>
      <x:c r="X55" s="2" t="str">
        <x:v>ichi1,news1,nf01</x:v>
      </x:c>
      <x:c r="Y55" s="2" t="n">
        <x:v>100</x:v>
      </x:c>
      <x:c r="Z55" s="2" t="str">
        <x:v>ichi1</x:v>
      </x:c>
      <x:c r="AA55" s="2" t="n">
        <x:v>100</x:v>
      </x:c>
      <x:c r="AB55" s="8" t="str"/>
      <x:c r="AC55" s="8" t="str"/>
      <x:c r="AD55" s="8" t="str">
        <x:v>["draft-ko-missing"]</x:v>
      </x:c>
      <x:c r="AE55" s="8" t="str">
        <x:v>검토 필요</x:v>
      </x:c>
      <x:c r="AF55" s="8" t="str"/>
    </x:row>
    <x:row r="56">
      <x:c r="A56" s="10" t="n">
        <x:v>55</x:v>
      </x:c>
      <x:c r="B56" s="2" t="str">
        <x:v>2차 보류</x:v>
      </x:c>
      <x:c r="C56" s="2" t="str">
        <x:v>데이터 정규화 검토</x:v>
      </x:c>
      <x:c r="D56" s="2" t="str">
        <x:v>낮음</x:v>
      </x:c>
      <x:c r="E56" s="2" t="str">
        <x:v>N2</x:v>
      </x:c>
      <x:c r="F56" s="10" t="n">
        <x:v>32</x:v>
      </x:c>
      <x:c r="G56" s="2" t="str">
        <x:v>w_da8b9fc87f20ce8c</x:v>
      </x:c>
      <x:c r="H56" s="2" t="str">
        <x:v>蒸す</x:v>
      </x:c>
      <x:c r="I56" s="2" t="str">
        <x:v>ふす</x:v>
      </x:c>
      <x:c r="J56" s="8" t="str">
        <x:v>찌다, 무덥다</x:v>
      </x:c>
      <x:c r="K56" s="2" t="str">
        <x:v>verb</x:v>
      </x:c>
      <x:c r="L56" s="9" t="n">
        <x:v>2.71</x:v>
      </x:c>
      <x:c r="M56" s="2" t="str">
        <x:v>없음</x:v>
      </x:c>
      <x:c r="N56" s="11" t="n">
        <x:v>65</x:v>
      </x:c>
      <x:c r="O56" s="8" t="str">
        <x:v>일반 사용 빈도 낮은 편(Zipf ≤ 3.0); 현재 표기+읽기 조합을 JMdict에서 확인하지 못함; 검증된 예문 없음; JMdict 우선 어휘 표지 없음</x:v>
      </x:c>
      <x:c r="P56" s="8" t="str">
        <x:v>frequency_le_3_0,jmdict_exact_pair_not_found,no_example,no_jmdict_priority</x:v>
      </x:c>
      <x:c r="Q56" s="2" t="str"/>
      <x:c r="R56" s="2" t="str"/>
      <x:c r="S56" s="2" t="str"/>
      <x:c r="T56" s="2" t="str"/>
      <x:c r="U56" s="2" t="str"/>
      <x:c r="V56" s="2" t="str">
        <x:v>아니오</x:v>
      </x:c>
      <x:c r="W56" s="2" t="str">
        <x:v>아니오</x:v>
      </x:c>
      <x:c r="X56" s="2" t="str"/>
      <x:c r="Y56" s="2" t="n">
        <x:v>0</x:v>
      </x:c>
      <x:c r="Z56" s="2" t="str"/>
      <x:c r="AA56" s="2" t="n">
        <x:v>0</x:v>
      </x:c>
      <x:c r="AB56" s="8" t="str"/>
      <x:c r="AC56" s="8" t="str"/>
      <x:c r="AD56" s="8" t="str">
        <x:v>["ko-reviewed"]</x:v>
      </x:c>
      <x:c r="AE56" s="8" t="str">
        <x:v>검토 필요</x:v>
      </x:c>
      <x:c r="AF56" s="8" t="str"/>
    </x:row>
    <x:row r="57">
      <x:c r="A57" s="10" t="n">
        <x:v>56</x:v>
      </x:c>
      <x:c r="B57" s="2" t="str">
        <x:v>2차 보류</x:v>
      </x:c>
      <x:c r="C57" s="2" t="str">
        <x:v>데이터 정규화 검토</x:v>
      </x:c>
      <x:c r="D57" s="2" t="str">
        <x:v>낮음</x:v>
      </x:c>
      <x:c r="E57" s="2" t="str">
        <x:v>N2</x:v>
      </x:c>
      <x:c r="F57" s="10" t="n">
        <x:v>33</x:v>
      </x:c>
      <x:c r="G57" s="2" t="str">
        <x:v>w_0e49bf9a473462a3</x:v>
      </x:c>
      <x:c r="H57" s="2" t="str">
        <x:v>一段と</x:v>
      </x:c>
      <x:c r="I57" s="2" t="str">
        <x:v>いちだんと</x:v>
      </x:c>
      <x:c r="J57" s="8" t="str">
        <x:v>한층 더, 부쩍</x:v>
      </x:c>
      <x:c r="K57" s="2" t="str">
        <x:v>noun</x:v>
      </x:c>
      <x:c r="L57" s="9" t="n">
        <x:v>3.18</x:v>
      </x:c>
      <x:c r="M57" s="2" t="str">
        <x:v>없음</x:v>
      </x:c>
      <x:c r="N57" s="11" t="n">
        <x:v>64</x:v>
      </x:c>
      <x:c r="O57" s="8" t="str">
        <x:v>일반 사용 빈도 보통 이하(Zipf ≤ 3.5); 현재 표기+읽기 조합을 JMdict에서 확인하지 못함; 검증된 예문 없음; JMdict 우선 어휘 표지 없음</x:v>
      </x:c>
      <x:c r="P57" s="8" t="str">
        <x:v>frequency_le_3_5,jmdict_exact_pair_not_found,no_example,no_jmdict_priority,weak_legacy_content</x:v>
      </x:c>
      <x:c r="Q57" s="2" t="str"/>
      <x:c r="R57" s="2" t="str"/>
      <x:c r="S57" s="2" t="str"/>
      <x:c r="T57" s="2" t="str"/>
      <x:c r="U57" s="2" t="str"/>
      <x:c r="V57" s="2" t="str">
        <x:v>아니오</x:v>
      </x:c>
      <x:c r="W57" s="2" t="str">
        <x:v>아니오</x:v>
      </x:c>
      <x:c r="X57" s="2" t="str"/>
      <x:c r="Y57" s="2" t="n">
        <x:v>0</x:v>
      </x:c>
      <x:c r="Z57" s="2" t="str"/>
      <x:c r="AA57" s="2" t="n">
        <x:v>0</x:v>
      </x:c>
      <x:c r="AB57" s="8" t="str"/>
      <x:c r="AC57" s="8" t="str"/>
      <x:c r="AD57" s="8" t="str">
        <x:v>["draft-ko-missing"]</x:v>
      </x:c>
      <x:c r="AE57" s="8" t="str">
        <x:v>검토 필요</x:v>
      </x:c>
      <x:c r="AF57" s="8" t="str"/>
    </x:row>
    <x:row r="58">
      <x:c r="A58" s="10" t="n">
        <x:v>57</x:v>
      </x:c>
      <x:c r="B58" s="2" t="str">
        <x:v>1차 검토 후보</x:v>
      </x:c>
      <x:c r="C58" s="2" t="str">
        <x:v>저활용 제외 검토</x:v>
      </x:c>
      <x:c r="D58" s="2" t="str">
        <x:v>중간</x:v>
      </x:c>
      <x:c r="E58" s="2" t="str">
        <x:v>N1</x:v>
      </x:c>
      <x:c r="F58" s="10" t="n">
        <x:v>11</x:v>
      </x:c>
      <x:c r="G58" s="2" t="str">
        <x:v>w_34c8047bc1fba928</x:v>
      </x:c>
      <x:c r="H58" s="2" t="str">
        <x:v>萎びる</x:v>
      </x:c>
      <x:c r="I58" s="2" t="str">
        <x:v>しなびる</x:v>
      </x:c>
      <x:c r="J58" s="8" t="str">
        <x:v>시들다, 쪼그라들다</x:v>
      </x:c>
      <x:c r="K58" s="2" t="str">
        <x:v>verb</x:v>
      </x:c>
      <x:c r="L58" s="9" t="n">
        <x:v>0</x:v>
      </x:c>
      <x:c r="M58" s="2" t="str">
        <x:v>없음</x:v>
      </x:c>
      <x:c r="N58" s="11" t="n">
        <x:v>63</x:v>
      </x:c>
      <x:c r="O58" s="8" t="str">
        <x:v>일반 사용 빈도가 없거나 0; 검증된 예문 없음; JMdict 우선 어휘 표지 없음; 기존 데이터의 한국어 콘텐츠 보강 필요 태그</x:v>
      </x:c>
      <x:c r="P58" s="8" t="str">
        <x:v>frequency_missing_or_zero,no_example,no_jmdict_priority,weak_legacy_content</x:v>
      </x:c>
      <x:c r="Q58" s="2" t="str"/>
      <x:c r="R58" s="2" t="str"/>
      <x:c r="S58" s="2" t="str"/>
      <x:c r="T58" s="2" t="str"/>
      <x:c r="U58" s="2" t="str"/>
      <x:c r="V58" s="2" t="str">
        <x:v>아니오</x:v>
      </x:c>
      <x:c r="W58" s="2" t="str">
        <x:v>예</x:v>
      </x:c>
      <x:c r="X58" s="2" t="str"/>
      <x:c r="Y58" s="2" t="n">
        <x:v>0</x:v>
      </x:c>
      <x:c r="Z58" s="2" t="str"/>
      <x:c r="AA58" s="2" t="n">
        <x:v>0</x:v>
      </x:c>
      <x:c r="AB58" s="8" t="str">
        <x:v>word usually written using kana alone</x:v>
      </x:c>
      <x:c r="AC58" s="8" t="str"/>
      <x:c r="AD58" s="8" t="str">
        <x:v>["draft-ko-missing"]</x:v>
      </x:c>
      <x:c r="AE58" s="8" t="str">
        <x:v>검토 필요</x:v>
      </x:c>
      <x:c r="AF58" s="8" t="str"/>
    </x:row>
    <x:row r="59">
      <x:c r="A59" s="10" t="n">
        <x:v>58</x:v>
      </x:c>
      <x:c r="B59" s="2" t="str">
        <x:v>1차 검토 후보</x:v>
      </x:c>
      <x:c r="C59" s="2" t="str">
        <x:v>저활용 제외 검토</x:v>
      </x:c>
      <x:c r="D59" s="2" t="str">
        <x:v>중간</x:v>
      </x:c>
      <x:c r="E59" s="2" t="str">
        <x:v>N1</x:v>
      </x:c>
      <x:c r="F59" s="10" t="n">
        <x:v>12</x:v>
      </x:c>
      <x:c r="G59" s="2" t="str">
        <x:v>w_52a2e8992f64e713</x:v>
      </x:c>
      <x:c r="H59" s="2" t="str">
        <x:v>あつらえる</x:v>
      </x:c>
      <x:c r="I59" s="2" t="str">
        <x:v>あつらえる</x:v>
      </x:c>
      <x:c r="J59" s="8" t="str">
        <x:v>주문하다, 맞추다</x:v>
      </x:c>
      <x:c r="K59" s="2" t="str">
        <x:v>verb</x:v>
      </x:c>
      <x:c r="L59" s="9" t="n">
        <x:v>0</x:v>
      </x:c>
      <x:c r="M59" s="2" t="str">
        <x:v>없음</x:v>
      </x:c>
      <x:c r="N59" s="11" t="n">
        <x:v>63</x:v>
      </x:c>
      <x:c r="O59" s="8" t="str">
        <x:v>일반 사용 빈도가 없거나 0; 검증된 예문 없음; JMdict 우선 어휘 표지 없음; 기존 데이터의 한국어 콘텐츠 보강 필요 태그</x:v>
      </x:c>
      <x:c r="P59" s="8" t="str">
        <x:v>frequency_missing_or_zero,no_example,no_jmdict_priority,weak_legacy_content</x:v>
      </x:c>
      <x:c r="Q59" s="2" t="str"/>
      <x:c r="R59" s="2" t="str"/>
      <x:c r="S59" s="2" t="str"/>
      <x:c r="T59" s="2" t="str"/>
      <x:c r="U59" s="2" t="str"/>
      <x:c r="V59" s="2" t="str">
        <x:v>아니오</x:v>
      </x:c>
      <x:c r="W59" s="2" t="str">
        <x:v>아니오</x:v>
      </x:c>
      <x:c r="X59" s="2" t="str"/>
      <x:c r="Y59" s="2" t="n">
        <x:v>0</x:v>
      </x:c>
      <x:c r="Z59" s="2" t="str"/>
      <x:c r="AA59" s="2" t="n">
        <x:v>0</x:v>
      </x:c>
      <x:c r="AB59" s="8" t="str"/>
      <x:c r="AC59" s="8" t="str"/>
      <x:c r="AD59" s="8" t="str">
        <x:v>["draft-ko-missing"]</x:v>
      </x:c>
      <x:c r="AE59" s="8" t="str">
        <x:v>검토 필요</x:v>
      </x:c>
      <x:c r="AF59" s="8" t="str"/>
    </x:row>
    <x:row r="60">
      <x:c r="A60" s="10" t="n">
        <x:v>59</x:v>
      </x:c>
      <x:c r="B60" s="2" t="str">
        <x:v>1차 검토 후보</x:v>
      </x:c>
      <x:c r="C60" s="2" t="str">
        <x:v>표기 교정·교체 검토</x:v>
      </x:c>
      <x:c r="D60" s="2" t="str">
        <x:v>중간</x:v>
      </x:c>
      <x:c r="E60" s="2" t="str">
        <x:v>N1</x:v>
      </x:c>
      <x:c r="F60" s="10" t="n">
        <x:v>13</x:v>
      </x:c>
      <x:c r="G60" s="2" t="str">
        <x:v>w_1dec60862e34eb14</x:v>
      </x:c>
      <x:c r="H60" s="2" t="str">
        <x:v>外方</x:v>
      </x:c>
      <x:c r="I60" s="2" t="str">
        <x:v>そっぽ</x:v>
      </x:c>
      <x:c r="J60" s="8" t="str">
        <x:v>외면, 딴 쪽</x:v>
      </x:c>
      <x:c r="K60" s="2" t="str">
        <x:v>noun</x:v>
      </x:c>
      <x:c r="L60" s="9" t="n">
        <x:v>5.21</x:v>
      </x:c>
      <x:c r="M60" s="2" t="str">
        <x:v>없음</x:v>
      </x:c>
      <x:c r="N60" s="11" t="n">
        <x:v>63</x:v>
      </x:c>
      <x:c r="O60" s="8" t="str">
        <x:v>JMdict에서 희귀·비표준 표기로 표시; 기존 한국어 뜻 품질 감사 대상; 검증된 예문 없음; JMdict 우선 어휘 표지 없음</x:v>
      </x:c>
      <x:c r="P60" s="8" t="str">
        <x:v>jmdict_uncommon_or_irregular,legacy_gloss_audit:mt_noise_token,no_example,no_jmdict_priority,weak_legacy_content</x:v>
      </x:c>
      <x:c r="Q60" s="2" t="str"/>
      <x:c r="R60" s="2" t="str"/>
      <x:c r="S60" s="2" t="str"/>
      <x:c r="T60" s="2" t="str"/>
      <x:c r="U60" s="2" t="str"/>
      <x:c r="V60" s="2" t="str">
        <x:v>아니오</x:v>
      </x:c>
      <x:c r="W60" s="2" t="str">
        <x:v>예</x:v>
      </x:c>
      <x:c r="X60" s="2" t="str"/>
      <x:c r="Y60" s="2" t="n">
        <x:v>0</x:v>
      </x:c>
      <x:c r="Z60" s="2" t="str"/>
      <x:c r="AA60" s="2" t="n">
        <x:v>0</x:v>
      </x:c>
      <x:c r="AB60" s="8" t="str">
        <x:v>rarely used kanji form | word usually written using kana alone</x:v>
      </x:c>
      <x:c r="AC60" s="8" t="str">
        <x:v>mt_noise_token</x:v>
      </x:c>
      <x:c r="AD60" s="8" t="str">
        <x:v>["draft-ko-missing"]</x:v>
      </x:c>
      <x:c r="AE60" s="8" t="str">
        <x:v>검토 필요</x:v>
      </x:c>
      <x:c r="AF60" s="8" t="str"/>
    </x:row>
    <x:row r="61">
      <x:c r="A61" s="10" t="n">
        <x:v>60</x:v>
      </x:c>
      <x:c r="B61" s="2" t="str">
        <x:v>1차 제외 추천</x:v>
      </x:c>
      <x:c r="C61" s="2" t="str">
        <x:v>중복 변형 제거 검토</x:v>
      </x:c>
      <x:c r="D61" s="2" t="str">
        <x:v>높음</x:v>
      </x:c>
      <x:c r="E61" s="2" t="str">
        <x:v>N2</x:v>
      </x:c>
      <x:c r="F61" s="10" t="n">
        <x:v>34</x:v>
      </x:c>
      <x:c r="G61" s="2" t="str">
        <x:v>w_25b648bf778c94cd</x:v>
      </x:c>
      <x:c r="H61" s="2" t="str">
        <x:v>する</x:v>
      </x:c>
      <x:c r="I61" s="2" t="str">
        <x:v>する</x:v>
      </x:c>
      <x:c r="J61" s="8" t="str">
        <x:v>인쇄하다</x:v>
      </x:c>
      <x:c r="K61" s="2" t="str">
        <x:v>verb</x:v>
      </x:c>
      <x:c r="L61" s="9" t="n">
        <x:v>6.76</x:v>
      </x:c>
      <x:c r="M61" s="2" t="str">
        <x:v>없음</x:v>
      </x:c>
      <x:c r="N61" s="11" t="n">
        <x:v>63</x:v>
      </x:c>
      <x:c r="O61" s="8" t="str">
        <x:v>검증된 예문 없음; JMdict 우선 어휘 표지 없음; 읽기와 한국어 뜻이 같은 표기 변형; 기존 데이터의 한국어 콘텐츠 보강 필요 태그</x:v>
      </x:c>
      <x:c r="P61" s="8" t="str">
        <x:v>no_example,no_jmdict_priority,same_reading_meaning,weak_legacy_content</x:v>
      </x:c>
      <x:c r="Q61" s="2" t="str">
        <x:v>vg_032</x:v>
      </x:c>
      <x:c r="R61" s="2" t="str">
        <x:v>same_reading_meaning</x:v>
      </x:c>
      <x:c r="S61" s="2" t="str">
        <x:v>w_6b23388275d4251c</x:v>
      </x:c>
      <x:c r="T61" s="2" t="str">
        <x:v>刷る</x:v>
      </x:c>
      <x:c r="U61" s="2" t="str">
        <x:v>する</x:v>
      </x:c>
      <x:c r="V61" s="2" t="str">
        <x:v>아니오</x:v>
      </x:c>
      <x:c r="W61" s="2" t="str">
        <x:v>아니오</x:v>
      </x:c>
      <x:c r="X61" s="2" t="str"/>
      <x:c r="Y61" s="2" t="n">
        <x:v>0</x:v>
      </x:c>
      <x:c r="Z61" s="2" t="str"/>
      <x:c r="AA61" s="2" t="n">
        <x:v>0</x:v>
      </x:c>
      <x:c r="AB61" s="8" t="str"/>
      <x:c r="AC61" s="8" t="str"/>
      <x:c r="AD61" s="8" t="str">
        <x:v>["draft-ko-missing"]</x:v>
      </x:c>
      <x:c r="AE61" s="8" t="str">
        <x:v>검토 필요</x:v>
      </x:c>
      <x:c r="AF61" s="8" t="str"/>
    </x:row>
    <x:row r="62">
      <x:c r="A62" s="10" t="n">
        <x:v>61</x:v>
      </x:c>
      <x:c r="B62" s="2" t="str">
        <x:v>1차 검토 후보</x:v>
      </x:c>
      <x:c r="C62" s="2" t="str">
        <x:v>표기 교정·교체 검토</x:v>
      </x:c>
      <x:c r="D62" s="2" t="str">
        <x:v>중간</x:v>
      </x:c>
      <x:c r="E62" s="2" t="str">
        <x:v>N2</x:v>
      </x:c>
      <x:c r="F62" s="10" t="n">
        <x:v>35</x:v>
      </x:c>
      <x:c r="G62" s="2" t="str">
        <x:v>w_3dd4951bd01e8398</x:v>
      </x:c>
      <x:c r="H62" s="2" t="str">
        <x:v>浮ぶ</x:v>
      </x:c>
      <x:c r="I62" s="2" t="str">
        <x:v>うかぶ</x:v>
      </x:c>
      <x:c r="J62" s="8" t="str">
        <x:v>뜨다, 떠오르다</x:v>
      </x:c>
      <x:c r="K62" s="2" t="str">
        <x:v>verb</x:v>
      </x:c>
      <x:c r="L62" s="9" t="n">
        <x:v>1.73</x:v>
      </x:c>
      <x:c r="M62" s="2" t="str">
        <x:v>없음</x:v>
      </x:c>
      <x:c r="N62" s="11" t="n">
        <x:v>62</x:v>
      </x:c>
      <x:c r="O62" s="8" t="str">
        <x:v>일반 사용 빈도 매우 낮음(Zipf ≤ 2.0); JMdict에서 희귀·비표준 표기로 표시; 검증된 예문 없음; 기존 데이터의 한국어 콘텐츠 보강 필요 태그</x:v>
      </x:c>
      <x:c r="P62" s="8" t="str">
        <x:v>frequency_le_2_0,jmdict_uncommon_or_irregular,no_example,weak_legacy_content</x:v>
      </x:c>
      <x:c r="Q62" s="2" t="str"/>
      <x:c r="R62" s="2" t="str"/>
      <x:c r="S62" s="2" t="str"/>
      <x:c r="T62" s="2" t="str"/>
      <x:c r="U62" s="2" t="str"/>
      <x:c r="V62" s="2" t="str">
        <x:v>아니오</x:v>
      </x:c>
      <x:c r="W62" s="2" t="str">
        <x:v>예</x:v>
      </x:c>
      <x:c r="X62" s="2" t="str">
        <x:v>ichi1,news2,nf30</x:v>
      </x:c>
      <x:c r="Y62" s="2" t="n">
        <x:v>100</x:v>
      </x:c>
      <x:c r="Z62" s="2" t="str"/>
      <x:c r="AA62" s="2" t="n">
        <x:v>0</x:v>
      </x:c>
      <x:c r="AB62" s="8" t="str">
        <x:v>search-only kanji form</x:v>
      </x:c>
      <x:c r="AC62" s="8" t="str"/>
      <x:c r="AD62" s="8" t="str">
        <x:v>["draft-ko-missing"]</x:v>
      </x:c>
      <x:c r="AE62" s="8" t="str">
        <x:v>검토 필요</x:v>
      </x:c>
      <x:c r="AF62" s="8" t="str"/>
    </x:row>
    <x:row r="63">
      <x:c r="A63" s="10" t="n">
        <x:v>62</x:v>
      </x:c>
      <x:c r="B63" s="2" t="str">
        <x:v>1차 검토 후보</x:v>
      </x:c>
      <x:c r="C63" s="2" t="str">
        <x:v>표기 교정·교체 검토</x:v>
      </x:c>
      <x:c r="D63" s="2" t="str">
        <x:v>중간</x:v>
      </x:c>
      <x:c r="E63" s="2" t="str">
        <x:v>N1</x:v>
      </x:c>
      <x:c r="F63" s="10" t="n">
        <x:v>14</x:v>
      </x:c>
      <x:c r="G63" s="2" t="str">
        <x:v>w_259bf5ed1faa6c42</x:v>
      </x:c>
      <x:c r="H63" s="2" t="str">
        <x:v>交す</x:v>
      </x:c>
      <x:c r="I63" s="2" t="str">
        <x:v>かわす</x:v>
      </x:c>
      <x:c r="J63" s="8" t="str">
        <x:v>교환하다</x:v>
      </x:c>
      <x:c r="K63" s="2" t="str">
        <x:v>verb</x:v>
      </x:c>
      <x:c r="L63" s="9" t="n">
        <x:v>1.74</x:v>
      </x:c>
      <x:c r="M63" s="2" t="str">
        <x:v>없음</x:v>
      </x:c>
      <x:c r="N63" s="11" t="n">
        <x:v>62</x:v>
      </x:c>
      <x:c r="O63" s="8" t="str">
        <x:v>일반 사용 빈도 매우 낮음(Zipf ≤ 2.0); JMdict에서 희귀·비표준 표기로 표시; 검증된 예문 없음; 기존 데이터의 한국어 콘텐츠 보강 필요 태그</x:v>
      </x:c>
      <x:c r="P63" s="8" t="str">
        <x:v>frequency_le_2_0,jmdict_uncommon_or_irregular,no_example,weak_legacy_content</x:v>
      </x:c>
      <x:c r="Q63" s="2" t="str"/>
      <x:c r="R63" s="2" t="str"/>
      <x:c r="S63" s="2" t="str"/>
      <x:c r="T63" s="2" t="str"/>
      <x:c r="U63" s="2" t="str"/>
      <x:c r="V63" s="2" t="str">
        <x:v>아니오</x:v>
      </x:c>
      <x:c r="W63" s="2" t="str">
        <x:v>예</x:v>
      </x:c>
      <x:c r="X63" s="2" t="str">
        <x:v>ichi1,news1,nf14</x:v>
      </x:c>
      <x:c r="Y63" s="2" t="n">
        <x:v>100</x:v>
      </x:c>
      <x:c r="Z63" s="2" t="str"/>
      <x:c r="AA63" s="2" t="n">
        <x:v>0</x:v>
      </x:c>
      <x:c r="AB63" s="8" t="str">
        <x:v>after the -masu stem of a verb | search-only kanji form</x:v>
      </x:c>
      <x:c r="AC63" s="8" t="str"/>
      <x:c r="AD63" s="8" t="str">
        <x:v>["draft-ko-missing"]</x:v>
      </x:c>
      <x:c r="AE63" s="8" t="str">
        <x:v>검토 필요</x:v>
      </x:c>
      <x:c r="AF63" s="8" t="str"/>
    </x:row>
    <x:row r="64">
      <x:c r="A64" s="10" t="n">
        <x:v>63</x:v>
      </x:c>
      <x:c r="B64" s="2" t="str">
        <x:v>1차 검토 후보</x:v>
      </x:c>
      <x:c r="C64" s="2" t="str">
        <x:v>표기 교정·교체 검토</x:v>
      </x:c>
      <x:c r="D64" s="2" t="str">
        <x:v>중간</x:v>
      </x:c>
      <x:c r="E64" s="2" t="str">
        <x:v>N2</x:v>
      </x:c>
      <x:c r="F64" s="10" t="n">
        <x:v>36</x:v>
      </x:c>
      <x:c r="G64" s="2" t="str">
        <x:v>w_2e701fac06c99b94</x:v>
      </x:c>
      <x:c r="H64" s="2" t="str">
        <x:v>人差指</x:v>
      </x:c>
      <x:c r="I64" s="2" t="str">
        <x:v>ひとさしゆび</x:v>
      </x:c>
      <x:c r="J64" s="8" t="str">
        <x:v>검지, 집게손가락</x:v>
      </x:c>
      <x:c r="K64" s="2" t="str">
        <x:v>noun</x:v>
      </x:c>
      <x:c r="L64" s="9" t="n">
        <x:v>1.8</x:v>
      </x:c>
      <x:c r="M64" s="2" t="str">
        <x:v>없음</x:v>
      </x:c>
      <x:c r="N64" s="11" t="n">
        <x:v>62</x:v>
      </x:c>
      <x:c r="O64" s="8" t="str">
        <x:v>일반 사용 빈도 매우 낮음(Zipf ≤ 2.0); JMdict에서 희귀·비표준 표기로 표시; 검증된 예문 없음; 기존 데이터의 한국어 콘텐츠 보강 필요 태그</x:v>
      </x:c>
      <x:c r="P64" s="8" t="str">
        <x:v>frequency_le_2_0,jmdict_uncommon_or_irregular,no_example,weak_legacy_content</x:v>
      </x:c>
      <x:c r="Q64" s="2" t="str"/>
      <x:c r="R64" s="2" t="str"/>
      <x:c r="S64" s="2" t="str"/>
      <x:c r="T64" s="2" t="str"/>
      <x:c r="U64" s="2" t="str"/>
      <x:c r="V64" s="2" t="str">
        <x:v>아니오</x:v>
      </x:c>
      <x:c r="W64" s="2" t="str">
        <x:v>예</x:v>
      </x:c>
      <x:c r="X64" s="2" t="str">
        <x:v>ichi1</x:v>
      </x:c>
      <x:c r="Y64" s="2" t="n">
        <x:v>100</x:v>
      </x:c>
      <x:c r="Z64" s="2" t="str"/>
      <x:c r="AA64" s="2" t="n">
        <x:v>0</x:v>
      </x:c>
      <x:c r="AB64" s="8" t="str">
        <x:v>search-only kanji form</x:v>
      </x:c>
      <x:c r="AC64" s="8" t="str"/>
      <x:c r="AD64" s="8" t="str">
        <x:v>["draft-ko-missing"]</x:v>
      </x:c>
      <x:c r="AE64" s="8" t="str">
        <x:v>검토 필요</x:v>
      </x:c>
      <x:c r="AF64" s="8" t="str"/>
    </x:row>
    <x:row r="65">
      <x:c r="A65" s="10" t="n">
        <x:v>64</x:v>
      </x:c>
      <x:c r="B65" s="2" t="str">
        <x:v>1차 검토 후보</x:v>
      </x:c>
      <x:c r="C65" s="2" t="str">
        <x:v>표기 교정·교체 검토</x:v>
      </x:c>
      <x:c r="D65" s="2" t="str">
        <x:v>중간</x:v>
      </x:c>
      <x:c r="E65" s="2" t="str">
        <x:v>N3</x:v>
      </x:c>
      <x:c r="F65" s="10" t="n">
        <x:v>9</x:v>
      </x:c>
      <x:c r="G65" s="2" t="str">
        <x:v>w_7220f29b7ab9d849</x:v>
      </x:c>
      <x:c r="H65" s="2" t="str">
        <x:v>為る</x:v>
      </x:c>
      <x:c r="I65" s="2" t="str">
        <x:v>する</x:v>
      </x:c>
      <x:c r="J65" s="8" t="str">
        <x:v>하다</x:v>
      </x:c>
      <x:c r="K65" s="2" t="str">
        <x:v>verb</x:v>
      </x:c>
      <x:c r="L65" s="9" t="n">
        <x:v>1.98</x:v>
      </x:c>
      <x:c r="M65" s="2" t="str">
        <x:v>없음</x:v>
      </x:c>
      <x:c r="N65" s="11" t="n">
        <x:v>62</x:v>
      </x:c>
      <x:c r="O65" s="8" t="str">
        <x:v>일반 사용 빈도 매우 낮음(Zipf ≤ 2.0); JMdict에서 희귀·비표준 표기로 표시; 검증된 예문 없음; 기존 데이터의 한국어 콘텐츠 보강 필요 태그</x:v>
      </x:c>
      <x:c r="P65" s="8" t="str">
        <x:v>frequency_le_2_0,jmdict_uncommon_or_irregular,no_example,weak_legacy_content</x:v>
      </x:c>
      <x:c r="Q65" s="2" t="str"/>
      <x:c r="R65" s="2" t="str"/>
      <x:c r="S65" s="2" t="str"/>
      <x:c r="T65" s="2" t="str"/>
      <x:c r="U65" s="2" t="str"/>
      <x:c r="V65" s="2" t="str">
        <x:v>아니오</x:v>
      </x:c>
      <x:c r="W65" s="2" t="str">
        <x:v>예</x:v>
      </x:c>
      <x:c r="X65" s="2" t="str">
        <x:v>ichi1</x:v>
      </x:c>
      <x:c r="Y65" s="2" t="n">
        <x:v>100</x:v>
      </x:c>
      <x:c r="Z65" s="2" t="str"/>
      <x:c r="AA65" s="2" t="n">
        <x:v>0</x:v>
      </x:c>
      <x:c r="AB65" s="8" t="str">
        <x:v>as AをBにする | as 〜うとする,〜ようとする | as 〜がする | as 〜にする | as 〜にする,〜とする | rarely used kanji form | word usually written using kana alone</x:v>
      </x:c>
      <x:c r="AC65" s="8" t="str"/>
      <x:c r="AD65" s="8" t="str">
        <x:v>["draft-ko-missing"]</x:v>
      </x:c>
      <x:c r="AE65" s="8" t="str">
        <x:v>검토 필요</x:v>
      </x:c>
      <x:c r="AF65" s="8" t="str"/>
    </x:row>
    <x:row r="66">
      <x:c r="A66" s="10" t="n">
        <x:v>65</x:v>
      </x:c>
      <x:c r="B66" s="2" t="str">
        <x:v>1차 검토 후보</x:v>
      </x:c>
      <x:c r="C66" s="2" t="str">
        <x:v>중복 변형 제거 검토</x:v>
      </x:c>
      <x:c r="D66" s="2" t="str">
        <x:v>중간</x:v>
      </x:c>
      <x:c r="E66" s="2" t="str">
        <x:v>N1</x:v>
      </x:c>
      <x:c r="F66" s="10" t="n">
        <x:v>15</x:v>
      </x:c>
      <x:c r="G66" s="2" t="str">
        <x:v>w_4ef2af90123264d7</x:v>
      </x:c>
      <x:c r="H66" s="2" t="str">
        <x:v>手数</x:v>
      </x:c>
      <x:c r="I66" s="2" t="str">
        <x:v>てかず</x:v>
      </x:c>
      <x:c r="J66" s="8" t="str">
        <x:v>수고, 폐</x:v>
      </x:c>
      <x:c r="K66" s="2" t="str">
        <x:v>noun</x:v>
      </x:c>
      <x:c r="L66" s="9" t="n">
        <x:v>3.01</x:v>
      </x:c>
      <x:c r="M66" s="2" t="str">
        <x:v>없음</x:v>
      </x:c>
      <x:c r="N66" s="11" t="n">
        <x:v>62</x:v>
      </x:c>
      <x:c r="O66" s="8" t="str">
        <x:v>일반 사용 빈도 보통 이하(Zipf ≤ 3.5); 기존 한국어 뜻 품질 감사 대상; 검증된 예문 없음; 동일 JMdict 표제어의 표기·읽기 변형</x:v>
      </x:c>
      <x:c r="P66" s="8" t="str">
        <x:v>frequency_le_3_5,legacy_gloss_audit:senses_5_6,no_example,same_jmdict_entry,weak_legacy_content</x:v>
      </x:c>
      <x:c r="Q66" s="2" t="str">
        <x:v>vg_050</x:v>
      </x:c>
      <x:c r="R66" s="2" t="str">
        <x:v>same_jmdict_entry</x:v>
      </x:c>
      <x:c r="S66" s="2" t="str">
        <x:v>w_5b1a82d3cd393ecb</x:v>
      </x:c>
      <x:c r="T66" s="2" t="str">
        <x:v>手数</x:v>
      </x:c>
      <x:c r="U66" s="2" t="str">
        <x:v>てすう</x:v>
      </x:c>
      <x:c r="V66" s="2" t="str">
        <x:v>아니오</x:v>
      </x:c>
      <x:c r="W66" s="2" t="str">
        <x:v>예</x:v>
      </x:c>
      <x:c r="X66" s="2" t="str">
        <x:v>ichi1,news2,nf30</x:v>
      </x:c>
      <x:c r="Y66" s="2" t="n">
        <x:v>100</x:v>
      </x:c>
      <x:c r="Z66" s="2" t="str">
        <x:v>ichi1,news2,nf30</x:v>
      </x:c>
      <x:c r="AA66" s="2" t="n">
        <x:v>100</x:v>
      </x:c>
      <x:c r="AB66" s="8" t="str"/>
      <x:c r="AC66" s="8" t="str">
        <x:v>senses_5_6</x:v>
      </x:c>
      <x:c r="AD66" s="8" t="str">
        <x:v>["draft-ko-missing"]</x:v>
      </x:c>
      <x:c r="AE66" s="8" t="str">
        <x:v>검토 필요</x:v>
      </x:c>
      <x:c r="AF66" s="8" t="str"/>
    </x:row>
    <x:row r="67">
      <x:c r="A67" s="10" t="n">
        <x:v>66</x:v>
      </x:c>
      <x:c r="B67" s="2" t="str">
        <x:v>1차 제외 추천</x:v>
      </x:c>
      <x:c r="C67" s="2" t="str">
        <x:v>중복 변형 제거 검토</x:v>
      </x:c>
      <x:c r="D67" s="2" t="str">
        <x:v>높음</x:v>
      </x:c>
      <x:c r="E67" s="2" t="str">
        <x:v>N2</x:v>
      </x:c>
      <x:c r="F67" s="10" t="n">
        <x:v>37</x:v>
      </x:c>
      <x:c r="G67" s="2" t="str">
        <x:v>w_db77a5be2d5db896</x:v>
      </x:c>
      <x:c r="H67" s="2" t="str">
        <x:v>引分け</x:v>
      </x:c>
      <x:c r="I67" s="2" t="str">
        <x:v>ひきわけ</x:v>
      </x:c>
      <x:c r="J67" s="8" t="str">
        <x:v>무승부, 비김</x:v>
      </x:c>
      <x:c r="K67" s="2" t="str">
        <x:v>noun</x:v>
      </x:c>
      <x:c r="L67" s="9" t="n">
        <x:v>2.18</x:v>
      </x:c>
      <x:c r="M67" s="2" t="str">
        <x:v>없음</x:v>
      </x:c>
      <x:c r="N67" s="11" t="n">
        <x:v>61</x:v>
      </x:c>
      <x:c r="O67" s="8" t="str">
        <x:v>일반 사용 빈도 낮음(Zipf ≤ 2.5); 검증된 예문 없음; 동일 JMdict 표제어의 표기·읽기 변형; 읽기와 한국어 뜻이 같은 표기 변형</x:v>
      </x:c>
      <x:c r="P67" s="8" t="str">
        <x:v>frequency_le_2_5,no_example,same_jmdict_entry,same_reading_meaning</x:v>
      </x:c>
      <x:c r="Q67" s="2" t="str">
        <x:v>vg_007</x:v>
      </x:c>
      <x:c r="R67" s="2" t="str">
        <x:v>same_jmdict_entry,same_reading_meaning</x:v>
      </x:c>
      <x:c r="S67" s="2" t="str">
        <x:v>w_0551f83e2464e885</x:v>
      </x:c>
      <x:c r="T67" s="2" t="str">
        <x:v>引き分け</x:v>
      </x:c>
      <x:c r="U67" s="2" t="str">
        <x:v>ひきわけ</x:v>
      </x:c>
      <x:c r="V67" s="2" t="str">
        <x:v>아니오</x:v>
      </x:c>
      <x:c r="W67" s="2" t="str">
        <x:v>예</x:v>
      </x:c>
      <x:c r="X67" s="2" t="str">
        <x:v>ichi1,news1,nf12</x:v>
      </x:c>
      <x:c r="Y67" s="2" t="n">
        <x:v>100</x:v>
      </x:c>
      <x:c r="Z67" s="2" t="str">
        <x:v>ichi1</x:v>
      </x:c>
      <x:c r="AA67" s="2" t="n">
        <x:v>100</x:v>
      </x:c>
      <x:c r="AB67" s="8" t="str"/>
      <x:c r="AC67" s="8" t="str"/>
      <x:c r="AD67" s="8" t="str">
        <x:v>["ko-reviewed"]</x:v>
      </x:c>
      <x:c r="AE67" s="8" t="str">
        <x:v>검토 필요</x:v>
      </x:c>
      <x:c r="AF67" s="8" t="str"/>
    </x:row>
    <x:row r="68">
      <x:c r="A68" s="10" t="n">
        <x:v>67</x:v>
      </x:c>
      <x:c r="B68" s="2" t="str">
        <x:v>1차 제외 추천</x:v>
      </x:c>
      <x:c r="C68" s="2" t="str">
        <x:v>중복 변형 제거 검토</x:v>
      </x:c>
      <x:c r="D68" s="2" t="str">
        <x:v>높음</x:v>
      </x:c>
      <x:c r="E68" s="2" t="str">
        <x:v>N2</x:v>
      </x:c>
      <x:c r="F68" s="10" t="n">
        <x:v>38</x:v>
      </x:c>
      <x:c r="G68" s="2" t="str">
        <x:v>w_d31df7952b5b8ddb</x:v>
      </x:c>
      <x:c r="H68" s="2" t="str">
        <x:v>軟らかい</x:v>
      </x:c>
      <x:c r="I68" s="2" t="str">
        <x:v>やわらかい</x:v>
      </x:c>
      <x:c r="J68" s="8" t="str">
        <x:v>부드럽다, 말랑하다</x:v>
      </x:c>
      <x:c r="K68" s="2" t="str">
        <x:v>adjective</x:v>
      </x:c>
      <x:c r="L68" s="9" t="n">
        <x:v>2.42</x:v>
      </x:c>
      <x:c r="M68" s="2" t="str">
        <x:v>없음</x:v>
      </x:c>
      <x:c r="N68" s="11" t="n">
        <x:v>61</x:v>
      </x:c>
      <x:c r="O68" s="8" t="str">
        <x:v>일반 사용 빈도 낮음(Zipf ≤ 2.5); 검증된 예문 없음; 동일 JMdict 표제어의 표기·읽기 변형</x:v>
      </x:c>
      <x:c r="P68" s="8" t="str">
        <x:v>frequency_le_2_5,no_example,same_jmdict_entry</x:v>
      </x:c>
      <x:c r="Q68" s="2" t="str">
        <x:v>vg_095</x:v>
      </x:c>
      <x:c r="R68" s="2" t="str">
        <x:v>same_jmdict_entry</x:v>
      </x:c>
      <x:c r="S68" s="2" t="str">
        <x:v>w_9a69e415985ac07b</x:v>
      </x:c>
      <x:c r="T68" s="2" t="str">
        <x:v>柔らかい</x:v>
      </x:c>
      <x:c r="U68" s="2" t="str">
        <x:v>やわらかい</x:v>
      </x:c>
      <x:c r="V68" s="2" t="str">
        <x:v>예</x:v>
      </x:c>
      <x:c r="W68" s="2" t="str">
        <x:v>예</x:v>
      </x:c>
      <x:c r="X68" s="2" t="str">
        <x:v>ichi1,news1,nf20</x:v>
      </x:c>
      <x:c r="Y68" s="2" t="n">
        <x:v>100</x:v>
      </x:c>
      <x:c r="Z68" s="2" t="str">
        <x:v>ichi1</x:v>
      </x:c>
      <x:c r="AA68" s="2" t="n">
        <x:v>100</x:v>
      </x:c>
      <x:c r="AB68" s="8" t="str"/>
      <x:c r="AC68" s="8" t="str"/>
      <x:c r="AD68" s="8" t="str">
        <x:v>["backfill-replacement","assistant-ko-reviewed"]</x:v>
      </x:c>
      <x:c r="AE68" s="8" t="str">
        <x:v>검토 필요</x:v>
      </x:c>
      <x:c r="AF68" s="8" t="str"/>
    </x:row>
    <x:row r="69">
      <x:c r="A69" s="10" t="n">
        <x:v>68</x:v>
      </x:c>
      <x:c r="B69" s="2" t="str">
        <x:v>1차 검토 후보</x:v>
      </x:c>
      <x:c r="C69" s="2" t="str">
        <x:v>표기 교정·교체 검토</x:v>
      </x:c>
      <x:c r="D69" s="2" t="str">
        <x:v>중간</x:v>
      </x:c>
      <x:c r="E69" s="2" t="str">
        <x:v>N1</x:v>
      </x:c>
      <x:c r="F69" s="10" t="n">
        <x:v>16</x:v>
      </x:c>
      <x:c r="G69" s="2" t="str">
        <x:v>w_d36340f2e47a8460</x:v>
      </x:c>
      <x:c r="H69" s="2" t="str">
        <x:v>口吟む</x:v>
      </x:c>
      <x:c r="I69" s="2" t="str">
        <x:v>くちずさむ</x:v>
      </x:c>
      <x:c r="J69" s="8" t="str">
        <x:v>흥얼거리다</x:v>
      </x:c>
      <x:c r="K69" s="2" t="str">
        <x:v>verb</x:v>
      </x:c>
      <x:c r="L69" s="9" t="n">
        <x:v>2.75</x:v>
      </x:c>
      <x:c r="M69" s="2" t="str">
        <x:v>없음</x:v>
      </x:c>
      <x:c r="N69" s="11" t="n">
        <x:v>61</x:v>
      </x:c>
      <x:c r="O69" s="8" t="str">
        <x:v>일반 사용 빈도 낮은 편(Zipf ≤ 3.0); JMdict에서 희귀·비표준 표기로 표시; 검증된 예문 없음; 기존 데이터의 한국어 콘텐츠 보강 필요 태그</x:v>
      </x:c>
      <x:c r="P69" s="8" t="str">
        <x:v>frequency_le_3_0,jmdict_uncommon_or_irregular,no_example,weak_legacy_content</x:v>
      </x:c>
      <x:c r="Q69" s="2" t="str"/>
      <x:c r="R69" s="2" t="str"/>
      <x:c r="S69" s="2" t="str"/>
      <x:c r="T69" s="2" t="str"/>
      <x:c r="U69" s="2" t="str"/>
      <x:c r="V69" s="2" t="str">
        <x:v>아니오</x:v>
      </x:c>
      <x:c r="W69" s="2" t="str">
        <x:v>예</x:v>
      </x:c>
      <x:c r="X69" s="2" t="str">
        <x:v>news2,nf41</x:v>
      </x:c>
      <x:c r="Y69" s="2" t="n">
        <x:v>70</x:v>
      </x:c>
      <x:c r="Z69" s="2" t="str"/>
      <x:c r="AA69" s="2" t="n">
        <x:v>0</x:v>
      </x:c>
      <x:c r="AB69" s="8" t="str">
        <x:v>rarely used kanji form</x:v>
      </x:c>
      <x:c r="AC69" s="8" t="str"/>
      <x:c r="AD69" s="8" t="str">
        <x:v>["draft-ko-missing"]</x:v>
      </x:c>
      <x:c r="AE69" s="8" t="str">
        <x:v>검토 필요</x:v>
      </x:c>
      <x:c r="AF69" s="8" t="str"/>
    </x:row>
    <x:row r="70">
      <x:c r="A70" s="10" t="n">
        <x:v>69</x:v>
      </x:c>
      <x:c r="B70" s="2" t="str">
        <x:v>1차 검토 후보</x:v>
      </x:c>
      <x:c r="C70" s="2" t="str">
        <x:v>저활용 제외 검토</x:v>
      </x:c>
      <x:c r="D70" s="2" t="str">
        <x:v>중간</x:v>
      </x:c>
      <x:c r="E70" s="2" t="str">
        <x:v>N1</x:v>
      </x:c>
      <x:c r="F70" s="10" t="n">
        <x:v>17</x:v>
      </x:c>
      <x:c r="G70" s="2" t="str">
        <x:v>w_6e458f1cbfee6aad</x:v>
      </x:c>
      <x:c r="H70" s="2" t="str">
        <x:v>ぼつぼつ</x:v>
      </x:c>
      <x:c r="I70" s="2" t="str">
        <x:v>ぼつぼつ</x:v>
      </x:c>
      <x:c r="J70" s="8" t="str">
        <x:v>슬슬; 군데군데</x:v>
      </x:c>
      <x:c r="K70" s="2" t="str">
        <x:v>adverb</x:v>
      </x:c>
      <x:c r="L70" s="9" t="n">
        <x:v>1.51</x:v>
      </x:c>
      <x:c r="M70" s="2" t="str">
        <x:v>없음</x:v>
      </x:c>
      <x:c r="N70" s="11" t="n">
        <x:v>59</x:v>
      </x:c>
      <x:c r="O70" s="8" t="str">
        <x:v>일반 사용 빈도 매우 낮음(Zipf ≤ 2.0); 기존 한국어 뜻 품질 감사 대상; 검증된 예문 없음; JMdict 우선 어휘 표지 없음</x:v>
      </x:c>
      <x:c r="P70" s="8" t="str">
        <x:v>frequency_le_2_0,legacy_gloss_audit:senses_5_6,no_example,no_jmdict_priority,weak_legacy_content</x:v>
      </x:c>
      <x:c r="Q70" s="2" t="str"/>
      <x:c r="R70" s="2" t="str"/>
      <x:c r="S70" s="2" t="str"/>
      <x:c r="T70" s="2" t="str"/>
      <x:c r="U70" s="2" t="str"/>
      <x:c r="V70" s="2" t="str">
        <x:v>아니오</x:v>
      </x:c>
      <x:c r="W70" s="2" t="str">
        <x:v>예</x:v>
      </x:c>
      <x:c r="X70" s="2" t="str"/>
      <x:c r="Y70" s="2" t="n">
        <x:v>0</x:v>
      </x:c>
      <x:c r="Z70" s="2" t="str"/>
      <x:c r="AA70" s="2" t="n">
        <x:v>0</x:v>
      </x:c>
      <x:c r="AB70" s="8" t="str">
        <x:v>onomatopoeic or mimetic word</x:v>
      </x:c>
      <x:c r="AC70" s="8" t="str">
        <x:v>senses_5_6</x:v>
      </x:c>
      <x:c r="AD70" s="8" t="str">
        <x:v>["draft-ko-missing"]</x:v>
      </x:c>
      <x:c r="AE70" s="8" t="str">
        <x:v>검토 필요</x:v>
      </x:c>
      <x:c r="AF70" s="8" t="str"/>
    </x:row>
    <x:row r="71">
      <x:c r="A71" s="10" t="n">
        <x:v>70</x:v>
      </x:c>
      <x:c r="B71" s="2" t="str">
        <x:v>2차 보류</x:v>
      </x:c>
      <x:c r="C71" s="2" t="str">
        <x:v>데이터 정규화 검토</x:v>
      </x:c>
      <x:c r="D71" s="2" t="str">
        <x:v>낮음</x:v>
      </x:c>
      <x:c r="E71" s="2" t="str">
        <x:v>N4</x:v>
      </x:c>
      <x:c r="F71" s="10" t="n">
        <x:v>5</x:v>
      </x:c>
      <x:c r="G71" s="2" t="str">
        <x:v>w_9400dbf50b6fb378</x:v>
      </x:c>
      <x:c r="H71" s="2" t="str">
        <x:v>真中</x:v>
      </x:c>
      <x:c r="I71" s="2" t="str">
        <x:v>まんなか</x:v>
      </x:c>
      <x:c r="J71" s="8" t="str">
        <x:v>한가운데, 중앙</x:v>
      </x:c>
      <x:c r="K71" s="2" t="str">
        <x:v>noun</x:v>
      </x:c>
      <x:c r="L71" s="9" t="n">
        <x:v>3.07</x:v>
      </x:c>
      <x:c r="M71" s="2" t="str">
        <x:v>없음</x:v>
      </x:c>
      <x:c r="N71" s="11" t="n">
        <x:v>59</x:v>
      </x:c>
      <x:c r="O71" s="8" t="str">
        <x:v>일반 사용 빈도 보통 이하(Zipf ≤ 3.5); 현재 표기+읽기 조합을 JMdict에서 확인하지 못함; 검증된 예문 없음; JMdict 우선 어휘 표지 없음</x:v>
      </x:c>
      <x:c r="P71" s="8" t="str">
        <x:v>frequency_le_3_5,jmdict_exact_pair_not_found,no_example,no_jmdict_priority</x:v>
      </x:c>
      <x:c r="Q71" s="2" t="str"/>
      <x:c r="R71" s="2" t="str"/>
      <x:c r="S71" s="2" t="str"/>
      <x:c r="T71" s="2" t="str"/>
      <x:c r="U71" s="2" t="str"/>
      <x:c r="V71" s="2" t="str">
        <x:v>아니오</x:v>
      </x:c>
      <x:c r="W71" s="2" t="str">
        <x:v>아니오</x:v>
      </x:c>
      <x:c r="X71" s="2" t="str"/>
      <x:c r="Y71" s="2" t="n">
        <x:v>0</x:v>
      </x:c>
      <x:c r="Z71" s="2" t="str"/>
      <x:c r="AA71" s="2" t="n">
        <x:v>0</x:v>
      </x:c>
      <x:c r="AB71" s="8" t="str"/>
      <x:c r="AC71" s="8" t="str"/>
      <x:c r="AD71" s="8" t="str">
        <x:v>["backfill-replacement","assistant-ko-reviewed"]</x:v>
      </x:c>
      <x:c r="AE71" s="8" t="str">
        <x:v>검토 필요</x:v>
      </x:c>
      <x:c r="AF71" s="8" t="str"/>
    </x:row>
    <x:row r="72">
      <x:c r="A72" s="10" t="n">
        <x:v>71</x:v>
      </x:c>
      <x:c r="B72" s="2" t="str">
        <x:v>1차 검토 후보</x:v>
      </x:c>
      <x:c r="C72" s="2" t="str">
        <x:v>저활용 제외 검토</x:v>
      </x:c>
      <x:c r="D72" s="2" t="str">
        <x:v>중간</x:v>
      </x:c>
      <x:c r="E72" s="2" t="str">
        <x:v>N4</x:v>
      </x:c>
      <x:c r="F72" s="10" t="n">
        <x:v>6</x:v>
      </x:c>
      <x:c r="G72" s="2" t="str">
        <x:v>w_4a9141330965de43</x:v>
      </x:c>
      <x:c r="H72" s="2" t="str">
        <x:v>お陰</x:v>
      </x:c>
      <x:c r="I72" s="2" t="str">
        <x:v>おかげ</x:v>
      </x:c>
      <x:c r="J72" s="8" t="str">
        <x:v>덕분, 덕택</x:v>
      </x:c>
      <x:c r="K72" s="2" t="str">
        <x:v>noun</x:v>
      </x:c>
      <x:c r="L72" s="9"/>
      <x:c r="M72" s="2" t="str">
        <x:v>없음</x:v>
      </x:c>
      <x:c r="N72" s="11" t="n">
        <x:v>58</x:v>
      </x:c>
      <x:c r="O72" s="8" t="str">
        <x:v>일반 사용 빈도가 없거나 0; 검증된 예문 없음; JMdict 우선 어휘 표지 없음</x:v>
      </x:c>
      <x:c r="P72" s="8" t="str">
        <x:v>frequency_missing_or_zero,no_example,no_jmdict_priority</x:v>
      </x:c>
      <x:c r="Q72" s="2" t="str"/>
      <x:c r="R72" s="2" t="str"/>
      <x:c r="S72" s="2" t="str"/>
      <x:c r="T72" s="2" t="str"/>
      <x:c r="U72" s="2" t="str"/>
      <x:c r="V72" s="2" t="str">
        <x:v>아니오</x:v>
      </x:c>
      <x:c r="W72" s="2" t="str">
        <x:v>예</x:v>
      </x:c>
      <x:c r="X72" s="2" t="str"/>
      <x:c r="Y72" s="2" t="n">
        <x:v>0</x:v>
      </x:c>
      <x:c r="Z72" s="2" t="str"/>
      <x:c r="AA72" s="2" t="n">
        <x:v>0</x:v>
      </x:c>
      <x:c r="AB72" s="8" t="str">
        <x:v>word usually written using kana alone</x:v>
      </x:c>
      <x:c r="AC72" s="8" t="str"/>
      <x:c r="AD72" s="8" t="str">
        <x:v>["backfill-replacement","assistant-ko-reviewed"]</x:v>
      </x:c>
      <x:c r="AE72" s="8" t="str">
        <x:v>검토 필요</x:v>
      </x:c>
      <x:c r="AF72" s="8" t="str"/>
    </x:row>
    <x:row r="73">
      <x:c r="A73" s="10" t="n">
        <x:v>72</x:v>
      </x:c>
      <x:c r="B73" s="2" t="str">
        <x:v>1차 검토 후보</x:v>
      </x:c>
      <x:c r="C73" s="2" t="str">
        <x:v>저활용 제외 검토</x:v>
      </x:c>
      <x:c r="D73" s="2" t="str">
        <x:v>중간</x:v>
      </x:c>
      <x:c r="E73" s="2" t="str">
        <x:v>N3</x:v>
      </x:c>
      <x:c r="F73" s="10" t="n">
        <x:v>10</x:v>
      </x:c>
      <x:c r="G73" s="2" t="str">
        <x:v>w_75085f66ce060b20</x:v>
      </x:c>
      <x:c r="H73" s="2" t="str">
        <x:v>ヨーロッパ</x:v>
      </x:c>
      <x:c r="I73" s="2" t="str">
        <x:v>ヨーロッパ</x:v>
      </x:c>
      <x:c r="J73" s="8" t="str">
        <x:v>유럽</x:v>
      </x:c>
      <x:c r="K73" s="2" t="str">
        <x:v>noun</x:v>
      </x:c>
      <x:c r="L73" s="9"/>
      <x:c r="M73" s="2" t="str">
        <x:v>없음</x:v>
      </x:c>
      <x:c r="N73" s="11" t="n">
        <x:v>58</x:v>
      </x:c>
      <x:c r="O73" s="8" t="str">
        <x:v>일반 사용 빈도가 없거나 0; 검증된 예문 없음; JMdict 우선 어휘 표지 없음</x:v>
      </x:c>
      <x:c r="P73" s="8" t="str">
        <x:v>frequency_missing_or_zero,no_example,no_jmdict_priority</x:v>
      </x:c>
      <x:c r="Q73" s="2" t="str"/>
      <x:c r="R73" s="2" t="str"/>
      <x:c r="S73" s="2" t="str"/>
      <x:c r="T73" s="2" t="str"/>
      <x:c r="U73" s="2" t="str"/>
      <x:c r="V73" s="2" t="str">
        <x:v>아니오</x:v>
      </x:c>
      <x:c r="W73" s="2" t="str">
        <x:v>아니오</x:v>
      </x:c>
      <x:c r="X73" s="2" t="str"/>
      <x:c r="Y73" s="2" t="n">
        <x:v>0</x:v>
      </x:c>
      <x:c r="Z73" s="2" t="str"/>
      <x:c r="AA73" s="2" t="n">
        <x:v>0</x:v>
      </x:c>
      <x:c r="AB73" s="8" t="str"/>
      <x:c r="AC73" s="8" t="str"/>
      <x:c r="AD73" s="8" t="str">
        <x:v>["backfill-replacement","assistant-ko-reviewed"]</x:v>
      </x:c>
      <x:c r="AE73" s="8" t="str">
        <x:v>검토 필요</x:v>
      </x:c>
      <x:c r="AF73" s="8" t="str"/>
    </x:row>
    <x:row r="74">
      <x:c r="A74" s="10" t="n">
        <x:v>73</x:v>
      </x:c>
      <x:c r="B74" s="2" t="str">
        <x:v>1차 검토 후보</x:v>
      </x:c>
      <x:c r="C74" s="2" t="str">
        <x:v>저활용 제외 검토</x:v>
      </x:c>
      <x:c r="D74" s="2" t="str">
        <x:v>중간</x:v>
      </x:c>
      <x:c r="E74" s="2" t="str">
        <x:v>N2</x:v>
      </x:c>
      <x:c r="F74" s="10" t="n">
        <x:v>39</x:v>
      </x:c>
      <x:c r="G74" s="2" t="str">
        <x:v>w_3456154ceafce41a</x:v>
      </x:c>
      <x:c r="H74" s="2" t="str">
        <x:v>一昨昨日</x:v>
      </x:c>
      <x:c r="I74" s="2" t="str">
        <x:v>さきおととい</x:v>
      </x:c>
      <x:c r="J74" s="8" t="str">
        <x:v>그끄저께, 사흘 전</x:v>
      </x:c>
      <x:c r="K74" s="2" t="str">
        <x:v>noun</x:v>
      </x:c>
      <x:c r="L74" s="9" t="n">
        <x:v>0</x:v>
      </x:c>
      <x:c r="M74" s="2" t="str">
        <x:v>없음</x:v>
      </x:c>
      <x:c r="N74" s="11" t="n">
        <x:v>58</x:v>
      </x:c>
      <x:c r="O74" s="8" t="str">
        <x:v>일반 사용 빈도가 없거나 0; 검증된 예문 없음; JMdict 우선 어휘 표지 없음</x:v>
      </x:c>
      <x:c r="P74" s="8" t="str">
        <x:v>frequency_missing_or_zero,no_example,no_jmdict_priority</x:v>
      </x:c>
      <x:c r="Q74" s="2" t="str"/>
      <x:c r="R74" s="2" t="str"/>
      <x:c r="S74" s="2" t="str"/>
      <x:c r="T74" s="2" t="str"/>
      <x:c r="U74" s="2" t="str"/>
      <x:c r="V74" s="2" t="str">
        <x:v>아니오</x:v>
      </x:c>
      <x:c r="W74" s="2" t="str">
        <x:v>예</x:v>
      </x:c>
      <x:c r="X74" s="2" t="str"/>
      <x:c r="Y74" s="2" t="n">
        <x:v>0</x:v>
      </x:c>
      <x:c r="Z74" s="2" t="str"/>
      <x:c r="AA74" s="2" t="n">
        <x:v>0</x:v>
      </x:c>
      <x:c r="AB74" s="8" t="str"/>
      <x:c r="AC74" s="8" t="str"/>
      <x:c r="AD74" s="8" t="str">
        <x:v>["ko-reviewed"]</x:v>
      </x:c>
      <x:c r="AE74" s="8" t="str">
        <x:v>검토 필요</x:v>
      </x:c>
      <x:c r="AF74" s="8" t="str"/>
    </x:row>
    <x:row r="75">
      <x:c r="A75" s="10" t="n">
        <x:v>74</x:v>
      </x:c>
      <x:c r="B75" s="2" t="str">
        <x:v>1차 검토 후보</x:v>
      </x:c>
      <x:c r="C75" s="2" t="str">
        <x:v>저활용 제외 검토</x:v>
      </x:c>
      <x:c r="D75" s="2" t="str">
        <x:v>중간</x:v>
      </x:c>
      <x:c r="E75" s="2" t="str">
        <x:v>N2</x:v>
      </x:c>
      <x:c r="F75" s="10" t="n">
        <x:v>40</x:v>
      </x:c>
      <x:c r="G75" s="2" t="str">
        <x:v>w_4adb990c9b6ef797</x:v>
      </x:c>
      <x:c r="H75" s="2" t="str">
        <x:v>よごす</x:v>
      </x:c>
      <x:c r="I75" s="2" t="str">
        <x:v>よごす</x:v>
      </x:c>
      <x:c r="J75" s="8" t="str">
        <x:v>더럽히다, 오염시키다</x:v>
      </x:c>
      <x:c r="K75" s="2" t="str">
        <x:v>verb</x:v>
      </x:c>
      <x:c r="L75" s="9" t="n">
        <x:v>0</x:v>
      </x:c>
      <x:c r="M75" s="2" t="str">
        <x:v>없음</x:v>
      </x:c>
      <x:c r="N75" s="11" t="n">
        <x:v>58</x:v>
      </x:c>
      <x:c r="O75" s="8" t="str">
        <x:v>일반 사용 빈도가 없거나 0; 검증된 예문 없음; JMdict 우선 어휘 표지 없음</x:v>
      </x:c>
      <x:c r="P75" s="8" t="str">
        <x:v>frequency_missing_or_zero,no_example,no_jmdict_priority</x:v>
      </x:c>
      <x:c r="Q75" s="2" t="str"/>
      <x:c r="R75" s="2" t="str"/>
      <x:c r="S75" s="2" t="str"/>
      <x:c r="T75" s="2" t="str"/>
      <x:c r="U75" s="2" t="str"/>
      <x:c r="V75" s="2" t="str">
        <x:v>아니오</x:v>
      </x:c>
      <x:c r="W75" s="2" t="str">
        <x:v>아니오</x:v>
      </x:c>
      <x:c r="X75" s="2" t="str"/>
      <x:c r="Y75" s="2" t="n">
        <x:v>0</x:v>
      </x:c>
      <x:c r="Z75" s="2" t="str"/>
      <x:c r="AA75" s="2" t="n">
        <x:v>0</x:v>
      </x:c>
      <x:c r="AB75" s="8" t="str"/>
      <x:c r="AC75" s="8" t="str"/>
      <x:c r="AD75" s="8" t="str">
        <x:v>["backfill-replacement","assistant-ko-reviewed"]</x:v>
      </x:c>
      <x:c r="AE75" s="8" t="str">
        <x:v>검토 필요</x:v>
      </x:c>
      <x:c r="AF75" s="8" t="str"/>
    </x:row>
    <x:row r="76">
      <x:c r="A76" s="10" t="n">
        <x:v>75</x:v>
      </x:c>
      <x:c r="B76" s="2" t="str">
        <x:v>1차 검토 후보</x:v>
      </x:c>
      <x:c r="C76" s="2" t="str">
        <x:v>저활용 제외 검토</x:v>
      </x:c>
      <x:c r="D76" s="2" t="str">
        <x:v>중간</x:v>
      </x:c>
      <x:c r="E76" s="2" t="str">
        <x:v>N1</x:v>
      </x:c>
      <x:c r="F76" s="10" t="n">
        <x:v>18</x:v>
      </x:c>
      <x:c r="G76" s="2" t="str">
        <x:v>w_711996ffe2141f86</x:v>
      </x:c>
      <x:c r="H76" s="2" t="str">
        <x:v>赤らむ</x:v>
      </x:c>
      <x:c r="I76" s="2" t="str">
        <x:v>あからむ</x:v>
      </x:c>
      <x:c r="J76" s="8" t="str">
        <x:v>붉어지다, 얼굴이 붉어지다</x:v>
      </x:c>
      <x:c r="K76" s="2" t="str">
        <x:v>verb</x:v>
      </x:c>
      <x:c r="L76" s="9" t="n">
        <x:v>0</x:v>
      </x:c>
      <x:c r="M76" s="2" t="str">
        <x:v>없음</x:v>
      </x:c>
      <x:c r="N76" s="11" t="n">
        <x:v>58</x:v>
      </x:c>
      <x:c r="O76" s="8" t="str">
        <x:v>일반 사용 빈도가 없거나 0; 검증된 예문 없음; JMdict 우선 어휘 표지 없음</x:v>
      </x:c>
      <x:c r="P76" s="8" t="str">
        <x:v>frequency_missing_or_zero,no_example,no_jmdict_priority</x:v>
      </x:c>
      <x:c r="Q76" s="2" t="str"/>
      <x:c r="R76" s="2" t="str"/>
      <x:c r="S76" s="2" t="str"/>
      <x:c r="T76" s="2" t="str"/>
      <x:c r="U76" s="2" t="str"/>
      <x:c r="V76" s="2" t="str">
        <x:v>아니오</x:v>
      </x:c>
      <x:c r="W76" s="2" t="str">
        <x:v>예</x:v>
      </x:c>
      <x:c r="X76" s="2" t="str"/>
      <x:c r="Y76" s="2" t="n">
        <x:v>0</x:v>
      </x:c>
      <x:c r="Z76" s="2" t="str"/>
      <x:c r="AA76" s="2" t="n">
        <x:v>0</x:v>
      </x:c>
      <x:c r="AB76" s="8" t="str"/>
      <x:c r="AC76" s="8" t="str"/>
      <x:c r="AD76" s="8" t="str">
        <x:v>["ko-reviewed"]</x:v>
      </x:c>
      <x:c r="AE76" s="8" t="str">
        <x:v>검토 필요</x:v>
      </x:c>
      <x:c r="AF76" s="8" t="str"/>
    </x:row>
    <x:row r="77">
      <x:c r="A77" s="10" t="n">
        <x:v>76</x:v>
      </x:c>
      <x:c r="B77" s="2" t="str">
        <x:v>1차 검토 후보</x:v>
      </x:c>
      <x:c r="C77" s="2" t="str">
        <x:v>중복 변형 제거 검토</x:v>
      </x:c>
      <x:c r="D77" s="2" t="str">
        <x:v>중간</x:v>
      </x:c>
      <x:c r="E77" s="2" t="str">
        <x:v>N2</x:v>
      </x:c>
      <x:c r="F77" s="10" t="n">
        <x:v>41</x:v>
      </x:c>
      <x:c r="G77" s="2" t="str">
        <x:v>w_0393f67c87100c37</x:v>
      </x:c>
      <x:c r="H77" s="2" t="str">
        <x:v>話合い</x:v>
      </x:c>
      <x:c r="I77" s="2" t="str">
        <x:v>はなしあい</x:v>
      </x:c>
      <x:c r="J77" s="8" t="str">
        <x:v>논의, 말하다</x:v>
      </x:c>
      <x:c r="K77" s="2" t="str">
        <x:v>noun</x:v>
      </x:c>
      <x:c r="L77" s="9" t="n">
        <x:v>2.58</x:v>
      </x:c>
      <x:c r="M77" s="2" t="str">
        <x:v>없음</x:v>
      </x:c>
      <x:c r="N77" s="11" t="n">
        <x:v>58</x:v>
      </x:c>
      <x:c r="O77" s="8" t="str">
        <x:v>일반 사용 빈도 낮은 편(Zipf ≤ 3.0); 검증된 예문 없음; 동일 JMdict 표제어의 표기·읽기 변형; 기존 데이터의 한국어 콘텐츠 보강 필요 태그</x:v>
      </x:c>
      <x:c r="P77" s="8" t="str">
        <x:v>frequency_le_3_0,no_example,same_jmdict_entry,weak_legacy_content</x:v>
      </x:c>
      <x:c r="Q77" s="2" t="str">
        <x:v>vg_006</x:v>
      </x:c>
      <x:c r="R77" s="2" t="str">
        <x:v>same_jmdict_entry</x:v>
      </x:c>
      <x:c r="S77" s="2" t="str">
        <x:v>w_c83fe07fb32b63ab</x:v>
      </x:c>
      <x:c r="T77" s="2" t="str">
        <x:v>話し合い</x:v>
      </x:c>
      <x:c r="U77" s="2" t="str">
        <x:v>はなしあい</x:v>
      </x:c>
      <x:c r="V77" s="2" t="str">
        <x:v>아니오</x:v>
      </x:c>
      <x:c r="W77" s="2" t="str">
        <x:v>예</x:v>
      </x:c>
      <x:c r="X77" s="2" t="str">
        <x:v>ichi1,news1,nf03</x:v>
      </x:c>
      <x:c r="Y77" s="2" t="n">
        <x:v>100</x:v>
      </x:c>
      <x:c r="Z77" s="2" t="str">
        <x:v>ichi1</x:v>
      </x:c>
      <x:c r="AA77" s="2" t="n">
        <x:v>100</x:v>
      </x:c>
      <x:c r="AB77" s="8" t="str"/>
      <x:c r="AC77" s="8" t="str"/>
      <x:c r="AD77" s="8" t="str">
        <x:v>["draft-ko-missing"]</x:v>
      </x:c>
      <x:c r="AE77" s="8" t="str">
        <x:v>검토 필요</x:v>
      </x:c>
      <x:c r="AF77" s="8" t="str"/>
    </x:row>
    <x:row r="78">
      <x:c r="A78" s="10" t="n">
        <x:v>77</x:v>
      </x:c>
      <x:c r="B78" s="2" t="str">
        <x:v>1차 제외 추천</x:v>
      </x:c>
      <x:c r="C78" s="2" t="str">
        <x:v>중복 변형 제거 검토</x:v>
      </x:c>
      <x:c r="D78" s="2" t="str">
        <x:v>높음</x:v>
      </x:c>
      <x:c r="E78" s="2" t="str">
        <x:v>N3</x:v>
      </x:c>
      <x:c r="F78" s="10" t="n">
        <x:v>11</x:v>
      </x:c>
      <x:c r="G78" s="2" t="str">
        <x:v>w_f3c36a6b1c35c8d8</x:v>
      </x:c>
      <x:c r="H78" s="2" t="str">
        <x:v>代える</x:v>
      </x:c>
      <x:c r="I78" s="2" t="str">
        <x:v>かえる</x:v>
      </x:c>
      <x:c r="J78" s="8" t="str">
        <x:v>교환하다, 교환, 대체하다</x:v>
      </x:c>
      <x:c r="K78" s="2" t="str">
        <x:v>verb</x:v>
      </x:c>
      <x:c r="L78" s="9" t="n">
        <x:v>2.61</x:v>
      </x:c>
      <x:c r="M78" s="2" t="str">
        <x:v>없음</x:v>
      </x:c>
      <x:c r="N78" s="11" t="n">
        <x:v>58</x:v>
      </x:c>
      <x:c r="O78" s="8" t="str">
        <x:v>일반 사용 빈도 낮은 편(Zipf ≤ 3.0); 검증된 예문 없음; 동일 JMdict 표제어의 표기·읽기 변형; 읽기와 한국어 뜻이 같은 표기 변형</x:v>
      </x:c>
      <x:c r="P78" s="8" t="str">
        <x:v>frequency_le_3_0,no_example,same_jmdict_entry,same_reading_meaning,weak_legacy_content</x:v>
      </x:c>
      <x:c r="Q78" s="2" t="str">
        <x:v>vg_099</x:v>
      </x:c>
      <x:c r="R78" s="2" t="str">
        <x:v>same_jmdict_entry,same_reading_meaning</x:v>
      </x:c>
      <x:c r="S78" s="2" t="str">
        <x:v>w_bb59d051bed3ec91</x:v>
      </x:c>
      <x:c r="T78" s="2" t="str">
        <x:v>替える</x:v>
      </x:c>
      <x:c r="U78" s="2" t="str">
        <x:v>かえる</x:v>
      </x:c>
      <x:c r="V78" s="2" t="str">
        <x:v>예</x:v>
      </x:c>
      <x:c r="W78" s="2" t="str">
        <x:v>예</x:v>
      </x:c>
      <x:c r="X78" s="2" t="str">
        <x:v>ichi1,news1,nf24</x:v>
      </x:c>
      <x:c r="Y78" s="2" t="n">
        <x:v>100</x:v>
      </x:c>
      <x:c r="Z78" s="2" t="str">
        <x:v>ichi1,news1,nf24</x:v>
      </x:c>
      <x:c r="AA78" s="2" t="n">
        <x:v>100</x:v>
      </x:c>
      <x:c r="AB78" s="8" t="str">
        <x:v>usu. 代える | usu. 換える | usu. 替える</x:v>
      </x:c>
      <x:c r="AC78" s="8" t="str"/>
      <x:c r="AD78" s="8" t="str">
        <x:v>["draft-ko-missing"]</x:v>
      </x:c>
      <x:c r="AE78" s="8" t="str">
        <x:v>검토 필요</x:v>
      </x:c>
      <x:c r="AF78" s="8" t="str"/>
    </x:row>
    <x:row r="79">
      <x:c r="A79" s="10" t="n">
        <x:v>78</x:v>
      </x:c>
      <x:c r="B79" s="2" t="str">
        <x:v>1차 제외 추천</x:v>
      </x:c>
      <x:c r="C79" s="2" t="str">
        <x:v>중복 변형 제거 검토</x:v>
      </x:c>
      <x:c r="D79" s="2" t="str">
        <x:v>높음</x:v>
      </x:c>
      <x:c r="E79" s="2" t="str">
        <x:v>N3</x:v>
      </x:c>
      <x:c r="F79" s="10" t="n">
        <x:v>12</x:v>
      </x:c>
      <x:c r="G79" s="2" t="str">
        <x:v>w_3e244d7a11df3ed3</x:v>
      </x:c>
      <x:c r="H79" s="2" t="str">
        <x:v>器械</x:v>
      </x:c>
      <x:c r="I79" s="2" t="str">
        <x:v>きかい</x:v>
      </x:c>
      <x:c r="J79" s="8" t="str">
        <x:v>기계, 기구</x:v>
      </x:c>
      <x:c r="K79" s="2" t="str">
        <x:v>noun</x:v>
      </x:c>
      <x:c r="L79" s="9" t="n">
        <x:v>2.68</x:v>
      </x:c>
      <x:c r="M79" s="2" t="str">
        <x:v>없음</x:v>
      </x:c>
      <x:c r="N79" s="11" t="n">
        <x:v>58</x:v>
      </x:c>
      <x:c r="O79" s="8" t="str">
        <x:v>일반 사용 빈도 낮은 편(Zipf ≤ 3.0); 검증된 예문 없음; 동일 JMdict 표제어의 표기·읽기 변형; 기존 데이터의 한국어 콘텐츠 보강 필요 태그</x:v>
      </x:c>
      <x:c r="P79" s="8" t="str">
        <x:v>frequency_le_3_0,no_example,same_jmdict_entry,weak_legacy_content</x:v>
      </x:c>
      <x:c r="Q79" s="2" t="str">
        <x:v>vg_041</x:v>
      </x:c>
      <x:c r="R79" s="2" t="str">
        <x:v>same_jmdict_entry</x:v>
      </x:c>
      <x:c r="S79" s="2" t="str">
        <x:v>w_a392e3edd73c3036</x:v>
      </x:c>
      <x:c r="T79" s="2" t="str">
        <x:v>機械</x:v>
      </x:c>
      <x:c r="U79" s="2" t="str">
        <x:v>きかい</x:v>
      </x:c>
      <x:c r="V79" s="2" t="str">
        <x:v>예</x:v>
      </x:c>
      <x:c r="W79" s="2" t="str">
        <x:v>예</x:v>
      </x:c>
      <x:c r="X79" s="2" t="str">
        <x:v>ichi1,news1,nf03</x:v>
      </x:c>
      <x:c r="Y79" s="2" t="n">
        <x:v>100</x:v>
      </x:c>
      <x:c r="Z79" s="2" t="str">
        <x:v>ichi1</x:v>
      </x:c>
      <x:c r="AA79" s="2" t="n">
        <x:v>100</x:v>
      </x:c>
      <x:c r="AB79" s="8" t="str">
        <x:v>often 器械</x:v>
      </x:c>
      <x:c r="AC79" s="8" t="str"/>
      <x:c r="AD79" s="8" t="str">
        <x:v>["draft-ko-missing"]</x:v>
      </x:c>
      <x:c r="AE79" s="8" t="str">
        <x:v>검토 필요</x:v>
      </x:c>
      <x:c r="AF79" s="8" t="str"/>
    </x:row>
    <x:row r="80">
      <x:c r="A80" s="10" t="n">
        <x:v>79</x:v>
      </x:c>
      <x:c r="B80" s="2" t="str">
        <x:v>1차 제외 추천</x:v>
      </x:c>
      <x:c r="C80" s="2" t="str">
        <x:v>중복 변형 제거 검토</x:v>
      </x:c>
      <x:c r="D80" s="2" t="str">
        <x:v>높음</x:v>
      </x:c>
      <x:c r="E80" s="2" t="str">
        <x:v>N3</x:v>
      </x:c>
      <x:c r="F80" s="10" t="n">
        <x:v>13</x:v>
      </x:c>
      <x:c r="G80" s="2" t="str">
        <x:v>w_a1af5d3d26a5e7b2</x:v>
      </x:c>
      <x:c r="H80" s="2" t="str">
        <x:v>換える</x:v>
      </x:c>
      <x:c r="I80" s="2" t="str">
        <x:v>かえる</x:v>
      </x:c>
      <x:c r="J80" s="8" t="str">
        <x:v>교환하다, 교환, 대체하다</x:v>
      </x:c>
      <x:c r="K80" s="2" t="str">
        <x:v>verb</x:v>
      </x:c>
      <x:c r="L80" s="9" t="n">
        <x:v>2.71</x:v>
      </x:c>
      <x:c r="M80" s="2" t="str">
        <x:v>없음</x:v>
      </x:c>
      <x:c r="N80" s="11" t="n">
        <x:v>58</x:v>
      </x:c>
      <x:c r="O80" s="8" t="str">
        <x:v>일반 사용 빈도 낮은 편(Zipf ≤ 3.0); 검증된 예문 없음; 동일 JMdict 표제어의 표기·읽기 변형; 읽기와 한국어 뜻이 같은 표기 변형</x:v>
      </x:c>
      <x:c r="P80" s="8" t="str">
        <x:v>frequency_le_3_0,no_example,same_jmdict_entry,same_reading_meaning,weak_legacy_content</x:v>
      </x:c>
      <x:c r="Q80" s="2" t="str">
        <x:v>vg_099</x:v>
      </x:c>
      <x:c r="R80" s="2" t="str">
        <x:v>same_jmdict_entry,same_reading_meaning</x:v>
      </x:c>
      <x:c r="S80" s="2" t="str">
        <x:v>w_bb59d051bed3ec91</x:v>
      </x:c>
      <x:c r="T80" s="2" t="str">
        <x:v>替える</x:v>
      </x:c>
      <x:c r="U80" s="2" t="str">
        <x:v>かえる</x:v>
      </x:c>
      <x:c r="V80" s="2" t="str">
        <x:v>예</x:v>
      </x:c>
      <x:c r="W80" s="2" t="str">
        <x:v>예</x:v>
      </x:c>
      <x:c r="X80" s="2" t="str">
        <x:v>ichi1,news1,nf24</x:v>
      </x:c>
      <x:c r="Y80" s="2" t="n">
        <x:v>100</x:v>
      </x:c>
      <x:c r="Z80" s="2" t="str">
        <x:v>ichi1</x:v>
      </x:c>
      <x:c r="AA80" s="2" t="n">
        <x:v>100</x:v>
      </x:c>
      <x:c r="AB80" s="8" t="str">
        <x:v>usu. 代える | usu. 換える | usu. 替える</x:v>
      </x:c>
      <x:c r="AC80" s="8" t="str"/>
      <x:c r="AD80" s="8" t="str">
        <x:v>["draft-ko-missing"]</x:v>
      </x:c>
      <x:c r="AE80" s="8" t="str">
        <x:v>검토 필요</x:v>
      </x:c>
      <x:c r="AF80" s="8" t="str"/>
    </x:row>
    <x:row r="81">
      <x:c r="A81" s="10" t="n">
        <x:v>80</x:v>
      </x:c>
      <x:c r="B81" s="2" t="str">
        <x:v>1차 제외 추천</x:v>
      </x:c>
      <x:c r="C81" s="2" t="str">
        <x:v>중복 변형 제거 검토</x:v>
      </x:c>
      <x:c r="D81" s="2" t="str">
        <x:v>높음</x:v>
      </x:c>
      <x:c r="E81" s="2" t="str">
        <x:v>N3</x:v>
      </x:c>
      <x:c r="F81" s="10" t="n">
        <x:v>14</x:v>
      </x:c>
      <x:c r="G81" s="2" t="str">
        <x:v>w_654de4aa5b8a5a22</x:v>
      </x:c>
      <x:c r="H81" s="2" t="str">
        <x:v>生長</x:v>
      </x:c>
      <x:c r="I81" s="2" t="str">
        <x:v>せいちょう</x:v>
      </x:c>
      <x:c r="J81" s="8" t="str">
        <x:v>성장</x:v>
      </x:c>
      <x:c r="K81" s="2" t="str">
        <x:v>noun</x:v>
      </x:c>
      <x:c r="L81" s="9" t="n">
        <x:v>2.75</x:v>
      </x:c>
      <x:c r="M81" s="2" t="str">
        <x:v>없음</x:v>
      </x:c>
      <x:c r="N81" s="11" t="n">
        <x:v>58</x:v>
      </x:c>
      <x:c r="O81" s="8" t="str">
        <x:v>일반 사용 빈도 낮은 편(Zipf ≤ 3.0); 검증된 예문 없음; 읽기와 한국어 뜻이 같은 표기 변형; 기존 데이터의 한국어 콘텐츠 보강 필요 태그</x:v>
      </x:c>
      <x:c r="P81" s="8" t="str">
        <x:v>frequency_le_3_0,no_example,same_reading_meaning,weak_legacy_content</x:v>
      </x:c>
      <x:c r="Q81" s="2" t="str">
        <x:v>vg_066</x:v>
      </x:c>
      <x:c r="R81" s="2" t="str">
        <x:v>same_reading_meaning</x:v>
      </x:c>
      <x:c r="S81" s="2" t="str">
        <x:v>w_8d1a9456355ab2d7</x:v>
      </x:c>
      <x:c r="T81" s="2" t="str">
        <x:v>成長</x:v>
      </x:c>
      <x:c r="U81" s="2" t="str">
        <x:v>せいちょう</x:v>
      </x:c>
      <x:c r="V81" s="2" t="str">
        <x:v>아니오</x:v>
      </x:c>
      <x:c r="W81" s="2" t="str">
        <x:v>예</x:v>
      </x:c>
      <x:c r="X81" s="2" t="str">
        <x:v>ichi1,news1,nf18</x:v>
      </x:c>
      <x:c r="Y81" s="2" t="n">
        <x:v>100</x:v>
      </x:c>
      <x:c r="Z81" s="2" t="str">
        <x:v>ichi1,news1,nf18</x:v>
      </x:c>
      <x:c r="AA81" s="2" t="n">
        <x:v>100</x:v>
      </x:c>
      <x:c r="AB81" s="8" t="str"/>
      <x:c r="AC81" s="8" t="str"/>
      <x:c r="AD81" s="8" t="str">
        <x:v>["draft-ko-missing"]</x:v>
      </x:c>
      <x:c r="AE81" s="8" t="str">
        <x:v>검토 필요</x:v>
      </x:c>
      <x:c r="AF81" s="8" t="str"/>
    </x:row>
    <x:row r="82">
      <x:c r="A82" s="10" t="n">
        <x:v>81</x:v>
      </x:c>
      <x:c r="B82" s="2" t="str">
        <x:v>1차 제외 추천</x:v>
      </x:c>
      <x:c r="C82" s="2" t="str">
        <x:v>중복 변형 제거 검토</x:v>
      </x:c>
      <x:c r="D82" s="2" t="str">
        <x:v>높음</x:v>
      </x:c>
      <x:c r="E82" s="2" t="str">
        <x:v>N2</x:v>
      </x:c>
      <x:c r="F82" s="10" t="n">
        <x:v>42</x:v>
      </x:c>
      <x:c r="G82" s="2" t="str">
        <x:v>w_4776b316aada823e</x:v>
      </x:c>
      <x:c r="H82" s="2" t="str">
        <x:v>古里</x:v>
      </x:c>
      <x:c r="I82" s="2" t="str">
        <x:v>ふるさと</x:v>
      </x:c>
      <x:c r="J82" s="8" t="str">
        <x:v>고향</x:v>
      </x:c>
      <x:c r="K82" s="2" t="str">
        <x:v>noun</x:v>
      </x:c>
      <x:c r="L82" s="9" t="n">
        <x:v>2.78</x:v>
      </x:c>
      <x:c r="M82" s="2" t="str">
        <x:v>없음</x:v>
      </x:c>
      <x:c r="N82" s="11" t="n">
        <x:v>58</x:v>
      </x:c>
      <x:c r="O82" s="8" t="str">
        <x:v>일반 사용 빈도 낮은 편(Zipf ≤ 3.0); 검증된 예문 없음; 동일 JMdict 표제어의 표기·읽기 변형; 읽기와 한국어 뜻이 같은 표기 변형</x:v>
      </x:c>
      <x:c r="P82" s="8" t="str">
        <x:v>frequency_le_3_0,no_example,same_jmdict_entry,same_reading_meaning,weak_legacy_content</x:v>
      </x:c>
      <x:c r="Q82" s="2" t="str">
        <x:v>vg_045</x:v>
      </x:c>
      <x:c r="R82" s="2" t="str">
        <x:v>same_jmdict_entry,same_reading_meaning</x:v>
      </x:c>
      <x:c r="S82" s="2" t="str">
        <x:v>w_bee94fbea347ec81</x:v>
      </x:c>
      <x:c r="T82" s="2" t="str">
        <x:v>故郷</x:v>
      </x:c>
      <x:c r="U82" s="2" t="str">
        <x:v>ふるさと</x:v>
      </x:c>
      <x:c r="V82" s="2" t="str">
        <x:v>아니오</x:v>
      </x:c>
      <x:c r="W82" s="2" t="str">
        <x:v>예</x:v>
      </x:c>
      <x:c r="X82" s="2" t="str">
        <x:v>ichi1,news1,nf06</x:v>
      </x:c>
      <x:c r="Y82" s="2" t="n">
        <x:v>100</x:v>
      </x:c>
      <x:c r="Z82" s="2" t="str">
        <x:v>ichi1</x:v>
      </x:c>
      <x:c r="AA82" s="2" t="n">
        <x:v>100</x:v>
      </x:c>
      <x:c r="AB82" s="8" t="str">
        <x:v>archaic | word usually written using kana alone</x:v>
      </x:c>
      <x:c r="AC82" s="8" t="str"/>
      <x:c r="AD82" s="8" t="str">
        <x:v>["draft-ko-missing"]</x:v>
      </x:c>
      <x:c r="AE82" s="8" t="str">
        <x:v>검토 필요</x:v>
      </x:c>
      <x:c r="AF82" s="8" t="str"/>
    </x:row>
    <x:row r="83">
      <x:c r="A83" s="10" t="n">
        <x:v>82</x:v>
      </x:c>
      <x:c r="B83" s="2" t="str">
        <x:v>1차 검토 후보</x:v>
      </x:c>
      <x:c r="C83" s="2" t="str">
        <x:v>중복 변형 제거 검토</x:v>
      </x:c>
      <x:c r="D83" s="2" t="str">
        <x:v>중간</x:v>
      </x:c>
      <x:c r="E83" s="2" t="str">
        <x:v>N2</x:v>
      </x:c>
      <x:c r="F83" s="10" t="n">
        <x:v>43</x:v>
      </x:c>
      <x:c r="G83" s="2" t="str">
        <x:v>w_352d0cc63c98463d</x:v>
      </x:c>
      <x:c r="H83" s="2" t="str">
        <x:v>日日</x:v>
      </x:c>
      <x:c r="I83" s="2" t="str">
        <x:v>ひにち</x:v>
      </x:c>
      <x:c r="J83" s="8" t="str">
        <x:v>날짜</x:v>
      </x:c>
      <x:c r="K83" s="2" t="str">
        <x:v>noun</x:v>
      </x:c>
      <x:c r="L83" s="9" t="n">
        <x:v>2.82</x:v>
      </x:c>
      <x:c r="M83" s="2" t="str">
        <x:v>없음</x:v>
      </x:c>
      <x:c r="N83" s="11" t="n">
        <x:v>58</x:v>
      </x:c>
      <x:c r="O83" s="8" t="str">
        <x:v>일반 사용 빈도 낮은 편(Zipf ≤ 3.0); 검증된 예문 없음; 동일 JMdict 표제어의 표기·읽기 변형; 기존 데이터의 한국어 콘텐츠 보강 필요 태그</x:v>
      </x:c>
      <x:c r="P83" s="8" t="str">
        <x:v>frequency_le_3_0,no_example,same_jmdict_entry,weak_legacy_content</x:v>
      </x:c>
      <x:c r="Q83" s="2" t="str">
        <x:v>vg_002</x:v>
      </x:c>
      <x:c r="R83" s="2" t="str">
        <x:v>same_jmdict_entry</x:v>
      </x:c>
      <x:c r="S83" s="2" t="str">
        <x:v>w_011337c673b66fbe</x:v>
      </x:c>
      <x:c r="T83" s="2" t="str">
        <x:v>日にち</x:v>
      </x:c>
      <x:c r="U83" s="2" t="str">
        <x:v>ひにち</x:v>
      </x:c>
      <x:c r="V83" s="2" t="str">
        <x:v>아니오</x:v>
      </x:c>
      <x:c r="W83" s="2" t="str">
        <x:v>예</x:v>
      </x:c>
      <x:c r="X83" s="2" t="str">
        <x:v>ichi1,news1,nf23</x:v>
      </x:c>
      <x:c r="Y83" s="2" t="n">
        <x:v>100</x:v>
      </x:c>
      <x:c r="Z83" s="2" t="str"/>
      <x:c r="AA83" s="2" t="n">
        <x:v>0</x:v>
      </x:c>
      <x:c r="AB83" s="8" t="str"/>
      <x:c r="AC83" s="8" t="str"/>
      <x:c r="AD83" s="8" t="str">
        <x:v>["draft-ko-missing"]</x:v>
      </x:c>
      <x:c r="AE83" s="8" t="str">
        <x:v>검토 필요</x:v>
      </x:c>
      <x:c r="AF83" s="8" t="str"/>
    </x:row>
    <x:row r="84">
      <x:c r="A84" s="10" t="n">
        <x:v>83</x:v>
      </x:c>
      <x:c r="B84" s="2" t="str">
        <x:v>1차 제외 추천</x:v>
      </x:c>
      <x:c r="C84" s="2" t="str">
        <x:v>중복 변형 제거 검토</x:v>
      </x:c>
      <x:c r="D84" s="2" t="str">
        <x:v>높음</x:v>
      </x:c>
      <x:c r="E84" s="2" t="str">
        <x:v>N2</x:v>
      </x:c>
      <x:c r="F84" s="10" t="n">
        <x:v>44</x:v>
      </x:c>
      <x:c r="G84" s="2" t="str">
        <x:v>w_e74097848962e54a</x:v>
      </x:c>
      <x:c r="H84" s="2" t="str">
        <x:v>捜す</x:v>
      </x:c>
      <x:c r="I84" s="2" t="str">
        <x:v>さがす</x:v>
      </x:c>
      <x:c r="J84" s="8" t="str">
        <x:v>찾다, 검색하다, 구하다</x:v>
      </x:c>
      <x:c r="K84" s="2" t="str">
        <x:v>verb</x:v>
      </x:c>
      <x:c r="L84" s="9" t="n">
        <x:v>2.86</x:v>
      </x:c>
      <x:c r="M84" s="2" t="str">
        <x:v>없음</x:v>
      </x:c>
      <x:c r="N84" s="11" t="n">
        <x:v>58</x:v>
      </x:c>
      <x:c r="O84" s="8" t="str">
        <x:v>일반 사용 빈도 낮은 편(Zipf ≤ 3.0); 검증된 예문 없음; 동일 JMdict 표제어의 표기·읽기 변형; 읽기와 한국어 뜻이 같은 표기 변형</x:v>
      </x:c>
      <x:c r="P84" s="8" t="str">
        <x:v>frequency_le_3_0,no_example,same_jmdict_entry,same_reading_meaning,weak_legacy_content</x:v>
      </x:c>
      <x:c r="Q84" s="2" t="str">
        <x:v>vg_063</x:v>
      </x:c>
      <x:c r="R84" s="2" t="str">
        <x:v>same_jmdict_entry,same_reading_meaning</x:v>
      </x:c>
      <x:c r="S84" s="2" t="str">
        <x:v>w_6257d89430551d56</x:v>
      </x:c>
      <x:c r="T84" s="2" t="str">
        <x:v>探す</x:v>
      </x:c>
      <x:c r="U84" s="2" t="str">
        <x:v>さがす</x:v>
      </x:c>
      <x:c r="V84" s="2" t="str">
        <x:v>예</x:v>
      </x:c>
      <x:c r="W84" s="2" t="str">
        <x:v>예</x:v>
      </x:c>
      <x:c r="X84" s="2" t="str">
        <x:v>ichi1,news1,nf16</x:v>
      </x:c>
      <x:c r="Y84" s="2" t="n">
        <x:v>100</x:v>
      </x:c>
      <x:c r="Z84" s="2" t="str">
        <x:v>ichi1</x:v>
      </x:c>
      <x:c r="AA84" s="2" t="n">
        <x:v>100</x:v>
      </x:c>
      <x:c r="AB84" s="8" t="str">
        <x:v>esp. 探す for something desired and 捜す for something lost</x:v>
      </x:c>
      <x:c r="AC84" s="8" t="str"/>
      <x:c r="AD84" s="8" t="str">
        <x:v>["draft-ko-missing"]</x:v>
      </x:c>
      <x:c r="AE84" s="8" t="str">
        <x:v>검토 필요</x:v>
      </x:c>
      <x:c r="AF84" s="8" t="str"/>
    </x:row>
    <x:row r="85">
      <x:c r="A85" s="10" t="n">
        <x:v>84</x:v>
      </x:c>
      <x:c r="B85" s="2" t="str">
        <x:v>1차 검토 후보</x:v>
      </x:c>
      <x:c r="C85" s="2" t="str">
        <x:v>표기 교정·교체 검토</x:v>
      </x:c>
      <x:c r="D85" s="2" t="str">
        <x:v>중간</x:v>
      </x:c>
      <x:c r="E85" s="2" t="str">
        <x:v>N2</x:v>
      </x:c>
      <x:c r="F85" s="10" t="n">
        <x:v>45</x:v>
      </x:c>
      <x:c r="G85" s="2" t="str">
        <x:v>w_45c5e33b5893a15e</x:v>
      </x:c>
      <x:c r="H85" s="2" t="str">
        <x:v>切っ掛け</x:v>
      </x:c>
      <x:c r="I85" s="2" t="str">
        <x:v>きっかけ</x:v>
      </x:c>
      <x:c r="J85" s="8" t="str">
        <x:v>계기, 동기</x:v>
      </x:c>
      <x:c r="K85" s="2" t="str">
        <x:v>noun</x:v>
      </x:c>
      <x:c r="L85" s="9" t="n">
        <x:v>2.91</x:v>
      </x:c>
      <x:c r="M85" s="2" t="str">
        <x:v>없음</x:v>
      </x:c>
      <x:c r="N85" s="11" t="n">
        <x:v>58</x:v>
      </x:c>
      <x:c r="O85" s="8" t="str">
        <x:v>일반 사용 빈도 낮은 편(Zipf ≤ 3.0); JMdict에서 희귀·비표준 표기로 표시; 기존 한국어 뜻 품질 감사 대상; 검증된 예문 없음</x:v>
      </x:c>
      <x:c r="P85" s="8" t="str">
        <x:v>frequency_le_3_0,jmdict_uncommon_or_irregular,legacy_gloss_audit:senses_ge7,no_example,weak_legacy_content</x:v>
      </x:c>
      <x:c r="Q85" s="2" t="str"/>
      <x:c r="R85" s="2" t="str"/>
      <x:c r="S85" s="2" t="str"/>
      <x:c r="T85" s="2" t="str"/>
      <x:c r="U85" s="2" t="str"/>
      <x:c r="V85" s="2" t="str">
        <x:v>아니오</x:v>
      </x:c>
      <x:c r="W85" s="2" t="str">
        <x:v>예</x:v>
      </x:c>
      <x:c r="X85" s="2" t="str">
        <x:v>news1,nf03</x:v>
      </x:c>
      <x:c r="Y85" s="2" t="n">
        <x:v>100</x:v>
      </x:c>
      <x:c r="Z85" s="2" t="str"/>
      <x:c r="AA85" s="2" t="n">
        <x:v>0</x:v>
      </x:c>
      <x:c r="AB85" s="8" t="str">
        <x:v>rarely used kanji form | word usually written using kana alone</x:v>
      </x:c>
      <x:c r="AC85" s="8" t="str">
        <x:v>senses_ge7</x:v>
      </x:c>
      <x:c r="AD85" s="8" t="str">
        <x:v>["draft-ko-missing"]</x:v>
      </x:c>
      <x:c r="AE85" s="8" t="str">
        <x:v>검토 필요</x:v>
      </x:c>
      <x:c r="AF85" s="8" t="str"/>
    </x:row>
    <x:row r="86">
      <x:c r="A86" s="10" t="n">
        <x:v>85</x:v>
      </x:c>
      <x:c r="B86" s="2" t="str">
        <x:v>1차 제외 추천</x:v>
      </x:c>
      <x:c r="C86" s="2" t="str">
        <x:v>중복 변형 제거 검토</x:v>
      </x:c>
      <x:c r="D86" s="2" t="str">
        <x:v>높음</x:v>
      </x:c>
      <x:c r="E86" s="2" t="str">
        <x:v>N2</x:v>
      </x:c>
      <x:c r="F86" s="10" t="n">
        <x:v>46</x:v>
      </x:c>
      <x:c r="G86" s="2" t="str">
        <x:v>w_c9eef19134655f9f</x:v>
      </x:c>
      <x:c r="H86" s="2" t="str">
        <x:v>出入口</x:v>
      </x:c>
      <x:c r="I86" s="2" t="str">
        <x:v>でいりぐち</x:v>
      </x:c>
      <x:c r="J86" s="8" t="str">
        <x:v>출구 입구</x:v>
      </x:c>
      <x:c r="K86" s="2" t="str">
        <x:v>noun</x:v>
      </x:c>
      <x:c r="L86" s="9" t="n">
        <x:v>2.91</x:v>
      </x:c>
      <x:c r="M86" s="2" t="str">
        <x:v>없음</x:v>
      </x:c>
      <x:c r="N86" s="11" t="n">
        <x:v>58</x:v>
      </x:c>
      <x:c r="O86" s="8" t="str">
        <x:v>일반 사용 빈도 낮은 편(Zipf ≤ 3.0); 검증된 예문 없음; 동일 JMdict 표제어의 표기·읽기 변형; 읽기와 한국어 뜻이 같은 표기 변형</x:v>
      </x:c>
      <x:c r="P86" s="8" t="str">
        <x:v>frequency_le_3_0,no_example,same_jmdict_entry,same_reading_meaning,weak_legacy_content</x:v>
      </x:c>
      <x:c r="Q86" s="2" t="str">
        <x:v>vg_024</x:v>
      </x:c>
      <x:c r="R86" s="2" t="str">
        <x:v>same_jmdict_entry,same_reading_meaning</x:v>
      </x:c>
      <x:c r="S86" s="2" t="str">
        <x:v>w_12cea3640e3f95bb</x:v>
      </x:c>
      <x:c r="T86" s="2" t="str">
        <x:v>出入り口</x:v>
      </x:c>
      <x:c r="U86" s="2" t="str">
        <x:v>でいりぐち</x:v>
      </x:c>
      <x:c r="V86" s="2" t="str">
        <x:v>아니오</x:v>
      </x:c>
      <x:c r="W86" s="2" t="str">
        <x:v>예</x:v>
      </x:c>
      <x:c r="X86" s="2" t="str">
        <x:v>ichi1,news1,nf18</x:v>
      </x:c>
      <x:c r="Y86" s="2" t="n">
        <x:v>100</x:v>
      </x:c>
      <x:c r="Z86" s="2" t="str">
        <x:v>ichi1</x:v>
      </x:c>
      <x:c r="AA86" s="2" t="n">
        <x:v>100</x:v>
      </x:c>
      <x:c r="AB86" s="8" t="str"/>
      <x:c r="AC86" s="8" t="str"/>
      <x:c r="AD86" s="8" t="str">
        <x:v>["draft-ko-missing"]</x:v>
      </x:c>
      <x:c r="AE86" s="8" t="str">
        <x:v>검토 필요</x:v>
      </x:c>
      <x:c r="AF86" s="8" t="str"/>
    </x:row>
    <x:row r="87">
      <x:c r="A87" s="10" t="n">
        <x:v>86</x:v>
      </x:c>
      <x:c r="B87" s="2" t="str">
        <x:v>1차 제외 추천</x:v>
      </x:c>
      <x:c r="C87" s="2" t="str">
        <x:v>중복 변형 제거 검토</x:v>
      </x:c>
      <x:c r="D87" s="2" t="str">
        <x:v>높음</x:v>
      </x:c>
      <x:c r="E87" s="2" t="str">
        <x:v>N1</x:v>
      </x:c>
      <x:c r="F87" s="10" t="n">
        <x:v>19</x:v>
      </x:c>
      <x:c r="G87" s="2" t="str">
        <x:v>w_f0ba0fc937416985</x:v>
      </x:c>
      <x:c r="H87" s="2" t="str">
        <x:v>群集</x:v>
      </x:c>
      <x:c r="I87" s="2" t="str">
        <x:v>ぐんしゅう</x:v>
      </x:c>
      <x:c r="J87" s="8" t="str">
        <x:v>군중, 무리</x:v>
      </x:c>
      <x:c r="K87" s="2" t="str">
        <x:v>noun</x:v>
      </x:c>
      <x:c r="L87" s="9" t="n">
        <x:v>3</x:v>
      </x:c>
      <x:c r="M87" s="2" t="str">
        <x:v>없음</x:v>
      </x:c>
      <x:c r="N87" s="11" t="n">
        <x:v>58</x:v>
      </x:c>
      <x:c r="O87" s="8" t="str">
        <x:v>일반 사용 빈도 낮은 편(Zipf ≤ 3.0); 검증된 예문 없음; 읽기와 한국어 뜻이 같은 표기 변형; 기존 데이터의 한국어 콘텐츠 보강 필요 태그</x:v>
      </x:c>
      <x:c r="P87" s="8" t="str">
        <x:v>frequency_le_3_0,no_example,same_reading_meaning,weak_legacy_content</x:v>
      </x:c>
      <x:c r="Q87" s="2" t="str">
        <x:v>vg_067</x:v>
      </x:c>
      <x:c r="R87" s="2" t="str">
        <x:v>same_reading_meaning</x:v>
      </x:c>
      <x:c r="S87" s="2" t="str">
        <x:v>w_66cb957a1da31bb7</x:v>
      </x:c>
      <x:c r="T87" s="2" t="str">
        <x:v>群衆</x:v>
      </x:c>
      <x:c r="U87" s="2" t="str">
        <x:v>ぐんしゅう</x:v>
      </x:c>
      <x:c r="V87" s="2" t="str">
        <x:v>예</x:v>
      </x:c>
      <x:c r="W87" s="2" t="str">
        <x:v>예</x:v>
      </x:c>
      <x:c r="X87" s="2" t="str">
        <x:v>ichi1</x:v>
      </x:c>
      <x:c r="Y87" s="2" t="n">
        <x:v>100</x:v>
      </x:c>
      <x:c r="Z87" s="2" t="str">
        <x:v>ichi1</x:v>
      </x:c>
      <x:c r="AA87" s="2" t="n">
        <x:v>100</x:v>
      </x:c>
      <x:c r="AB87" s="8" t="str"/>
      <x:c r="AC87" s="8" t="str"/>
      <x:c r="AD87" s="8" t="str">
        <x:v>["draft-ko-missing"]</x:v>
      </x:c>
      <x:c r="AE87" s="8" t="str">
        <x:v>검토 필요</x:v>
      </x:c>
      <x:c r="AF87" s="8" t="str"/>
    </x:row>
    <x:row r="88">
      <x:c r="A88" s="10" t="n">
        <x:v>87</x:v>
      </x:c>
      <x:c r="B88" s="2" t="str">
        <x:v>2차 보류</x:v>
      </x:c>
      <x:c r="C88" s="2" t="str">
        <x:v>데이터 정규화 검토</x:v>
      </x:c>
      <x:c r="D88" s="2" t="str">
        <x:v>낮음</x:v>
      </x:c>
      <x:c r="E88" s="2" t="str">
        <x:v>N2</x:v>
      </x:c>
      <x:c r="F88" s="10" t="n">
        <x:v>47</x:v>
      </x:c>
      <x:c r="G88" s="2" t="str">
        <x:v>w_b2df74d68c99fda4</x:v>
      </x:c>
      <x:c r="H88" s="2" t="str">
        <x:v>生意気な</x:v>
      </x:c>
      <x:c r="I88" s="2" t="str">
        <x:v>なまいきな</x:v>
      </x:c>
      <x:c r="J88" s="8" t="str">
        <x:v>뻔뻔한</x:v>
      </x:c>
      <x:c r="K88" s="2" t="str">
        <x:v>noun</x:v>
      </x:c>
      <x:c r="L88" s="9" t="n">
        <x:v>3.61</x:v>
      </x:c>
      <x:c r="M88" s="2" t="str">
        <x:v>없음</x:v>
      </x:c>
      <x:c r="N88" s="11" t="n">
        <x:v>58</x:v>
      </x:c>
      <x:c r="O88" s="8" t="str">
        <x:v>현재 표기+읽기 조합을 JMdict에서 확인하지 못함; 검증된 예문 없음; JMdict 우선 어휘 표지 없음; 기존 데이터의 한국어 콘텐츠 보강 필요 태그</x:v>
      </x:c>
      <x:c r="P88" s="8" t="str">
        <x:v>jmdict_exact_pair_not_found,no_example,no_jmdict_priority,weak_legacy_content</x:v>
      </x:c>
      <x:c r="Q88" s="2" t="str"/>
      <x:c r="R88" s="2" t="str"/>
      <x:c r="S88" s="2" t="str"/>
      <x:c r="T88" s="2" t="str"/>
      <x:c r="U88" s="2" t="str"/>
      <x:c r="V88" s="2" t="str">
        <x:v>아니오</x:v>
      </x:c>
      <x:c r="W88" s="2" t="str">
        <x:v>아니오</x:v>
      </x:c>
      <x:c r="X88" s="2" t="str"/>
      <x:c r="Y88" s="2" t="n">
        <x:v>0</x:v>
      </x:c>
      <x:c r="Z88" s="2" t="str"/>
      <x:c r="AA88" s="2" t="n">
        <x:v>0</x:v>
      </x:c>
      <x:c r="AB88" s="8" t="str"/>
      <x:c r="AC88" s="8" t="str"/>
      <x:c r="AD88" s="8" t="str">
        <x:v>["draft-ko-missing"]</x:v>
      </x:c>
      <x:c r="AE88" s="8" t="str">
        <x:v>검토 필요</x:v>
      </x:c>
      <x:c r="AF88" s="8" t="str"/>
    </x:row>
    <x:row r="89">
      <x:c r="A89" s="10" t="n">
        <x:v>88</x:v>
      </x:c>
      <x:c r="B89" s="2" t="str">
        <x:v>2차 보류</x:v>
      </x:c>
      <x:c r="C89" s="2" t="str">
        <x:v>데이터 정규화 검토</x:v>
      </x:c>
      <x:c r="D89" s="2" t="str">
        <x:v>낮음</x:v>
      </x:c>
      <x:c r="E89" s="2" t="str">
        <x:v>N4</x:v>
      </x:c>
      <x:c r="F89" s="10" t="n">
        <x:v>7</x:v>
      </x:c>
      <x:c r="G89" s="2" t="str">
        <x:v>w_f4c0f7d1b5bfa7e4</x:v>
      </x:c>
      <x:c r="H89" s="2" t="str">
        <x:v>退院</x:v>
      </x:c>
      <x:c r="I89" s="2" t="str">
        <x:v>たいいんする</x:v>
      </x:c>
      <x:c r="J89" s="8" t="str">
        <x:v>퇴원</x:v>
      </x:c>
      <x:c r="K89" s="2" t="str">
        <x:v>verb</x:v>
      </x:c>
      <x:c r="L89" s="9" t="n">
        <x:v>3.74</x:v>
      </x:c>
      <x:c r="M89" s="2" t="str">
        <x:v>없음</x:v>
      </x:c>
      <x:c r="N89" s="11" t="n">
        <x:v>58</x:v>
      </x:c>
      <x:c r="O89" s="8" t="str">
        <x:v>현재 표기+읽기 조합을 JMdict에서 확인하지 못함; 검증된 예문 없음; JMdict 우선 어휘 표지 없음; 기존 데이터의 한국어 콘텐츠 보강 필요 태그</x:v>
      </x:c>
      <x:c r="P89" s="8" t="str">
        <x:v>jmdict_exact_pair_not_found,no_example,no_jmdict_priority,weak_legacy_content</x:v>
      </x:c>
      <x:c r="Q89" s="2" t="str"/>
      <x:c r="R89" s="2" t="str"/>
      <x:c r="S89" s="2" t="str"/>
      <x:c r="T89" s="2" t="str"/>
      <x:c r="U89" s="2" t="str"/>
      <x:c r="V89" s="2" t="str">
        <x:v>아니오</x:v>
      </x:c>
      <x:c r="W89" s="2" t="str">
        <x:v>아니오</x:v>
      </x:c>
      <x:c r="X89" s="2" t="str"/>
      <x:c r="Y89" s="2" t="n">
        <x:v>0</x:v>
      </x:c>
      <x:c r="Z89" s="2" t="str"/>
      <x:c r="AA89" s="2" t="n">
        <x:v>0</x:v>
      </x:c>
      <x:c r="AB89" s="8" t="str"/>
      <x:c r="AC89" s="8" t="str"/>
      <x:c r="AD89" s="8" t="str">
        <x:v>["draft-ko-missing"]</x:v>
      </x:c>
      <x:c r="AE89" s="8" t="str">
        <x:v>검토 필요</x:v>
      </x:c>
      <x:c r="AF89" s="8" t="str"/>
    </x:row>
    <x:row r="90">
      <x:c r="A90" s="10" t="n">
        <x:v>89</x:v>
      </x:c>
      <x:c r="B90" s="2" t="str">
        <x:v>2차 보류</x:v>
      </x:c>
      <x:c r="C90" s="2" t="str">
        <x:v>데이터 정규화 검토</x:v>
      </x:c>
      <x:c r="D90" s="2" t="str">
        <x:v>낮음</x:v>
      </x:c>
      <x:c r="E90" s="2" t="str">
        <x:v>N4</x:v>
      </x:c>
      <x:c r="F90" s="10" t="n">
        <x:v>8</x:v>
      </x:c>
      <x:c r="G90" s="2" t="str">
        <x:v>w_d7297e192b9484fc</x:v>
      </x:c>
      <x:c r="H90" s="2" t="str">
        <x:v>支度</x:v>
      </x:c>
      <x:c r="I90" s="2" t="str">
        <x:v>したくする</x:v>
      </x:c>
      <x:c r="J90" s="8" t="str">
        <x:v>준비</x:v>
      </x:c>
      <x:c r="K90" s="2" t="str">
        <x:v>noun</x:v>
      </x:c>
      <x:c r="L90" s="9" t="n">
        <x:v>3.76</x:v>
      </x:c>
      <x:c r="M90" s="2" t="str">
        <x:v>없음</x:v>
      </x:c>
      <x:c r="N90" s="11" t="n">
        <x:v>58</x:v>
      </x:c>
      <x:c r="O90" s="8" t="str">
        <x:v>현재 표기+읽기 조합을 JMdict에서 확인하지 못함; 검증된 예문 없음; JMdict 우선 어휘 표지 없음; 기존 데이터의 한국어 콘텐츠 보강 필요 태그</x:v>
      </x:c>
      <x:c r="P90" s="8" t="str">
        <x:v>jmdict_exact_pair_not_found,no_example,no_jmdict_priority,weak_legacy_content</x:v>
      </x:c>
      <x:c r="Q90" s="2" t="str"/>
      <x:c r="R90" s="2" t="str"/>
      <x:c r="S90" s="2" t="str"/>
      <x:c r="T90" s="2" t="str"/>
      <x:c r="U90" s="2" t="str"/>
      <x:c r="V90" s="2" t="str">
        <x:v>아니오</x:v>
      </x:c>
      <x:c r="W90" s="2" t="str">
        <x:v>아니오</x:v>
      </x:c>
      <x:c r="X90" s="2" t="str"/>
      <x:c r="Y90" s="2" t="n">
        <x:v>0</x:v>
      </x:c>
      <x:c r="Z90" s="2" t="str"/>
      <x:c r="AA90" s="2" t="n">
        <x:v>0</x:v>
      </x:c>
      <x:c r="AB90" s="8" t="str"/>
      <x:c r="AC90" s="8" t="str"/>
      <x:c r="AD90" s="8" t="str">
        <x:v>["draft-ko-missing"]</x:v>
      </x:c>
      <x:c r="AE90" s="8" t="str">
        <x:v>검토 필요</x:v>
      </x:c>
      <x:c r="AF90" s="8" t="str"/>
    </x:row>
    <x:row r="91">
      <x:c r="A91" s="10" t="n">
        <x:v>90</x:v>
      </x:c>
      <x:c r="B91" s="2" t="str">
        <x:v>2차 보류</x:v>
      </x:c>
      <x:c r="C91" s="2" t="str">
        <x:v>데이터 정규화 검토</x:v>
      </x:c>
      <x:c r="D91" s="2" t="str">
        <x:v>낮음</x:v>
      </x:c>
      <x:c r="E91" s="2" t="str">
        <x:v>N4</x:v>
      </x:c>
      <x:c r="F91" s="10" t="n">
        <x:v>9</x:v>
      </x:c>
      <x:c r="G91" s="2" t="str">
        <x:v>w_6f8f7a52b7e94b03</x:v>
      </x:c>
      <x:c r="H91" s="2" t="str">
        <x:v>拝見</x:v>
      </x:c>
      <x:c r="I91" s="2" t="str">
        <x:v>はいけんする</x:v>
      </x:c>
      <x:c r="J91" s="8" t="str">
        <x:v>삼가 봄(겸양어)</x:v>
      </x:c>
      <x:c r="K91" s="2" t="str">
        <x:v>verb</x:v>
      </x:c>
      <x:c r="L91" s="9" t="n">
        <x:v>3.86</x:v>
      </x:c>
      <x:c r="M91" s="2" t="str">
        <x:v>없음</x:v>
      </x:c>
      <x:c r="N91" s="11" t="n">
        <x:v>58</x:v>
      </x:c>
      <x:c r="O91" s="8" t="str">
        <x:v>현재 표기+읽기 조합을 JMdict에서 확인하지 못함; 검증된 예문 없음; JMdict 우선 어휘 표지 없음; 기존 데이터의 한국어 콘텐츠 보강 필요 태그</x:v>
      </x:c>
      <x:c r="P91" s="8" t="str">
        <x:v>jmdict_exact_pair_not_found,no_example,no_jmdict_priority,weak_legacy_content</x:v>
      </x:c>
      <x:c r="Q91" s="2" t="str"/>
      <x:c r="R91" s="2" t="str"/>
      <x:c r="S91" s="2" t="str"/>
      <x:c r="T91" s="2" t="str"/>
      <x:c r="U91" s="2" t="str"/>
      <x:c r="V91" s="2" t="str">
        <x:v>아니오</x:v>
      </x:c>
      <x:c r="W91" s="2" t="str">
        <x:v>아니오</x:v>
      </x:c>
      <x:c r="X91" s="2" t="str"/>
      <x:c r="Y91" s="2" t="n">
        <x:v>0</x:v>
      </x:c>
      <x:c r="Z91" s="2" t="str"/>
      <x:c r="AA91" s="2" t="n">
        <x:v>0</x:v>
      </x:c>
      <x:c r="AB91" s="8" t="str"/>
      <x:c r="AC91" s="8" t="str"/>
      <x:c r="AD91" s="8" t="str">
        <x:v>["draft-ko-missing"]</x:v>
      </x:c>
      <x:c r="AE91" s="8" t="str">
        <x:v>검토 필요</x:v>
      </x:c>
      <x:c r="AF91" s="8" t="str"/>
    </x:row>
    <x:row r="92">
      <x:c r="A92" s="10" t="n">
        <x:v>91</x:v>
      </x:c>
      <x:c r="B92" s="2" t="str">
        <x:v>2차 보류</x:v>
      </x:c>
      <x:c r="C92" s="2" t="str">
        <x:v>데이터 정규화 검토</x:v>
      </x:c>
      <x:c r="D92" s="2" t="str">
        <x:v>낮음</x:v>
      </x:c>
      <x:c r="E92" s="2" t="str">
        <x:v>N4</x:v>
      </x:c>
      <x:c r="F92" s="10" t="n">
        <x:v>10</x:v>
      </x:c>
      <x:c r="G92" s="2" t="str">
        <x:v>w_25ba4b8d3be8fcd3</x:v>
      </x:c>
      <x:c r="H92" s="2" t="str">
        <x:v>承知</x:v>
      </x:c>
      <x:c r="I92" s="2" t="str">
        <x:v>しょうちする</x:v>
      </x:c>
      <x:c r="J92" s="8" t="str">
        <x:v>동의, 수락, 수용</x:v>
      </x:c>
      <x:c r="K92" s="2" t="str">
        <x:v>noun</x:v>
      </x:c>
      <x:c r="L92" s="9" t="n">
        <x:v>4.06</x:v>
      </x:c>
      <x:c r="M92" s="2" t="str">
        <x:v>없음</x:v>
      </x:c>
      <x:c r="N92" s="11" t="n">
        <x:v>58</x:v>
      </x:c>
      <x:c r="O92" s="8" t="str">
        <x:v>현재 표기+읽기 조합을 JMdict에서 확인하지 못함; 검증된 예문 없음; JMdict 우선 어휘 표지 없음; 기존 데이터의 한국어 콘텐츠 보강 필요 태그</x:v>
      </x:c>
      <x:c r="P92" s="8" t="str">
        <x:v>jmdict_exact_pair_not_found,no_example,no_jmdict_priority,weak_legacy_content</x:v>
      </x:c>
      <x:c r="Q92" s="2" t="str"/>
      <x:c r="R92" s="2" t="str"/>
      <x:c r="S92" s="2" t="str"/>
      <x:c r="T92" s="2" t="str"/>
      <x:c r="U92" s="2" t="str"/>
      <x:c r="V92" s="2" t="str">
        <x:v>아니오</x:v>
      </x:c>
      <x:c r="W92" s="2" t="str">
        <x:v>아니오</x:v>
      </x:c>
      <x:c r="X92" s="2" t="str"/>
      <x:c r="Y92" s="2" t="n">
        <x:v>0</x:v>
      </x:c>
      <x:c r="Z92" s="2" t="str"/>
      <x:c r="AA92" s="2" t="n">
        <x:v>0</x:v>
      </x:c>
      <x:c r="AB92" s="8" t="str"/>
      <x:c r="AC92" s="8" t="str"/>
      <x:c r="AD92" s="8" t="str">
        <x:v>["draft-ko-missing"]</x:v>
      </x:c>
      <x:c r="AE92" s="8" t="str">
        <x:v>검토 필요</x:v>
      </x:c>
      <x:c r="AF92" s="8" t="str"/>
    </x:row>
    <x:row r="93">
      <x:c r="A93" s="10" t="n">
        <x:v>92</x:v>
      </x:c>
      <x:c r="B93" s="2" t="str">
        <x:v>2차 보류</x:v>
      </x:c>
      <x:c r="C93" s="2" t="str">
        <x:v>데이터 정규화 검토</x:v>
      </x:c>
      <x:c r="D93" s="2" t="str">
        <x:v>낮음</x:v>
      </x:c>
      <x:c r="E93" s="2" t="str">
        <x:v>N4</x:v>
      </x:c>
      <x:c r="F93" s="10" t="n">
        <x:v>11</x:v>
      </x:c>
      <x:c r="G93" s="2" t="str">
        <x:v>w_36c7d14fb01857f2</x:v>
      </x:c>
      <x:c r="H93" s="2" t="str">
        <x:v>世話</x:v>
      </x:c>
      <x:c r="I93" s="2" t="str">
        <x:v>せわする</x:v>
      </x:c>
      <x:c r="J93" s="8" t="str">
        <x:v>보살핌, 돌봄</x:v>
      </x:c>
      <x:c r="K93" s="2" t="str">
        <x:v>verb</x:v>
      </x:c>
      <x:c r="L93" s="9" t="n">
        <x:v>4.11</x:v>
      </x:c>
      <x:c r="M93" s="2" t="str">
        <x:v>없음</x:v>
      </x:c>
      <x:c r="N93" s="11" t="n">
        <x:v>58</x:v>
      </x:c>
      <x:c r="O93" s="8" t="str">
        <x:v>현재 표기+읽기 조합을 JMdict에서 확인하지 못함; 검증된 예문 없음; JMdict 우선 어휘 표지 없음; 기존 데이터의 한국어 콘텐츠 보강 필요 태그</x:v>
      </x:c>
      <x:c r="P93" s="8" t="str">
        <x:v>jmdict_exact_pair_not_found,no_example,no_jmdict_priority,weak_legacy_content</x:v>
      </x:c>
      <x:c r="Q93" s="2" t="str"/>
      <x:c r="R93" s="2" t="str"/>
      <x:c r="S93" s="2" t="str"/>
      <x:c r="T93" s="2" t="str"/>
      <x:c r="U93" s="2" t="str"/>
      <x:c r="V93" s="2" t="str">
        <x:v>아니오</x:v>
      </x:c>
      <x:c r="W93" s="2" t="str">
        <x:v>아니오</x:v>
      </x:c>
      <x:c r="X93" s="2" t="str"/>
      <x:c r="Y93" s="2" t="n">
        <x:v>0</x:v>
      </x:c>
      <x:c r="Z93" s="2" t="str"/>
      <x:c r="AA93" s="2" t="n">
        <x:v>0</x:v>
      </x:c>
      <x:c r="AB93" s="8" t="str"/>
      <x:c r="AC93" s="8" t="str"/>
      <x:c r="AD93" s="8" t="str">
        <x:v>["draft-ko-missing"]</x:v>
      </x:c>
      <x:c r="AE93" s="8" t="str">
        <x:v>검토 필요</x:v>
      </x:c>
      <x:c r="AF93" s="8" t="str"/>
    </x:row>
    <x:row r="94">
      <x:c r="A94" s="10" t="n">
        <x:v>93</x:v>
      </x:c>
      <x:c r="B94" s="2" t="str">
        <x:v>2차 보류</x:v>
      </x:c>
      <x:c r="C94" s="2" t="str">
        <x:v>데이터 정규화 검토</x:v>
      </x:c>
      <x:c r="D94" s="2" t="str">
        <x:v>낮음</x:v>
      </x:c>
      <x:c r="E94" s="2" t="str">
        <x:v>N1</x:v>
      </x:c>
      <x:c r="F94" s="10" t="n">
        <x:v>20</x:v>
      </x:c>
      <x:c r="G94" s="2" t="str">
        <x:v>w_490aea4640487aa9</x:v>
      </x:c>
      <x:c r="H94" s="2" t="str">
        <x:v>兆</x:v>
      </x:c>
      <x:c r="I94" s="2" t="str">
        <x:v>きざし</x:v>
      </x:c>
      <x:c r="J94" s="8" t="str">
        <x:v>조짐, 징조</x:v>
      </x:c>
      <x:c r="K94" s="2" t="str">
        <x:v>noun</x:v>
      </x:c>
      <x:c r="L94" s="9" t="n">
        <x:v>4.24</x:v>
      </x:c>
      <x:c r="M94" s="2" t="str">
        <x:v>없음</x:v>
      </x:c>
      <x:c r="N94" s="11" t="n">
        <x:v>58</x:v>
      </x:c>
      <x:c r="O94" s="8" t="str">
        <x:v>현재 표기+읽기 조합을 JMdict에서 확인하지 못함; 검증된 예문 없음; JMdict 우선 어휘 표지 없음; 기존 데이터의 한국어 콘텐츠 보강 필요 태그</x:v>
      </x:c>
      <x:c r="P94" s="8" t="str">
        <x:v>jmdict_exact_pair_not_found,no_example,no_jmdict_priority,weak_legacy_content</x:v>
      </x:c>
      <x:c r="Q94" s="2" t="str"/>
      <x:c r="R94" s="2" t="str"/>
      <x:c r="S94" s="2" t="str"/>
      <x:c r="T94" s="2" t="str"/>
      <x:c r="U94" s="2" t="str"/>
      <x:c r="V94" s="2" t="str">
        <x:v>아니오</x:v>
      </x:c>
      <x:c r="W94" s="2" t="str">
        <x:v>아니오</x:v>
      </x:c>
      <x:c r="X94" s="2" t="str"/>
      <x:c r="Y94" s="2" t="n">
        <x:v>0</x:v>
      </x:c>
      <x:c r="Z94" s="2" t="str"/>
      <x:c r="AA94" s="2" t="n">
        <x:v>0</x:v>
      </x:c>
      <x:c r="AB94" s="8" t="str"/>
      <x:c r="AC94" s="8" t="str"/>
      <x:c r="AD94" s="8" t="str">
        <x:v>["draft-ko-missing"]</x:v>
      </x:c>
      <x:c r="AE94" s="8" t="str">
        <x:v>검토 필요</x:v>
      </x:c>
      <x:c r="AF94" s="8" t="str"/>
    </x:row>
    <x:row r="95">
      <x:c r="A95" s="10" t="n">
        <x:v>94</x:v>
      </x:c>
      <x:c r="B95" s="2" t="str">
        <x:v>2차 보류</x:v>
      </x:c>
      <x:c r="C95" s="2" t="str">
        <x:v>데이터 정규화 검토</x:v>
      </x:c>
      <x:c r="D95" s="2" t="str">
        <x:v>낮음</x:v>
      </x:c>
      <x:c r="E95" s="2" t="str">
        <x:v>N2</x:v>
      </x:c>
      <x:c r="F95" s="10" t="n">
        <x:v>48</x:v>
      </x:c>
      <x:c r="G95" s="2" t="str">
        <x:v>w_0e2287722c7b27e8</x:v>
      </x:c>
      <x:c r="H95" s="2" t="str">
        <x:v>行っていらっしゃい</x:v>
      </x:c>
      <x:c r="I95" s="2" t="str">
        <x:v>いっていらっしゃい</x:v>
      </x:c>
      <x:c r="J95" s="8" t="str">
        <x:v>잘 다녀오세요, 또 봐요</x:v>
      </x:c>
      <x:c r="K95" s="2" t="str">
        <x:v>noun</x:v>
      </x:c>
      <x:c r="L95" s="9" t="n">
        <x:v>4.33</x:v>
      </x:c>
      <x:c r="M95" s="2" t="str">
        <x:v>없음</x:v>
      </x:c>
      <x:c r="N95" s="11" t="n">
        <x:v>58</x:v>
      </x:c>
      <x:c r="O95" s="8" t="str">
        <x:v>현재 표기+읽기 조합을 JMdict에서 확인하지 못함; 검증된 예문 없음; JMdict 우선 어휘 표지 없음; 기존 데이터의 한국어 콘텐츠 보강 필요 태그</x:v>
      </x:c>
      <x:c r="P95" s="8" t="str">
        <x:v>jmdict_exact_pair_not_found,no_example,no_jmdict_priority,weak_legacy_content</x:v>
      </x:c>
      <x:c r="Q95" s="2" t="str"/>
      <x:c r="R95" s="2" t="str"/>
      <x:c r="S95" s="2" t="str"/>
      <x:c r="T95" s="2" t="str"/>
      <x:c r="U95" s="2" t="str"/>
      <x:c r="V95" s="2" t="str">
        <x:v>아니오</x:v>
      </x:c>
      <x:c r="W95" s="2" t="str">
        <x:v>아니오</x:v>
      </x:c>
      <x:c r="X95" s="2" t="str"/>
      <x:c r="Y95" s="2" t="n">
        <x:v>0</x:v>
      </x:c>
      <x:c r="Z95" s="2" t="str"/>
      <x:c r="AA95" s="2" t="n">
        <x:v>0</x:v>
      </x:c>
      <x:c r="AB95" s="8" t="str"/>
      <x:c r="AC95" s="8" t="str"/>
      <x:c r="AD95" s="8" t="str">
        <x:v>["draft-ko-missing"]</x:v>
      </x:c>
      <x:c r="AE95" s="8" t="str">
        <x:v>검토 필요</x:v>
      </x:c>
      <x:c r="AF95" s="8" t="str"/>
    </x:row>
    <x:row r="96">
      <x:c r="A96" s="10" t="n">
        <x:v>95</x:v>
      </x:c>
      <x:c r="B96" s="2" t="str">
        <x:v>2차 보류</x:v>
      </x:c>
      <x:c r="C96" s="2" t="str">
        <x:v>데이터 정규화 검토</x:v>
      </x:c>
      <x:c r="D96" s="2" t="str">
        <x:v>낮음</x:v>
      </x:c>
      <x:c r="E96" s="2" t="str">
        <x:v>N4</x:v>
      </x:c>
      <x:c r="F96" s="10" t="n">
        <x:v>12</x:v>
      </x:c>
      <x:c r="G96" s="2" t="str">
        <x:v>w_8c9132699219c346</x:v>
      </x:c>
      <x:c r="H96" s="2" t="str">
        <x:v>お金持ち</x:v>
      </x:c>
      <x:c r="I96" s="2" t="str">
        <x:v>かねもち; おかねもち</x:v>
      </x:c>
      <x:c r="J96" s="8" t="str">
        <x:v>부자</x:v>
      </x:c>
      <x:c r="K96" s="2" t="str">
        <x:v>noun</x:v>
      </x:c>
      <x:c r="L96" s="9" t="n">
        <x:v>4.37</x:v>
      </x:c>
      <x:c r="M96" s="2" t="str">
        <x:v>없음</x:v>
      </x:c>
      <x:c r="N96" s="11" t="n">
        <x:v>58</x:v>
      </x:c>
      <x:c r="O96" s="8" t="str">
        <x:v>현재 표기+읽기 조합을 JMdict에서 확인하지 못함; 검증된 예문 없음; JMdict 우선 어휘 표지 없음; 기존 데이터의 한국어 콘텐츠 보강 필요 태그</x:v>
      </x:c>
      <x:c r="P96" s="8" t="str">
        <x:v>jmdict_exact_pair_not_found,no_example,no_jmdict_priority,weak_legacy_content</x:v>
      </x:c>
      <x:c r="Q96" s="2" t="str"/>
      <x:c r="R96" s="2" t="str"/>
      <x:c r="S96" s="2" t="str"/>
      <x:c r="T96" s="2" t="str"/>
      <x:c r="U96" s="2" t="str"/>
      <x:c r="V96" s="2" t="str">
        <x:v>아니오</x:v>
      </x:c>
      <x:c r="W96" s="2" t="str">
        <x:v>아니오</x:v>
      </x:c>
      <x:c r="X96" s="2" t="str"/>
      <x:c r="Y96" s="2" t="n">
        <x:v>0</x:v>
      </x:c>
      <x:c r="Z96" s="2" t="str"/>
      <x:c r="AA96" s="2" t="n">
        <x:v>0</x:v>
      </x:c>
      <x:c r="AB96" s="8" t="str"/>
      <x:c r="AC96" s="8" t="str"/>
      <x:c r="AD96" s="8" t="str">
        <x:v>["draft-ko-missing"]</x:v>
      </x:c>
      <x:c r="AE96" s="8" t="str">
        <x:v>검토 필요</x:v>
      </x:c>
      <x:c r="AF96" s="8" t="str"/>
    </x:row>
    <x:row r="97">
      <x:c r="A97" s="10" t="n">
        <x:v>96</x:v>
      </x:c>
      <x:c r="B97" s="2" t="str">
        <x:v>2차 보류</x:v>
      </x:c>
      <x:c r="C97" s="2" t="str">
        <x:v>데이터 정규화 검토</x:v>
      </x:c>
      <x:c r="D97" s="2" t="str">
        <x:v>낮음</x:v>
      </x:c>
      <x:c r="E97" s="2" t="str">
        <x:v>N4</x:v>
      </x:c>
      <x:c r="F97" s="10" t="n">
        <x:v>13</x:v>
      </x:c>
      <x:c r="G97" s="2" t="str">
        <x:v>w_746dea1164df5223</x:v>
      </x:c>
      <x:c r="H97" s="2" t="str">
        <x:v>出発</x:v>
      </x:c>
      <x:c r="I97" s="2" t="str">
        <x:v>しゅっぱつする</x:v>
      </x:c>
      <x:c r="J97" s="8" t="str">
        <x:v>출발</x:v>
      </x:c>
      <x:c r="K97" s="2" t="str">
        <x:v>noun</x:v>
      </x:c>
      <x:c r="L97" s="9" t="n">
        <x:v>4.44</x:v>
      </x:c>
      <x:c r="M97" s="2" t="str">
        <x:v>없음</x:v>
      </x:c>
      <x:c r="N97" s="11" t="n">
        <x:v>58</x:v>
      </x:c>
      <x:c r="O97" s="8" t="str">
        <x:v>현재 표기+읽기 조합을 JMdict에서 확인하지 못함; 검증된 예문 없음; JMdict 우선 어휘 표지 없음; 기존 데이터의 한국어 콘텐츠 보강 필요 태그</x:v>
      </x:c>
      <x:c r="P97" s="8" t="str">
        <x:v>jmdict_exact_pair_not_found,no_example,no_jmdict_priority,weak_legacy_content</x:v>
      </x:c>
      <x:c r="Q97" s="2" t="str"/>
      <x:c r="R97" s="2" t="str"/>
      <x:c r="S97" s="2" t="str"/>
      <x:c r="T97" s="2" t="str"/>
      <x:c r="U97" s="2" t="str"/>
      <x:c r="V97" s="2" t="str">
        <x:v>아니오</x:v>
      </x:c>
      <x:c r="W97" s="2" t="str">
        <x:v>아니오</x:v>
      </x:c>
      <x:c r="X97" s="2" t="str"/>
      <x:c r="Y97" s="2" t="n">
        <x:v>0</x:v>
      </x:c>
      <x:c r="Z97" s="2" t="str"/>
      <x:c r="AA97" s="2" t="n">
        <x:v>0</x:v>
      </x:c>
      <x:c r="AB97" s="8" t="str"/>
      <x:c r="AC97" s="8" t="str"/>
      <x:c r="AD97" s="8" t="str">
        <x:v>["draft-ko-missing"]</x:v>
      </x:c>
      <x:c r="AE97" s="8" t="str">
        <x:v>검토 필요</x:v>
      </x:c>
      <x:c r="AF97" s="8" t="str"/>
    </x:row>
    <x:row r="98">
      <x:c r="A98" s="10" t="n">
        <x:v>97</x:v>
      </x:c>
      <x:c r="B98" s="2" t="str">
        <x:v>2차 보류</x:v>
      </x:c>
      <x:c r="C98" s="2" t="str">
        <x:v>데이터 정규화 검토</x:v>
      </x:c>
      <x:c r="D98" s="2" t="str">
        <x:v>낮음</x:v>
      </x:c>
      <x:c r="E98" s="2" t="str">
        <x:v>N4</x:v>
      </x:c>
      <x:c r="F98" s="10" t="n">
        <x:v>14</x:v>
      </x:c>
      <x:c r="G98" s="2" t="str">
        <x:v>w_b4b96b4a77863ca5</x:v>
      </x:c>
      <x:c r="H98" s="2" t="str">
        <x:v>入学</x:v>
      </x:c>
      <x:c r="I98" s="2" t="str">
        <x:v>にゅうがくする</x:v>
      </x:c>
      <x:c r="J98" s="8" t="str">
        <x:v>입학</x:v>
      </x:c>
      <x:c r="K98" s="2" t="str">
        <x:v>noun</x:v>
      </x:c>
      <x:c r="L98" s="9" t="n">
        <x:v>4.44</x:v>
      </x:c>
      <x:c r="M98" s="2" t="str">
        <x:v>없음</x:v>
      </x:c>
      <x:c r="N98" s="11" t="n">
        <x:v>58</x:v>
      </x:c>
      <x:c r="O98" s="8" t="str">
        <x:v>현재 표기+읽기 조합을 JMdict에서 확인하지 못함; 검증된 예문 없음; JMdict 우선 어휘 표지 없음; 기존 데이터의 한국어 콘텐츠 보강 필요 태그</x:v>
      </x:c>
      <x:c r="P98" s="8" t="str">
        <x:v>jmdict_exact_pair_not_found,no_example,no_jmdict_priority,weak_legacy_content</x:v>
      </x:c>
      <x:c r="Q98" s="2" t="str"/>
      <x:c r="R98" s="2" t="str"/>
      <x:c r="S98" s="2" t="str"/>
      <x:c r="T98" s="2" t="str"/>
      <x:c r="U98" s="2" t="str"/>
      <x:c r="V98" s="2" t="str">
        <x:v>아니오</x:v>
      </x:c>
      <x:c r="W98" s="2" t="str">
        <x:v>아니오</x:v>
      </x:c>
      <x:c r="X98" s="2" t="str"/>
      <x:c r="Y98" s="2" t="n">
        <x:v>0</x:v>
      </x:c>
      <x:c r="Z98" s="2" t="str"/>
      <x:c r="AA98" s="2" t="n">
        <x:v>0</x:v>
      </x:c>
      <x:c r="AB98" s="8" t="str"/>
      <x:c r="AC98" s="8" t="str"/>
      <x:c r="AD98" s="8" t="str">
        <x:v>["draft-ko-missing"]</x:v>
      </x:c>
      <x:c r="AE98" s="8" t="str">
        <x:v>검토 필요</x:v>
      </x:c>
      <x:c r="AF98" s="8" t="str"/>
    </x:row>
    <x:row r="99">
      <x:c r="A99" s="10" t="n">
        <x:v>98</x:v>
      </x:c>
      <x:c r="B99" s="2" t="str">
        <x:v>1차 검토 후보</x:v>
      </x:c>
      <x:c r="C99" s="2" t="str">
        <x:v>표기 교정·교체 검토</x:v>
      </x:c>
      <x:c r="D99" s="2" t="str">
        <x:v>중간</x:v>
      </x:c>
      <x:c r="E99" s="2" t="str">
        <x:v>N2</x:v>
      </x:c>
      <x:c r="F99" s="10" t="n">
        <x:v>49</x:v>
      </x:c>
      <x:c r="G99" s="2" t="str">
        <x:v>w_21ffbc4bc128572e</x:v>
      </x:c>
      <x:c r="H99" s="2" t="str">
        <x:v>見詰める</x:v>
      </x:c>
      <x:c r="I99" s="2" t="str">
        <x:v>みつめる</x:v>
      </x:c>
      <x:c r="J99" s="8" t="str">
        <x:v>응시하다, 바라보다</x:v>
      </x:c>
      <x:c r="K99" s="2" t="str">
        <x:v>verb</x:v>
      </x:c>
      <x:c r="L99" s="9" t="n">
        <x:v>1.77</x:v>
      </x:c>
      <x:c r="M99" s="2" t="str">
        <x:v>없음</x:v>
      </x:c>
      <x:c r="N99" s="11" t="n">
        <x:v>57</x:v>
      </x:c>
      <x:c r="O99" s="8" t="str">
        <x:v>일반 사용 빈도 매우 낮음(Zipf ≤ 2.0); JMdict에서 희귀·비표준 표기로 표시; 검증된 예문 없음</x:v>
      </x:c>
      <x:c r="P99" s="8" t="str">
        <x:v>frequency_le_2_0,jmdict_uncommon_or_irregular,no_example</x:v>
      </x:c>
      <x:c r="Q99" s="2" t="str"/>
      <x:c r="R99" s="2" t="str"/>
      <x:c r="S99" s="2" t="str"/>
      <x:c r="T99" s="2" t="str"/>
      <x:c r="U99" s="2" t="str"/>
      <x:c r="V99" s="2" t="str">
        <x:v>아니오</x:v>
      </x:c>
      <x:c r="W99" s="2" t="str">
        <x:v>예</x:v>
      </x:c>
      <x:c r="X99" s="2" t="str">
        <x:v>ichi1,news1,nf12</x:v>
      </x:c>
      <x:c r="Y99" s="2" t="n">
        <x:v>100</x:v>
      </x:c>
      <x:c r="Z99" s="2" t="str"/>
      <x:c r="AA99" s="2" t="n">
        <x:v>0</x:v>
      </x:c>
      <x:c r="AB99" s="8" t="str">
        <x:v>rarely used kanji form</x:v>
      </x:c>
      <x:c r="AC99" s="8" t="str"/>
      <x:c r="AD99" s="8" t="str">
        <x:v>["backfill-replacement","assistant-ko-reviewed"]</x:v>
      </x:c>
      <x:c r="AE99" s="8" t="str">
        <x:v>검토 필요</x:v>
      </x:c>
      <x:c r="AF99" s="8" t="str"/>
    </x:row>
    <x:row r="100">
      <x:c r="A100" s="10" t="n">
        <x:v>99</x:v>
      </x:c>
      <x:c r="B100" s="2" t="str">
        <x:v>1차 검토 후보</x:v>
      </x:c>
      <x:c r="C100" s="2" t="str">
        <x:v>표기 교정·교체 검토</x:v>
      </x:c>
      <x:c r="D100" s="2" t="str">
        <x:v>중간</x:v>
      </x:c>
      <x:c r="E100" s="2" t="str">
        <x:v>N1</x:v>
      </x:c>
      <x:c r="F100" s="10" t="n">
        <x:v>21</x:v>
      </x:c>
      <x:c r="G100" s="2" t="str">
        <x:v>w_a0a47c96cc66d963</x:v>
      </x:c>
      <x:c r="H100" s="2" t="str">
        <x:v>夜更し</x:v>
      </x:c>
      <x:c r="I100" s="2" t="str">
        <x:v>よふかし</x:v>
      </x:c>
      <x:c r="J100" s="8" t="str">
        <x:v>밤늦게까지 깨어 있음</x:v>
      </x:c>
      <x:c r="K100" s="2" t="str">
        <x:v>noun</x:v>
      </x:c>
      <x:c r="L100" s="9" t="n">
        <x:v>1.86</x:v>
      </x:c>
      <x:c r="M100" s="2" t="str">
        <x:v>없음</x:v>
      </x:c>
      <x:c r="N100" s="11" t="n">
        <x:v>57</x:v>
      </x:c>
      <x:c r="O100" s="8" t="str">
        <x:v>일반 사용 빈도 매우 낮음(Zipf ≤ 2.0); JMdict에서 희귀·비표준 표기로 표시; 검증된 예문 없음</x:v>
      </x:c>
      <x:c r="P100" s="8" t="str">
        <x:v>frequency_le_2_0,jmdict_uncommon_or_irregular,no_example</x:v>
      </x:c>
      <x:c r="Q100" s="2" t="str"/>
      <x:c r="R100" s="2" t="str"/>
      <x:c r="S100" s="2" t="str"/>
      <x:c r="T100" s="2" t="str"/>
      <x:c r="U100" s="2" t="str"/>
      <x:c r="V100" s="2" t="str">
        <x:v>아니오</x:v>
      </x:c>
      <x:c r="W100" s="2" t="str">
        <x:v>예</x:v>
      </x:c>
      <x:c r="X100" s="2" t="str">
        <x:v>ichi1,news2,nf43</x:v>
      </x:c>
      <x:c r="Y100" s="2" t="n">
        <x:v>100</x:v>
      </x:c>
      <x:c r="Z100" s="2" t="str"/>
      <x:c r="AA100" s="2" t="n">
        <x:v>0</x:v>
      </x:c>
      <x:c r="AB100" s="8" t="str">
        <x:v>search-only kanji form</x:v>
      </x:c>
      <x:c r="AC100" s="8" t="str"/>
      <x:c r="AD100" s="8" t="str">
        <x:v>["backfill-replacement","assistant-ko-reviewed"]</x:v>
      </x:c>
      <x:c r="AE100" s="8" t="str">
        <x:v>검토 필요</x:v>
      </x:c>
      <x:c r="AF100" s="8" t="str"/>
    </x:row>
    <x:row r="101">
      <x:c r="A101" s="10" t="n">
        <x:v>100</x:v>
      </x:c>
      <x:c r="B101" s="2" t="str">
        <x:v>1차 검토 후보</x:v>
      </x:c>
      <x:c r="C101" s="2" t="str">
        <x:v>표기 교정·교체 검토</x:v>
      </x:c>
      <x:c r="D101" s="2" t="str">
        <x:v>중간</x:v>
      </x:c>
      <x:c r="E101" s="2" t="str">
        <x:v>N1</x:v>
      </x:c>
      <x:c r="F101" s="10" t="n">
        <x:v>22</x:v>
      </x:c>
      <x:c r="G101" s="2" t="str">
        <x:v>w_c6fba2d66bc68748</x:v>
      </x:c>
      <x:c r="H101" s="2" t="str">
        <x:v>馴々しい</x:v>
      </x:c>
      <x:c r="I101" s="2" t="str">
        <x:v>なれなれしい</x:v>
      </x:c>
      <x:c r="J101" s="8" t="str">
        <x:v>허물없다, 지나치게 친하다</x:v>
      </x:c>
      <x:c r="K101" s="2" t="str">
        <x:v>adjective</x:v>
      </x:c>
      <x:c r="L101" s="9" t="n">
        <x:v>1.86</x:v>
      </x:c>
      <x:c r="M101" s="2" t="str">
        <x:v>없음</x:v>
      </x:c>
      <x:c r="N101" s="11" t="n">
        <x:v>57</x:v>
      </x:c>
      <x:c r="O101" s="8" t="str">
        <x:v>일반 사용 빈도 매우 낮음(Zipf ≤ 2.0); JMdict에서 희귀·비표준 표기로 표시; 검증된 예문 없음</x:v>
      </x:c>
      <x:c r="P101" s="8" t="str">
        <x:v>frequency_le_2_0,jmdict_uncommon_or_irregular,no_example</x:v>
      </x:c>
      <x:c r="Q101" s="2" t="str"/>
      <x:c r="R101" s="2" t="str"/>
      <x:c r="S101" s="2" t="str"/>
      <x:c r="T101" s="2" t="str"/>
      <x:c r="U101" s="2" t="str"/>
      <x:c r="V101" s="2" t="str">
        <x:v>아니오</x:v>
      </x:c>
      <x:c r="W101" s="2" t="str">
        <x:v>예</x:v>
      </x:c>
      <x:c r="X101" s="2" t="str">
        <x:v>ichi1</x:v>
      </x:c>
      <x:c r="Y101" s="2" t="n">
        <x:v>100</x:v>
      </x:c>
      <x:c r="Z101" s="2" t="str"/>
      <x:c r="AA101" s="2" t="n">
        <x:v>0</x:v>
      </x:c>
      <x:c r="AB101" s="8" t="str">
        <x:v>search-only kanji form</x:v>
      </x:c>
      <x:c r="AC101" s="8" t="str"/>
      <x:c r="AD101" s="8" t="str">
        <x:v>["ko-reviewed"]</x:v>
      </x:c>
      <x:c r="AE101" s="8" t="str">
        <x:v>검토 필요</x:v>
      </x:c>
      <x:c r="AF101" s="8" t="str"/>
    </x:row>
    <x:row r="102">
      <x:c r="A102" s="10" t="n">
        <x:v>101</x:v>
      </x:c>
      <x:c r="B102" s="2" t="str">
        <x:v>1차 제외 추천</x:v>
      </x:c>
      <x:c r="C102" s="2" t="str">
        <x:v>중복 변형 제거 검토</x:v>
      </x:c>
      <x:c r="D102" s="2" t="str">
        <x:v>높음</x:v>
      </x:c>
      <x:c r="E102" s="2" t="str">
        <x:v>N1</x:v>
      </x:c>
      <x:c r="F102" s="10" t="n">
        <x:v>23</x:v>
      </x:c>
      <x:c r="G102" s="2" t="str">
        <x:v>w_5be62d71deeeebf2</x:v>
      </x:c>
      <x:c r="H102" s="2" t="str">
        <x:v>造り</x:v>
      </x:c>
      <x:c r="I102" s="2" t="str">
        <x:v>つくり</x:v>
      </x:c>
      <x:c r="J102" s="8" t="str">
        <x:v>만듦새, 구조; 체격</x:v>
      </x:c>
      <x:c r="K102" s="2" t="str">
        <x:v>noun</x:v>
      </x:c>
      <x:c r="L102" s="9" t="n">
        <x:v>3.8</x:v>
      </x:c>
      <x:c r="M102" s="2" t="str">
        <x:v>없음</x:v>
      </x:c>
      <x:c r="N102" s="11" t="n">
        <x:v>56</x:v>
      </x:c>
      <x:c r="O102" s="8" t="str">
        <x:v>기존 한국어 뜻 품질 감사 대상; 검증된 예문 없음; 동일 JMdict 표제어의 표기·읽기 변형; 읽기와 한국어 뜻이 같은 표기 변형</x:v>
      </x:c>
      <x:c r="P102" s="8" t="str">
        <x:v>legacy_gloss_audit:mt_noise_token,no_example,same_jmdict_entry,same_reading_meaning,weak_legacy_content</x:v>
      </x:c>
      <x:c r="Q102" s="2" t="str">
        <x:v>vg_060</x:v>
      </x:c>
      <x:c r="R102" s="2" t="str">
        <x:v>same_jmdict_entry,same_reading_meaning</x:v>
      </x:c>
      <x:c r="S102" s="2" t="str">
        <x:v>w_7ea20007b10fcf12</x:v>
      </x:c>
      <x:c r="T102" s="2" t="str">
        <x:v>作り</x:v>
      </x:c>
      <x:c r="U102" s="2" t="str">
        <x:v>つくり</x:v>
      </x:c>
      <x:c r="V102" s="2" t="str">
        <x:v>아니오</x:v>
      </x:c>
      <x:c r="W102" s="2" t="str">
        <x:v>예</x:v>
      </x:c>
      <x:c r="X102" s="2" t="str">
        <x:v>news1,nf06,nf20</x:v>
      </x:c>
      <x:c r="Y102" s="2" t="n">
        <x:v>100</x:v>
      </x:c>
      <x:c r="Z102" s="2" t="str">
        <x:v>news1,nf20</x:v>
      </x:c>
      <x:c r="AA102" s="2" t="n">
        <x:v>100</x:v>
      </x:c>
      <x:c r="AB102" s="8" t="str"/>
      <x:c r="AC102" s="8" t="str">
        <x:v>mt_noise_token</x:v>
      </x:c>
      <x:c r="AD102" s="8" t="str">
        <x:v>["draft-ko-missing"]</x:v>
      </x:c>
      <x:c r="AE102" s="8" t="str">
        <x:v>검토 필요</x:v>
      </x:c>
      <x:c r="AF102" s="8" t="str"/>
    </x:row>
    <x:row r="103">
      <x:c r="A103" s="10" t="n">
        <x:v>102</x:v>
      </x:c>
      <x:c r="B103" s="2" t="str">
        <x:v>1차 제외 추천</x:v>
      </x:c>
      <x:c r="C103" s="2" t="str">
        <x:v>중복 변형 제거 검토</x:v>
      </x:c>
      <x:c r="D103" s="2" t="str">
        <x:v>높음</x:v>
      </x:c>
      <x:c r="E103" s="2" t="str">
        <x:v>N3</x:v>
      </x:c>
      <x:c r="F103" s="10" t="n">
        <x:v>15</x:v>
      </x:c>
      <x:c r="G103" s="2" t="str">
        <x:v>w_a607d0d4b4d7b1a2</x:v>
      </x:c>
      <x:c r="H103" s="2" t="str">
        <x:v>越える</x:v>
      </x:c>
      <x:c r="I103" s="2" t="str">
        <x:v>こえる</x:v>
      </x:c>
      <x:c r="J103" s="8" t="str">
        <x:v>넘다, 넘어서다</x:v>
      </x:c>
      <x:c r="K103" s="2" t="str">
        <x:v>verb</x:v>
      </x:c>
      <x:c r="L103" s="9" t="n">
        <x:v>3.88</x:v>
      </x:c>
      <x:c r="M103" s="2" t="str">
        <x:v>없음</x:v>
      </x:c>
      <x:c r="N103" s="11" t="n">
        <x:v>56</x:v>
      </x:c>
      <x:c r="O103" s="8" t="str">
        <x:v>기존 한국어 뜻 품질 감사 대상; 검증된 예문 없음; 동일 JMdict 표제어의 표기·읽기 변형; 읽기와 한국어 뜻이 같은 표기 변형</x:v>
      </x:c>
      <x:c r="P103" s="8" t="str">
        <x:v>legacy_gloss_audit:senses_5_6,no_example,same_jmdict_entry,same_reading_meaning,weak_legacy_content</x:v>
      </x:c>
      <x:c r="Q103" s="2" t="str">
        <x:v>vg_101</x:v>
      </x:c>
      <x:c r="R103" s="2" t="str">
        <x:v>same_jmdict_entry,same_reading_meaning</x:v>
      </x:c>
      <x:c r="S103" s="2" t="str">
        <x:v>w_bd2507b9f1f1be15</x:v>
      </x:c>
      <x:c r="T103" s="2" t="str">
        <x:v>超える</x:v>
      </x:c>
      <x:c r="U103" s="2" t="str">
        <x:v>こえる</x:v>
      </x:c>
      <x:c r="V103" s="2" t="str">
        <x:v>예</x:v>
      </x:c>
      <x:c r="W103" s="2" t="str">
        <x:v>예</x:v>
      </x:c>
      <x:c r="X103" s="2" t="str">
        <x:v>ichi1,news1,nf11</x:v>
      </x:c>
      <x:c r="Y103" s="2" t="n">
        <x:v>100</x:v>
      </x:c>
      <x:c r="Z103" s="2" t="str">
        <x:v>ichi1,news1,nf11</x:v>
      </x:c>
      <x:c r="AA103" s="2" t="n">
        <x:v>100</x:v>
      </x:c>
      <x:c r="AB103" s="8" t="str">
        <x:v>esp. 超える | esp. 越える</x:v>
      </x:c>
      <x:c r="AC103" s="8" t="str">
        <x:v>senses_5_6</x:v>
      </x:c>
      <x:c r="AD103" s="8" t="str">
        <x:v>["draft-ko-missing"]</x:v>
      </x:c>
      <x:c r="AE103" s="8" t="str">
        <x:v>검토 필요</x:v>
      </x:c>
      <x:c r="AF103" s="8" t="str"/>
    </x:row>
    <x:row r="104">
      <x:c r="A104" s="10" t="n">
        <x:v>103</x:v>
      </x:c>
      <x:c r="B104" s="2" t="str">
        <x:v>1차 제외 추천</x:v>
      </x:c>
      <x:c r="C104" s="2" t="str">
        <x:v>중복 변형 제거 검토</x:v>
      </x:c>
      <x:c r="D104" s="2" t="str">
        <x:v>높음</x:v>
      </x:c>
      <x:c r="E104" s="2" t="str">
        <x:v>N3</x:v>
      </x:c>
      <x:c r="F104" s="10" t="n">
        <x:v>16</x:v>
      </x:c>
      <x:c r="G104" s="2" t="str">
        <x:v>w_51b95d78d41ec7ac</x:v>
      </x:c>
      <x:c r="H104" s="2" t="str">
        <x:v>陰</x:v>
      </x:c>
      <x:c r="I104" s="2" t="str">
        <x:v>かげ</x:v>
      </x:c>
      <x:c r="J104" s="8" t="str">
        <x:v>그늘, 그림자</x:v>
      </x:c>
      <x:c r="K104" s="2" t="str">
        <x:v>noun</x:v>
      </x:c>
      <x:c r="L104" s="9" t="n">
        <x:v>4.05</x:v>
      </x:c>
      <x:c r="M104" s="2" t="str">
        <x:v>없음</x:v>
      </x:c>
      <x:c r="N104" s="11" t="n">
        <x:v>56</x:v>
      </x:c>
      <x:c r="O104" s="8" t="str">
        <x:v>기존 한국어 뜻 품질 감사 대상; 검증된 예문 없음; 읽기와 한국어 뜻이 같은 표기 변형; 기존 데이터의 한국어 콘텐츠 보강 필요 태그</x:v>
      </x:c>
      <x:c r="P104" s="8" t="str">
        <x:v>legacy_gloss_audit:senses_5_6,no_example,same_reading_meaning,weak_legacy_content</x:v>
      </x:c>
      <x:c r="Q104" s="2" t="str">
        <x:v>vg_051</x:v>
      </x:c>
      <x:c r="R104" s="2" t="str">
        <x:v>same_reading_meaning</x:v>
      </x:c>
      <x:c r="S104" s="2" t="str">
        <x:v>w_554c0ea216ecc414</x:v>
      </x:c>
      <x:c r="T104" s="2" t="str">
        <x:v>影</x:v>
      </x:c>
      <x:c r="U104" s="2" t="str">
        <x:v>かげ</x:v>
      </x:c>
      <x:c r="V104" s="2" t="str">
        <x:v>아니오</x:v>
      </x:c>
      <x:c r="W104" s="2" t="str">
        <x:v>예</x:v>
      </x:c>
      <x:c r="X104" s="2" t="str">
        <x:v>ichi1</x:v>
      </x:c>
      <x:c r="Y104" s="2" t="n">
        <x:v>100</x:v>
      </x:c>
      <x:c r="Z104" s="2" t="str">
        <x:v>ichi1</x:v>
      </x:c>
      <x:c r="AA104" s="2" t="n">
        <x:v>100</x:v>
      </x:c>
      <x:c r="AB104" s="8" t="str"/>
      <x:c r="AC104" s="8" t="str">
        <x:v>senses_5_6</x:v>
      </x:c>
      <x:c r="AD104" s="8" t="str">
        <x:v>["draft-ko-missing"]</x:v>
      </x:c>
      <x:c r="AE104" s="8" t="str">
        <x:v>검토 필요</x:v>
      </x:c>
      <x:c r="AF104" s="8" t="str"/>
    </x:row>
    <x:row r="105">
      <x:c r="A105" s="10" t="n">
        <x:v>104</x:v>
      </x:c>
      <x:c r="B105" s="2" t="str">
        <x:v>1차 제외 추천</x:v>
      </x:c>
      <x:c r="C105" s="2" t="str">
        <x:v>중복 변형 제거 검토</x:v>
      </x:c>
      <x:c r="D105" s="2" t="str">
        <x:v>높음</x:v>
      </x:c>
      <x:c r="E105" s="2" t="str">
        <x:v>N2</x:v>
      </x:c>
      <x:c r="F105" s="10" t="n">
        <x:v>50</x:v>
      </x:c>
      <x:c r="G105" s="2" t="str">
        <x:v>w_b971f5fb52c159d9</x:v>
      </x:c>
      <x:c r="H105" s="2" t="str">
        <x:v>売り上げ</x:v>
      </x:c>
      <x:c r="I105" s="2" t="str">
        <x:v>うりあげ</x:v>
      </x:c>
      <x:c r="J105" s="8" t="str">
        <x:v>매상, 매출</x:v>
      </x:c>
      <x:c r="K105" s="2" t="str">
        <x:v>noun</x:v>
      </x:c>
      <x:c r="L105" s="9" t="n">
        <x:v>4.09</x:v>
      </x:c>
      <x:c r="M105" s="2" t="str">
        <x:v>없음</x:v>
      </x:c>
      <x:c r="N105" s="11" t="n">
        <x:v>56</x:v>
      </x:c>
      <x:c r="O105" s="8" t="str">
        <x:v>기존 한국어 뜻 품질 감사 대상; 검증된 예문 없음; 동일 JMdict 표제어의 표기·읽기 변형; 읽기와 한국어 뜻이 같은 표기 변형</x:v>
      </x:c>
      <x:c r="P105" s="8" t="str">
        <x:v>legacy_gloss_audit:mt_noise_token,no_example,same_jmdict_entry,same_reading_meaning,weak_legacy_content</x:v>
      </x:c>
      <x:c r="Q105" s="2" t="str">
        <x:v>vg_103</x:v>
      </x:c>
      <x:c r="R105" s="2" t="str">
        <x:v>same_jmdict_entry,same_reading_meaning</x:v>
      </x:c>
      <x:c r="S105" s="2" t="str">
        <x:v>w_dcf81ee7c767ed7f</x:v>
      </x:c>
      <x:c r="T105" s="2" t="str">
        <x:v>売上</x:v>
      </x:c>
      <x:c r="U105" s="2" t="str">
        <x:v>うりあげ</x:v>
      </x:c>
      <x:c r="V105" s="2" t="str">
        <x:v>예</x:v>
      </x:c>
      <x:c r="W105" s="2" t="str">
        <x:v>예</x:v>
      </x:c>
      <x:c r="X105" s="2" t="str">
        <x:v>ichi1,news1,nf03,spec1</x:v>
      </x:c>
      <x:c r="Y105" s="2" t="n">
        <x:v>100</x:v>
      </x:c>
      <x:c r="Z105" s="2" t="str">
        <x:v>ichi1,news1,nf03</x:v>
      </x:c>
      <x:c r="AA105" s="2" t="n">
        <x:v>100</x:v>
      </x:c>
      <x:c r="AB105" s="8" t="str"/>
      <x:c r="AC105" s="8" t="str">
        <x:v>mt_noise_token</x:v>
      </x:c>
      <x:c r="AD105" s="8" t="str">
        <x:v>["draft-ko-missing"]</x:v>
      </x:c>
      <x:c r="AE105" s="8" t="str">
        <x:v>검토 필요</x:v>
      </x:c>
      <x:c r="AF105" s="8" t="str"/>
    </x:row>
    <x:row r="106">
      <x:c r="A106" s="10" t="n">
        <x:v>105</x:v>
      </x:c>
      <x:c r="B106" s="2" t="str">
        <x:v>1차 검토 후보</x:v>
      </x:c>
      <x:c r="C106" s="2" t="str">
        <x:v>저활용 제외 검토</x:v>
      </x:c>
      <x:c r="D106" s="2" t="str">
        <x:v>중간</x:v>
      </x:c>
      <x:c r="E106" s="2" t="str">
        <x:v>N1</x:v>
      </x:c>
      <x:c r="F106" s="10" t="n">
        <x:v>24</x:v>
      </x:c>
      <x:c r="G106" s="2" t="str">
        <x:v>w_a424e854ab59be73</x:v>
      </x:c>
      <x:c r="H106" s="2" t="str">
        <x:v>伜</x:v>
      </x:c>
      <x:c r="I106" s="2" t="str">
        <x:v>せがれ</x:v>
      </x:c>
      <x:c r="J106" s="8" t="str">
        <x:v>아들, 나의 아들</x:v>
      </x:c>
      <x:c r="K106" s="2" t="str">
        <x:v>noun</x:v>
      </x:c>
      <x:c r="L106" s="9" t="n">
        <x:v>1.04</x:v>
      </x:c>
      <x:c r="M106" s="2" t="str">
        <x:v>없음</x:v>
      </x:c>
      <x:c r="N106" s="11" t="n">
        <x:v>55</x:v>
      </x:c>
      <x:c r="O106" s="8" t="str">
        <x:v>일반 사용 빈도 매우 낮음(Zipf ≤ 1.5); 검증된 예문 없음; JMdict 우선 어휘 표지 없음; 기존 데이터의 한국어 콘텐츠 보강 필요 태그</x:v>
      </x:c>
      <x:c r="P106" s="8" t="str">
        <x:v>frequency_le_1_5,no_example,no_jmdict_priority,weak_legacy_content</x:v>
      </x:c>
      <x:c r="Q106" s="2" t="str"/>
      <x:c r="R106" s="2" t="str"/>
      <x:c r="S106" s="2" t="str"/>
      <x:c r="T106" s="2" t="str"/>
      <x:c r="U106" s="2" t="str"/>
      <x:c r="V106" s="2" t="str">
        <x:v>아니오</x:v>
      </x:c>
      <x:c r="W106" s="2" t="str">
        <x:v>예</x:v>
      </x:c>
      <x:c r="X106" s="2" t="str"/>
      <x:c r="Y106" s="2" t="n">
        <x:v>0</x:v>
      </x:c>
      <x:c r="Z106" s="2" t="str"/>
      <x:c r="AA106" s="2" t="n">
        <x:v>0</x:v>
      </x:c>
      <x:c r="AB106" s="8" t="str">
        <x:v>colloquial | humble (kenjougo) language | word usually written using kana alone</x:v>
      </x:c>
      <x:c r="AC106" s="8" t="str"/>
      <x:c r="AD106" s="8" t="str">
        <x:v>["draft-ko-missing"]</x:v>
      </x:c>
      <x:c r="AE106" s="8" t="str">
        <x:v>검토 필요</x:v>
      </x:c>
      <x:c r="AF106" s="8" t="str"/>
    </x:row>
    <x:row r="107">
      <x:c r="A107" s="10" t="n">
        <x:v>106</x:v>
      </x:c>
      <x:c r="B107" s="2" t="str">
        <x:v>1차 검토 후보</x:v>
      </x:c>
      <x:c r="C107" s="2" t="str">
        <x:v>저활용 제외 검토</x:v>
      </x:c>
      <x:c r="D107" s="2" t="str">
        <x:v>중간</x:v>
      </x:c>
      <x:c r="E107" s="2" t="str">
        <x:v>N2</x:v>
      </x:c>
      <x:c r="F107" s="10" t="n">
        <x:v>51</x:v>
      </x:c>
      <x:c r="G107" s="2" t="str">
        <x:v>w_8bff216fb55cb6ad</x:v>
      </x:c>
      <x:c r="H107" s="2" t="str">
        <x:v>ぶらさげる</x:v>
      </x:c>
      <x:c r="I107" s="2" t="str">
        <x:v>ぶらさげる</x:v>
      </x:c>
      <x:c r="J107" s="8" t="str">
        <x:v>매달다, 늘어뜨리다</x:v>
      </x:c>
      <x:c r="K107" s="2" t="str">
        <x:v>verb</x:v>
      </x:c>
      <x:c r="L107" s="9" t="n">
        <x:v>1.18</x:v>
      </x:c>
      <x:c r="M107" s="2" t="str">
        <x:v>없음</x:v>
      </x:c>
      <x:c r="N107" s="11" t="n">
        <x:v>55</x:v>
      </x:c>
      <x:c r="O107" s="8" t="str">
        <x:v>일반 사용 빈도 매우 낮음(Zipf ≤ 1.5); 검증된 예문 없음; JMdict 우선 어휘 표지 없음; 기존 데이터의 한국어 콘텐츠 보강 필요 태그</x:v>
      </x:c>
      <x:c r="P107" s="8" t="str">
        <x:v>frequency_le_1_5,no_example,no_jmdict_priority,weak_legacy_content</x:v>
      </x:c>
      <x:c r="Q107" s="2" t="str"/>
      <x:c r="R107" s="2" t="str"/>
      <x:c r="S107" s="2" t="str"/>
      <x:c r="T107" s="2" t="str"/>
      <x:c r="U107" s="2" t="str"/>
      <x:c r="V107" s="2" t="str">
        <x:v>아니오</x:v>
      </x:c>
      <x:c r="W107" s="2" t="str">
        <x:v>아니오</x:v>
      </x:c>
      <x:c r="X107" s="2" t="str"/>
      <x:c r="Y107" s="2" t="n">
        <x:v>0</x:v>
      </x:c>
      <x:c r="Z107" s="2" t="str"/>
      <x:c r="AA107" s="2" t="n">
        <x:v>0</x:v>
      </x:c>
      <x:c r="AB107" s="8" t="str"/>
      <x:c r="AC107" s="8" t="str"/>
      <x:c r="AD107" s="8" t="str">
        <x:v>["draft-ko-missing"]</x:v>
      </x:c>
      <x:c r="AE107" s="8" t="str">
        <x:v>검토 필요</x:v>
      </x:c>
      <x:c r="AF107" s="8" t="str"/>
    </x:row>
    <x:row r="108">
      <x:c r="A108" s="10" t="n">
        <x:v>107</x:v>
      </x:c>
      <x:c r="B108" s="2" t="str">
        <x:v>1차 검토 후보</x:v>
      </x:c>
      <x:c r="C108" s="2" t="str">
        <x:v>저활용 제외 검토</x:v>
      </x:c>
      <x:c r="D108" s="2" t="str">
        <x:v>중간</x:v>
      </x:c>
      <x:c r="E108" s="2" t="str">
        <x:v>N2</x:v>
      </x:c>
      <x:c r="F108" s="10" t="n">
        <x:v>52</x:v>
      </x:c>
      <x:c r="G108" s="2" t="str">
        <x:v>w_20e260bdc5ab8c7f</x:v>
      </x:c>
      <x:c r="H108" s="2" t="str">
        <x:v>存ずる</x:v>
      </x:c>
      <x:c r="I108" s="2" t="str">
        <x:v>ぞんずる</x:v>
      </x:c>
      <x:c r="J108" s="8" t="str">
        <x:v>알다(겸양)</x:v>
      </x:c>
      <x:c r="K108" s="2" t="str">
        <x:v>verb</x:v>
      </x:c>
      <x:c r="L108" s="9" t="n">
        <x:v>1.19</x:v>
      </x:c>
      <x:c r="M108" s="2" t="str">
        <x:v>없음</x:v>
      </x:c>
      <x:c r="N108" s="11" t="n">
        <x:v>55</x:v>
      </x:c>
      <x:c r="O108" s="8" t="str">
        <x:v>일반 사용 빈도 매우 낮음(Zipf ≤ 1.5); 검증된 예문 없음; JMdict 우선 어휘 표지 없음; 기존 데이터의 한국어 콘텐츠 보강 필요 태그</x:v>
      </x:c>
      <x:c r="P108" s="8" t="str">
        <x:v>frequency_le_1_5,no_example,no_jmdict_priority,weak_legacy_content</x:v>
      </x:c>
      <x:c r="Q108" s="2" t="str"/>
      <x:c r="R108" s="2" t="str"/>
      <x:c r="S108" s="2" t="str"/>
      <x:c r="T108" s="2" t="str"/>
      <x:c r="U108" s="2" t="str"/>
      <x:c r="V108" s="2" t="str">
        <x:v>아니오</x:v>
      </x:c>
      <x:c r="W108" s="2" t="str">
        <x:v>예</x:v>
      </x:c>
      <x:c r="X108" s="2" t="str"/>
      <x:c r="Y108" s="2" t="n">
        <x:v>0</x:v>
      </x:c>
      <x:c r="Z108" s="2" t="str"/>
      <x:c r="AA108" s="2" t="n">
        <x:v>0</x:v>
      </x:c>
      <x:c r="AB108" s="8" t="str">
        <x:v>humble (kenjougo) language</x:v>
      </x:c>
      <x:c r="AC108" s="8" t="str"/>
      <x:c r="AD108" s="8" t="str">
        <x:v>["draft-ko-missing"]</x:v>
      </x:c>
      <x:c r="AE108" s="8" t="str">
        <x:v>검토 필요</x:v>
      </x:c>
      <x:c r="AF108" s="8" t="str"/>
    </x:row>
    <x:row r="109">
      <x:c r="A109" s="10" t="n">
        <x:v>108</x:v>
      </x:c>
      <x:c r="B109" s="2" t="str">
        <x:v>1차 검토 후보</x:v>
      </x:c>
      <x:c r="C109" s="2" t="str">
        <x:v>저활용 제외 검토</x:v>
      </x:c>
      <x:c r="D109" s="2" t="str">
        <x:v>중간</x:v>
      </x:c>
      <x:c r="E109" s="2" t="str">
        <x:v>N2</x:v>
      </x:c>
      <x:c r="F109" s="10" t="n">
        <x:v>53</x:v>
      </x:c>
      <x:c r="G109" s="2" t="str">
        <x:v>w_6dcadacb65506fb2</x:v>
      </x:c>
      <x:c r="H109" s="2" t="str">
        <x:v>かしょ</x:v>
      </x:c>
      <x:c r="I109" s="2" t="str">
        <x:v>かしょ</x:v>
      </x:c>
      <x:c r="J109" s="8" t="str">
        <x:v>(특정) 부분, 곳</x:v>
      </x:c>
      <x:c r="K109" s="2" t="str">
        <x:v>noun</x:v>
      </x:c>
      <x:c r="L109" s="9" t="n">
        <x:v>1.2</x:v>
      </x:c>
      <x:c r="M109" s="2" t="str">
        <x:v>없음</x:v>
      </x:c>
      <x:c r="N109" s="11" t="n">
        <x:v>55</x:v>
      </x:c>
      <x:c r="O109" s="8" t="str">
        <x:v>일반 사용 빈도 매우 낮음(Zipf ≤ 1.5); 검증된 예문 없음; JMdict 우선 어휘 표지 없음; 기존 데이터의 한국어 콘텐츠 보강 필요 태그</x:v>
      </x:c>
      <x:c r="P109" s="8" t="str">
        <x:v>frequency_le_1_5,no_example,no_jmdict_priority,weak_legacy_content</x:v>
      </x:c>
      <x:c r="Q109" s="2" t="str"/>
      <x:c r="R109" s="2" t="str"/>
      <x:c r="S109" s="2" t="str"/>
      <x:c r="T109" s="2" t="str"/>
      <x:c r="U109" s="2" t="str"/>
      <x:c r="V109" s="2" t="str">
        <x:v>아니오</x:v>
      </x:c>
      <x:c r="W109" s="2" t="str">
        <x:v>아니오</x:v>
      </x:c>
      <x:c r="X109" s="2" t="str"/>
      <x:c r="Y109" s="2" t="n">
        <x:v>0</x:v>
      </x:c>
      <x:c r="Z109" s="2" t="str"/>
      <x:c r="AA109" s="2" t="n">
        <x:v>0</x:v>
      </x:c>
      <x:c r="AB109" s="8" t="str"/>
      <x:c r="AC109" s="8" t="str"/>
      <x:c r="AD109" s="8" t="str">
        <x:v>["draft-ko-missing"]</x:v>
      </x:c>
      <x:c r="AE109" s="8" t="str">
        <x:v>검토 필요</x:v>
      </x:c>
      <x:c r="AF109" s="8" t="str"/>
    </x:row>
    <x:row r="110">
      <x:c r="A110" s="10" t="n">
        <x:v>109</x:v>
      </x:c>
      <x:c r="B110" s="2" t="str">
        <x:v>1차 검토 후보</x:v>
      </x:c>
      <x:c r="C110" s="2" t="str">
        <x:v>저활용 제외 검토</x:v>
      </x:c>
      <x:c r="D110" s="2" t="str">
        <x:v>중간</x:v>
      </x:c>
      <x:c r="E110" s="2" t="str">
        <x:v>N2</x:v>
      </x:c>
      <x:c r="F110" s="10" t="n">
        <x:v>54</x:v>
      </x:c>
      <x:c r="G110" s="2" t="str">
        <x:v>w_7c11f2be2fbf4db0</x:v>
      </x:c>
      <x:c r="H110" s="2" t="str">
        <x:v>ふくめる</x:v>
      </x:c>
      <x:c r="I110" s="2" t="str">
        <x:v>ふくめる</x:v>
      </x:c>
      <x:c r="J110" s="8" t="str">
        <x:v>포함하다, 만들다 하나 이해하다</x:v>
      </x:c>
      <x:c r="K110" s="2" t="str">
        <x:v>verb</x:v>
      </x:c>
      <x:c r="L110" s="9" t="n">
        <x:v>1.2</x:v>
      </x:c>
      <x:c r="M110" s="2" t="str">
        <x:v>없음</x:v>
      </x:c>
      <x:c r="N110" s="11" t="n">
        <x:v>55</x:v>
      </x:c>
      <x:c r="O110" s="8" t="str">
        <x:v>일반 사용 빈도 매우 낮음(Zipf ≤ 1.5); 검증된 예문 없음; JMdict 우선 어휘 표지 없음; 기존 데이터의 한국어 콘텐츠 보강 필요 태그</x:v>
      </x:c>
      <x:c r="P110" s="8" t="str">
        <x:v>frequency_le_1_5,no_example,no_jmdict_priority,weak_legacy_content</x:v>
      </x:c>
      <x:c r="Q110" s="2" t="str"/>
      <x:c r="R110" s="2" t="str"/>
      <x:c r="S110" s="2" t="str"/>
      <x:c r="T110" s="2" t="str"/>
      <x:c r="U110" s="2" t="str"/>
      <x:c r="V110" s="2" t="str">
        <x:v>아니오</x:v>
      </x:c>
      <x:c r="W110" s="2" t="str">
        <x:v>아니오</x:v>
      </x:c>
      <x:c r="X110" s="2" t="str"/>
      <x:c r="Y110" s="2" t="n">
        <x:v>0</x:v>
      </x:c>
      <x:c r="Z110" s="2" t="str"/>
      <x:c r="AA110" s="2" t="n">
        <x:v>0</x:v>
      </x:c>
      <x:c r="AB110" s="8" t="str"/>
      <x:c r="AC110" s="8" t="str"/>
      <x:c r="AD110" s="8" t="str">
        <x:v>["draft-ko-missing"]</x:v>
      </x:c>
      <x:c r="AE110" s="8" t="str">
        <x:v>검토 필요</x:v>
      </x:c>
      <x:c r="AF110" s="8" t="str"/>
    </x:row>
    <x:row r="111">
      <x:c r="A111" s="10" t="n">
        <x:v>110</x:v>
      </x:c>
      <x:c r="B111" s="2" t="str">
        <x:v>1차 검토 후보</x:v>
      </x:c>
      <x:c r="C111" s="2" t="str">
        <x:v>저활용 제외 검토</x:v>
      </x:c>
      <x:c r="D111" s="2" t="str">
        <x:v>중간</x:v>
      </x:c>
      <x:c r="E111" s="2" t="str">
        <x:v>N1</x:v>
      </x:c>
      <x:c r="F111" s="10" t="n">
        <x:v>25</x:v>
      </x:c>
      <x:c r="G111" s="2" t="str">
        <x:v>w_40d5e8ace8265737</x:v>
      </x:c>
      <x:c r="H111" s="2" t="str">
        <x:v>突っ突く</x:v>
      </x:c>
      <x:c r="I111" s="2" t="str">
        <x:v>つっつく</x:v>
      </x:c>
      <x:c r="J111" s="8" t="str">
        <x:v>쿡쿡 찌르다, 들쑤시다</x:v>
      </x:c>
      <x:c r="K111" s="2" t="str">
        <x:v>verb</x:v>
      </x:c>
      <x:c r="L111" s="9" t="n">
        <x:v>1.21</x:v>
      </x:c>
      <x:c r="M111" s="2" t="str">
        <x:v>없음</x:v>
      </x:c>
      <x:c r="N111" s="11" t="n">
        <x:v>55</x:v>
      </x:c>
      <x:c r="O111" s="8" t="str">
        <x:v>일반 사용 빈도 매우 낮음(Zipf ≤ 1.5); 검증된 예문 없음; JMdict 우선 어휘 표지 없음; 기존 데이터의 한국어 콘텐츠 보강 필요 태그</x:v>
      </x:c>
      <x:c r="P111" s="8" t="str">
        <x:v>frequency_le_1_5,no_example,no_jmdict_priority,weak_legacy_content</x:v>
      </x:c>
      <x:c r="Q111" s="2" t="str"/>
      <x:c r="R111" s="2" t="str"/>
      <x:c r="S111" s="2" t="str"/>
      <x:c r="T111" s="2" t="str"/>
      <x:c r="U111" s="2" t="str"/>
      <x:c r="V111" s="2" t="str">
        <x:v>아니오</x:v>
      </x:c>
      <x:c r="W111" s="2" t="str">
        <x:v>예</x:v>
      </x:c>
      <x:c r="X111" s="2" t="str"/>
      <x:c r="Y111" s="2" t="n">
        <x:v>0</x:v>
      </x:c>
      <x:c r="Z111" s="2" t="str"/>
      <x:c r="AA111" s="2" t="n">
        <x:v>0</x:v>
      </x:c>
      <x:c r="AB111" s="8" t="str">
        <x:v>word usually written using kana alone</x:v>
      </x:c>
      <x:c r="AC111" s="8" t="str"/>
      <x:c r="AD111" s="8" t="str">
        <x:v>["draft-ko-missing"]</x:v>
      </x:c>
      <x:c r="AE111" s="8" t="str">
        <x:v>검토 필요</x:v>
      </x:c>
      <x:c r="AF111" s="8" t="str"/>
    </x:row>
    <x:row r="112">
      <x:c r="A112" s="10" t="n">
        <x:v>111</x:v>
      </x:c>
      <x:c r="B112" s="2" t="str">
        <x:v>1차 검토 후보</x:v>
      </x:c>
      <x:c r="C112" s="2" t="str">
        <x:v>저활용 제외 검토</x:v>
      </x:c>
      <x:c r="D112" s="2" t="str">
        <x:v>중간</x:v>
      </x:c>
      <x:c r="E112" s="2" t="str">
        <x:v>N2</x:v>
      </x:c>
      <x:c r="F112" s="10" t="n">
        <x:v>55</x:v>
      </x:c>
      <x:c r="G112" s="2" t="str">
        <x:v>w_6be80965290001db</x:v>
      </x:c>
      <x:c r="H112" s="2" t="str">
        <x:v>おおざっぱ</x:v>
      </x:c>
      <x:c r="I112" s="2" t="str">
        <x:v>おおざっぱ</x:v>
      </x:c>
      <x:c r="J112" s="8" t="str">
        <x:v>대략적인, 엉성한</x:v>
      </x:c>
      <x:c r="K112" s="2" t="str">
        <x:v>adjective</x:v>
      </x:c>
      <x:c r="L112" s="9" t="n">
        <x:v>1.36</x:v>
      </x:c>
      <x:c r="M112" s="2" t="str">
        <x:v>없음</x:v>
      </x:c>
      <x:c r="N112" s="11" t="n">
        <x:v>55</x:v>
      </x:c>
      <x:c r="O112" s="8" t="str">
        <x:v>일반 사용 빈도 매우 낮음(Zipf ≤ 1.5); 검증된 예문 없음; JMdict 우선 어휘 표지 없음; 기존 데이터의 한국어 콘텐츠 보강 필요 태그</x:v>
      </x:c>
      <x:c r="P112" s="8" t="str">
        <x:v>frequency_le_1_5,no_example,no_jmdict_priority,weak_legacy_content</x:v>
      </x:c>
      <x:c r="Q112" s="2" t="str"/>
      <x:c r="R112" s="2" t="str"/>
      <x:c r="S112" s="2" t="str"/>
      <x:c r="T112" s="2" t="str"/>
      <x:c r="U112" s="2" t="str"/>
      <x:c r="V112" s="2" t="str">
        <x:v>아니오</x:v>
      </x:c>
      <x:c r="W112" s="2" t="str">
        <x:v>아니오</x:v>
      </x:c>
      <x:c r="X112" s="2" t="str"/>
      <x:c r="Y112" s="2" t="n">
        <x:v>0</x:v>
      </x:c>
      <x:c r="Z112" s="2" t="str"/>
      <x:c r="AA112" s="2" t="n">
        <x:v>0</x:v>
      </x:c>
      <x:c r="AB112" s="8" t="str"/>
      <x:c r="AC112" s="8" t="str"/>
      <x:c r="AD112" s="8" t="str">
        <x:v>["draft-ko-missing"]</x:v>
      </x:c>
      <x:c r="AE112" s="8" t="str">
        <x:v>검토 필요</x:v>
      </x:c>
      <x:c r="AF112" s="8" t="str"/>
    </x:row>
    <x:row r="113">
      <x:c r="A113" s="10" t="n">
        <x:v>112</x:v>
      </x:c>
      <x:c r="B113" s="2" t="str">
        <x:v>1차 검토 후보</x:v>
      </x:c>
      <x:c r="C113" s="2" t="str">
        <x:v>저활용 제외 검토</x:v>
      </x:c>
      <x:c r="D113" s="2" t="str">
        <x:v>중간</x:v>
      </x:c>
      <x:c r="E113" s="2" t="str">
        <x:v>N1</x:v>
      </x:c>
      <x:c r="F113" s="10" t="n">
        <x:v>26</x:v>
      </x:c>
      <x:c r="G113" s="2" t="str">
        <x:v>w_b5762ff3178df835</x:v>
      </x:c>
      <x:c r="H113" s="2" t="str">
        <x:v>すばしこい</x:v>
      </x:c>
      <x:c r="I113" s="2" t="str">
        <x:v>すばしこい</x:v>
      </x:c>
      <x:c r="J113" s="8" t="str">
        <x:v>재빠르다, 날쌔다</x:v>
      </x:c>
      <x:c r="K113" s="2" t="str">
        <x:v>adjective</x:v>
      </x:c>
      <x:c r="L113" s="9" t="n">
        <x:v>1.43</x:v>
      </x:c>
      <x:c r="M113" s="2" t="str">
        <x:v>없음</x:v>
      </x:c>
      <x:c r="N113" s="11" t="n">
        <x:v>55</x:v>
      </x:c>
      <x:c r="O113" s="8" t="str">
        <x:v>일반 사용 빈도 매우 낮음(Zipf ≤ 1.5); 검증된 예문 없음; JMdict 우선 어휘 표지 없음; 기존 데이터의 한국어 콘텐츠 보강 필요 태그</x:v>
      </x:c>
      <x:c r="P113" s="8" t="str">
        <x:v>frequency_le_1_5,no_example,no_jmdict_priority,weak_legacy_content</x:v>
      </x:c>
      <x:c r="Q113" s="2" t="str"/>
      <x:c r="R113" s="2" t="str"/>
      <x:c r="S113" s="2" t="str"/>
      <x:c r="T113" s="2" t="str"/>
      <x:c r="U113" s="2" t="str"/>
      <x:c r="V113" s="2" t="str">
        <x:v>아니오</x:v>
      </x:c>
      <x:c r="W113" s="2" t="str">
        <x:v>예</x:v>
      </x:c>
      <x:c r="X113" s="2" t="str"/>
      <x:c r="Y113" s="2" t="n">
        <x:v>0</x:v>
      </x:c>
      <x:c r="Z113" s="2" t="str"/>
      <x:c r="AA113" s="2" t="n">
        <x:v>0</x:v>
      </x:c>
      <x:c r="AB113" s="8" t="str"/>
      <x:c r="AC113" s="8" t="str"/>
      <x:c r="AD113" s="8" t="str">
        <x:v>["draft-ko-missing"]</x:v>
      </x:c>
      <x:c r="AE113" s="8" t="str">
        <x:v>검토 필요</x:v>
      </x:c>
      <x:c r="AF113" s="8" t="str"/>
    </x:row>
    <x:row r="114">
      <x:c r="A114" s="10" t="n">
        <x:v>113</x:v>
      </x:c>
      <x:c r="B114" s="2" t="str">
        <x:v>1차 검토 후보</x:v>
      </x:c>
      <x:c r="C114" s="2" t="str">
        <x:v>저활용 제외 검토</x:v>
      </x:c>
      <x:c r="D114" s="2" t="str">
        <x:v>중간</x:v>
      </x:c>
      <x:c r="E114" s="2" t="str">
        <x:v>N3</x:v>
      </x:c>
      <x:c r="F114" s="10" t="n">
        <x:v>17</x:v>
      </x:c>
      <x:c r="G114" s="2" t="str">
        <x:v>w_db25c865abdbfb17</x:v>
      </x:c>
      <x:c r="H114" s="2" t="str">
        <x:v>酌む</x:v>
      </x:c>
      <x:c r="I114" s="2" t="str">
        <x:v>くむ</x:v>
      </x:c>
      <x:c r="J114" s="8" t="str">
        <x:v>(술을) 따르다</x:v>
      </x:c>
      <x:c r="K114" s="2" t="str">
        <x:v>verb</x:v>
      </x:c>
      <x:c r="L114" s="9" t="n">
        <x:v>1.45</x:v>
      </x:c>
      <x:c r="M114" s="2" t="str">
        <x:v>없음</x:v>
      </x:c>
      <x:c r="N114" s="11" t="n">
        <x:v>55</x:v>
      </x:c>
      <x:c r="O114" s="8" t="str">
        <x:v>일반 사용 빈도 매우 낮음(Zipf ≤ 1.5); 검증된 예문 없음; JMdict 우선 어휘 표지 없음; 기존 데이터의 한국어 콘텐츠 보강 필요 태그</x:v>
      </x:c>
      <x:c r="P114" s="8" t="str">
        <x:v>frequency_le_1_5,no_example,no_jmdict_priority,weak_legacy_content</x:v>
      </x:c>
      <x:c r="Q114" s="2" t="str"/>
      <x:c r="R114" s="2" t="str"/>
      <x:c r="S114" s="2" t="str"/>
      <x:c r="T114" s="2" t="str"/>
      <x:c r="U114" s="2" t="str"/>
      <x:c r="V114" s="2" t="str">
        <x:v>아니오</x:v>
      </x:c>
      <x:c r="W114" s="2" t="str">
        <x:v>예</x:v>
      </x:c>
      <x:c r="X114" s="2" t="str"/>
      <x:c r="Y114" s="2" t="n">
        <x:v>0</x:v>
      </x:c>
      <x:c r="Z114" s="2" t="str"/>
      <x:c r="AA114" s="2" t="n">
        <x:v>0</x:v>
      </x:c>
      <x:c r="AB114" s="8" t="str"/>
      <x:c r="AC114" s="8" t="str"/>
      <x:c r="AD114" s="8" t="str">
        <x:v>["draft-ko-missing"]</x:v>
      </x:c>
      <x:c r="AE114" s="8" t="str">
        <x:v>검토 필요</x:v>
      </x:c>
      <x:c r="AF114" s="8" t="str"/>
    </x:row>
    <x:row r="115">
      <x:c r="A115" s="10" t="n">
        <x:v>114</x:v>
      </x:c>
      <x:c r="B115" s="2" t="str">
        <x:v>1차 검토 후보</x:v>
      </x:c>
      <x:c r="C115" s="2" t="str">
        <x:v>저활용 제외 검토</x:v>
      </x:c>
      <x:c r="D115" s="2" t="str">
        <x:v>중간</x:v>
      </x:c>
      <x:c r="E115" s="2" t="str">
        <x:v>N1</x:v>
      </x:c>
      <x:c r="F115" s="10" t="n">
        <x:v>27</x:v>
      </x:c>
      <x:c r="G115" s="2" t="str">
        <x:v>w_98da7341e355c493</x:v>
      </x:c>
      <x:c r="H115" s="2" t="str">
        <x:v>呆気ない</x:v>
      </x:c>
      <x:c r="I115" s="2" t="str">
        <x:v>あっけない</x:v>
      </x:c>
      <x:c r="J115" s="8" t="str">
        <x:v>어이없다, 싱겁다</x:v>
      </x:c>
      <x:c r="K115" s="2" t="str">
        <x:v>adjective</x:v>
      </x:c>
      <x:c r="L115" s="9" t="n">
        <x:v>1.45</x:v>
      </x:c>
      <x:c r="M115" s="2" t="str">
        <x:v>없음</x:v>
      </x:c>
      <x:c r="N115" s="11" t="n">
        <x:v>55</x:v>
      </x:c>
      <x:c r="O115" s="8" t="str">
        <x:v>일반 사용 빈도 매우 낮음(Zipf ≤ 1.5); 검증된 예문 없음; JMdict 우선 어휘 표지 없음; 기존 데이터의 한국어 콘텐츠 보강 필요 태그</x:v>
      </x:c>
      <x:c r="P115" s="8" t="str">
        <x:v>frequency_le_1_5,no_example,no_jmdict_priority,weak_legacy_content</x:v>
      </x:c>
      <x:c r="Q115" s="2" t="str"/>
      <x:c r="R115" s="2" t="str"/>
      <x:c r="S115" s="2" t="str"/>
      <x:c r="T115" s="2" t="str"/>
      <x:c r="U115" s="2" t="str"/>
      <x:c r="V115" s="2" t="str">
        <x:v>아니오</x:v>
      </x:c>
      <x:c r="W115" s="2" t="str">
        <x:v>예</x:v>
      </x:c>
      <x:c r="X115" s="2" t="str"/>
      <x:c r="Y115" s="2" t="n">
        <x:v>0</x:v>
      </x:c>
      <x:c r="Z115" s="2" t="str"/>
      <x:c r="AA115" s="2" t="n">
        <x:v>0</x:v>
      </x:c>
      <x:c r="AB115" s="8" t="str">
        <x:v>ateji (phonetic) reading | word usually written using kana alone</x:v>
      </x:c>
      <x:c r="AC115" s="8" t="str"/>
      <x:c r="AD115" s="8" t="str">
        <x:v>["draft-ko-missing"]</x:v>
      </x:c>
      <x:c r="AE115" s="8" t="str">
        <x:v>검토 필요</x:v>
      </x:c>
      <x:c r="AF115" s="8" t="str"/>
    </x:row>
    <x:row r="116">
      <x:c r="A116" s="10" t="n">
        <x:v>115</x:v>
      </x:c>
      <x:c r="B116" s="2" t="str">
        <x:v>1차 검토 후보</x:v>
      </x:c>
      <x:c r="C116" s="2" t="str">
        <x:v>저활용 제외 검토</x:v>
      </x:c>
      <x:c r="D116" s="2" t="str">
        <x:v>중간</x:v>
      </x:c>
      <x:c r="E116" s="2" t="str">
        <x:v>N2</x:v>
      </x:c>
      <x:c r="F116" s="10" t="n">
        <x:v>56</x:v>
      </x:c>
      <x:c r="G116" s="2" t="str">
        <x:v>w_7826d7569e12800d</x:v>
      </x:c>
      <x:c r="H116" s="2" t="str">
        <x:v>こしらえる</x:v>
      </x:c>
      <x:c r="I116" s="2" t="str">
        <x:v>こしらえる</x:v>
      </x:c>
      <x:c r="J116" s="8" t="str">
        <x:v>만들다, 제조하다</x:v>
      </x:c>
      <x:c r="K116" s="2" t="str">
        <x:v>verb</x:v>
      </x:c>
      <x:c r="L116" s="9" t="n">
        <x:v>1.47</x:v>
      </x:c>
      <x:c r="M116" s="2" t="str">
        <x:v>없음</x:v>
      </x:c>
      <x:c r="N116" s="11" t="n">
        <x:v>55</x:v>
      </x:c>
      <x:c r="O116" s="8" t="str">
        <x:v>일반 사용 빈도 매우 낮음(Zipf ≤ 1.5); 검증된 예문 없음; JMdict 우선 어휘 표지 없음; 기존 데이터의 한국어 콘텐츠 보강 필요 태그</x:v>
      </x:c>
      <x:c r="P116" s="8" t="str">
        <x:v>frequency_le_1_5,no_example,no_jmdict_priority,weak_legacy_content</x:v>
      </x:c>
      <x:c r="Q116" s="2" t="str"/>
      <x:c r="R116" s="2" t="str"/>
      <x:c r="S116" s="2" t="str"/>
      <x:c r="T116" s="2" t="str"/>
      <x:c r="U116" s="2" t="str"/>
      <x:c r="V116" s="2" t="str">
        <x:v>아니오</x:v>
      </x:c>
      <x:c r="W116" s="2" t="str">
        <x:v>아니오</x:v>
      </x:c>
      <x:c r="X116" s="2" t="str"/>
      <x:c r="Y116" s="2" t="n">
        <x:v>0</x:v>
      </x:c>
      <x:c r="Z116" s="2" t="str"/>
      <x:c r="AA116" s="2" t="n">
        <x:v>0</x:v>
      </x:c>
      <x:c r="AB116" s="8" t="str"/>
      <x:c r="AC116" s="8" t="str"/>
      <x:c r="AD116" s="8" t="str">
        <x:v>["draft-ko-missing"]</x:v>
      </x:c>
      <x:c r="AE116" s="8" t="str">
        <x:v>검토 필요</x:v>
      </x:c>
      <x:c r="AF116" s="8" t="str"/>
    </x:row>
    <x:row r="117">
      <x:c r="A117" s="10" t="n">
        <x:v>116</x:v>
      </x:c>
      <x:c r="B117" s="2" t="str">
        <x:v>1차 검토 후보</x:v>
      </x:c>
      <x:c r="C117" s="2" t="str">
        <x:v>데이터 정규화 검토</x:v>
      </x:c>
      <x:c r="D117" s="2" t="str">
        <x:v>중간</x:v>
      </x:c>
      <x:c r="E117" s="2" t="str">
        <x:v>N1</x:v>
      </x:c>
      <x:c r="F117" s="10" t="n">
        <x:v>28</x:v>
      </x:c>
      <x:c r="G117" s="2" t="str">
        <x:v>w_78254f13cadebd7e</x:v>
      </x:c>
      <x:c r="H117" s="2" t="str">
        <x:v>摩する</x:v>
      </x:c>
      <x:c r="I117" s="2" t="str">
        <x:v>さする</x:v>
      </x:c>
      <x:c r="J117" s="8" t="str">
        <x:v>문지르다, 쓰다듬다</x:v>
      </x:c>
      <x:c r="K117" s="2" t="str">
        <x:v>verb</x:v>
      </x:c>
      <x:c r="L117" s="9" t="n">
        <x:v>1.93</x:v>
      </x:c>
      <x:c r="M117" s="2" t="str">
        <x:v>있음</x:v>
      </x:c>
      <x:c r="N117" s="11" t="n">
        <x:v>53</x:v>
      </x:c>
      <x:c r="O117" s="8" t="str">
        <x:v>일반 사용 빈도 매우 낮음(Zipf ≤ 2.0); 현재 표기+읽기 조합을 JMdict에서 확인하지 못함; JMdict 우선 어휘 표지 없음; 기존 데이터의 한국어 콘텐츠 보강 필요 태그</x:v>
      </x:c>
      <x:c r="P117" s="8" t="str">
        <x:v>frequency_le_2_0,jmdict_exact_pair_not_found,no_jmdict_priority,weak_legacy_content</x:v>
      </x:c>
      <x:c r="Q117" s="2" t="str"/>
      <x:c r="R117" s="2" t="str"/>
      <x:c r="S117" s="2" t="str"/>
      <x:c r="T117" s="2" t="str"/>
      <x:c r="U117" s="2" t="str"/>
      <x:c r="V117" s="2" t="str">
        <x:v>아니오</x:v>
      </x:c>
      <x:c r="W117" s="2" t="str">
        <x:v>아니오</x:v>
      </x:c>
      <x:c r="X117" s="2" t="str"/>
      <x:c r="Y117" s="2" t="n">
        <x:v>0</x:v>
      </x:c>
      <x:c r="Z117" s="2" t="str"/>
      <x:c r="AA117" s="2" t="n">
        <x:v>0</x:v>
      </x:c>
      <x:c r="AB117" s="8" t="str"/>
      <x:c r="AC117" s="8" t="str"/>
      <x:c r="AD117" s="8" t="str">
        <x:v>["draft-ko-missing"]</x:v>
      </x:c>
      <x:c r="AE117" s="8" t="str">
        <x:v>검토 필요</x:v>
      </x:c>
      <x:c r="AF117" s="8" t="str"/>
    </x:row>
    <x:row r="118">
      <x:c r="A118" s="10" t="n">
        <x:v>117</x:v>
      </x:c>
      <x:c r="B118" s="2" t="str">
        <x:v>1차 검토 후보</x:v>
      </x:c>
      <x:c r="C118" s="2" t="str">
        <x:v>저활용 제외 검토</x:v>
      </x:c>
      <x:c r="D118" s="2" t="str">
        <x:v>중간</x:v>
      </x:c>
      <x:c r="E118" s="2" t="str">
        <x:v>N1</x:v>
      </x:c>
      <x:c r="F118" s="10" t="n">
        <x:v>29</x:v>
      </x:c>
      <x:c r="G118" s="2" t="str">
        <x:v>w_a5ce3b77487ce09f</x:v>
      </x:c>
      <x:c r="H118" s="2" t="str">
        <x:v>手筈</x:v>
      </x:c>
      <x:c r="I118" s="2" t="str">
        <x:v>てはず</x:v>
      </x:c>
      <x:c r="J118" s="8" t="str">
        <x:v>절차, 채비</x:v>
      </x:c>
      <x:c r="K118" s="2" t="str">
        <x:v>noun</x:v>
      </x:c>
      <x:c r="L118" s="9" t="n">
        <x:v>2.29</x:v>
      </x:c>
      <x:c r="M118" s="2" t="str">
        <x:v>없음</x:v>
      </x:c>
      <x:c r="N118" s="11" t="n">
        <x:v>53</x:v>
      </x:c>
      <x:c r="O118" s="8" t="str">
        <x:v>일반 사용 빈도 낮음(Zipf ≤ 2.5); 기존 한국어 뜻 품질 감사 대상; 검증된 예문 없음; JMdict 우선 어휘 표지 없음</x:v>
      </x:c>
      <x:c r="P118" s="8" t="str">
        <x:v>frequency_le_2_5,legacy_gloss_audit:senses_5_6,no_example,no_jmdict_priority,weak_legacy_content</x:v>
      </x:c>
      <x:c r="Q118" s="2" t="str"/>
      <x:c r="R118" s="2" t="str"/>
      <x:c r="S118" s="2" t="str"/>
      <x:c r="T118" s="2" t="str"/>
      <x:c r="U118" s="2" t="str"/>
      <x:c r="V118" s="2" t="str">
        <x:v>아니오</x:v>
      </x:c>
      <x:c r="W118" s="2" t="str">
        <x:v>예</x:v>
      </x:c>
      <x:c r="X118" s="2" t="str"/>
      <x:c r="Y118" s="2" t="n">
        <x:v>0</x:v>
      </x:c>
      <x:c r="Z118" s="2" t="str"/>
      <x:c r="AA118" s="2" t="n">
        <x:v>0</x:v>
      </x:c>
      <x:c r="AB118" s="8" t="str"/>
      <x:c r="AC118" s="8" t="str">
        <x:v>senses_5_6</x:v>
      </x:c>
      <x:c r="AD118" s="8" t="str">
        <x:v>["draft-ko-missing"]</x:v>
      </x:c>
      <x:c r="AE118" s="8" t="str">
        <x:v>검토 필요</x:v>
      </x:c>
      <x:c r="AF118" s="8" t="str"/>
    </x:row>
    <x:row r="119">
      <x:c r="A119" s="10" t="n">
        <x:v>118</x:v>
      </x:c>
      <x:c r="B119" s="2" t="str">
        <x:v>1차 제외 추천</x:v>
      </x:c>
      <x:c r="C119" s="2" t="str">
        <x:v>중복 변형 제거 검토</x:v>
      </x:c>
      <x:c r="D119" s="2" t="str">
        <x:v>높음</x:v>
      </x:c>
      <x:c r="E119" s="2" t="str">
        <x:v>N1</x:v>
      </x:c>
      <x:c r="F119" s="10" t="n">
        <x:v>30</x:v>
      </x:c>
      <x:c r="G119" s="2" t="str">
        <x:v>w_860e76f83693f071</x:v>
      </x:c>
      <x:c r="H119" s="2" t="str">
        <x:v>大便</x:v>
      </x:c>
      <x:c r="I119" s="2" t="str">
        <x:v>だいべん</x:v>
      </x:c>
      <x:c r="J119" s="8" t="str">
        <x:v>대변</x:v>
      </x:c>
      <x:c r="K119" s="2" t="str">
        <x:v>noun</x:v>
      </x:c>
      <x:c r="L119" s="9" t="n">
        <x:v>2.74</x:v>
      </x:c>
      <x:c r="M119" s="2" t="str">
        <x:v>없음</x:v>
      </x:c>
      <x:c r="N119" s="11" t="n">
        <x:v>53</x:v>
      </x:c>
      <x:c r="O119" s="8" t="str">
        <x:v>일반 사용 빈도 낮은 편(Zipf ≤ 3.0); 검증된 예문 없음; 읽기와 한국어 뜻이 같은 표기 변형</x:v>
      </x:c>
      <x:c r="P119" s="8" t="str">
        <x:v>frequency_le_3_0,no_example,same_reading_meaning</x:v>
      </x:c>
      <x:c r="Q119" s="2" t="str">
        <x:v>vg_046</x:v>
      </x:c>
      <x:c r="R119" s="2" t="str">
        <x:v>same_reading_meaning</x:v>
      </x:c>
      <x:c r="S119" s="2" t="str">
        <x:v>w_47be56537c24560e</x:v>
      </x:c>
      <x:c r="T119" s="2" t="str">
        <x:v>代弁</x:v>
      </x:c>
      <x:c r="U119" s="2" t="str">
        <x:v>だいべん</x:v>
      </x:c>
      <x:c r="V119" s="2" t="str">
        <x:v>아니오</x:v>
      </x:c>
      <x:c r="W119" s="2" t="str">
        <x:v>예</x:v>
      </x:c>
      <x:c r="X119" s="2" t="str">
        <x:v>ichi1</x:v>
      </x:c>
      <x:c r="Y119" s="2" t="n">
        <x:v>100</x:v>
      </x:c>
      <x:c r="Z119" s="2" t="str">
        <x:v>ichi1</x:v>
      </x:c>
      <x:c r="AA119" s="2" t="n">
        <x:v>100</x:v>
      </x:c>
      <x:c r="AB119" s="8" t="str"/>
      <x:c r="AC119" s="8" t="str"/>
      <x:c r="AD119" s="8" t="str">
        <x:v>["ko-reviewed"]</x:v>
      </x:c>
      <x:c r="AE119" s="8" t="str">
        <x:v>검토 필요</x:v>
      </x:c>
      <x:c r="AF119" s="8" t="str"/>
    </x:row>
    <x:row r="120">
      <x:c r="A120" s="10" t="n">
        <x:v>119</x:v>
      </x:c>
      <x:c r="B120" s="2" t="str">
        <x:v>2차 보류</x:v>
      </x:c>
      <x:c r="C120" s="2" t="str">
        <x:v>데이터 정규화 검토</x:v>
      </x:c>
      <x:c r="D120" s="2" t="str">
        <x:v>낮음</x:v>
      </x:c>
      <x:c r="E120" s="2" t="str">
        <x:v>N2</x:v>
      </x:c>
      <x:c r="F120" s="10" t="n">
        <x:v>57</x:v>
      </x:c>
      <x:c r="G120" s="2" t="str">
        <x:v>w_3476aad53e095eb6</x:v>
      </x:c>
      <x:c r="H120" s="2" t="str">
        <x:v>惨めな</x:v>
      </x:c>
      <x:c r="I120" s="2" t="str">
        <x:v>みじめな</x:v>
      </x:c>
      <x:c r="J120" s="8" t="str">
        <x:v>비참한, 초라한</x:v>
      </x:c>
      <x:c r="K120" s="2" t="str">
        <x:v>noun</x:v>
      </x:c>
      <x:c r="L120" s="9" t="n">
        <x:v>3.57</x:v>
      </x:c>
      <x:c r="M120" s="2" t="str">
        <x:v>없음</x:v>
      </x:c>
      <x:c r="N120" s="11" t="n">
        <x:v>53</x:v>
      </x:c>
      <x:c r="O120" s="8" t="str">
        <x:v>현재 표기+읽기 조합을 JMdict에서 확인하지 못함; 검증된 예문 없음; JMdict 우선 어휘 표지 없음</x:v>
      </x:c>
      <x:c r="P120" s="8" t="str">
        <x:v>jmdict_exact_pair_not_found,no_example,no_jmdict_priority</x:v>
      </x:c>
      <x:c r="Q120" s="2" t="str"/>
      <x:c r="R120" s="2" t="str"/>
      <x:c r="S120" s="2" t="str"/>
      <x:c r="T120" s="2" t="str"/>
      <x:c r="U120" s="2" t="str"/>
      <x:c r="V120" s="2" t="str">
        <x:v>아니오</x:v>
      </x:c>
      <x:c r="W120" s="2" t="str">
        <x:v>아니오</x:v>
      </x:c>
      <x:c r="X120" s="2" t="str"/>
      <x:c r="Y120" s="2" t="n">
        <x:v>0</x:v>
      </x:c>
      <x:c r="Z120" s="2" t="str"/>
      <x:c r="AA120" s="2" t="n">
        <x:v>0</x:v>
      </x:c>
      <x:c r="AB120" s="8" t="str"/>
      <x:c r="AC120" s="8" t="str"/>
      <x:c r="AD120" s="8" t="str">
        <x:v>["backfill-replacement","assistant-ko-reviewed"]</x:v>
      </x:c>
      <x:c r="AE120" s="8" t="str">
        <x:v>검토 필요</x:v>
      </x:c>
      <x:c r="AF120" s="8" t="str"/>
    </x:row>
    <x:row r="121">
      <x:c r="A121" s="10" t="n">
        <x:v>120</x:v>
      </x:c>
      <x:c r="B121" s="2" t="str">
        <x:v>2차 보류</x:v>
      </x:c>
      <x:c r="C121" s="2" t="str">
        <x:v>데이터 정규화 검토</x:v>
      </x:c>
      <x:c r="D121" s="2" t="str">
        <x:v>낮음</x:v>
      </x:c>
      <x:c r="E121" s="2" t="str">
        <x:v>N2</x:v>
      </x:c>
      <x:c r="F121" s="10" t="n">
        <x:v>58</x:v>
      </x:c>
      <x:c r="G121" s="2" t="str">
        <x:v>w_84ae3938f5cd63c3</x:v>
      </x:c>
      <x:c r="H121" s="2" t="str">
        <x:v>田ぼ</x:v>
      </x:c>
      <x:c r="I121" s="2" t="str">
        <x:v>たんぼ</x:v>
      </x:c>
      <x:c r="J121" s="8" t="str">
        <x:v>논, 논밭</x:v>
      </x:c>
      <x:c r="K121" s="2" t="str">
        <x:v>noun</x:v>
      </x:c>
      <x:c r="L121" s="9" t="n">
        <x:v>4</x:v>
      </x:c>
      <x:c r="M121" s="2" t="str">
        <x:v>없음</x:v>
      </x:c>
      <x:c r="N121" s="11" t="n">
        <x:v>53</x:v>
      </x:c>
      <x:c r="O121" s="8" t="str">
        <x:v>현재 표기+읽기 조합을 JMdict에서 확인하지 못함; 검증된 예문 없음; JMdict 우선 어휘 표지 없음</x:v>
      </x:c>
      <x:c r="P121" s="8" t="str">
        <x:v>jmdict_exact_pair_not_found,no_example,no_jmdict_priority</x:v>
      </x:c>
      <x:c r="Q121" s="2" t="str"/>
      <x:c r="R121" s="2" t="str"/>
      <x:c r="S121" s="2" t="str"/>
      <x:c r="T121" s="2" t="str"/>
      <x:c r="U121" s="2" t="str"/>
      <x:c r="V121" s="2" t="str">
        <x:v>아니오</x:v>
      </x:c>
      <x:c r="W121" s="2" t="str">
        <x:v>아니오</x:v>
      </x:c>
      <x:c r="X121" s="2" t="str"/>
      <x:c r="Y121" s="2" t="n">
        <x:v>0</x:v>
      </x:c>
      <x:c r="Z121" s="2" t="str"/>
      <x:c r="AA121" s="2" t="n">
        <x:v>0</x:v>
      </x:c>
      <x:c r="AB121" s="8" t="str"/>
      <x:c r="AC121" s="8" t="str"/>
      <x:c r="AD121" s="8" t="str">
        <x:v>["ko-reviewed"]</x:v>
      </x:c>
      <x:c r="AE121" s="8" t="str">
        <x:v>검토 필요</x:v>
      </x:c>
      <x:c r="AF121" s="8" t="str"/>
    </x:row>
    <x:row r="122">
      <x:c r="A122" s="10" t="n">
        <x:v>121</x:v>
      </x:c>
      <x:c r="B122" s="2" t="str">
        <x:v>2차 보류</x:v>
      </x:c>
      <x:c r="C122" s="2" t="str">
        <x:v>데이터 정규화 검토</x:v>
      </x:c>
      <x:c r="D122" s="2" t="str">
        <x:v>낮음</x:v>
      </x:c>
      <x:c r="E122" s="2" t="str">
        <x:v>N4</x:v>
      </x:c>
      <x:c r="F122" s="10" t="n">
        <x:v>15</x:v>
      </x:c>
      <x:c r="G122" s="2" t="str">
        <x:v>w_00103e8f081bc8a6</x:v>
      </x:c>
      <x:c r="H122" s="2" t="str">
        <x:v>入院</x:v>
      </x:c>
      <x:c r="I122" s="2" t="str">
        <x:v>にゅういんする</x:v>
      </x:c>
      <x:c r="J122" s="8" t="str">
        <x:v>입원</x:v>
      </x:c>
      <x:c r="K122" s="2" t="str">
        <x:v>noun</x:v>
      </x:c>
      <x:c r="L122" s="9" t="n">
        <x:v>4.32</x:v>
      </x:c>
      <x:c r="M122" s="2" t="str">
        <x:v>없음</x:v>
      </x:c>
      <x:c r="N122" s="11" t="n">
        <x:v>53</x:v>
      </x:c>
      <x:c r="O122" s="8" t="str">
        <x:v>현재 표기+읽기 조합을 JMdict에서 확인하지 못함; 검증된 예문 없음; JMdict 우선 어휘 표지 없음</x:v>
      </x:c>
      <x:c r="P122" s="8" t="str">
        <x:v>jmdict_exact_pair_not_found,no_example,no_jmdict_priority</x:v>
      </x:c>
      <x:c r="Q122" s="2" t="str"/>
      <x:c r="R122" s="2" t="str"/>
      <x:c r="S122" s="2" t="str"/>
      <x:c r="T122" s="2" t="str"/>
      <x:c r="U122" s="2" t="str"/>
      <x:c r="V122" s="2" t="str">
        <x:v>아니오</x:v>
      </x:c>
      <x:c r="W122" s="2" t="str">
        <x:v>아니오</x:v>
      </x:c>
      <x:c r="X122" s="2" t="str"/>
      <x:c r="Y122" s="2" t="n">
        <x:v>0</x:v>
      </x:c>
      <x:c r="Z122" s="2" t="str"/>
      <x:c r="AA122" s="2" t="n">
        <x:v>0</x:v>
      </x:c>
      <x:c r="AB122" s="8" t="str"/>
      <x:c r="AC122" s="8" t="str"/>
      <x:c r="AD122" s="8" t="str">
        <x:v>["backfill-replacement","assistant-ko-reviewed"]</x:v>
      </x:c>
      <x:c r="AE122" s="8" t="str">
        <x:v>검토 필요</x:v>
      </x:c>
      <x:c r="AF122" s="8" t="str"/>
    </x:row>
    <x:row r="123">
      <x:c r="A123" s="10" t="n">
        <x:v>122</x:v>
      </x:c>
      <x:c r="B123" s="2" t="str">
        <x:v>2차 보류</x:v>
      </x:c>
      <x:c r="C123" s="2" t="str">
        <x:v>데이터 정규화 검토</x:v>
      </x:c>
      <x:c r="D123" s="2" t="str">
        <x:v>낮음</x:v>
      </x:c>
      <x:c r="E123" s="2" t="str">
        <x:v>N2</x:v>
      </x:c>
      <x:c r="F123" s="10" t="n">
        <x:v>59</x:v>
      </x:c>
      <x:c r="G123" s="2" t="str">
        <x:v>w_009b97072340bf8f</x:v>
      </x:c>
      <x:c r="H123" s="2" t="str">
        <x:v>お世話になりました</x:v>
      </x:c>
      <x:c r="I123" s="2" t="str">
        <x:v>おせわになりました</x:v>
      </x:c>
      <x:c r="J123" s="8" t="str">
        <x:v>신세 졌습니다</x:v>
      </x:c>
      <x:c r="K123" s="2" t="str">
        <x:v>noun</x:v>
      </x:c>
      <x:c r="L123" s="9" t="n">
        <x:v>4.39</x:v>
      </x:c>
      <x:c r="M123" s="2" t="str">
        <x:v>없음</x:v>
      </x:c>
      <x:c r="N123" s="11" t="n">
        <x:v>53</x:v>
      </x:c>
      <x:c r="O123" s="8" t="str">
        <x:v>현재 표기+읽기 조합을 JMdict에서 확인하지 못함; 검증된 예문 없음; JMdict 우선 어휘 표지 없음</x:v>
      </x:c>
      <x:c r="P123" s="8" t="str">
        <x:v>jmdict_exact_pair_not_found,no_example,no_jmdict_priority</x:v>
      </x:c>
      <x:c r="Q123" s="2" t="str"/>
      <x:c r="R123" s="2" t="str"/>
      <x:c r="S123" s="2" t="str"/>
      <x:c r="T123" s="2" t="str"/>
      <x:c r="U123" s="2" t="str"/>
      <x:c r="V123" s="2" t="str">
        <x:v>아니오</x:v>
      </x:c>
      <x:c r="W123" s="2" t="str">
        <x:v>아니오</x:v>
      </x:c>
      <x:c r="X123" s="2" t="str"/>
      <x:c r="Y123" s="2" t="n">
        <x:v>0</x:v>
      </x:c>
      <x:c r="Z123" s="2" t="str"/>
      <x:c r="AA123" s="2" t="n">
        <x:v>0</x:v>
      </x:c>
      <x:c r="AB123" s="8" t="str"/>
      <x:c r="AC123" s="8" t="str"/>
      <x:c r="AD123" s="8" t="str">
        <x:v>["ko-reviewed"]</x:v>
      </x:c>
      <x:c r="AE123" s="8" t="str">
        <x:v>검토 필요</x:v>
      </x:c>
      <x:c r="AF123" s="8" t="str"/>
    </x:row>
    <x:row r="124">
      <x:c r="A124" s="10" t="n">
        <x:v>123</x:v>
      </x:c>
      <x:c r="B124" s="2" t="str">
        <x:v>1차 검토 후보</x:v>
      </x:c>
      <x:c r="C124" s="2" t="str">
        <x:v>중복 변형 제거 검토</x:v>
      </x:c>
      <x:c r="D124" s="2" t="str">
        <x:v>중간</x:v>
      </x:c>
      <x:c r="E124" s="2" t="str">
        <x:v>N1</x:v>
      </x:c>
      <x:c r="F124" s="10" t="n">
        <x:v>31</x:v>
      </x:c>
      <x:c r="G124" s="2" t="str">
        <x:v>w_9f483af3f38eaacd</x:v>
      </x:c>
      <x:c r="H124" s="2" t="str">
        <x:v>面目</x:v>
      </x:c>
      <x:c r="I124" s="2" t="str">
        <x:v>めんぼく</x:v>
      </x:c>
      <x:c r="J124" s="8" t="str">
        <x:v>체면, 면목</x:v>
      </x:c>
      <x:c r="K124" s="2" t="str">
        <x:v>noun</x:v>
      </x:c>
      <x:c r="L124" s="9" t="n">
        <x:v>3.02</x:v>
      </x:c>
      <x:c r="M124" s="2" t="str">
        <x:v>없음</x:v>
      </x:c>
      <x:c r="N124" s="11" t="n">
        <x:v>52</x:v>
      </x:c>
      <x:c r="O124" s="8" t="str">
        <x:v>일반 사용 빈도 보통 이하(Zipf ≤ 3.5); 검증된 예문 없음; 동일 JMdict 표제어의 표기·읽기 변형; 기존 데이터의 한국어 콘텐츠 보강 필요 태그</x:v>
      </x:c>
      <x:c r="P124" s="8" t="str">
        <x:v>frequency_le_3_5,no_example,same_jmdict_entry,weak_legacy_content</x:v>
      </x:c>
      <x:c r="Q124" s="2" t="str">
        <x:v>vg_098</x:v>
      </x:c>
      <x:c r="R124" s="2" t="str">
        <x:v>same_jmdict_entry</x:v>
      </x:c>
      <x:c r="S124" s="2" t="str">
        <x:v>w_d91ab097e9b1fc5f</x:v>
      </x:c>
      <x:c r="T124" s="2" t="str">
        <x:v>面目</x:v>
      </x:c>
      <x:c r="U124" s="2" t="str">
        <x:v>めんもく</x:v>
      </x:c>
      <x:c r="V124" s="2" t="str">
        <x:v>아니오</x:v>
      </x:c>
      <x:c r="W124" s="2" t="str">
        <x:v>예</x:v>
      </x:c>
      <x:c r="X124" s="2" t="str">
        <x:v>ichi1,news1,nf16</x:v>
      </x:c>
      <x:c r="Y124" s="2" t="n">
        <x:v>100</x:v>
      </x:c>
      <x:c r="Z124" s="2" t="str">
        <x:v>ichi1,news1,nf16</x:v>
      </x:c>
      <x:c r="AA124" s="2" t="n">
        <x:v>100</x:v>
      </x:c>
      <x:c r="AB124" s="8" t="str"/>
      <x:c r="AC124" s="8" t="str"/>
      <x:c r="AD124" s="8" t="str">
        <x:v>["draft-ko-missing"]</x:v>
      </x:c>
      <x:c r="AE124" s="8" t="str">
        <x:v>검토 필요</x:v>
      </x:c>
      <x:c r="AF124" s="8" t="str"/>
    </x:row>
    <x:row r="125">
      <x:c r="A125" s="10" t="n">
        <x:v>124</x:v>
      </x:c>
      <x:c r="B125" s="2" t="str">
        <x:v>1차 검토 후보</x:v>
      </x:c>
      <x:c r="C125" s="2" t="str">
        <x:v>중복 변형 제거 검토</x:v>
      </x:c>
      <x:c r="D125" s="2" t="str">
        <x:v>중간</x:v>
      </x:c>
      <x:c r="E125" s="2" t="str">
        <x:v>N3</x:v>
      </x:c>
      <x:c r="F125" s="10" t="n">
        <x:v>18</x:v>
      </x:c>
      <x:c r="G125" s="2" t="str">
        <x:v>w_42b5ce2223232e9f</x:v>
      </x:c>
      <x:c r="H125" s="2" t="str">
        <x:v>討つ</x:v>
      </x:c>
      <x:c r="I125" s="2" t="str">
        <x:v>うつ</x:v>
      </x:c>
      <x:c r="J125" s="8" t="str">
        <x:v>공격하다</x:v>
      </x:c>
      <x:c r="K125" s="2" t="str">
        <x:v>verb</x:v>
      </x:c>
      <x:c r="L125" s="9" t="n">
        <x:v>3.03</x:v>
      </x:c>
      <x:c r="M125" s="2" t="str">
        <x:v>없음</x:v>
      </x:c>
      <x:c r="N125" s="11" t="n">
        <x:v>52</x:v>
      </x:c>
      <x:c r="O125" s="8" t="str">
        <x:v>일반 사용 빈도 보통 이하(Zipf ≤ 3.5); 검증된 예문 없음; 동일 JMdict 표제어의 표기·읽기 변형; 기존 데이터의 한국어 콘텐츠 보강 필요 태그</x:v>
      </x:c>
      <x:c r="P125" s="8" t="str">
        <x:v>frequency_le_3_5,no_example,same_jmdict_entry,weak_legacy_content</x:v>
      </x:c>
      <x:c r="Q125" s="2" t="str">
        <x:v>vg_044</x:v>
      </x:c>
      <x:c r="R125" s="2" t="str">
        <x:v>same_jmdict_entry</x:v>
      </x:c>
      <x:c r="S125" s="2" t="str">
        <x:v>w_d84e0fc1174a7aa0</x:v>
      </x:c>
      <x:c r="T125" s="2" t="str">
        <x:v>撃つ</x:v>
      </x:c>
      <x:c r="U125" s="2" t="str">
        <x:v>うつ</x:v>
      </x:c>
      <x:c r="V125" s="2" t="str">
        <x:v>아니오</x:v>
      </x:c>
      <x:c r="W125" s="2" t="str">
        <x:v>예</x:v>
      </x:c>
      <x:c r="X125" s="2" t="str">
        <x:v>ichi1,news2,nf43</x:v>
      </x:c>
      <x:c r="Y125" s="2" t="n">
        <x:v>100</x:v>
      </x:c>
      <x:c r="Z125" s="2" t="str">
        <x:v>ichi1,news2,nf43</x:v>
      </x:c>
      <x:c r="AA125" s="2" t="n">
        <x:v>100</x:v>
      </x:c>
      <x:c r="AB125" s="8" t="str"/>
      <x:c r="AC125" s="8" t="str"/>
      <x:c r="AD125" s="8" t="str">
        <x:v>["draft-ko-missing"]</x:v>
      </x:c>
      <x:c r="AE125" s="8" t="str">
        <x:v>검토 필요</x:v>
      </x:c>
      <x:c r="AF125" s="8" t="str"/>
    </x:row>
    <x:row r="126">
      <x:c r="A126" s="10" t="n">
        <x:v>125</x:v>
      </x:c>
      <x:c r="B126" s="2" t="str">
        <x:v>1차 제외 추천</x:v>
      </x:c>
      <x:c r="C126" s="2" t="str">
        <x:v>중복 변형 제거 검토</x:v>
      </x:c>
      <x:c r="D126" s="2" t="str">
        <x:v>높음</x:v>
      </x:c>
      <x:c r="E126" s="2" t="str">
        <x:v>N4</x:v>
      </x:c>
      <x:c r="F126" s="10" t="n">
        <x:v>16</x:v>
      </x:c>
      <x:c r="G126" s="2" t="str">
        <x:v>w_6150d13214b175ad</x:v>
      </x:c>
      <x:c r="H126" s="2" t="str">
        <x:v>下りる</x:v>
      </x:c>
      <x:c r="I126" s="2" t="str">
        <x:v>おりる</x:v>
      </x:c>
      <x:c r="J126" s="8" t="str">
        <x:v>내려가다, 내리다</x:v>
      </x:c>
      <x:c r="K126" s="2" t="str">
        <x:v>verb</x:v>
      </x:c>
      <x:c r="L126" s="9" t="n">
        <x:v>3.07</x:v>
      </x:c>
      <x:c r="M126" s="2" t="str">
        <x:v>없음</x:v>
      </x:c>
      <x:c r="N126" s="11" t="n">
        <x:v>52</x:v>
      </x:c>
      <x:c r="O126" s="8" t="str">
        <x:v>일반 사용 빈도 보통 이하(Zipf ≤ 3.5); 검증된 예문 없음; 동일 JMdict 표제어의 표기·읽기 변형; 기존 데이터의 한국어 콘텐츠 보강 필요 태그</x:v>
      </x:c>
      <x:c r="P126" s="8" t="str">
        <x:v>frequency_le_3_5,no_example,same_jmdict_entry,weak_legacy_content</x:v>
      </x:c>
      <x:c r="Q126" s="2" t="str">
        <x:v>vg_062</x:v>
      </x:c>
      <x:c r="R126" s="2" t="str">
        <x:v>same_jmdict_entry</x:v>
      </x:c>
      <x:c r="S126" s="2" t="str">
        <x:v>w_631cf27db2365483</x:v>
      </x:c>
      <x:c r="T126" s="2" t="str">
        <x:v>降りる</x:v>
      </x:c>
      <x:c r="U126" s="2" t="str">
        <x:v>おりる</x:v>
      </x:c>
      <x:c r="V126" s="2" t="str">
        <x:v>예</x:v>
      </x:c>
      <x:c r="W126" s="2" t="str">
        <x:v>예</x:v>
      </x:c>
      <x:c r="X126" s="2" t="str">
        <x:v>ichi1,news1,nf10</x:v>
      </x:c>
      <x:c r="Y126" s="2" t="n">
        <x:v>100</x:v>
      </x:c>
      <x:c r="Z126" s="2" t="str">
        <x:v>ichi1</x:v>
      </x:c>
      <x:c r="AA126" s="2" t="n">
        <x:v>100</x:v>
      </x:c>
      <x:c r="AB126" s="8" t="str">
        <x:v>esp. 下りる | esp. 降りる</x:v>
      </x:c>
      <x:c r="AC126" s="8" t="str"/>
      <x:c r="AD126" s="8" t="str">
        <x:v>["draft-ko-missing"]</x:v>
      </x:c>
      <x:c r="AE126" s="8" t="str">
        <x:v>검토 필요</x:v>
      </x:c>
      <x:c r="AF126" s="8" t="str"/>
    </x:row>
    <x:row r="127">
      <x:c r="A127" s="10" t="n">
        <x:v>126</x:v>
      </x:c>
      <x:c r="B127" s="2" t="str">
        <x:v>1차 검토 후보</x:v>
      </x:c>
      <x:c r="C127" s="2" t="str">
        <x:v>중복 변형 제거 검토</x:v>
      </x:c>
      <x:c r="D127" s="2" t="str">
        <x:v>중간</x:v>
      </x:c>
      <x:c r="E127" s="2" t="str">
        <x:v>N2</x:v>
      </x:c>
      <x:c r="F127" s="10" t="n">
        <x:v>60</x:v>
      </x:c>
      <x:c r="G127" s="2" t="str">
        <x:v>w_97db66ffd893f4b5</x:v>
      </x:c>
      <x:c r="H127" s="2" t="str">
        <x:v>伯母</x:v>
      </x:c>
      <x:c r="I127" s="2" t="str">
        <x:v>おば</x:v>
      </x:c>
      <x:c r="J127" s="8" t="str">
        <x:v>큰어머니, 백모, 이모/고모</x:v>
      </x:c>
      <x:c r="K127" s="2" t="str">
        <x:v>noun</x:v>
      </x:c>
      <x:c r="L127" s="9" t="n">
        <x:v>3.07</x:v>
      </x:c>
      <x:c r="M127" s="2" t="str">
        <x:v>없음</x:v>
      </x:c>
      <x:c r="N127" s="11" t="n">
        <x:v>52</x:v>
      </x:c>
      <x:c r="O127" s="8" t="str">
        <x:v>일반 사용 빈도 보통 이하(Zipf ≤ 3.5); 검증된 예문 없음; 동일 JMdict 표제어의 표기·읽기 변형; 기존 데이터의 한국어 콘텐츠 보강 필요 태그</x:v>
      </x:c>
      <x:c r="P127" s="8" t="str">
        <x:v>frequency_le_3_5,no_example,same_jmdict_entry,weak_legacy_content</x:v>
      </x:c>
      <x:c r="Q127" s="2" t="str">
        <x:v>vg_093</x:v>
      </x:c>
      <x:c r="R127" s="2" t="str">
        <x:v>same_jmdict_entry</x:v>
      </x:c>
      <x:c r="S127" s="2" t="str">
        <x:v>w_9ea346dbfdc4c768</x:v>
      </x:c>
      <x:c r="T127" s="2" t="str">
        <x:v>叔母</x:v>
      </x:c>
      <x:c r="U127" s="2" t="str">
        <x:v>おば</x:v>
      </x:c>
      <x:c r="V127" s="2" t="str">
        <x:v>아니오</x:v>
      </x:c>
      <x:c r="W127" s="2" t="str">
        <x:v>예</x:v>
      </x:c>
      <x:c r="X127" s="2" t="str">
        <x:v>ichi1,news1,news2,nf20,nf30</x:v>
      </x:c>
      <x:c r="Y127" s="2" t="n">
        <x:v>100</x:v>
      </x:c>
      <x:c r="Z127" s="2" t="str">
        <x:v>ichi1,news2,nf30</x:v>
      </x:c>
      <x:c r="AA127" s="2" t="n">
        <x:v>100</x:v>
      </x:c>
      <x:c r="AB127" s="8" t="str">
        <x:v>伯母 can mean older and 叔母 can mean younger than one's parent</x:v>
      </x:c>
      <x:c r="AC127" s="8" t="str"/>
      <x:c r="AD127" s="8" t="str">
        <x:v>["draft-ko-missing"]</x:v>
      </x:c>
      <x:c r="AE127" s="8" t="str">
        <x:v>검토 필요</x:v>
      </x:c>
      <x:c r="AF127" s="8" t="str"/>
    </x:row>
    <x:row r="128">
      <x:c r="A128" s="10" t="n">
        <x:v>127</x:v>
      </x:c>
      <x:c r="B128" s="2" t="str">
        <x:v>1차 제외 추천</x:v>
      </x:c>
      <x:c r="C128" s="2" t="str">
        <x:v>중복 변형 제거 검토</x:v>
      </x:c>
      <x:c r="D128" s="2" t="str">
        <x:v>높음</x:v>
      </x:c>
      <x:c r="E128" s="2" t="str">
        <x:v>N2</x:v>
      </x:c>
      <x:c r="F128" s="10" t="n">
        <x:v>61</x:v>
      </x:c>
      <x:c r="G128" s="2" t="str">
        <x:v>w_ccebc0afac8fc3a9</x:v>
      </x:c>
      <x:c r="H128" s="2" t="str">
        <x:v>適確</x:v>
      </x:c>
      <x:c r="I128" s="2" t="str">
        <x:v>てきかく</x:v>
      </x:c>
      <x:c r="J128" s="8" t="str">
        <x:v>정확한</x:v>
      </x:c>
      <x:c r="K128" s="2" t="str">
        <x:v>adjective</x:v>
      </x:c>
      <x:c r="L128" s="9" t="n">
        <x:v>3.08</x:v>
      </x:c>
      <x:c r="M128" s="2" t="str">
        <x:v>없음</x:v>
      </x:c>
      <x:c r="N128" s="11" t="n">
        <x:v>52</x:v>
      </x:c>
      <x:c r="O128" s="8" t="str">
        <x:v>일반 사용 빈도 보통 이하(Zipf ≤ 3.5); 검증된 예문 없음; 동일 JMdict 표제어의 표기·읽기 변형; 읽기와 한국어 뜻이 같은 표기 변형</x:v>
      </x:c>
      <x:c r="P128" s="8" t="str">
        <x:v>frequency_le_3_5,no_example,same_jmdict_entry,same_reading_meaning,weak_legacy_content</x:v>
      </x:c>
      <x:c r="Q128" s="2" t="str">
        <x:v>vg_105</x:v>
      </x:c>
      <x:c r="R128" s="2" t="str">
        <x:v>same_jmdict_entry,same_reading_meaning</x:v>
      </x:c>
      <x:c r="S128" s="2" t="str">
        <x:v>w_bae098e6bbe74e8f</x:v>
      </x:c>
      <x:c r="T128" s="2" t="str">
        <x:v>的確</x:v>
      </x:c>
      <x:c r="U128" s="2" t="str">
        <x:v>てきかく</x:v>
      </x:c>
      <x:c r="V128" s="2" t="str">
        <x:v>아니오</x:v>
      </x:c>
      <x:c r="W128" s="2" t="str">
        <x:v>예</x:v>
      </x:c>
      <x:c r="X128" s="2" t="str">
        <x:v>ichi1,news1,nf09</x:v>
      </x:c>
      <x:c r="Y128" s="2" t="n">
        <x:v>100</x:v>
      </x:c>
      <x:c r="Z128" s="2" t="str">
        <x:v>ichi1</x:v>
      </x:c>
      <x:c r="AA128" s="2" t="n">
        <x:v>100</x:v>
      </x:c>
      <x:c r="AB128" s="8" t="str"/>
      <x:c r="AC128" s="8" t="str"/>
      <x:c r="AD128" s="8" t="str">
        <x:v>["draft-ko-missing"]</x:v>
      </x:c>
      <x:c r="AE128" s="8" t="str">
        <x:v>검토 필요</x:v>
      </x:c>
      <x:c r="AF128" s="8" t="str"/>
    </x:row>
    <x:row r="129">
      <x:c r="A129" s="10" t="n">
        <x:v>128</x:v>
      </x:c>
      <x:c r="B129" s="2" t="str">
        <x:v>1차 검토 후보</x:v>
      </x:c>
      <x:c r="C129" s="2" t="str">
        <x:v>중복 변형 제거 검토</x:v>
      </x:c>
      <x:c r="D129" s="2" t="str">
        <x:v>중간</x:v>
      </x:c>
      <x:c r="E129" s="2" t="str">
        <x:v>N4</x:v>
      </x:c>
      <x:c r="F129" s="10" t="n">
        <x:v>17</x:v>
      </x:c>
      <x:c r="G129" s="2" t="str">
        <x:v>w_3f7cd0c1898ad235</x:v>
      </x:c>
      <x:c r="H129" s="2" t="str">
        <x:v>空く</x:v>
      </x:c>
      <x:c r="I129" s="2" t="str">
        <x:v>あく</x:v>
      </x:c>
      <x:c r="J129" s="8" t="str">
        <x:v>비다, (자리가) 나다</x:v>
      </x:c>
      <x:c r="K129" s="2" t="str">
        <x:v>verb</x:v>
      </x:c>
      <x:c r="L129" s="9" t="n">
        <x:v>3.22</x:v>
      </x:c>
      <x:c r="M129" s="2" t="str">
        <x:v>없음</x:v>
      </x:c>
      <x:c r="N129" s="11" t="n">
        <x:v>52</x:v>
      </x:c>
      <x:c r="O129" s="8" t="str">
        <x:v>일반 사용 빈도 보통 이하(Zipf ≤ 3.5); 검증된 예문 없음; 동일 JMdict 표제어의 표기·읽기 변형; 기존 데이터의 한국어 콘텐츠 보강 필요 태그</x:v>
      </x:c>
      <x:c r="P129" s="8" t="str">
        <x:v>frequency_le_3_5,no_example,same_jmdict_entry,weak_legacy_content</x:v>
      </x:c>
      <x:c r="Q129" s="2" t="str">
        <x:v>vg_042</x:v>
      </x:c>
      <x:c r="R129" s="2" t="str">
        <x:v>same_jmdict_entry</x:v>
      </x:c>
      <x:c r="S129" s="2" t="str">
        <x:v>w_797e841aee5ee7c0</x:v>
      </x:c>
      <x:c r="T129" s="2" t="str">
        <x:v>開く</x:v>
      </x:c>
      <x:c r="U129" s="2" t="str">
        <x:v>あく</x:v>
      </x:c>
      <x:c r="V129" s="2" t="str">
        <x:v>아니오</x:v>
      </x:c>
      <x:c r="W129" s="2" t="str">
        <x:v>예</x:v>
      </x:c>
      <x:c r="X129" s="2" t="str">
        <x:v>ichi1,spec1</x:v>
      </x:c>
      <x:c r="Y129" s="2" t="n">
        <x:v>100</x:v>
      </x:c>
      <x:c r="Z129" s="2" t="str">
        <x:v>ichi1</x:v>
      </x:c>
      <x:c r="AA129" s="2" t="n">
        <x:v>100</x:v>
      </x:c>
      <x:c r="AB129" s="8" t="str">
        <x:v>esp. 明く | esp. 空く | esp. 開く</x:v>
      </x:c>
      <x:c r="AC129" s="8" t="str"/>
      <x:c r="AD129" s="8" t="str">
        <x:v>["draft-ko-missing"]</x:v>
      </x:c>
      <x:c r="AE129" s="8" t="str">
        <x:v>검토 필요</x:v>
      </x:c>
      <x:c r="AF129" s="8" t="str"/>
    </x:row>
    <x:row r="130">
      <x:c r="A130" s="10" t="n">
        <x:v>129</x:v>
      </x:c>
      <x:c r="B130" s="2" t="str">
        <x:v>1차 제외 추천</x:v>
      </x:c>
      <x:c r="C130" s="2" t="str">
        <x:v>중복 변형 제거 검토</x:v>
      </x:c>
      <x:c r="D130" s="2" t="str">
        <x:v>높음</x:v>
      </x:c>
      <x:c r="E130" s="2" t="str">
        <x:v>N3</x:v>
      </x:c>
      <x:c r="F130" s="10" t="n">
        <x:v>19</x:v>
      </x:c>
      <x:c r="G130" s="2" t="str">
        <x:v>w_f372d394a0a4c4e1</x:v>
      </x:c>
      <x:c r="H130" s="2" t="str">
        <x:v>現す</x:v>
      </x:c>
      <x:c r="I130" s="2" t="str">
        <x:v>あらわす</x:v>
      </x:c>
      <x:c r="J130" s="8" t="str">
        <x:v>보여주다, 나타나다, 드러내다</x:v>
      </x:c>
      <x:c r="K130" s="2" t="str">
        <x:v>verb</x:v>
      </x:c>
      <x:c r="L130" s="9" t="n">
        <x:v>3.33</x:v>
      </x:c>
      <x:c r="M130" s="2" t="str">
        <x:v>없음</x:v>
      </x:c>
      <x:c r="N130" s="11" t="n">
        <x:v>52</x:v>
      </x:c>
      <x:c r="O130" s="8" t="str">
        <x:v>일반 사용 빈도 보통 이하(Zipf ≤ 3.5); 검증된 예문 없음; 동일 JMdict 표제어의 표기·읽기 변형; 기존 데이터의 한국어 콘텐츠 보강 필요 태그</x:v>
      </x:c>
      <x:c r="P130" s="8" t="str">
        <x:v>frequency_le_3_5,no_example,same_jmdict_entry,weak_legacy_content</x:v>
      </x:c>
      <x:c r="Q130" s="2" t="str">
        <x:v>vg_114</x:v>
      </x:c>
      <x:c r="R130" s="2" t="str">
        <x:v>same_jmdict_entry</x:v>
      </x:c>
      <x:c r="S130" s="2" t="str">
        <x:v>w_df7a287483888d5b</x:v>
      </x:c>
      <x:c r="T130" s="2" t="str">
        <x:v>表す</x:v>
      </x:c>
      <x:c r="U130" s="2" t="str">
        <x:v>あらわす</x:v>
      </x:c>
      <x:c r="V130" s="2" t="str">
        <x:v>예</x:v>
      </x:c>
      <x:c r="W130" s="2" t="str">
        <x:v>예</x:v>
      </x:c>
      <x:c r="X130" s="2" t="str">
        <x:v>ichi1,news2,nf36,nf46</x:v>
      </x:c>
      <x:c r="Y130" s="2" t="n">
        <x:v>100</x:v>
      </x:c>
      <x:c r="Z130" s="2" t="str">
        <x:v>ichi1,news2,nf46</x:v>
      </x:c>
      <x:c r="AA130" s="2" t="n">
        <x:v>100</x:v>
      </x:c>
      <x:c r="AB130" s="8" t="str">
        <x:v>esp. 現す, 現わす | esp. 表す, 表わす | esp. 顕す</x:v>
      </x:c>
      <x:c r="AC130" s="8" t="str"/>
      <x:c r="AD130" s="8" t="str">
        <x:v>["draft-ko-missing"]</x:v>
      </x:c>
      <x:c r="AE130" s="8" t="str">
        <x:v>검토 필요</x:v>
      </x:c>
      <x:c r="AF130" s="8" t="str"/>
    </x:row>
    <x:row r="131">
      <x:c r="A131" s="10" t="n">
        <x:v>130</x:v>
      </x:c>
      <x:c r="B131" s="2" t="str">
        <x:v>1차 제외 추천</x:v>
      </x:c>
      <x:c r="C131" s="2" t="str">
        <x:v>중복 변형 제거 검토</x:v>
      </x:c>
      <x:c r="D131" s="2" t="str">
        <x:v>높음</x:v>
      </x:c>
      <x:c r="E131" s="2" t="str">
        <x:v>N2</x:v>
      </x:c>
      <x:c r="F131" s="10" t="n">
        <x:v>62</x:v>
      </x:c>
      <x:c r="G131" s="2" t="str">
        <x:v>w_09dd73a6c06df3d4</x:v>
      </x:c>
      <x:c r="H131" s="2" t="str">
        <x:v>締切</x:v>
      </x:c>
      <x:c r="I131" s="2" t="str">
        <x:v>しめきり</x:v>
      </x:c>
      <x:c r="J131" s="8" t="str">
        <x:v>마감</x:v>
      </x:c>
      <x:c r="K131" s="2" t="str">
        <x:v>noun</x:v>
      </x:c>
      <x:c r="L131" s="9" t="n">
        <x:v>3.39</x:v>
      </x:c>
      <x:c r="M131" s="2" t="str">
        <x:v>없음</x:v>
      </x:c>
      <x:c r="N131" s="11" t="n">
        <x:v>52</x:v>
      </x:c>
      <x:c r="O131" s="8" t="str">
        <x:v>일반 사용 빈도 보통 이하(Zipf ≤ 3.5); 검증된 예문 없음; 동일 JMdict 표제어의 표기·읽기 변형; 읽기와 한국어 뜻이 같은 표기 변형</x:v>
      </x:c>
      <x:c r="P131" s="8" t="str">
        <x:v>frequency_le_3_5,no_example,same_jmdict_entry,same_reading_meaning,weak_legacy_content</x:v>
      </x:c>
      <x:c r="Q131" s="2" t="str">
        <x:v>vg_015</x:v>
      </x:c>
      <x:c r="R131" s="2" t="str">
        <x:v>same_jmdict_entry,same_reading_meaning</x:v>
      </x:c>
      <x:c r="S131" s="2" t="str">
        <x:v>w_14516c3905712f5d</x:v>
      </x:c>
      <x:c r="T131" s="2" t="str">
        <x:v>締め切り</x:v>
      </x:c>
      <x:c r="U131" s="2" t="str">
        <x:v>しめきり</x:v>
      </x:c>
      <x:c r="V131" s="2" t="str">
        <x:v>예</x:v>
      </x:c>
      <x:c r="W131" s="2" t="str">
        <x:v>예</x:v>
      </x:c>
      <x:c r="X131" s="2" t="str">
        <x:v>ichi1,news1,nf06</x:v>
      </x:c>
      <x:c r="Y131" s="2" t="n">
        <x:v>100</x:v>
      </x:c>
      <x:c r="Z131" s="2" t="str">
        <x:v>ichi1</x:v>
      </x:c>
      <x:c r="AA131" s="2" t="n">
        <x:v>100</x:v>
      </x:c>
      <x:c r="AB131" s="8" t="str">
        <x:v>also written as 〆切(り) | also written as 閉め切り</x:v>
      </x:c>
      <x:c r="AC131" s="8" t="str"/>
      <x:c r="AD131" s="8" t="str">
        <x:v>["draft-ko-missing"]</x:v>
      </x:c>
      <x:c r="AE131" s="8" t="str">
        <x:v>검토 필요</x:v>
      </x:c>
      <x:c r="AF131" s="8" t="str"/>
    </x:row>
    <x:row r="132">
      <x:c r="A132" s="10" t="n">
        <x:v>131</x:v>
      </x:c>
      <x:c r="B132" s="2" t="str">
        <x:v>1차 검토 후보</x:v>
      </x:c>
      <x:c r="C132" s="2" t="str">
        <x:v>중복 변형 제거 검토</x:v>
      </x:c>
      <x:c r="D132" s="2" t="str">
        <x:v>중간</x:v>
      </x:c>
      <x:c r="E132" s="2" t="str">
        <x:v>N2</x:v>
      </x:c>
      <x:c r="F132" s="10" t="n">
        <x:v>63</x:v>
      </x:c>
      <x:c r="G132" s="2" t="str">
        <x:v>w_5306465650e71486</x:v>
      </x:c>
      <x:c r="H132" s="2" t="str">
        <x:v>手頃</x:v>
      </x:c>
      <x:c r="I132" s="2" t="str">
        <x:v>てごろ</x:v>
      </x:c>
      <x:c r="J132" s="8" t="str">
        <x:v>적당한, 편리한</x:v>
      </x:c>
      <x:c r="K132" s="2" t="str">
        <x:v>adjective</x:v>
      </x:c>
      <x:c r="L132" s="9" t="n">
        <x:v>3.39</x:v>
      </x:c>
      <x:c r="M132" s="2" t="str">
        <x:v>없음</x:v>
      </x:c>
      <x:c r="N132" s="11" t="n">
        <x:v>52</x:v>
      </x:c>
      <x:c r="O132" s="8" t="str">
        <x:v>일반 사용 빈도 보통 이하(Zipf ≤ 3.5); 검증된 예문 없음; 동일 JMdict 표제어의 표기·읽기 변형; 기존 데이터의 한국어 콘텐츠 보강 필요 태그</x:v>
      </x:c>
      <x:c r="P132" s="8" t="str">
        <x:v>frequency_le_3_5,no_example,same_jmdict_entry,weak_legacy_content</x:v>
      </x:c>
      <x:c r="Q132" s="2" t="str">
        <x:v>vg_048</x:v>
      </x:c>
      <x:c r="R132" s="2" t="str">
        <x:v>same_jmdict_entry</x:v>
      </x:c>
      <x:c r="S132" s="2" t="str">
        <x:v>w_494f224e459f607c</x:v>
      </x:c>
      <x:c r="T132" s="2" t="str">
        <x:v>手ごろ</x:v>
      </x:c>
      <x:c r="U132" s="2" t="str">
        <x:v>てごろ</x:v>
      </x:c>
      <x:c r="V132" s="2" t="str">
        <x:v>아니오</x:v>
      </x:c>
      <x:c r="W132" s="2" t="str">
        <x:v>예</x:v>
      </x:c>
      <x:c r="X132" s="2" t="str">
        <x:v>news1,nf18</x:v>
      </x:c>
      <x:c r="Y132" s="2" t="n">
        <x:v>100</x:v>
      </x:c>
      <x:c r="Z132" s="2" t="str"/>
      <x:c r="AA132" s="2" t="n">
        <x:v>0</x:v>
      </x:c>
      <x:c r="AB132" s="8" t="str"/>
      <x:c r="AC132" s="8" t="str"/>
      <x:c r="AD132" s="8" t="str">
        <x:v>["draft-ko-missing"]</x:v>
      </x:c>
      <x:c r="AE132" s="8" t="str">
        <x:v>검토 필요</x:v>
      </x:c>
      <x:c r="AF132" s="8" t="str"/>
    </x:row>
    <x:row r="133">
      <x:c r="A133" s="10" t="n">
        <x:v>132</x:v>
      </x:c>
      <x:c r="B133" s="2" t="str">
        <x:v>1차 제외 추천</x:v>
      </x:c>
      <x:c r="C133" s="2" t="str">
        <x:v>중복 변형 제거 검토</x:v>
      </x:c>
      <x:c r="D133" s="2" t="str">
        <x:v>높음</x:v>
      </x:c>
      <x:c r="E133" s="2" t="str">
        <x:v>N2</x:v>
      </x:c>
      <x:c r="F133" s="10" t="n">
        <x:v>64</x:v>
      </x:c>
      <x:c r="G133" s="2" t="str">
        <x:v>w_59d0e85886f68ace</x:v>
      </x:c>
      <x:c r="H133" s="2" t="str">
        <x:v>附属</x:v>
      </x:c>
      <x:c r="I133" s="2" t="str">
        <x:v>ふぞく</x:v>
      </x:c>
      <x:c r="J133" s="8" t="str">
        <x:v>부속, 소속</x:v>
      </x:c>
      <x:c r="K133" s="2" t="str">
        <x:v>noun</x:v>
      </x:c>
      <x:c r="L133" s="9" t="n">
        <x:v>3.42</x:v>
      </x:c>
      <x:c r="M133" s="2" t="str">
        <x:v>없음</x:v>
      </x:c>
      <x:c r="N133" s="11" t="n">
        <x:v>52</x:v>
      </x:c>
      <x:c r="O133" s="8" t="str">
        <x:v>일반 사용 빈도 보통 이하(Zipf ≤ 3.5); 검증된 예문 없음; 동일 JMdict 표제어의 표기·읽기 변형; 읽기와 한국어 뜻이 같은 표기 변형</x:v>
      </x:c>
      <x:c r="P133" s="8" t="str">
        <x:v>frequency_le_3_5,no_example,same_jmdict_entry,same_reading_meaning,weak_legacy_content</x:v>
      </x:c>
      <x:c r="Q133" s="2" t="str">
        <x:v>vg_059</x:v>
      </x:c>
      <x:c r="R133" s="2" t="str">
        <x:v>same_jmdict_entry,same_reading_meaning</x:v>
      </x:c>
      <x:c r="S133" s="2" t="str">
        <x:v>w_a204d55f9264a584</x:v>
      </x:c>
      <x:c r="T133" s="2" t="str">
        <x:v>付属</x:v>
      </x:c>
      <x:c r="U133" s="2" t="str">
        <x:v>ふぞく</x:v>
      </x:c>
      <x:c r="V133" s="2" t="str">
        <x:v>아니오</x:v>
      </x:c>
      <x:c r="W133" s="2" t="str">
        <x:v>예</x:v>
      </x:c>
      <x:c r="X133" s="2" t="str">
        <x:v>ichi1,news1,nf05</x:v>
      </x:c>
      <x:c r="Y133" s="2" t="n">
        <x:v>100</x:v>
      </x:c>
      <x:c r="Z133" s="2" t="str">
        <x:v>ichi1</x:v>
      </x:c>
      <x:c r="AA133" s="2" t="n">
        <x:v>100</x:v>
      </x:c>
      <x:c r="AB133" s="8" t="str">
        <x:v>abbreviation</x:v>
      </x:c>
      <x:c r="AC133" s="8" t="str"/>
      <x:c r="AD133" s="8" t="str">
        <x:v>["draft-ko-missing"]</x:v>
      </x:c>
      <x:c r="AE133" s="8" t="str">
        <x:v>검토 필요</x:v>
      </x:c>
      <x:c r="AF133" s="8" t="str"/>
    </x:row>
    <x:row r="134">
      <x:c r="A134" s="10" t="n">
        <x:v>133</x:v>
      </x:c>
      <x:c r="B134" s="2" t="str">
        <x:v>1차 검토 후보</x:v>
      </x:c>
      <x:c r="C134" s="2" t="str">
        <x:v>중복 변형 제거 검토</x:v>
      </x:c>
      <x:c r="D134" s="2" t="str">
        <x:v>중간</x:v>
      </x:c>
      <x:c r="E134" s="2" t="str">
        <x:v>N3</x:v>
      </x:c>
      <x:c r="F134" s="10" t="n">
        <x:v>20</x:v>
      </x:c>
      <x:c r="G134" s="2" t="str">
        <x:v>w_d563b8ed71bad118</x:v>
      </x:c>
      <x:c r="H134" s="2" t="str">
        <x:v>湿気</x:v>
      </x:c>
      <x:c r="I134" s="2" t="str">
        <x:v>しっけ</x:v>
      </x:c>
      <x:c r="J134" s="8" t="str">
        <x:v>수분, 습도, 습기</x:v>
      </x:c>
      <x:c r="K134" s="2" t="str">
        <x:v>noun</x:v>
      </x:c>
      <x:c r="L134" s="9" t="n">
        <x:v>3.49</x:v>
      </x:c>
      <x:c r="M134" s="2" t="str">
        <x:v>없음</x:v>
      </x:c>
      <x:c r="N134" s="11" t="n">
        <x:v>52</x:v>
      </x:c>
      <x:c r="O134" s="8" t="str">
        <x:v>일반 사용 빈도 보통 이하(Zipf ≤ 3.5); 검증된 예문 없음; 동일 JMdict 표제어의 표기·읽기 변형; 기존 데이터의 한국어 콘텐츠 보강 필요 태그</x:v>
      </x:c>
      <x:c r="P134" s="8" t="str">
        <x:v>frequency_le_3_5,no_example,same_jmdict_entry,weak_legacy_content</x:v>
      </x:c>
      <x:c r="Q134" s="2" t="str">
        <x:v>vg_112</x:v>
      </x:c>
      <x:c r="R134" s="2" t="str">
        <x:v>same_jmdict_entry</x:v>
      </x:c>
      <x:c r="S134" s="2" t="str">
        <x:v>w_fbd76b713b13039a</x:v>
      </x:c>
      <x:c r="T134" s="2" t="str">
        <x:v>湿気</x:v>
      </x:c>
      <x:c r="U134" s="2" t="str">
        <x:v>しっき</x:v>
      </x:c>
      <x:c r="V134" s="2" t="str">
        <x:v>아니오</x:v>
      </x:c>
      <x:c r="W134" s="2" t="str">
        <x:v>예</x:v>
      </x:c>
      <x:c r="X134" s="2" t="str">
        <x:v>ichi1,news1,nf19</x:v>
      </x:c>
      <x:c r="Y134" s="2" t="n">
        <x:v>100</x:v>
      </x:c>
      <x:c r="Z134" s="2" t="str">
        <x:v>ichi1,news1,nf19</x:v>
      </x:c>
      <x:c r="AA134" s="2" t="n">
        <x:v>100</x:v>
      </x:c>
      <x:c r="AB134" s="8" t="str"/>
      <x:c r="AC134" s="8" t="str"/>
      <x:c r="AD134" s="8" t="str">
        <x:v>["draft-ko-missing"]</x:v>
      </x:c>
      <x:c r="AE134" s="8" t="str">
        <x:v>검토 필요</x:v>
      </x:c>
      <x:c r="AF134" s="8" t="str"/>
    </x:row>
    <x:row r="135">
      <x:c r="A135" s="10" t="n">
        <x:v>134</x:v>
      </x:c>
      <x:c r="B135" s="2" t="str">
        <x:v>1차 검토 후보</x:v>
      </x:c>
      <x:c r="C135" s="2" t="str">
        <x:v>표기 교정·교체 검토</x:v>
      </x:c>
      <x:c r="D135" s="2" t="str">
        <x:v>중간</x:v>
      </x:c>
      <x:c r="E135" s="2" t="str">
        <x:v>N2</x:v>
      </x:c>
      <x:c r="F135" s="10" t="n">
        <x:v>65</x:v>
      </x:c>
      <x:c r="G135" s="2" t="str">
        <x:v>w_5b90d006ae01b3a8</x:v>
      </x:c>
      <x:c r="H135" s="2" t="str">
        <x:v>狡い</x:v>
      </x:c>
      <x:c r="I135" s="2" t="str">
        <x:v>ずるい</x:v>
      </x:c>
      <x:c r="J135" s="8" t="str">
        <x:v>교활하다, 치사하다</x:v>
      </x:c>
      <x:c r="K135" s="2" t="str">
        <x:v>adjective</x:v>
      </x:c>
      <x:c r="L135" s="9" t="n">
        <x:v>2.43</x:v>
      </x:c>
      <x:c r="M135" s="2" t="str">
        <x:v>없음</x:v>
      </x:c>
      <x:c r="N135" s="11" t="n">
        <x:v>51</x:v>
      </x:c>
      <x:c r="O135" s="8" t="str">
        <x:v>일반 사용 빈도 낮음(Zipf ≤ 2.5); JMdict에서 희귀·비표준 표기로 표시; 검증된 예문 없음</x:v>
      </x:c>
      <x:c r="P135" s="8" t="str">
        <x:v>frequency_le_2_5,jmdict_uncommon_or_irregular,no_example</x:v>
      </x:c>
      <x:c r="Q135" s="2" t="str"/>
      <x:c r="R135" s="2" t="str"/>
      <x:c r="S135" s="2" t="str"/>
      <x:c r="T135" s="2" t="str"/>
      <x:c r="U135" s="2" t="str"/>
      <x:c r="V135" s="2" t="str">
        <x:v>아니오</x:v>
      </x:c>
      <x:c r="W135" s="2" t="str">
        <x:v>예</x:v>
      </x:c>
      <x:c r="X135" s="2" t="str">
        <x:v>ichi1</x:v>
      </x:c>
      <x:c r="Y135" s="2" t="n">
        <x:v>100</x:v>
      </x:c>
      <x:c r="Z135" s="2" t="str"/>
      <x:c r="AA135" s="2" t="n">
        <x:v>0</x:v>
      </x:c>
      <x:c r="AB135" s="8" t="str">
        <x:v>rarely used kanji form | word usually written using kana alone</x:v>
      </x:c>
      <x:c r="AC135" s="8" t="str"/>
      <x:c r="AD135" s="8" t="str">
        <x:v>["ko-reviewed"]</x:v>
      </x:c>
      <x:c r="AE135" s="8" t="str">
        <x:v>검토 필요</x:v>
      </x:c>
      <x:c r="AF135" s="8" t="str"/>
    </x:row>
    <x:row r="136">
      <x:c r="A136" s="10" t="n">
        <x:v>135</x:v>
      </x:c>
      <x:c r="B136" s="2" t="str">
        <x:v>1차 검토 후보</x:v>
      </x:c>
      <x:c r="C136" s="2" t="str">
        <x:v>저활용 제외 검토</x:v>
      </x:c>
      <x:c r="D136" s="2" t="str">
        <x:v>중간</x:v>
      </x:c>
      <x:c r="E136" s="2" t="str">
        <x:v>N2</x:v>
      </x:c>
      <x:c r="F136" s="10" t="n">
        <x:v>66</x:v>
      </x:c>
      <x:c r="G136" s="2" t="str">
        <x:v>w_74e11be34e28cae2</x:v>
      </x:c>
      <x:c r="H136" s="2" t="str">
        <x:v>まざる</x:v>
      </x:c>
      <x:c r="I136" s="2" t="str">
        <x:v>まざる</x:v>
      </x:c>
      <x:c r="J136" s="8" t="str">
        <x:v>섞이다</x:v>
      </x:c>
      <x:c r="K136" s="2" t="str">
        <x:v>verb</x:v>
      </x:c>
      <x:c r="L136" s="9" t="n">
        <x:v>1.26</x:v>
      </x:c>
      <x:c r="M136" s="2" t="str">
        <x:v>없음</x:v>
      </x:c>
      <x:c r="N136" s="11" t="n">
        <x:v>50</x:v>
      </x:c>
      <x:c r="O136" s="8" t="str">
        <x:v>일반 사용 빈도 매우 낮음(Zipf ≤ 1.5); 검증된 예문 없음; JMdict 우선 어휘 표지 없음</x:v>
      </x:c>
      <x:c r="P136" s="8" t="str">
        <x:v>frequency_le_1_5,no_example,no_jmdict_priority</x:v>
      </x:c>
      <x:c r="Q136" s="2" t="str"/>
      <x:c r="R136" s="2" t="str"/>
      <x:c r="S136" s="2" t="str"/>
      <x:c r="T136" s="2" t="str"/>
      <x:c r="U136" s="2" t="str"/>
      <x:c r="V136" s="2" t="str">
        <x:v>아니오</x:v>
      </x:c>
      <x:c r="W136" s="2" t="str">
        <x:v>아니오</x:v>
      </x:c>
      <x:c r="X136" s="2" t="str"/>
      <x:c r="Y136" s="2" t="n">
        <x:v>0</x:v>
      </x:c>
      <x:c r="Z136" s="2" t="str"/>
      <x:c r="AA136" s="2" t="n">
        <x:v>0</x:v>
      </x:c>
      <x:c r="AB136" s="8" t="str"/>
      <x:c r="AC136" s="8" t="str"/>
      <x:c r="AD136" s="8" t="str">
        <x:v>["ko-reviewed"]</x:v>
      </x:c>
      <x:c r="AE136" s="8" t="str">
        <x:v>검토 필요</x:v>
      </x:c>
      <x:c r="AF136" s="8" t="str"/>
    </x:row>
    <x:row r="137">
      <x:c r="A137" s="10" t="n">
        <x:v>136</x:v>
      </x:c>
      <x:c r="B137" s="2" t="str">
        <x:v>1차 검토 후보</x:v>
      </x:c>
      <x:c r="C137" s="2" t="str">
        <x:v>저활용 제외 검토</x:v>
      </x:c>
      <x:c r="D137" s="2" t="str">
        <x:v>중간</x:v>
      </x:c>
      <x:c r="E137" s="2" t="str">
        <x:v>N1</x:v>
      </x:c>
      <x:c r="F137" s="10" t="n">
        <x:v>32</x:v>
      </x:c>
      <x:c r="G137" s="2" t="str">
        <x:v>w_976ded6e29683876</x:v>
      </x:c>
      <x:c r="H137" s="2" t="str">
        <x:v>箇条書</x:v>
      </x:c>
      <x:c r="I137" s="2" t="str">
        <x:v>かじょうがき</x:v>
      </x:c>
      <x:c r="J137" s="8" t="str">
        <x:v>항목별 작성, 개조식</x:v>
      </x:c>
      <x:c r="K137" s="2" t="str">
        <x:v>noun</x:v>
      </x:c>
      <x:c r="L137" s="9" t="n">
        <x:v>1.39</x:v>
      </x:c>
      <x:c r="M137" s="2" t="str">
        <x:v>없음</x:v>
      </x:c>
      <x:c r="N137" s="11" t="n">
        <x:v>50</x:v>
      </x:c>
      <x:c r="O137" s="8" t="str">
        <x:v>일반 사용 빈도 매우 낮음(Zipf ≤ 1.5); 검증된 예문 없음; JMdict 우선 어휘 표지 없음</x:v>
      </x:c>
      <x:c r="P137" s="8" t="str">
        <x:v>frequency_le_1_5,no_example,no_jmdict_priority</x:v>
      </x:c>
      <x:c r="Q137" s="2" t="str"/>
      <x:c r="R137" s="2" t="str"/>
      <x:c r="S137" s="2" t="str"/>
      <x:c r="T137" s="2" t="str"/>
      <x:c r="U137" s="2" t="str"/>
      <x:c r="V137" s="2" t="str">
        <x:v>아니오</x:v>
      </x:c>
      <x:c r="W137" s="2" t="str">
        <x:v>예</x:v>
      </x:c>
      <x:c r="X137" s="2" t="str"/>
      <x:c r="Y137" s="2" t="n">
        <x:v>0</x:v>
      </x:c>
      <x:c r="Z137" s="2" t="str"/>
      <x:c r="AA137" s="2" t="n">
        <x:v>0</x:v>
      </x:c>
      <x:c r="AB137" s="8" t="str"/>
      <x:c r="AC137" s="8" t="str"/>
      <x:c r="AD137" s="8" t="str">
        <x:v>["ko-reviewed"]</x:v>
      </x:c>
      <x:c r="AE137" s="8" t="str">
        <x:v>검토 필요</x:v>
      </x:c>
      <x:c r="AF137" s="8" t="str"/>
    </x:row>
    <x:row r="138">
      <x:c r="A138" s="10" t="n">
        <x:v>137</x:v>
      </x:c>
      <x:c r="B138" s="2" t="str">
        <x:v>1차 검토 후보</x:v>
      </x:c>
      <x:c r="C138" s="2" t="str">
        <x:v>저활용 제외 검토</x:v>
      </x:c>
      <x:c r="D138" s="2" t="str">
        <x:v>중간</x:v>
      </x:c>
      <x:c r="E138" s="2" t="str">
        <x:v>N1</x:v>
      </x:c>
      <x:c r="F138" s="10" t="n">
        <x:v>33</x:v>
      </x:c>
      <x:c r="G138" s="2" t="str">
        <x:v>w_66e3b8ac6e5991e1</x:v>
      </x:c>
      <x:c r="H138" s="2" t="str">
        <x:v>まごつく</x:v>
      </x:c>
      <x:c r="I138" s="2" t="str">
        <x:v>まごつく</x:v>
      </x:c>
      <x:c r="J138" s="8" t="str">
        <x:v>허둥대다, 당황하다</x:v>
      </x:c>
      <x:c r="K138" s="2" t="str">
        <x:v>verb</x:v>
      </x:c>
      <x:c r="L138" s="9" t="n">
        <x:v>1.43</x:v>
      </x:c>
      <x:c r="M138" s="2" t="str">
        <x:v>없음</x:v>
      </x:c>
      <x:c r="N138" s="11" t="n">
        <x:v>50</x:v>
      </x:c>
      <x:c r="O138" s="8" t="str">
        <x:v>일반 사용 빈도 매우 낮음(Zipf ≤ 1.5); 검증된 예문 없음; JMdict 우선 어휘 표지 없음</x:v>
      </x:c>
      <x:c r="P138" s="8" t="str">
        <x:v>frequency_le_1_5,no_example,no_jmdict_priority</x:v>
      </x:c>
      <x:c r="Q138" s="2" t="str"/>
      <x:c r="R138" s="2" t="str"/>
      <x:c r="S138" s="2" t="str"/>
      <x:c r="T138" s="2" t="str"/>
      <x:c r="U138" s="2" t="str"/>
      <x:c r="V138" s="2" t="str">
        <x:v>아니오</x:v>
      </x:c>
      <x:c r="W138" s="2" t="str">
        <x:v>아니오</x:v>
      </x:c>
      <x:c r="X138" s="2" t="str"/>
      <x:c r="Y138" s="2" t="n">
        <x:v>0</x:v>
      </x:c>
      <x:c r="Z138" s="2" t="str"/>
      <x:c r="AA138" s="2" t="n">
        <x:v>0</x:v>
      </x:c>
      <x:c r="AB138" s="8" t="str"/>
      <x:c r="AC138" s="8" t="str"/>
      <x:c r="AD138" s="8" t="str">
        <x:v>["ko-reviewed"]</x:v>
      </x:c>
      <x:c r="AE138" s="8" t="str">
        <x:v>검토 필요</x:v>
      </x:c>
      <x:c r="AF138" s="8" t="str"/>
    </x:row>
    <x:row r="139">
      <x:c r="A139" s="10" t="n">
        <x:v>138</x:v>
      </x:c>
      <x:c r="B139" s="2" t="str">
        <x:v>1차 검토 후보</x:v>
      </x:c>
      <x:c r="C139" s="2" t="str">
        <x:v>저활용 제외 검토</x:v>
      </x:c>
      <x:c r="D139" s="2" t="str">
        <x:v>중간</x:v>
      </x:c>
      <x:c r="E139" s="2" t="str">
        <x:v>N1</x:v>
      </x:c>
      <x:c r="F139" s="10" t="n">
        <x:v>34</x:v>
      </x:c>
      <x:c r="G139" s="2" t="str">
        <x:v>w_1d13264e7f8e8113</x:v>
      </x:c>
      <x:c r="H139" s="2" t="str">
        <x:v>湿気る</x:v>
      </x:c>
      <x:c r="I139" s="2" t="str">
        <x:v>しける</x:v>
      </x:c>
      <x:c r="J139" s="8" t="str">
        <x:v>습기를 머금다, 축축해지다</x:v>
      </x:c>
      <x:c r="K139" s="2" t="str">
        <x:v>verb</x:v>
      </x:c>
      <x:c r="L139" s="9" t="n">
        <x:v>1.44</x:v>
      </x:c>
      <x:c r="M139" s="2" t="str">
        <x:v>없음</x:v>
      </x:c>
      <x:c r="N139" s="11" t="n">
        <x:v>50</x:v>
      </x:c>
      <x:c r="O139" s="8" t="str">
        <x:v>일반 사용 빈도 매우 낮음(Zipf ≤ 1.5); 검증된 예문 없음; JMdict 우선 어휘 표지 없음</x:v>
      </x:c>
      <x:c r="P139" s="8" t="str">
        <x:v>frequency_le_1_5,no_example,no_jmdict_priority</x:v>
      </x:c>
      <x:c r="Q139" s="2" t="str"/>
      <x:c r="R139" s="2" t="str"/>
      <x:c r="S139" s="2" t="str"/>
      <x:c r="T139" s="2" t="str"/>
      <x:c r="U139" s="2" t="str"/>
      <x:c r="V139" s="2" t="str">
        <x:v>아니오</x:v>
      </x:c>
      <x:c r="W139" s="2" t="str">
        <x:v>예</x:v>
      </x:c>
      <x:c r="X139" s="2" t="str"/>
      <x:c r="Y139" s="2" t="n">
        <x:v>0</x:v>
      </x:c>
      <x:c r="Z139" s="2" t="str"/>
      <x:c r="AA139" s="2" t="n">
        <x:v>0</x:v>
      </x:c>
      <x:c r="AB139" s="8" t="str"/>
      <x:c r="AC139" s="8" t="str"/>
      <x:c r="AD139" s="8" t="str">
        <x:v>["ko-reviewed"]</x:v>
      </x:c>
      <x:c r="AE139" s="8" t="str">
        <x:v>검토 필요</x:v>
      </x:c>
      <x:c r="AF139" s="8" t="str"/>
    </x:row>
    <x:row r="140">
      <x:c r="A140" s="10" t="n">
        <x:v>139</x:v>
      </x:c>
      <x:c r="B140" s="2" t="str">
        <x:v>1차 검토 후보</x:v>
      </x:c>
      <x:c r="C140" s="2" t="str">
        <x:v>저활용 제외 검토</x:v>
      </x:c>
      <x:c r="D140" s="2" t="str">
        <x:v>중간</x:v>
      </x:c>
      <x:c r="E140" s="2" t="str">
        <x:v>N1</x:v>
      </x:c>
      <x:c r="F140" s="10" t="n">
        <x:v>35</x:v>
      </x:c>
      <x:c r="G140" s="2" t="str">
        <x:v>w_d8c894b9d0b56bd5</x:v>
      </x:c>
      <x:c r="H140" s="2" t="str">
        <x:v>局限</x:v>
      </x:c>
      <x:c r="I140" s="2" t="str">
        <x:v>きょくげん</x:v>
      </x:c>
      <x:c r="J140" s="8" t="str">
        <x:v>국한</x:v>
      </x:c>
      <x:c r="K140" s="2" t="str">
        <x:v>noun</x:v>
      </x:c>
      <x:c r="L140" s="9" t="n">
        <x:v>1.53</x:v>
      </x:c>
      <x:c r="M140" s="2" t="str">
        <x:v>없음</x:v>
      </x:c>
      <x:c r="N140" s="11" t="n">
        <x:v>49</x:v>
      </x:c>
      <x:c r="O140" s="8" t="str">
        <x:v>일반 사용 빈도 매우 낮음(Zipf ≤ 2.0); 검증된 예문 없음; JMdict 우선 어휘 표지 없음; 기존 데이터의 한국어 콘텐츠 보강 필요 태그</x:v>
      </x:c>
      <x:c r="P140" s="8" t="str">
        <x:v>frequency_le_2_0,no_example,no_jmdict_priority,weak_legacy_content</x:v>
      </x:c>
      <x:c r="Q140" s="2" t="str"/>
      <x:c r="R140" s="2" t="str"/>
      <x:c r="S140" s="2" t="str"/>
      <x:c r="T140" s="2" t="str"/>
      <x:c r="U140" s="2" t="str"/>
      <x:c r="V140" s="2" t="str">
        <x:v>아니오</x:v>
      </x:c>
      <x:c r="W140" s="2" t="str">
        <x:v>예</x:v>
      </x:c>
      <x:c r="X140" s="2" t="str"/>
      <x:c r="Y140" s="2" t="n">
        <x:v>0</x:v>
      </x:c>
      <x:c r="Z140" s="2" t="str"/>
      <x:c r="AA140" s="2" t="n">
        <x:v>0</x:v>
      </x:c>
      <x:c r="AB140" s="8" t="str"/>
      <x:c r="AC140" s="8" t="str"/>
      <x:c r="AD140" s="8" t="str">
        <x:v>["draft-ko-missing"]</x:v>
      </x:c>
      <x:c r="AE140" s="8" t="str">
        <x:v>검토 필요</x:v>
      </x:c>
      <x:c r="AF140" s="8" t="str"/>
    </x:row>
    <x:row r="141">
      <x:c r="A141" s="10" t="n">
        <x:v>140</x:v>
      </x:c>
      <x:c r="B141" s="2" t="str">
        <x:v>1차 검토 후보</x:v>
      </x:c>
      <x:c r="C141" s="2" t="str">
        <x:v>저활용 제외 검토</x:v>
      </x:c>
      <x:c r="D141" s="2" t="str">
        <x:v>중간</x:v>
      </x:c>
      <x:c r="E141" s="2" t="str">
        <x:v>N1</x:v>
      </x:c>
      <x:c r="F141" s="10" t="n">
        <x:v>36</x:v>
      </x:c>
      <x:c r="G141" s="2" t="str">
        <x:v>w_ef1c5960fc41724d</x:v>
      </x:c>
      <x:c r="H141" s="2" t="str">
        <x:v>数詞</x:v>
      </x:c>
      <x:c r="I141" s="2" t="str">
        <x:v>すうし</x:v>
      </x:c>
      <x:c r="J141" s="8" t="str">
        <x:v>수사(數詞)</x:v>
      </x:c>
      <x:c r="K141" s="2" t="str">
        <x:v>noun</x:v>
      </x:c>
      <x:c r="L141" s="9" t="n">
        <x:v>1.54</x:v>
      </x:c>
      <x:c r="M141" s="2" t="str">
        <x:v>없음</x:v>
      </x:c>
      <x:c r="N141" s="11" t="n">
        <x:v>49</x:v>
      </x:c>
      <x:c r="O141" s="8" t="str">
        <x:v>일반 사용 빈도 매우 낮음(Zipf ≤ 2.0); 검증된 예문 없음; JMdict 우선 어휘 표지 없음; 기존 데이터의 한국어 콘텐츠 보강 필요 태그</x:v>
      </x:c>
      <x:c r="P141" s="8" t="str">
        <x:v>frequency_le_2_0,no_example,no_jmdict_priority,weak_legacy_content</x:v>
      </x:c>
      <x:c r="Q141" s="2" t="str"/>
      <x:c r="R141" s="2" t="str"/>
      <x:c r="S141" s="2" t="str"/>
      <x:c r="T141" s="2" t="str"/>
      <x:c r="U141" s="2" t="str"/>
      <x:c r="V141" s="2" t="str">
        <x:v>아니오</x:v>
      </x:c>
      <x:c r="W141" s="2" t="str">
        <x:v>예</x:v>
      </x:c>
      <x:c r="X141" s="2" t="str"/>
      <x:c r="Y141" s="2" t="n">
        <x:v>0</x:v>
      </x:c>
      <x:c r="Z141" s="2" t="str"/>
      <x:c r="AA141" s="2" t="n">
        <x:v>0</x:v>
      </x:c>
      <x:c r="AB141" s="8" t="str"/>
      <x:c r="AC141" s="8" t="str"/>
      <x:c r="AD141" s="8" t="str">
        <x:v>["draft-ko-missing"]</x:v>
      </x:c>
      <x:c r="AE141" s="8" t="str">
        <x:v>검토 필요</x:v>
      </x:c>
      <x:c r="AF141" s="8" t="str"/>
    </x:row>
    <x:row r="142">
      <x:c r="A142" s="10" t="n">
        <x:v>141</x:v>
      </x:c>
      <x:c r="B142" s="2" t="str">
        <x:v>1차 검토 후보</x:v>
      </x:c>
      <x:c r="C142" s="2" t="str">
        <x:v>저활용 제외 검토</x:v>
      </x:c>
      <x:c r="D142" s="2" t="str">
        <x:v>중간</x:v>
      </x:c>
      <x:c r="E142" s="2" t="str">
        <x:v>N2</x:v>
      </x:c>
      <x:c r="F142" s="10" t="n">
        <x:v>67</x:v>
      </x:c>
      <x:c r="G142" s="2" t="str">
        <x:v>w_4c88110f6a425af8</x:v>
      </x:c>
      <x:c r="H142" s="2" t="str">
        <x:v>あぶる</x:v>
      </x:c>
      <x:c r="I142" s="2" t="str">
        <x:v>あぶる</x:v>
      </x:c>
      <x:c r="J142" s="8" t="str">
        <x:v>태우다, 그슬리다, 굽다, 볶다</x:v>
      </x:c>
      <x:c r="K142" s="2" t="str">
        <x:v>verb</x:v>
      </x:c>
      <x:c r="L142" s="9" t="n">
        <x:v>1.69</x:v>
      </x:c>
      <x:c r="M142" s="2" t="str">
        <x:v>없음</x:v>
      </x:c>
      <x:c r="N142" s="11" t="n">
        <x:v>49</x:v>
      </x:c>
      <x:c r="O142" s="8" t="str">
        <x:v>일반 사용 빈도 매우 낮음(Zipf ≤ 2.0); 검증된 예문 없음; JMdict 우선 어휘 표지 없음; 기존 데이터의 한국어 콘텐츠 보강 필요 태그</x:v>
      </x:c>
      <x:c r="P142" s="8" t="str">
        <x:v>frequency_le_2_0,no_example,no_jmdict_priority,weak_legacy_content</x:v>
      </x:c>
      <x:c r="Q142" s="2" t="str"/>
      <x:c r="R142" s="2" t="str"/>
      <x:c r="S142" s="2" t="str"/>
      <x:c r="T142" s="2" t="str"/>
      <x:c r="U142" s="2" t="str"/>
      <x:c r="V142" s="2" t="str">
        <x:v>아니오</x:v>
      </x:c>
      <x:c r="W142" s="2" t="str">
        <x:v>아니오</x:v>
      </x:c>
      <x:c r="X142" s="2" t="str"/>
      <x:c r="Y142" s="2" t="n">
        <x:v>0</x:v>
      </x:c>
      <x:c r="Z142" s="2" t="str"/>
      <x:c r="AA142" s="2" t="n">
        <x:v>0</x:v>
      </x:c>
      <x:c r="AB142" s="8" t="str"/>
      <x:c r="AC142" s="8" t="str"/>
      <x:c r="AD142" s="8" t="str">
        <x:v>["draft-ko-missing"]</x:v>
      </x:c>
      <x:c r="AE142" s="8" t="str">
        <x:v>검토 필요</x:v>
      </x:c>
      <x:c r="AF142" s="8" t="str"/>
    </x:row>
    <x:row r="143">
      <x:c r="A143" s="10" t="n">
        <x:v>142</x:v>
      </x:c>
      <x:c r="B143" s="2" t="str">
        <x:v>1차 검토 후보</x:v>
      </x:c>
      <x:c r="C143" s="2" t="str">
        <x:v>저활용 제외 검토</x:v>
      </x:c>
      <x:c r="D143" s="2" t="str">
        <x:v>중간</x:v>
      </x:c>
      <x:c r="E143" s="2" t="str">
        <x:v>N1</x:v>
      </x:c>
      <x:c r="F143" s="10" t="n">
        <x:v>37</x:v>
      </x:c>
      <x:c r="G143" s="2" t="str">
        <x:v>w_9012d41b62a0fdef</x:v>
      </x:c>
      <x:c r="H143" s="2" t="str">
        <x:v>異見</x:v>
      </x:c>
      <x:c r="I143" s="2" t="str">
        <x:v>いけん</x:v>
      </x:c>
      <x:c r="J143" s="8" t="str">
        <x:v>이견, 다른 의견</x:v>
      </x:c>
      <x:c r="K143" s="2" t="str">
        <x:v>noun</x:v>
      </x:c>
      <x:c r="L143" s="9" t="n">
        <x:v>1.69</x:v>
      </x:c>
      <x:c r="M143" s="2" t="str">
        <x:v>없음</x:v>
      </x:c>
      <x:c r="N143" s="11" t="n">
        <x:v>49</x:v>
      </x:c>
      <x:c r="O143" s="8" t="str">
        <x:v>일반 사용 빈도 매우 낮음(Zipf ≤ 2.0); 검증된 예문 없음; JMdict 우선 어휘 표지 없음; 기존 데이터의 한국어 콘텐츠 보강 필요 태그</x:v>
      </x:c>
      <x:c r="P143" s="8" t="str">
        <x:v>frequency_le_2_0,no_example,no_jmdict_priority,weak_legacy_content</x:v>
      </x:c>
      <x:c r="Q143" s="2" t="str"/>
      <x:c r="R143" s="2" t="str"/>
      <x:c r="S143" s="2" t="str"/>
      <x:c r="T143" s="2" t="str"/>
      <x:c r="U143" s="2" t="str"/>
      <x:c r="V143" s="2" t="str">
        <x:v>아니오</x:v>
      </x:c>
      <x:c r="W143" s="2" t="str">
        <x:v>예</x:v>
      </x:c>
      <x:c r="X143" s="2" t="str"/>
      <x:c r="Y143" s="2" t="n">
        <x:v>0</x:v>
      </x:c>
      <x:c r="Z143" s="2" t="str"/>
      <x:c r="AA143" s="2" t="n">
        <x:v>0</x:v>
      </x:c>
      <x:c r="AB143" s="8" t="str">
        <x:v>obsolete term</x:v>
      </x:c>
      <x:c r="AC143" s="8" t="str"/>
      <x:c r="AD143" s="8" t="str">
        <x:v>["draft-ko-missing"]</x:v>
      </x:c>
      <x:c r="AE143" s="8" t="str">
        <x:v>검토 필요</x:v>
      </x:c>
      <x:c r="AF143" s="8" t="str"/>
    </x:row>
    <x:row r="144">
      <x:c r="A144" s="10" t="n">
        <x:v>143</x:v>
      </x:c>
      <x:c r="B144" s="2" t="str">
        <x:v>1차 검토 후보</x:v>
      </x:c>
      <x:c r="C144" s="2" t="str">
        <x:v>저활용 제외 검토</x:v>
      </x:c>
      <x:c r="D144" s="2" t="str">
        <x:v>중간</x:v>
      </x:c>
      <x:c r="E144" s="2" t="str">
        <x:v>N2</x:v>
      </x:c>
      <x:c r="F144" s="10" t="n">
        <x:v>68</x:v>
      </x:c>
      <x:c r="G144" s="2" t="str">
        <x:v>w_927fd41084037694</x:v>
      </x:c>
      <x:c r="H144" s="2" t="str">
        <x:v>はきはき</x:v>
      </x:c>
      <x:c r="I144" s="2" t="str">
        <x:v>はきはき</x:v>
      </x:c>
      <x:c r="J144" s="8" t="str">
        <x:v>명확히</x:v>
      </x:c>
      <x:c r="K144" s="2" t="str">
        <x:v>adverb</x:v>
      </x:c>
      <x:c r="L144" s="9" t="n">
        <x:v>1.77</x:v>
      </x:c>
      <x:c r="M144" s="2" t="str">
        <x:v>없음</x:v>
      </x:c>
      <x:c r="N144" s="11" t="n">
        <x:v>49</x:v>
      </x:c>
      <x:c r="O144" s="8" t="str">
        <x:v>일반 사용 빈도 매우 낮음(Zipf ≤ 2.0); 검증된 예문 없음; JMdict 우선 어휘 표지 없음; 기존 데이터의 한국어 콘텐츠 보강 필요 태그</x:v>
      </x:c>
      <x:c r="P144" s="8" t="str">
        <x:v>frequency_le_2_0,no_example,no_jmdict_priority,weak_legacy_content</x:v>
      </x:c>
      <x:c r="Q144" s="2" t="str"/>
      <x:c r="R144" s="2" t="str"/>
      <x:c r="S144" s="2" t="str"/>
      <x:c r="T144" s="2" t="str"/>
      <x:c r="U144" s="2" t="str"/>
      <x:c r="V144" s="2" t="str">
        <x:v>아니오</x:v>
      </x:c>
      <x:c r="W144" s="2" t="str">
        <x:v>예</x:v>
      </x:c>
      <x:c r="X144" s="2" t="str"/>
      <x:c r="Y144" s="2" t="n">
        <x:v>0</x:v>
      </x:c>
      <x:c r="Z144" s="2" t="str"/>
      <x:c r="AA144" s="2" t="n">
        <x:v>0</x:v>
      </x:c>
      <x:c r="AB144" s="8" t="str">
        <x:v>onomatopoeic or mimetic word</x:v>
      </x:c>
      <x:c r="AC144" s="8" t="str"/>
      <x:c r="AD144" s="8" t="str">
        <x:v>["draft-ko-missing"]</x:v>
      </x:c>
      <x:c r="AE144" s="8" t="str">
        <x:v>검토 필요</x:v>
      </x:c>
      <x:c r="AF144" s="8" t="str"/>
    </x:row>
    <x:row r="145">
      <x:c r="A145" s="10" t="n">
        <x:v>144</x:v>
      </x:c>
      <x:c r="B145" s="2" t="str">
        <x:v>1차 검토 후보</x:v>
      </x:c>
      <x:c r="C145" s="2" t="str">
        <x:v>저활용 제외 검토</x:v>
      </x:c>
      <x:c r="D145" s="2" t="str">
        <x:v>중간</x:v>
      </x:c>
      <x:c r="E145" s="2" t="str">
        <x:v>N1</x:v>
      </x:c>
      <x:c r="F145" s="10" t="n">
        <x:v>38</x:v>
      </x:c>
      <x:c r="G145" s="2" t="str">
        <x:v>w_f58698f88c6b5763</x:v>
      </x:c>
      <x:c r="H145" s="2" t="str">
        <x:v>弛み</x:v>
      </x:c>
      <x:c r="I145" s="2" t="str">
        <x:v>たるみ</x:v>
      </x:c>
      <x:c r="J145" s="8" t="str">
        <x:v>느슨함, 처짐</x:v>
      </x:c>
      <x:c r="K145" s="2" t="str">
        <x:v>noun</x:v>
      </x:c>
      <x:c r="L145" s="9" t="n">
        <x:v>1.77</x:v>
      </x:c>
      <x:c r="M145" s="2" t="str">
        <x:v>없음</x:v>
      </x:c>
      <x:c r="N145" s="11" t="n">
        <x:v>49</x:v>
      </x:c>
      <x:c r="O145" s="8" t="str">
        <x:v>일반 사용 빈도 매우 낮음(Zipf ≤ 2.0); 검증된 예문 없음; JMdict 우선 어휘 표지 없음; 기존 데이터의 한국어 콘텐츠 보강 필요 태그</x:v>
      </x:c>
      <x:c r="P145" s="8" t="str">
        <x:v>frequency_le_2_0,no_example,no_jmdict_priority,weak_legacy_content</x:v>
      </x:c>
      <x:c r="Q145" s="2" t="str"/>
      <x:c r="R145" s="2" t="str"/>
      <x:c r="S145" s="2" t="str"/>
      <x:c r="T145" s="2" t="str"/>
      <x:c r="U145" s="2" t="str"/>
      <x:c r="V145" s="2" t="str">
        <x:v>아니오</x:v>
      </x:c>
      <x:c r="W145" s="2" t="str">
        <x:v>예</x:v>
      </x:c>
      <x:c r="X145" s="2" t="str"/>
      <x:c r="Y145" s="2" t="n">
        <x:v>0</x:v>
      </x:c>
      <x:c r="Z145" s="2" t="str"/>
      <x:c r="AA145" s="2" t="n">
        <x:v>0</x:v>
      </x:c>
      <x:c r="AB145" s="8" t="str">
        <x:v>word usually written using kana alone</x:v>
      </x:c>
      <x:c r="AC145" s="8" t="str"/>
      <x:c r="AD145" s="8" t="str">
        <x:v>["draft-ko-missing"]</x:v>
      </x:c>
      <x:c r="AE145" s="8" t="str">
        <x:v>검토 필요</x:v>
      </x:c>
      <x:c r="AF145" s="8" t="str"/>
    </x:row>
    <x:row r="146">
      <x:c r="A146" s="10" t="n">
        <x:v>145</x:v>
      </x:c>
      <x:c r="B146" s="2" t="str">
        <x:v>1차 검토 후보</x:v>
      </x:c>
      <x:c r="C146" s="2" t="str">
        <x:v>저활용 제외 검토</x:v>
      </x:c>
      <x:c r="D146" s="2" t="str">
        <x:v>중간</x:v>
      </x:c>
      <x:c r="E146" s="2" t="str">
        <x:v>N2</x:v>
      </x:c>
      <x:c r="F146" s="10" t="n">
        <x:v>69</x:v>
      </x:c>
      <x:c r="G146" s="2" t="str">
        <x:v>w_862e7dc7752c08d6</x:v>
      </x:c>
      <x:c r="H146" s="2" t="str">
        <x:v>小母さん</x:v>
      </x:c>
      <x:c r="I146" s="2" t="str">
        <x:v>おばさん</x:v>
      </x:c>
      <x:c r="J146" s="8" t="str">
        <x:v>숙녀, 여자</x:v>
      </x:c>
      <x:c r="K146" s="2" t="str">
        <x:v>noun</x:v>
      </x:c>
      <x:c r="L146" s="9" t="n">
        <x:v>1.8</x:v>
      </x:c>
      <x:c r="M146" s="2" t="str">
        <x:v>없음</x:v>
      </x:c>
      <x:c r="N146" s="11" t="n">
        <x:v>49</x:v>
      </x:c>
      <x:c r="O146" s="8" t="str">
        <x:v>일반 사용 빈도 매우 낮음(Zipf ≤ 2.0); 검증된 예문 없음; JMdict 우선 어휘 표지 없음; 기존 데이터의 한국어 콘텐츠 보강 필요 태그</x:v>
      </x:c>
      <x:c r="P146" s="8" t="str">
        <x:v>frequency_le_2_0,no_example,no_jmdict_priority,weak_legacy_content</x:v>
      </x:c>
      <x:c r="Q146" s="2" t="str"/>
      <x:c r="R146" s="2" t="str"/>
      <x:c r="S146" s="2" t="str"/>
      <x:c r="T146" s="2" t="str"/>
      <x:c r="U146" s="2" t="str"/>
      <x:c r="V146" s="2" t="str">
        <x:v>아니오</x:v>
      </x:c>
      <x:c r="W146" s="2" t="str">
        <x:v>예</x:v>
      </x:c>
      <x:c r="X146" s="2" t="str"/>
      <x:c r="Y146" s="2" t="n">
        <x:v>0</x:v>
      </x:c>
      <x:c r="Z146" s="2" t="str"/>
      <x:c r="AA146" s="2" t="n">
        <x:v>0</x:v>
      </x:c>
      <x:c r="AB146" s="8" t="str">
        <x:v>familiar language | vocative | word usually written using kana alone</x:v>
      </x:c>
      <x:c r="AC146" s="8" t="str"/>
      <x:c r="AD146" s="8" t="str">
        <x:v>["draft-ko-missing"]</x:v>
      </x:c>
      <x:c r="AE146" s="8" t="str">
        <x:v>검토 필요</x:v>
      </x:c>
      <x:c r="AF146" s="8" t="str"/>
    </x:row>
    <x:row r="147">
      <x:c r="A147" s="10" t="n">
        <x:v>146</x:v>
      </x:c>
      <x:c r="B147" s="2" t="str">
        <x:v>1차 검토 후보</x:v>
      </x:c>
      <x:c r="C147" s="2" t="str">
        <x:v>저활용 제외 검토</x:v>
      </x:c>
      <x:c r="D147" s="2" t="str">
        <x:v>중간</x:v>
      </x:c>
      <x:c r="E147" s="2" t="str">
        <x:v>N1</x:v>
      </x:c>
      <x:c r="F147" s="10" t="n">
        <x:v>39</x:v>
      </x:c>
      <x:c r="G147" s="2" t="str">
        <x:v>w_15250f716c78bbf5</x:v>
      </x:c>
      <x:c r="H147" s="2" t="str">
        <x:v>やりとげる</x:v>
      </x:c>
      <x:c r="I147" s="2" t="str">
        <x:v>やりとげる</x:v>
      </x:c>
      <x:c r="J147" s="8" t="str">
        <x:v>달성하다</x:v>
      </x:c>
      <x:c r="K147" s="2" t="str">
        <x:v>verb</x:v>
      </x:c>
      <x:c r="L147" s="9" t="n">
        <x:v>1.92</x:v>
      </x:c>
      <x:c r="M147" s="2" t="str">
        <x:v>없음</x:v>
      </x:c>
      <x:c r="N147" s="11" t="n">
        <x:v>49</x:v>
      </x:c>
      <x:c r="O147" s="8" t="str">
        <x:v>일반 사용 빈도 매우 낮음(Zipf ≤ 2.0); 검증된 예문 없음; JMdict 우선 어휘 표지 없음; 기존 데이터의 한국어 콘텐츠 보강 필요 태그</x:v>
      </x:c>
      <x:c r="P147" s="8" t="str">
        <x:v>frequency_le_2_0,no_example,no_jmdict_priority,weak_legacy_content</x:v>
      </x:c>
      <x:c r="Q147" s="2" t="str"/>
      <x:c r="R147" s="2" t="str"/>
      <x:c r="S147" s="2" t="str"/>
      <x:c r="T147" s="2" t="str"/>
      <x:c r="U147" s="2" t="str"/>
      <x:c r="V147" s="2" t="str">
        <x:v>아니오</x:v>
      </x:c>
      <x:c r="W147" s="2" t="str">
        <x:v>아니오</x:v>
      </x:c>
      <x:c r="X147" s="2" t="str"/>
      <x:c r="Y147" s="2" t="n">
        <x:v>0</x:v>
      </x:c>
      <x:c r="Z147" s="2" t="str"/>
      <x:c r="AA147" s="2" t="n">
        <x:v>0</x:v>
      </x:c>
      <x:c r="AB147" s="8" t="str"/>
      <x:c r="AC147" s="8" t="str"/>
      <x:c r="AD147" s="8" t="str">
        <x:v>["draft-ko-missing"]</x:v>
      </x:c>
      <x:c r="AE147" s="8" t="str">
        <x:v>검토 필요</x:v>
      </x:c>
      <x:c r="AF147" s="8" t="str"/>
    </x:row>
    <x:row r="148">
      <x:c r="A148" s="10" t="n">
        <x:v>147</x:v>
      </x:c>
      <x:c r="B148" s="2" t="str">
        <x:v>1차 검토 후보</x:v>
      </x:c>
      <x:c r="C148" s="2" t="str">
        <x:v>저활용 제외 검토</x:v>
      </x:c>
      <x:c r="D148" s="2" t="str">
        <x:v>중간</x:v>
      </x:c>
      <x:c r="E148" s="2" t="str">
        <x:v>N1</x:v>
      </x:c>
      <x:c r="F148" s="10" t="n">
        <x:v>40</x:v>
      </x:c>
      <x:c r="G148" s="2" t="str">
        <x:v>w_f991eddfc128284f</x:v>
      </x:c>
      <x:c r="H148" s="2" t="str">
        <x:v>屎尿</x:v>
      </x:c>
      <x:c r="I148" s="2" t="str">
        <x:v>しにょう</x:v>
      </x:c>
      <x:c r="J148" s="8" t="str">
        <x:v>분뇨</x:v>
      </x:c>
      <x:c r="K148" s="2" t="str">
        <x:v>noun</x:v>
      </x:c>
      <x:c r="L148" s="9" t="n">
        <x:v>1.92</x:v>
      </x:c>
      <x:c r="M148" s="2" t="str">
        <x:v>없음</x:v>
      </x:c>
      <x:c r="N148" s="11" t="n">
        <x:v>49</x:v>
      </x:c>
      <x:c r="O148" s="8" t="str">
        <x:v>일반 사용 빈도 매우 낮음(Zipf ≤ 2.0); 검증된 예문 없음; JMdict 우선 어휘 표지 없음; 기존 데이터의 한국어 콘텐츠 보강 필요 태그</x:v>
      </x:c>
      <x:c r="P148" s="8" t="str">
        <x:v>frequency_le_2_0,no_example,no_jmdict_priority,weak_legacy_content</x:v>
      </x:c>
      <x:c r="Q148" s="2" t="str"/>
      <x:c r="R148" s="2" t="str"/>
      <x:c r="S148" s="2" t="str"/>
      <x:c r="T148" s="2" t="str"/>
      <x:c r="U148" s="2" t="str"/>
      <x:c r="V148" s="2" t="str">
        <x:v>아니오</x:v>
      </x:c>
      <x:c r="W148" s="2" t="str">
        <x:v>예</x:v>
      </x:c>
      <x:c r="X148" s="2" t="str"/>
      <x:c r="Y148" s="2" t="n">
        <x:v>0</x:v>
      </x:c>
      <x:c r="Z148" s="2" t="str"/>
      <x:c r="AA148" s="2" t="n">
        <x:v>0</x:v>
      </x:c>
      <x:c r="AB148" s="8" t="str"/>
      <x:c r="AC148" s="8" t="str"/>
      <x:c r="AD148" s="8" t="str">
        <x:v>["draft-ko-missing"]</x:v>
      </x:c>
      <x:c r="AE148" s="8" t="str">
        <x:v>검토 필요</x:v>
      </x:c>
      <x:c r="AF148" s="8" t="str"/>
    </x:row>
    <x:row r="149">
      <x:c r="A149" s="10" t="n">
        <x:v>148</x:v>
      </x:c>
      <x:c r="B149" s="2" t="str">
        <x:v>1차 검토 후보</x:v>
      </x:c>
      <x:c r="C149" s="2" t="str">
        <x:v>데이터 정규화 검토</x:v>
      </x:c>
      <x:c r="D149" s="2" t="str">
        <x:v>중간</x:v>
      </x:c>
      <x:c r="E149" s="2" t="str">
        <x:v>N1</x:v>
      </x:c>
      <x:c r="F149" s="10" t="n">
        <x:v>41</x:v>
      </x:c>
      <x:c r="G149" s="2" t="str">
        <x:v>w_e69fbb37694a99ab</x:v>
      </x:c>
      <x:c r="H149" s="2" t="str">
        <x:v>煌々と</x:v>
      </x:c>
      <x:c r="I149" s="2" t="str">
        <x:v>こうこうと</x:v>
      </x:c>
      <x:c r="J149" s="8" t="str">
        <x:v>환하게, 밝게</x:v>
      </x:c>
      <x:c r="K149" s="2" t="str">
        <x:v>noun</x:v>
      </x:c>
      <x:c r="L149" s="9" t="n">
        <x:v>1.94</x:v>
      </x:c>
      <x:c r="M149" s="2" t="str">
        <x:v>있음</x:v>
      </x:c>
      <x:c r="N149" s="11" t="n">
        <x:v>48</x:v>
      </x:c>
      <x:c r="O149" s="8" t="str">
        <x:v>일반 사용 빈도 매우 낮음(Zipf ≤ 2.0); 현재 표기+읽기 조합을 JMdict에서 확인하지 못함; JMdict 우선 어휘 표지 없음</x:v>
      </x:c>
      <x:c r="P149" s="8" t="str">
        <x:v>frequency_le_2_0,jmdict_exact_pair_not_found,no_jmdict_priority</x:v>
      </x:c>
      <x:c r="Q149" s="2" t="str"/>
      <x:c r="R149" s="2" t="str"/>
      <x:c r="S149" s="2" t="str"/>
      <x:c r="T149" s="2" t="str"/>
      <x:c r="U149" s="2" t="str"/>
      <x:c r="V149" s="2" t="str">
        <x:v>아니오</x:v>
      </x:c>
      <x:c r="W149" s="2" t="str">
        <x:v>아니오</x:v>
      </x:c>
      <x:c r="X149" s="2" t="str"/>
      <x:c r="Y149" s="2" t="n">
        <x:v>0</x:v>
      </x:c>
      <x:c r="Z149" s="2" t="str"/>
      <x:c r="AA149" s="2" t="n">
        <x:v>0</x:v>
      </x:c>
      <x:c r="AB149" s="8" t="str"/>
      <x:c r="AC149" s="8" t="str"/>
      <x:c r="AD149" s="8" t="str">
        <x:v>["ko-reviewed"]</x:v>
      </x:c>
      <x:c r="AE149" s="8" t="str">
        <x:v>검토 필요</x:v>
      </x:c>
      <x:c r="AF149" s="8" t="str"/>
    </x:row>
    <x:row r="150">
      <x:c r="A150" s="10" t="n">
        <x:v>149</x:v>
      </x:c>
      <x:c r="B150" s="2" t="str">
        <x:v>1차 검토 후보</x:v>
      </x:c>
      <x:c r="C150" s="2" t="str">
        <x:v>표기 교정·교체 검토</x:v>
      </x:c>
      <x:c r="D150" s="2" t="str">
        <x:v>중간</x:v>
      </x:c>
      <x:c r="E150" s="2" t="str">
        <x:v>N1</x:v>
      </x:c>
      <x:c r="F150" s="10" t="n">
        <x:v>42</x:v>
      </x:c>
      <x:c r="G150" s="2" t="str">
        <x:v>w_7212438dde477025</x:v>
      </x:c>
      <x:c r="H150" s="2" t="str">
        <x:v>完ぺき</x:v>
      </x:c>
      <x:c r="I150" s="2" t="str">
        <x:v>かんぺき</x:v>
      </x:c>
      <x:c r="J150" s="8" t="str">
        <x:v>완벽</x:v>
      </x:c>
      <x:c r="K150" s="2" t="str">
        <x:v>adjective</x:v>
      </x:c>
      <x:c r="L150" s="9" t="n">
        <x:v>2.51</x:v>
      </x:c>
      <x:c r="M150" s="2" t="str">
        <x:v>없음</x:v>
      </x:c>
      <x:c r="N150" s="11" t="n">
        <x:v>48</x:v>
      </x:c>
      <x:c r="O150" s="8" t="str">
        <x:v>일반 사용 빈도 낮은 편(Zipf ≤ 3.0); JMdict에서 희귀·비표준 표기로 표시; 검증된 예문 없음; 기존 데이터의 한국어 콘텐츠 보강 필요 태그</x:v>
      </x:c>
      <x:c r="P150" s="8" t="str">
        <x:v>frequency_le_3_0,jmdict_uncommon_or_irregular,no_example,weak_legacy_content</x:v>
      </x:c>
      <x:c r="Q150" s="2" t="str"/>
      <x:c r="R150" s="2" t="str"/>
      <x:c r="S150" s="2" t="str"/>
      <x:c r="T150" s="2" t="str"/>
      <x:c r="U150" s="2" t="str"/>
      <x:c r="V150" s="2" t="str">
        <x:v>아니오</x:v>
      </x:c>
      <x:c r="W150" s="2" t="str">
        <x:v>예</x:v>
      </x:c>
      <x:c r="X150" s="2" t="str">
        <x:v>ichi1</x:v>
      </x:c>
      <x:c r="Y150" s="2" t="n">
        <x:v>100</x:v>
      </x:c>
      <x:c r="Z150" s="2" t="str"/>
      <x:c r="AA150" s="2" t="n">
        <x:v>0</x:v>
      </x:c>
      <x:c r="AB150" s="8" t="str">
        <x:v>search-only kanji form</x:v>
      </x:c>
      <x:c r="AC150" s="8" t="str"/>
      <x:c r="AD150" s="8" t="str">
        <x:v>["draft-ko-missing"]</x:v>
      </x:c>
      <x:c r="AE150" s="8" t="str">
        <x:v>검토 필요</x:v>
      </x:c>
      <x:c r="AF150" s="8" t="str"/>
    </x:row>
    <x:row r="151">
      <x:c r="A151" s="10" t="n">
        <x:v>150</x:v>
      </x:c>
      <x:c r="B151" s="2" t="str">
        <x:v>1차 제외 추천</x:v>
      </x:c>
      <x:c r="C151" s="2" t="str">
        <x:v>중복 변형 제거 검토</x:v>
      </x:c>
      <x:c r="D151" s="2" t="str">
        <x:v>높음</x:v>
      </x:c>
      <x:c r="E151" s="2" t="str">
        <x:v>N1</x:v>
      </x:c>
      <x:c r="F151" s="10" t="n">
        <x:v>43</x:v>
      </x:c>
      <x:c r="G151" s="2" t="str">
        <x:v>w_5c52557ecb180f3d</x:v>
      </x:c>
      <x:c r="H151" s="2" t="str">
        <x:v>堪える</x:v>
      </x:c>
      <x:c r="I151" s="2" t="str">
        <x:v>たえる</x:v>
      </x:c>
      <x:c r="J151" s="8" t="str">
        <x:v>견디다, 참다</x:v>
      </x:c>
      <x:c r="K151" s="2" t="str">
        <x:v>verb</x:v>
      </x:c>
      <x:c r="L151" s="9" t="n">
        <x:v>3.03</x:v>
      </x:c>
      <x:c r="M151" s="2" t="str">
        <x:v>없음</x:v>
      </x:c>
      <x:c r="N151" s="11" t="n">
        <x:v>47</x:v>
      </x:c>
      <x:c r="O151" s="8" t="str">
        <x:v>일반 사용 빈도 보통 이하(Zipf ≤ 3.5); 검증된 예문 없음; 동일 JMdict 표제어의 표기·읽기 변형</x:v>
      </x:c>
      <x:c r="P151" s="8" t="str">
        <x:v>frequency_le_3_5,no_example,same_jmdict_entry</x:v>
      </x:c>
      <x:c r="Q151" s="2" t="str">
        <x:v>vg_061</x:v>
      </x:c>
      <x:c r="R151" s="2" t="str">
        <x:v>same_jmdict_entry</x:v>
      </x:c>
      <x:c r="S151" s="2" t="str">
        <x:v>w_65973e3dcc47994c</x:v>
      </x:c>
      <x:c r="T151" s="2" t="str">
        <x:v>耐える</x:v>
      </x:c>
      <x:c r="U151" s="2" t="str">
        <x:v>たえる</x:v>
      </x:c>
      <x:c r="V151" s="2" t="str">
        <x:v>예</x:v>
      </x:c>
      <x:c r="W151" s="2" t="str">
        <x:v>예</x:v>
      </x:c>
      <x:c r="X151" s="2" t="str">
        <x:v>ichi1,news1,nf11</x:v>
      </x:c>
      <x:c r="Y151" s="2" t="n">
        <x:v>100</x:v>
      </x:c>
      <x:c r="Z151" s="2" t="str">
        <x:v>ichi1</x:v>
      </x:c>
      <x:c r="AA151" s="2" t="n">
        <x:v>100</x:v>
      </x:c>
      <x:c r="AB151" s="8" t="str"/>
      <x:c r="AC151" s="8" t="str"/>
      <x:c r="AD151" s="8" t="str">
        <x:v>["ko-reviewed"]</x:v>
      </x:c>
      <x:c r="AE151" s="8" t="str">
        <x:v>검토 필요</x:v>
      </x:c>
      <x:c r="AF151" s="8" t="str"/>
    </x:row>
    <x:row r="152">
      <x:c r="A152" s="10" t="n">
        <x:v>151</x:v>
      </x:c>
      <x:c r="B152" s="2" t="str">
        <x:v>1차 제외 추천</x:v>
      </x:c>
      <x:c r="C152" s="2" t="str">
        <x:v>중복 변형 제거 검토</x:v>
      </x:c>
      <x:c r="D152" s="2" t="str">
        <x:v>높음</x:v>
      </x:c>
      <x:c r="E152" s="2" t="str">
        <x:v>N2</x:v>
      </x:c>
      <x:c r="F152" s="10" t="n">
        <x:v>70</x:v>
      </x:c>
      <x:c r="G152" s="2" t="str">
        <x:v>w_9d2f5c112f059ee4</x:v>
      </x:c>
      <x:c r="H152" s="2" t="str">
        <x:v>乗換</x:v>
      </x:c>
      <x:c r="I152" s="2" t="str">
        <x:v>のりかえ</x:v>
      </x:c>
      <x:c r="J152" s="8" t="str">
        <x:v>환승, 갈아탐</x:v>
      </x:c>
      <x:c r="K152" s="2" t="str">
        <x:v>noun</x:v>
      </x:c>
      <x:c r="L152" s="9" t="n">
        <x:v>3.13</x:v>
      </x:c>
      <x:c r="M152" s="2" t="str">
        <x:v>없음</x:v>
      </x:c>
      <x:c r="N152" s="11" t="n">
        <x:v>47</x:v>
      </x:c>
      <x:c r="O152" s="8" t="str">
        <x:v>일반 사용 빈도 보통 이하(Zipf ≤ 3.5); 검증된 예문 없음; 동일 JMdict 표제어의 표기·읽기 변형; 읽기와 한국어 뜻이 같은 표기 변형</x:v>
      </x:c>
      <x:c r="P152" s="8" t="str">
        <x:v>frequency_le_3_5,no_example,same_jmdict_entry,same_reading_meaning</x:v>
      </x:c>
      <x:c r="Q152" s="2" t="str">
        <x:v>vg_096</x:v>
      </x:c>
      <x:c r="R152" s="2" t="str">
        <x:v>same_jmdict_entry,same_reading_meaning</x:v>
      </x:c>
      <x:c r="S152" s="2" t="str">
        <x:v>w_fbd02e3a324e16c5</x:v>
      </x:c>
      <x:c r="T152" s="2" t="str">
        <x:v>乗り換え</x:v>
      </x:c>
      <x:c r="U152" s="2" t="str">
        <x:v>のりかえ</x:v>
      </x:c>
      <x:c r="V152" s="2" t="str">
        <x:v>아니오</x:v>
      </x:c>
      <x:c r="W152" s="2" t="str">
        <x:v>예</x:v>
      </x:c>
      <x:c r="X152" s="2" t="str">
        <x:v>ichi1,news1,nf20,spec1</x:v>
      </x:c>
      <x:c r="Y152" s="2" t="n">
        <x:v>100</x:v>
      </x:c>
      <x:c r="Z152" s="2" t="str">
        <x:v>spec1</x:v>
      </x:c>
      <x:c r="AA152" s="2" t="n">
        <x:v>100</x:v>
      </x:c>
      <x:c r="AB152" s="8" t="str"/>
      <x:c r="AC152" s="8" t="str"/>
      <x:c r="AD152" s="8" t="str">
        <x:v>["ko-reviewed"]</x:v>
      </x:c>
      <x:c r="AE152" s="8" t="str">
        <x:v>검토 필요</x:v>
      </x:c>
      <x:c r="AF152" s="8" t="str"/>
    </x:row>
    <x:row r="153">
      <x:c r="A153" s="10" t="n">
        <x:v>152</x:v>
      </x:c>
      <x:c r="B153" s="2" t="str">
        <x:v>1차 제외 추천</x:v>
      </x:c>
      <x:c r="C153" s="2" t="str">
        <x:v>중복 변형 제거 검토</x:v>
      </x:c>
      <x:c r="D153" s="2" t="str">
        <x:v>높음</x:v>
      </x:c>
      <x:c r="E153" s="2" t="str">
        <x:v>N2</x:v>
      </x:c>
      <x:c r="F153" s="10" t="n">
        <x:v>71</x:v>
      </x:c>
      <x:c r="G153" s="2" t="str">
        <x:v>w_a87c24076fd2ee62</x:v>
      </x:c>
      <x:c r="H153" s="2" t="str">
        <x:v>リポート</x:v>
      </x:c>
      <x:c r="I153" s="2" t="str">
        <x:v>リポート</x:v>
      </x:c>
      <x:c r="J153" s="8" t="str">
        <x:v>리포트, 보고서</x:v>
      </x:c>
      <x:c r="K153" s="2" t="str">
        <x:v>noun</x:v>
      </x:c>
      <x:c r="L153" s="9" t="n">
        <x:v>3.42</x:v>
      </x:c>
      <x:c r="M153" s="2" t="str">
        <x:v>없음</x:v>
      </x:c>
      <x:c r="N153" s="11" t="n">
        <x:v>47</x:v>
      </x:c>
      <x:c r="O153" s="8" t="str">
        <x:v>일반 사용 빈도 보통 이하(Zipf ≤ 3.5); 검증된 예문 없음; 동일 JMdict 표제어의 표기·읽기 변형</x:v>
      </x:c>
      <x:c r="P153" s="8" t="str">
        <x:v>frequency_le_3_5,no_example,same_jmdict_entry</x:v>
      </x:c>
      <x:c r="Q153" s="2" t="str">
        <x:v>vg_071</x:v>
      </x:c>
      <x:c r="R153" s="2" t="str">
        <x:v>same_jmdict_entry</x:v>
      </x:c>
      <x:c r="S153" s="2" t="str">
        <x:v>w_6adb23638ce7da0e</x:v>
      </x:c>
      <x:c r="T153" s="2" t="str">
        <x:v>レポート</x:v>
      </x:c>
      <x:c r="U153" s="2" t="str">
        <x:v>レポート</x:v>
      </x:c>
      <x:c r="V153" s="2" t="str">
        <x:v>예</x:v>
      </x:c>
      <x:c r="W153" s="2" t="str">
        <x:v>예</x:v>
      </x:c>
      <x:c r="X153" s="2" t="str">
        <x:v>gai1,ichi1</x:v>
      </x:c>
      <x:c r="Y153" s="2" t="n">
        <x:v>100</x:v>
      </x:c>
      <x:c r="Z153" s="2" t="str">
        <x:v>gai1,ichi1</x:v>
      </x:c>
      <x:c r="AA153" s="2" t="n">
        <x:v>100</x:v>
      </x:c>
      <x:c r="AB153" s="8" t="str"/>
      <x:c r="AC153" s="8" t="str"/>
      <x:c r="AD153" s="8" t="str">
        <x:v>["backfill-replacement","assistant-ko-reviewed"]</x:v>
      </x:c>
      <x:c r="AE153" s="8" t="str">
        <x:v>검토 필요</x:v>
      </x:c>
      <x:c r="AF153" s="8" t="str"/>
    </x:row>
    <x:row r="154">
      <x:c r="A154" s="10" t="n">
        <x:v>153</x:v>
      </x:c>
      <x:c r="B154" s="2" t="str">
        <x:v>1차 제외 추천</x:v>
      </x:c>
      <x:c r="C154" s="2" t="str">
        <x:v>중복 변형 제거 검토</x:v>
      </x:c>
      <x:c r="D154" s="2" t="str">
        <x:v>높음</x:v>
      </x:c>
      <x:c r="E154" s="2" t="str">
        <x:v>N3</x:v>
      </x:c>
      <x:c r="F154" s="10" t="n">
        <x:v>21</x:v>
      </x:c>
      <x:c r="G154" s="2" t="str">
        <x:v>w_e1e5d18b1acfa419</x:v>
      </x:c>
      <x:c r="H154" s="2" t="str">
        <x:v>堅い</x:v>
      </x:c>
      <x:c r="I154" s="2" t="str">
        <x:v>かたい</x:v>
      </x:c>
      <x:c r="J154" s="8" t="str">
        <x:v>단단하다, 딱딱하다</x:v>
      </x:c>
      <x:c r="K154" s="2" t="str">
        <x:v>adjective</x:v>
      </x:c>
      <x:c r="L154" s="9" t="n">
        <x:v>3.51</x:v>
      </x:c>
      <x:c r="M154" s="2" t="str">
        <x:v>없음</x:v>
      </x:c>
      <x:c r="N154" s="11" t="n">
        <x:v>46</x:v>
      </x:c>
      <x:c r="O154" s="8" t="str">
        <x:v>검증된 예문 없음; 동일 JMdict 표제어의 표기·읽기 변형; 읽기와 한국어 뜻이 같은 표기 변형; 기존 데이터의 한국어 콘텐츠 보강 필요 태그</x:v>
      </x:c>
      <x:c r="P154" s="8" t="str">
        <x:v>no_example,same_jmdict_entry,same_reading_meaning,weak_legacy_content</x:v>
      </x:c>
      <x:c r="Q154" s="2" t="str">
        <x:v>vg_014</x:v>
      </x:c>
      <x:c r="R154" s="2" t="str">
        <x:v>same_jmdict_entry,same_reading_meaning</x:v>
      </x:c>
      <x:c r="S154" s="2" t="str">
        <x:v>w_7400af29ea55cfe6</x:v>
      </x:c>
      <x:c r="T154" s="2" t="str">
        <x:v>固い</x:v>
      </x:c>
      <x:c r="U154" s="2" t="str">
        <x:v>かたい</x:v>
      </x:c>
      <x:c r="V154" s="2" t="str">
        <x:v>예</x:v>
      </x:c>
      <x:c r="W154" s="2" t="str">
        <x:v>예</x:v>
      </x:c>
      <x:c r="X154" s="2" t="str">
        <x:v>ichi1,news2,nf29,nf33,nf46</x:v>
      </x:c>
      <x:c r="Y154" s="2" t="n">
        <x:v>100</x:v>
      </x:c>
      <x:c r="Z154" s="2" t="str">
        <x:v>ichi1,news2,nf29</x:v>
      </x:c>
      <x:c r="AA154" s="2" t="n">
        <x:v>100</x:v>
      </x:c>
      <x:c r="AB154" s="8" t="str">
        <x:v>esp. 固い and 堅い for wood, 硬い for metal and stone</x:v>
      </x:c>
      <x:c r="AC154" s="8" t="str"/>
      <x:c r="AD154" s="8" t="str">
        <x:v>["draft-ko-missing"]</x:v>
      </x:c>
      <x:c r="AE154" s="8" t="str">
        <x:v>검토 필요</x:v>
      </x:c>
      <x:c r="AF154" s="8" t="str"/>
    </x:row>
    <x:row r="155">
      <x:c r="A155" s="10" t="n">
        <x:v>154</x:v>
      </x:c>
      <x:c r="B155" s="2" t="str">
        <x:v>1차 검토 후보</x:v>
      </x:c>
      <x:c r="C155" s="2" t="str">
        <x:v>중복 변형 제거 검토</x:v>
      </x:c>
      <x:c r="D155" s="2" t="str">
        <x:v>중간</x:v>
      </x:c>
      <x:c r="E155" s="2" t="str">
        <x:v>N2</x:v>
      </x:c>
      <x:c r="F155" s="10" t="n">
        <x:v>72</x:v>
      </x:c>
      <x:c r="G155" s="2" t="str">
        <x:v>w_188378c15d9c641d</x:v>
      </x:c>
      <x:c r="H155" s="2" t="str">
        <x:v>伯父</x:v>
      </x:c>
      <x:c r="I155" s="2" t="str">
        <x:v>おじ</x:v>
      </x:c>
      <x:c r="J155" s="8" t="str">
        <x:v>큰아버지, 백부</x:v>
      </x:c>
      <x:c r="K155" s="2" t="str">
        <x:v>noun</x:v>
      </x:c>
      <x:c r="L155" s="9" t="n">
        <x:v>3.51</x:v>
      </x:c>
      <x:c r="M155" s="2" t="str">
        <x:v>없음</x:v>
      </x:c>
      <x:c r="N155" s="11" t="n">
        <x:v>46</x:v>
      </x:c>
      <x:c r="O155" s="8" t="str">
        <x:v>검증된 예문 없음; 동일 JMdict 표제어의 표기·읽기 변형; 기존 데이터의 한국어 콘텐츠 보강 필요 태그</x:v>
      </x:c>
      <x:c r="P155" s="8" t="str">
        <x:v>no_example,same_jmdict_entry,weak_legacy_content</x:v>
      </x:c>
      <x:c r="Q155" s="2" t="str">
        <x:v>vg_026</x:v>
      </x:c>
      <x:c r="R155" s="2" t="str">
        <x:v>same_jmdict_entry</x:v>
      </x:c>
      <x:c r="S155" s="2" t="str">
        <x:v>w_713aaa51e13cbeed</x:v>
      </x:c>
      <x:c r="T155" s="2" t="str">
        <x:v>叔父</x:v>
      </x:c>
      <x:c r="U155" s="2" t="str">
        <x:v>おじ</x:v>
      </x:c>
      <x:c r="V155" s="2" t="str">
        <x:v>아니오</x:v>
      </x:c>
      <x:c r="W155" s="2" t="str">
        <x:v>예</x:v>
      </x:c>
      <x:c r="X155" s="2" t="str">
        <x:v>ichi1,news1,nf16,nf23</x:v>
      </x:c>
      <x:c r="Y155" s="2" t="n">
        <x:v>100</x:v>
      </x:c>
      <x:c r="Z155" s="2" t="str">
        <x:v>ichi1,news1,nf23</x:v>
      </x:c>
      <x:c r="AA155" s="2" t="n">
        <x:v>100</x:v>
      </x:c>
      <x:c r="AB155" s="8" t="str">
        <x:v>伯父 or 叔父 respectively can mean older or younger than one's parent</x:v>
      </x:c>
      <x:c r="AC155" s="8" t="str"/>
      <x:c r="AD155" s="8" t="str">
        <x:v>["draft-ko-missing"]</x:v>
      </x:c>
      <x:c r="AE155" s="8" t="str">
        <x:v>검토 필요</x:v>
      </x:c>
      <x:c r="AF155" s="8" t="str"/>
    </x:row>
    <x:row r="156">
      <x:c r="A156" s="10" t="n">
        <x:v>155</x:v>
      </x:c>
      <x:c r="B156" s="2" t="str">
        <x:v>1차 검토 후보</x:v>
      </x:c>
      <x:c r="C156" s="2" t="str">
        <x:v>중복 변형 제거 검토</x:v>
      </x:c>
      <x:c r="D156" s="2" t="str">
        <x:v>중간</x:v>
      </x:c>
      <x:c r="E156" s="2" t="str">
        <x:v>N2</x:v>
      </x:c>
      <x:c r="F156" s="10" t="n">
        <x:v>73</x:v>
      </x:c>
      <x:c r="G156" s="2" t="str">
        <x:v>w_33687b5b97477220</x:v>
      </x:c>
      <x:c r="H156" s="2" t="str">
        <x:v>一昨日</x:v>
      </x:c>
      <x:c r="I156" s="2" t="str">
        <x:v>いっさくじつ</x:v>
      </x:c>
      <x:c r="J156" s="8" t="str">
        <x:v>그저께</x:v>
      </x:c>
      <x:c r="K156" s="2" t="str">
        <x:v>noun</x:v>
      </x:c>
      <x:c r="L156" s="9" t="n">
        <x:v>3.64</x:v>
      </x:c>
      <x:c r="M156" s="2" t="str">
        <x:v>없음</x:v>
      </x:c>
      <x:c r="N156" s="11" t="n">
        <x:v>46</x:v>
      </x:c>
      <x:c r="O156" s="8" t="str">
        <x:v>검증된 예문 없음; 동일 JMdict 표제어의 표기·읽기 변형; 기존 데이터의 한국어 콘텐츠 보강 필요 태그</x:v>
      </x:c>
      <x:c r="P156" s="8" t="str">
        <x:v>no_example,same_jmdict_entry,weak_legacy_content</x:v>
      </x:c>
      <x:c r="Q156" s="2" t="str">
        <x:v>vg_013</x:v>
      </x:c>
      <x:c r="R156" s="2" t="str">
        <x:v>same_jmdict_entry</x:v>
      </x:c>
      <x:c r="S156" s="2" t="str">
        <x:v>w_08414fa5796dc2f4</x:v>
      </x:c>
      <x:c r="T156" s="2" t="str">
        <x:v>一昨日</x:v>
      </x:c>
      <x:c r="U156" s="2" t="str">
        <x:v>おととい</x:v>
      </x:c>
      <x:c r="V156" s="2" t="str">
        <x:v>아니오</x:v>
      </x:c>
      <x:c r="W156" s="2" t="str">
        <x:v>예</x:v>
      </x:c>
      <x:c r="X156" s="2" t="str">
        <x:v>ichi1,news2,nf40</x:v>
      </x:c>
      <x:c r="Y156" s="2" t="n">
        <x:v>100</x:v>
      </x:c>
      <x:c r="Z156" s="2" t="str">
        <x:v>ichi1,news2,nf40</x:v>
      </x:c>
      <x:c r="AA156" s="2" t="n">
        <x:v>100</x:v>
      </x:c>
      <x:c r="AB156" s="8" t="str"/>
      <x:c r="AC156" s="8" t="str"/>
      <x:c r="AD156" s="8" t="str">
        <x:v>["draft-ko-missing"]</x:v>
      </x:c>
      <x:c r="AE156" s="8" t="str">
        <x:v>검토 필요</x:v>
      </x:c>
      <x:c r="AF156" s="8" t="str"/>
    </x:row>
    <x:row r="157">
      <x:c r="A157" s="10" t="n">
        <x:v>156</x:v>
      </x:c>
      <x:c r="B157" s="2" t="str">
        <x:v>1차 검토 후보</x:v>
      </x:c>
      <x:c r="C157" s="2" t="str">
        <x:v>중복 변형 제거 검토</x:v>
      </x:c>
      <x:c r="D157" s="2" t="str">
        <x:v>중간</x:v>
      </x:c>
      <x:c r="E157" s="2" t="str">
        <x:v>N3</x:v>
      </x:c>
      <x:c r="F157" s="10" t="n">
        <x:v>22</x:v>
      </x:c>
      <x:c r="G157" s="2" t="str">
        <x:v>w_b4b5fbd14fb214b4</x:v>
      </x:c>
      <x:c r="H157" s="2" t="str">
        <x:v>明後日</x:v>
      </x:c>
      <x:c r="I157" s="2" t="str">
        <x:v>みょうごにち</x:v>
      </x:c>
      <x:c r="J157" s="8" t="str">
        <x:v>모레</x:v>
      </x:c>
      <x:c r="K157" s="2" t="str">
        <x:v>noun</x:v>
      </x:c>
      <x:c r="L157" s="9" t="n">
        <x:v>3.65</x:v>
      </x:c>
      <x:c r="M157" s="2" t="str">
        <x:v>없음</x:v>
      </x:c>
      <x:c r="N157" s="11" t="n">
        <x:v>46</x:v>
      </x:c>
      <x:c r="O157" s="8" t="str">
        <x:v>검증된 예문 없음; 동일 JMdict 표제어의 표기·읽기 변형; 기존 데이터의 한국어 콘텐츠 보강 필요 태그</x:v>
      </x:c>
      <x:c r="P157" s="8" t="str">
        <x:v>no_example,same_jmdict_entry,weak_legacy_content</x:v>
      </x:c>
      <x:c r="Q157" s="2" t="str">
        <x:v>vg_076</x:v>
      </x:c>
      <x:c r="R157" s="2" t="str">
        <x:v>same_jmdict_entry</x:v>
      </x:c>
      <x:c r="S157" s="2" t="str">
        <x:v>w_72e7af00c727acea</x:v>
      </x:c>
      <x:c r="T157" s="2" t="str">
        <x:v>明後日</x:v>
      </x:c>
      <x:c r="U157" s="2" t="str">
        <x:v>あさって</x:v>
      </x:c>
      <x:c r="V157" s="2" t="str">
        <x:v>아니오</x:v>
      </x:c>
      <x:c r="W157" s="2" t="str">
        <x:v>예</x:v>
      </x:c>
      <x:c r="X157" s="2" t="str">
        <x:v>ichi1</x:v>
      </x:c>
      <x:c r="Y157" s="2" t="n">
        <x:v>100</x:v>
      </x:c>
      <x:c r="Z157" s="2" t="str">
        <x:v>ichi1</x:v>
      </x:c>
      <x:c r="AA157" s="2" t="n">
        <x:v>100</x:v>
      </x:c>
      <x:c r="AB157" s="8" t="str"/>
      <x:c r="AC157" s="8" t="str"/>
      <x:c r="AD157" s="8" t="str">
        <x:v>["draft-ko-missing"]</x:v>
      </x:c>
      <x:c r="AE157" s="8" t="str">
        <x:v>검토 필요</x:v>
      </x:c>
      <x:c r="AF157" s="8" t="str"/>
    </x:row>
    <x:row r="158">
      <x:c r="A158" s="10" t="n">
        <x:v>157</x:v>
      </x:c>
      <x:c r="B158" s="2" t="str">
        <x:v>1차 검토 후보</x:v>
      </x:c>
      <x:c r="C158" s="2" t="str">
        <x:v>중복 변형 제거 검토</x:v>
      </x:c>
      <x:c r="D158" s="2" t="str">
        <x:v>중간</x:v>
      </x:c>
      <x:c r="E158" s="2" t="str">
        <x:v>N1</x:v>
      </x:c>
      <x:c r="F158" s="10" t="n">
        <x:v>44</x:v>
      </x:c>
      <x:c r="G158" s="2" t="str">
        <x:v>w_644a64eebc47bfe9</x:v>
      </x:c>
      <x:c r="H158" s="2" t="str">
        <x:v>情緒</x:v>
      </x:c>
      <x:c r="I158" s="2" t="str">
        <x:v>じょうしょ</x:v>
      </x:c>
      <x:c r="J158" s="8" t="str">
        <x:v>정서, 감정</x:v>
      </x:c>
      <x:c r="K158" s="2" t="str">
        <x:v>noun</x:v>
      </x:c>
      <x:c r="L158" s="9" t="n">
        <x:v>3.65</x:v>
      </x:c>
      <x:c r="M158" s="2" t="str">
        <x:v>없음</x:v>
      </x:c>
      <x:c r="N158" s="11" t="n">
        <x:v>46</x:v>
      </x:c>
      <x:c r="O158" s="8" t="str">
        <x:v>검증된 예문 없음; 동일 JMdict 표제어의 표기·읽기 변형; 기존 데이터의 한국어 콘텐츠 보강 필요 태그</x:v>
      </x:c>
      <x:c r="P158" s="8" t="str">
        <x:v>no_example,same_jmdict_entry,weak_legacy_content</x:v>
      </x:c>
      <x:c r="Q158" s="2" t="str">
        <x:v>vg_065</x:v>
      </x:c>
      <x:c r="R158" s="2" t="str">
        <x:v>same_jmdict_entry</x:v>
      </x:c>
      <x:c r="S158" s="2" t="str">
        <x:v>w_7af945b0ed6afe32</x:v>
      </x:c>
      <x:c r="T158" s="2" t="str">
        <x:v>情緒</x:v>
      </x:c>
      <x:c r="U158" s="2" t="str">
        <x:v>じょうちょ</x:v>
      </x:c>
      <x:c r="V158" s="2" t="str">
        <x:v>아니오</x:v>
      </x:c>
      <x:c r="W158" s="2" t="str">
        <x:v>예</x:v>
      </x:c>
      <x:c r="X158" s="2" t="str">
        <x:v>ichi1,news1,nf14</x:v>
      </x:c>
      <x:c r="Y158" s="2" t="n">
        <x:v>100</x:v>
      </x:c>
      <x:c r="Z158" s="2" t="str">
        <x:v>ichi1,news1,nf14</x:v>
      </x:c>
      <x:c r="AA158" s="2" t="n">
        <x:v>100</x:v>
      </x:c>
      <x:c r="AB158" s="8" t="str"/>
      <x:c r="AC158" s="8" t="str"/>
      <x:c r="AD158" s="8" t="str">
        <x:v>["draft-ko-missing"]</x:v>
      </x:c>
      <x:c r="AE158" s="8" t="str">
        <x:v>검토 필요</x:v>
      </x:c>
      <x:c r="AF158" s="8" t="str"/>
    </x:row>
    <x:row r="159">
      <x:c r="A159" s="10" t="n">
        <x:v>158</x:v>
      </x:c>
      <x:c r="B159" s="2" t="str">
        <x:v>1차 검토 후보</x:v>
      </x:c>
      <x:c r="C159" s="2" t="str">
        <x:v>중복 변형 제거 검토</x:v>
      </x:c>
      <x:c r="D159" s="2" t="str">
        <x:v>중간</x:v>
      </x:c>
      <x:c r="E159" s="2" t="str">
        <x:v>N1</x:v>
      </x:c>
      <x:c r="F159" s="10" t="n">
        <x:v>45</x:v>
      </x:c>
      <x:c r="G159" s="2" t="str">
        <x:v>w_09e23b6f9018545a</x:v>
      </x:c>
      <x:c r="H159" s="2" t="str">
        <x:v>早急</x:v>
      </x:c>
      <x:c r="I159" s="2" t="str">
        <x:v>さっきゅう</x:v>
      </x:c>
      <x:c r="J159" s="8" t="str">
        <x:v>긴급한</x:v>
      </x:c>
      <x:c r="K159" s="2" t="str">
        <x:v>adjective</x:v>
      </x:c>
      <x:c r="L159" s="9" t="n">
        <x:v>3.68</x:v>
      </x:c>
      <x:c r="M159" s="2" t="str">
        <x:v>없음</x:v>
      </x:c>
      <x:c r="N159" s="11" t="n">
        <x:v>46</x:v>
      </x:c>
      <x:c r="O159" s="8" t="str">
        <x:v>검증된 예문 없음; 동일 JMdict 표제어의 표기·읽기 변형; 기존 데이터의 한국어 콘텐츠 보강 필요 태그</x:v>
      </x:c>
      <x:c r="P159" s="8" t="str">
        <x:v>no_example,same_jmdict_entry,weak_legacy_content</x:v>
      </x:c>
      <x:c r="Q159" s="2" t="str">
        <x:v>vg_016</x:v>
      </x:c>
      <x:c r="R159" s="2" t="str">
        <x:v>same_jmdict_entry</x:v>
      </x:c>
      <x:c r="S159" s="2" t="str">
        <x:v>w_1ef4822a952c095f</x:v>
      </x:c>
      <x:c r="T159" s="2" t="str">
        <x:v>早急</x:v>
      </x:c>
      <x:c r="U159" s="2" t="str">
        <x:v>そうきゅう</x:v>
      </x:c>
      <x:c r="V159" s="2" t="str">
        <x:v>아니오</x:v>
      </x:c>
      <x:c r="W159" s="2" t="str">
        <x:v>예</x:v>
      </x:c>
      <x:c r="X159" s="2" t="str">
        <x:v>news1,nf04</x:v>
      </x:c>
      <x:c r="Y159" s="2" t="n">
        <x:v>100</x:v>
      </x:c>
      <x:c r="Z159" s="2" t="str">
        <x:v>news1,nf04</x:v>
      </x:c>
      <x:c r="AA159" s="2" t="n">
        <x:v>100</x:v>
      </x:c>
      <x:c r="AB159" s="8" t="str"/>
      <x:c r="AC159" s="8" t="str"/>
      <x:c r="AD159" s="8" t="str">
        <x:v>["draft-ko-missing"]</x:v>
      </x:c>
      <x:c r="AE159" s="8" t="str">
        <x:v>검토 필요</x:v>
      </x:c>
      <x:c r="AF159" s="8" t="str"/>
    </x:row>
    <x:row r="160">
      <x:c r="A160" s="10" t="n">
        <x:v>159</x:v>
      </x:c>
      <x:c r="B160" s="2" t="str">
        <x:v>1차 검토 후보</x:v>
      </x:c>
      <x:c r="C160" s="2" t="str">
        <x:v>중복 변형 제거 검토</x:v>
      </x:c>
      <x:c r="D160" s="2" t="str">
        <x:v>중간</x:v>
      </x:c>
      <x:c r="E160" s="2" t="str">
        <x:v>N1</x:v>
      </x:c>
      <x:c r="F160" s="10" t="n">
        <x:v>46</x:v>
      </x:c>
      <x:c r="G160" s="2" t="str">
        <x:v>w_4105198a2afd7a92</x:v>
      </x:c>
      <x:c r="H160" s="2" t="str">
        <x:v>執着</x:v>
      </x:c>
      <x:c r="I160" s="2" t="str">
        <x:v>しゅうじゃく</x:v>
      </x:c>
      <x:c r="J160" s="8" t="str">
        <x:v>집착</x:v>
      </x:c>
      <x:c r="K160" s="2" t="str">
        <x:v>noun</x:v>
      </x:c>
      <x:c r="L160" s="9" t="n">
        <x:v>3.69</x:v>
      </x:c>
      <x:c r="M160" s="2" t="str">
        <x:v>없음</x:v>
      </x:c>
      <x:c r="N160" s="11" t="n">
        <x:v>46</x:v>
      </x:c>
      <x:c r="O160" s="8" t="str">
        <x:v>검증된 예문 없음; 동일 JMdict 표제어의 표기·읽기 변형; 기존 데이터의 한국어 콘텐츠 보강 필요 태그</x:v>
      </x:c>
      <x:c r="P160" s="8" t="str">
        <x:v>no_example,same_jmdict_entry,weak_legacy_content</x:v>
      </x:c>
      <x:c r="Q160" s="2" t="str">
        <x:v>vg_043</x:v>
      </x:c>
      <x:c r="R160" s="2" t="str">
        <x:v>same_jmdict_entry</x:v>
      </x:c>
      <x:c r="S160" s="2" t="str">
        <x:v>w_6febdabe19861b63</x:v>
      </x:c>
      <x:c r="T160" s="2" t="str">
        <x:v>執着</x:v>
      </x:c>
      <x:c r="U160" s="2" t="str">
        <x:v>しゅうちゃく</x:v>
      </x:c>
      <x:c r="V160" s="2" t="str">
        <x:v>아니오</x:v>
      </x:c>
      <x:c r="W160" s="2" t="str">
        <x:v>예</x:v>
      </x:c>
      <x:c r="X160" s="2" t="str">
        <x:v>ichi1,news1,nf22</x:v>
      </x:c>
      <x:c r="Y160" s="2" t="n">
        <x:v>100</x:v>
      </x:c>
      <x:c r="Z160" s="2" t="str">
        <x:v>ichi1,news1,nf22</x:v>
      </x:c>
      <x:c r="AA160" s="2" t="n">
        <x:v>100</x:v>
      </x:c>
      <x:c r="AB160" s="8" t="str"/>
      <x:c r="AC160" s="8" t="str"/>
      <x:c r="AD160" s="8" t="str">
        <x:v>["draft-ko-missing"]</x:v>
      </x:c>
      <x:c r="AE160" s="8" t="str">
        <x:v>검토 필요</x:v>
      </x:c>
      <x:c r="AF160" s="8" t="str"/>
    </x:row>
    <x:row r="161">
      <x:c r="A161" s="10" t="n">
        <x:v>160</x:v>
      </x:c>
      <x:c r="B161" s="2" t="str">
        <x:v>1차 제외 추천</x:v>
      </x:c>
      <x:c r="C161" s="2" t="str">
        <x:v>중복 변형 제거 검토</x:v>
      </x:c>
      <x:c r="D161" s="2" t="str">
        <x:v>높음</x:v>
      </x:c>
      <x:c r="E161" s="2" t="str">
        <x:v>N3</x:v>
      </x:c>
      <x:c r="F161" s="10" t="n">
        <x:v>23</x:v>
      </x:c>
      <x:c r="G161" s="2" t="str">
        <x:v>w_4d9b92d2f4de3583</x:v>
      </x:c>
      <x:c r="H161" s="2" t="str">
        <x:v>清む</x:v>
      </x:c>
      <x:c r="I161" s="2" t="str">
        <x:v>すむ</x:v>
      </x:c>
      <x:c r="J161" s="8" t="str">
        <x:v>분명한, 맑은(날씨), 되다 투명한</x:v>
      </x:c>
      <x:c r="K161" s="2" t="str">
        <x:v>verb</x:v>
      </x:c>
      <x:c r="L161" s="9" t="n">
        <x:v>3.83</x:v>
      </x:c>
      <x:c r="M161" s="2" t="str">
        <x:v>없음</x:v>
      </x:c>
      <x:c r="N161" s="11" t="n">
        <x:v>46</x:v>
      </x:c>
      <x:c r="O161" s="8" t="str">
        <x:v>검증된 예문 없음; 동일 JMdict 표제어의 표기·읽기 변형; 읽기와 한국어 뜻이 같은 표기 변형; 기존 데이터의 한국어 콘텐츠 보강 필요 태그</x:v>
      </x:c>
      <x:c r="P161" s="8" t="str">
        <x:v>no_example,same_jmdict_entry,same_reading_meaning,weak_legacy_content</x:v>
      </x:c>
      <x:c r="Q161" s="2" t="str">
        <x:v>vg_011</x:v>
      </x:c>
      <x:c r="R161" s="2" t="str">
        <x:v>same_jmdict_entry,same_reading_meaning</x:v>
      </x:c>
      <x:c r="S161" s="2" t="str">
        <x:v>w_0787d4f6eb05df72</x:v>
      </x:c>
      <x:c r="T161" s="2" t="str">
        <x:v>澄む</x:v>
      </x:c>
      <x:c r="U161" s="2" t="str">
        <x:v>すむ</x:v>
      </x:c>
      <x:c r="V161" s="2" t="str">
        <x:v>아니오</x:v>
      </x:c>
      <x:c r="W161" s="2" t="str">
        <x:v>예</x:v>
      </x:c>
      <x:c r="X161" s="2" t="str">
        <x:v>ichi1,news2,nf39</x:v>
      </x:c>
      <x:c r="Y161" s="2" t="n">
        <x:v>100</x:v>
      </x:c>
      <x:c r="Z161" s="2" t="str"/>
      <x:c r="AA161" s="2" t="n">
        <x:v>0</x:v>
      </x:c>
      <x:c r="AB161" s="8" t="str"/>
      <x:c r="AC161" s="8" t="str"/>
      <x:c r="AD161" s="8" t="str">
        <x:v>["draft-ko-missing"]</x:v>
      </x:c>
      <x:c r="AE161" s="8" t="str">
        <x:v>검토 필요</x:v>
      </x:c>
      <x:c r="AF161" s="8" t="str"/>
    </x:row>
    <x:row r="162">
      <x:c r="A162" s="10" t="n">
        <x:v>161</x:v>
      </x:c>
      <x:c r="B162" s="2" t="str">
        <x:v>1차 검토 후보</x:v>
      </x:c>
      <x:c r="C162" s="2" t="str">
        <x:v>중복 변형 제거 검토</x:v>
      </x:c>
      <x:c r="D162" s="2" t="str">
        <x:v>중간</x:v>
      </x:c>
      <x:c r="E162" s="2" t="str">
        <x:v>N1</x:v>
      </x:c>
      <x:c r="F162" s="10" t="n">
        <x:v>47</x:v>
      </x:c>
      <x:c r="G162" s="2" t="str">
        <x:v>w_c3f7e5d635243522</x:v>
      </x:c>
      <x:c r="H162" s="2" t="str">
        <x:v>出生</x:v>
      </x:c>
      <x:c r="I162" s="2" t="str">
        <x:v>しゅっしょう</x:v>
      </x:c>
      <x:c r="J162" s="8" t="str">
        <x:v>출생</x:v>
      </x:c>
      <x:c r="K162" s="2" t="str">
        <x:v>noun</x:v>
      </x:c>
      <x:c r="L162" s="9" t="n">
        <x:v>3.83</x:v>
      </x:c>
      <x:c r="M162" s="2" t="str">
        <x:v>없음</x:v>
      </x:c>
      <x:c r="N162" s="11" t="n">
        <x:v>46</x:v>
      </x:c>
      <x:c r="O162" s="8" t="str">
        <x:v>검증된 예문 없음; 동일 JMdict 표제어의 표기·읽기 변형; 기존 데이터의 한국어 콘텐츠 보강 필요 태그</x:v>
      </x:c>
      <x:c r="P162" s="8" t="str">
        <x:v>no_example,same_jmdict_entry,weak_legacy_content</x:v>
      </x:c>
      <x:c r="Q162" s="2" t="str">
        <x:v>vg_107</x:v>
      </x:c>
      <x:c r="R162" s="2" t="str">
        <x:v>same_jmdict_entry</x:v>
      </x:c>
      <x:c r="S162" s="2" t="str">
        <x:v>w_dc5c65175e51fda2</x:v>
      </x:c>
      <x:c r="T162" s="2" t="str">
        <x:v>出生</x:v>
      </x:c>
      <x:c r="U162" s="2" t="str">
        <x:v>しゅっせい</x:v>
      </x:c>
      <x:c r="V162" s="2" t="str">
        <x:v>아니오</x:v>
      </x:c>
      <x:c r="W162" s="2" t="str">
        <x:v>예</x:v>
      </x:c>
      <x:c r="X162" s="2" t="str">
        <x:v>ichi1,news1,nf06</x:v>
      </x:c>
      <x:c r="Y162" s="2" t="n">
        <x:v>100</x:v>
      </x:c>
      <x:c r="Z162" s="2" t="str">
        <x:v>ichi1,news1,nf06</x:v>
      </x:c>
      <x:c r="AA162" s="2" t="n">
        <x:v>100</x:v>
      </x:c>
      <x:c r="AB162" s="8" t="str"/>
      <x:c r="AC162" s="8" t="str"/>
      <x:c r="AD162" s="8" t="str">
        <x:v>["draft-ko-missing"]</x:v>
      </x:c>
      <x:c r="AE162" s="8" t="str">
        <x:v>검토 필요</x:v>
      </x:c>
      <x:c r="AF162" s="8" t="str"/>
    </x:row>
    <x:row r="163">
      <x:c r="A163" s="10" t="n">
        <x:v>162</x:v>
      </x:c>
      <x:c r="B163" s="2" t="str">
        <x:v>1차 제외 추천</x:v>
      </x:c>
      <x:c r="C163" s="2" t="str">
        <x:v>중복 변형 제거 검토</x:v>
      </x:c>
      <x:c r="D163" s="2" t="str">
        <x:v>높음</x:v>
      </x:c>
      <x:c r="E163" s="2" t="str">
        <x:v>N3</x:v>
      </x:c>
      <x:c r="F163" s="10" t="n">
        <x:v>24</x:v>
      </x:c>
      <x:c r="G163" s="2" t="str">
        <x:v>w_08fb3f57661da121</x:v>
      </x:c>
      <x:c r="H163" s="2" t="str">
        <x:v>硬い</x:v>
      </x:c>
      <x:c r="I163" s="2" t="str">
        <x:v>かたい</x:v>
      </x:c>
      <x:c r="J163" s="8" t="str">
        <x:v>단단하다, 딱딱하다</x:v>
      </x:c>
      <x:c r="K163" s="2" t="str">
        <x:v>adjective</x:v>
      </x:c>
      <x:c r="L163" s="9" t="n">
        <x:v>3.84</x:v>
      </x:c>
      <x:c r="M163" s="2" t="str">
        <x:v>없음</x:v>
      </x:c>
      <x:c r="N163" s="11" t="n">
        <x:v>46</x:v>
      </x:c>
      <x:c r="O163" s="8" t="str">
        <x:v>검증된 예문 없음; 동일 JMdict 표제어의 표기·읽기 변형; 읽기와 한국어 뜻이 같은 표기 변형; 기존 데이터의 한국어 콘텐츠 보강 필요 태그</x:v>
      </x:c>
      <x:c r="P163" s="8" t="str">
        <x:v>no_example,same_jmdict_entry,same_reading_meaning,weak_legacy_content</x:v>
      </x:c>
      <x:c r="Q163" s="2" t="str">
        <x:v>vg_014</x:v>
      </x:c>
      <x:c r="R163" s="2" t="str">
        <x:v>same_jmdict_entry,same_reading_meaning</x:v>
      </x:c>
      <x:c r="S163" s="2" t="str">
        <x:v>w_7400af29ea55cfe6</x:v>
      </x:c>
      <x:c r="T163" s="2" t="str">
        <x:v>固い</x:v>
      </x:c>
      <x:c r="U163" s="2" t="str">
        <x:v>かたい</x:v>
      </x:c>
      <x:c r="V163" s="2" t="str">
        <x:v>예</x:v>
      </x:c>
      <x:c r="W163" s="2" t="str">
        <x:v>예</x:v>
      </x:c>
      <x:c r="X163" s="2" t="str">
        <x:v>ichi1,news2,nf29,nf33,nf46</x:v>
      </x:c>
      <x:c r="Y163" s="2" t="n">
        <x:v>100</x:v>
      </x:c>
      <x:c r="Z163" s="2" t="str">
        <x:v>ichi1,news2,nf33</x:v>
      </x:c>
      <x:c r="AA163" s="2" t="n">
        <x:v>100</x:v>
      </x:c>
      <x:c r="AB163" s="8" t="str">
        <x:v>esp. 固い and 堅い for wood, 硬い for metal and stone</x:v>
      </x:c>
      <x:c r="AC163" s="8" t="str"/>
      <x:c r="AD163" s="8" t="str">
        <x:v>["draft-ko-missing"]</x:v>
      </x:c>
      <x:c r="AE163" s="8" t="str">
        <x:v>검토 필요</x:v>
      </x:c>
      <x:c r="AF163" s="8" t="str"/>
    </x:row>
    <x:row r="164">
      <x:c r="A164" s="10" t="n">
        <x:v>163</x:v>
      </x:c>
      <x:c r="B164" s="2" t="str">
        <x:v>1차 검토 후보</x:v>
      </x:c>
      <x:c r="C164" s="2" t="str">
        <x:v>중복 변형 제거 검토</x:v>
      </x:c>
      <x:c r="D164" s="2" t="str">
        <x:v>중간</x:v>
      </x:c>
      <x:c r="E164" s="2" t="str">
        <x:v>N1</x:v>
      </x:c>
      <x:c r="F164" s="10" t="n">
        <x:v>48</x:v>
      </x:c>
      <x:c r="G164" s="2" t="str">
        <x:v>w_951746f7e1a78e82</x:v>
      </x:c>
      <x:c r="H164" s="2" t="str">
        <x:v>世論</x:v>
      </x:c>
      <x:c r="I164" s="2" t="str">
        <x:v>せろん</x:v>
      </x:c>
      <x:c r="J164" s="8" t="str">
        <x:v>여론</x:v>
      </x:c>
      <x:c r="K164" s="2" t="str">
        <x:v>noun</x:v>
      </x:c>
      <x:c r="L164" s="9" t="n">
        <x:v>3.85</x:v>
      </x:c>
      <x:c r="M164" s="2" t="str">
        <x:v>없음</x:v>
      </x:c>
      <x:c r="N164" s="11" t="n">
        <x:v>46</x:v>
      </x:c>
      <x:c r="O164" s="8" t="str">
        <x:v>검증된 예문 없음; 동일 JMdict 표제어의 표기·읽기 변형; 기존 데이터의 한국어 콘텐츠 보강 필요 태그</x:v>
      </x:c>
      <x:c r="P164" s="8" t="str">
        <x:v>no_example,same_jmdict_entry,weak_legacy_content</x:v>
      </x:c>
      <x:c r="Q164" s="2" t="str">
        <x:v>vg_090</x:v>
      </x:c>
      <x:c r="R164" s="2" t="str">
        <x:v>same_jmdict_entry</x:v>
      </x:c>
      <x:c r="S164" s="2" t="str">
        <x:v>w_df40eb9087b51ff0</x:v>
      </x:c>
      <x:c r="T164" s="2" t="str">
        <x:v>世論</x:v>
      </x:c>
      <x:c r="U164" s="2" t="str">
        <x:v>よろん</x:v>
      </x:c>
      <x:c r="V164" s="2" t="str">
        <x:v>아니오</x:v>
      </x:c>
      <x:c r="W164" s="2" t="str">
        <x:v>예</x:v>
      </x:c>
      <x:c r="X164" s="2" t="str">
        <x:v>ichi1,news1,nf02</x:v>
      </x:c>
      <x:c r="Y164" s="2" t="n">
        <x:v>100</x:v>
      </x:c>
      <x:c r="Z164" s="2" t="str">
        <x:v>ichi1,news1,nf02</x:v>
      </x:c>
      <x:c r="AA164" s="2" t="n">
        <x:v>100</x:v>
      </x:c>
      <x:c r="AB164" s="8" t="str"/>
      <x:c r="AC164" s="8" t="str"/>
      <x:c r="AD164" s="8" t="str">
        <x:v>["draft-ko-missing"]</x:v>
      </x:c>
      <x:c r="AE164" s="8" t="str">
        <x:v>검토 필요</x:v>
      </x:c>
      <x:c r="AF164" s="8" t="str"/>
    </x:row>
    <x:row r="165">
      <x:c r="A165" s="10" t="n">
        <x:v>164</x:v>
      </x:c>
      <x:c r="B165" s="2" t="str">
        <x:v>1차 제외 추천</x:v>
      </x:c>
      <x:c r="C165" s="2" t="str">
        <x:v>중복 변형 제거 검토</x:v>
      </x:c>
      <x:c r="D165" s="2" t="str">
        <x:v>높음</x:v>
      </x:c>
      <x:c r="E165" s="2" t="str">
        <x:v>N3</x:v>
      </x:c>
      <x:c r="F165" s="10" t="n">
        <x:v>25</x:v>
      </x:c>
      <x:c r="G165" s="2" t="str">
        <x:v>w_adcd7ec20b945da4</x:v>
      </x:c>
      <x:c r="H165" s="2" t="str">
        <x:v>河</x:v>
      </x:c>
      <x:c r="I165" s="2" t="str">
        <x:v>かわ</x:v>
      </x:c>
      <x:c r="J165" s="8" t="str">
        <x:v>강</x:v>
      </x:c>
      <x:c r="K165" s="2" t="str">
        <x:v>noun</x:v>
      </x:c>
      <x:c r="L165" s="9" t="n">
        <x:v>3.9</x:v>
      </x:c>
      <x:c r="M165" s="2" t="str">
        <x:v>없음</x:v>
      </x:c>
      <x:c r="N165" s="11" t="n">
        <x:v>46</x:v>
      </x:c>
      <x:c r="O165" s="8" t="str">
        <x:v>검증된 예문 없음; 동일 JMdict 표제어의 표기·읽기 변형; 읽기와 한국어 뜻이 같은 표기 변형; 기존 데이터의 한국어 콘텐츠 보강 필요 태그</x:v>
      </x:c>
      <x:c r="P165" s="8" t="str">
        <x:v>no_example,same_jmdict_entry,same_reading_meaning,weak_legacy_content</x:v>
      </x:c>
      <x:c r="Q165" s="2" t="str">
        <x:v>vg_086</x:v>
      </x:c>
      <x:c r="R165" s="2" t="str">
        <x:v>same_jmdict_entry,same_reading_meaning</x:v>
      </x:c>
      <x:c r="S165" s="2" t="str">
        <x:v>w_831749e2e88001b5</x:v>
      </x:c>
      <x:c r="T165" s="2" t="str">
        <x:v>川</x:v>
      </x:c>
      <x:c r="U165" s="2" t="str">
        <x:v>かわ</x:v>
      </x:c>
      <x:c r="V165" s="2" t="str">
        <x:v>예</x:v>
      </x:c>
      <x:c r="W165" s="2" t="str">
        <x:v>예</x:v>
      </x:c>
      <x:c r="X165" s="2" t="str">
        <x:v>ichi1,news1,nf03,nf10</x:v>
      </x:c>
      <x:c r="Y165" s="2" t="n">
        <x:v>100</x:v>
      </x:c>
      <x:c r="Z165" s="2" t="str">
        <x:v>news1,nf10</x:v>
      </x:c>
      <x:c r="AA165" s="2" t="n">
        <x:v>100</x:v>
      </x:c>
      <x:c r="AB165" s="8" t="str">
        <x:v>suffix used with the names of rivers</x:v>
      </x:c>
      <x:c r="AC165" s="8" t="str"/>
      <x:c r="AD165" s="8" t="str">
        <x:v>["draft-ko-missing"]</x:v>
      </x:c>
      <x:c r="AE165" s="8" t="str">
        <x:v>검토 필요</x:v>
      </x:c>
      <x:c r="AF165" s="8" t="str"/>
    </x:row>
    <x:row r="166">
      <x:c r="A166" s="10" t="n">
        <x:v>165</x:v>
      </x:c>
      <x:c r="B166" s="2" t="str">
        <x:v>1차 검토 후보</x:v>
      </x:c>
      <x:c r="C166" s="2" t="str">
        <x:v>중복 변형 제거 검토</x:v>
      </x:c>
      <x:c r="D166" s="2" t="str">
        <x:v>중간</x:v>
      </x:c>
      <x:c r="E166" s="2" t="str">
        <x:v>N3</x:v>
      </x:c>
      <x:c r="F166" s="10" t="n">
        <x:v>26</x:v>
      </x:c>
      <x:c r="G166" s="2" t="str">
        <x:v>w_743a4812f556804d</x:v>
      </x:c>
      <x:c r="H166" s="2" t="str">
        <x:v>温かい</x:v>
      </x:c>
      <x:c r="I166" s="2" t="str">
        <x:v>あたたかい</x:v>
      </x:c>
      <x:c r="J166" s="8" t="str">
        <x:v>따뜻한</x:v>
      </x:c>
      <x:c r="K166" s="2" t="str">
        <x:v>adjective</x:v>
      </x:c>
      <x:c r="L166" s="9" t="n">
        <x:v>3.93</x:v>
      </x:c>
      <x:c r="M166" s="2" t="str">
        <x:v>없음</x:v>
      </x:c>
      <x:c r="N166" s="11" t="n">
        <x:v>46</x:v>
      </x:c>
      <x:c r="O166" s="8" t="str">
        <x:v>검증된 예문 없음; 동일 JMdict 표제어의 표기·읽기 변형; 기존 데이터의 한국어 콘텐츠 보강 필요 태그</x:v>
      </x:c>
      <x:c r="P166" s="8" t="str">
        <x:v>no_example,same_jmdict_entry,weak_legacy_content</x:v>
      </x:c>
      <x:c r="Q166" s="2" t="str">
        <x:v>vg_078</x:v>
      </x:c>
      <x:c r="R166" s="2" t="str">
        <x:v>same_jmdict_entry</x:v>
      </x:c>
      <x:c r="S166" s="2" t="str">
        <x:v>w_cc7c486ee55f4e80</x:v>
      </x:c>
      <x:c r="T166" s="2" t="str">
        <x:v>暖かい</x:v>
      </x:c>
      <x:c r="U166" s="2" t="str">
        <x:v>あたたかい</x:v>
      </x:c>
      <x:c r="V166" s="2" t="str">
        <x:v>아니오</x:v>
      </x:c>
      <x:c r="W166" s="2" t="str">
        <x:v>예</x:v>
      </x:c>
      <x:c r="X166" s="2" t="str">
        <x:v>ichi1,news1,nf21</x:v>
      </x:c>
      <x:c r="Y166" s="2" t="n">
        <x:v>100</x:v>
      </x:c>
      <x:c r="Z166" s="2" t="str">
        <x:v>ichi1,news1,nf21</x:v>
      </x:c>
      <x:c r="AA166" s="2" t="n">
        <x:v>100</x:v>
      </x:c>
      <x:c r="AB166" s="8" t="str">
        <x:v>暖かい usu. refers to air temperature</x:v>
      </x:c>
      <x:c r="AC166" s="8" t="str"/>
      <x:c r="AD166" s="8" t="str">
        <x:v>["draft-ko-missing"]</x:v>
      </x:c>
      <x:c r="AE166" s="8" t="str">
        <x:v>검토 필요</x:v>
      </x:c>
      <x:c r="AF166" s="8" t="str"/>
    </x:row>
    <x:row r="167">
      <x:c r="A167" s="10" t="n">
        <x:v>166</x:v>
      </x:c>
      <x:c r="B167" s="2" t="str">
        <x:v>1차 검토 후보</x:v>
      </x:c>
      <x:c r="C167" s="2" t="str">
        <x:v>중복 변형 제거 검토</x:v>
      </x:c>
      <x:c r="D167" s="2" t="str">
        <x:v>중간</x:v>
      </x:c>
      <x:c r="E167" s="2" t="str">
        <x:v>N3</x:v>
      </x:c>
      <x:c r="F167" s="10" t="n">
        <x:v>27</x:v>
      </x:c>
      <x:c r="G167" s="2" t="str">
        <x:v>w_7cd2a64b26436658</x:v>
      </x:c>
      <x:c r="H167" s="2" t="str">
        <x:v>最中</x:v>
      </x:c>
      <x:c r="I167" s="2" t="str">
        <x:v>さいちゅう</x:v>
      </x:c>
      <x:c r="J167" s="8" t="str">
        <x:v>~의 한가운데</x:v>
      </x:c>
      <x:c r="K167" s="2" t="str">
        <x:v>noun</x:v>
      </x:c>
      <x:c r="L167" s="9" t="n">
        <x:v>4.21</x:v>
      </x:c>
      <x:c r="M167" s="2" t="str">
        <x:v>없음</x:v>
      </x:c>
      <x:c r="N167" s="11" t="n">
        <x:v>46</x:v>
      </x:c>
      <x:c r="O167" s="8" t="str">
        <x:v>검증된 예문 없음; 동일 JMdict 표제어의 표기·읽기 변형; 기존 데이터의 한국어 콘텐츠 보강 필요 태그</x:v>
      </x:c>
      <x:c r="P167" s="8" t="str">
        <x:v>no_example,same_jmdict_entry,weak_legacy_content</x:v>
      </x:c>
      <x:c r="Q167" s="2" t="str">
        <x:v>vg_084</x:v>
      </x:c>
      <x:c r="R167" s="2" t="str">
        <x:v>same_jmdict_entry</x:v>
      </x:c>
      <x:c r="S167" s="2" t="str">
        <x:v>w_e99a3d245db86373</x:v>
      </x:c>
      <x:c r="T167" s="2" t="str">
        <x:v>最中</x:v>
      </x:c>
      <x:c r="U167" s="2" t="str">
        <x:v>さなか</x:v>
      </x:c>
      <x:c r="V167" s="2" t="str">
        <x:v>아니오</x:v>
      </x:c>
      <x:c r="W167" s="2" t="str">
        <x:v>예</x:v>
      </x:c>
      <x:c r="X167" s="2" t="str">
        <x:v>ichi1,news2,nf42</x:v>
      </x:c>
      <x:c r="Y167" s="2" t="n">
        <x:v>100</x:v>
      </x:c>
      <x:c r="Z167" s="2" t="str">
        <x:v>ichi1,news2,nf42</x:v>
      </x:c>
      <x:c r="AA167" s="2" t="n">
        <x:v>100</x:v>
      </x:c>
      <x:c r="AB167" s="8" t="str"/>
      <x:c r="AC167" s="8" t="str"/>
      <x:c r="AD167" s="8" t="str">
        <x:v>["draft-ko-missing"]</x:v>
      </x:c>
      <x:c r="AE167" s="8" t="str">
        <x:v>검토 필요</x:v>
      </x:c>
      <x:c r="AF167" s="8" t="str"/>
    </x:row>
    <x:row r="168">
      <x:c r="A168" s="10" t="n">
        <x:v>167</x:v>
      </x:c>
      <x:c r="B168" s="2" t="str">
        <x:v>1차 검토 후보</x:v>
      </x:c>
      <x:c r="C168" s="2" t="str">
        <x:v>중복 변형 제거 검토</x:v>
      </x:c>
      <x:c r="D168" s="2" t="str">
        <x:v>중간</x:v>
      </x:c>
      <x:c r="E168" s="2" t="str">
        <x:v>N3</x:v>
      </x:c>
      <x:c r="F168" s="10" t="n">
        <x:v>28</x:v>
      </x:c>
      <x:c r="G168" s="2" t="str">
        <x:v>w_016ef21c6de7dbf3</x:v>
      </x:c>
      <x:c r="H168" s="2" t="str">
        <x:v>素</x:v>
      </x:c>
      <x:c r="I168" s="2" t="str">
        <x:v>もと</x:v>
      </x:c>
      <x:c r="J168" s="8" t="str">
        <x:v>본질, 바탕</x:v>
      </x:c>
      <x:c r="K168" s="2" t="str">
        <x:v>noun</x:v>
      </x:c>
      <x:c r="L168" s="9" t="n">
        <x:v>4.37</x:v>
      </x:c>
      <x:c r="M168" s="2" t="str">
        <x:v>없음</x:v>
      </x:c>
      <x:c r="N168" s="11" t="n">
        <x:v>46</x:v>
      </x:c>
      <x:c r="O168" s="8" t="str">
        <x:v>검증된 예문 없음; 동일 JMdict 표제어의 표기·읽기 변형; 기존 데이터의 한국어 콘텐츠 보강 필요 태그</x:v>
      </x:c>
      <x:c r="P168" s="8" t="str">
        <x:v>no_example,same_jmdict_entry,weak_legacy_content</x:v>
      </x:c>
      <x:c r="Q168" s="2" t="str">
        <x:v>vg_003</x:v>
      </x:c>
      <x:c r="R168" s="2" t="str">
        <x:v>same_jmdict_entry</x:v>
      </x:c>
      <x:c r="S168" s="2" t="str">
        <x:v>w_5c01d31526099a31</x:v>
      </x:c>
      <x:c r="T168" s="2" t="str">
        <x:v>元</x:v>
      </x:c>
      <x:c r="U168" s="2" t="str">
        <x:v>もと</x:v>
      </x:c>
      <x:c r="V168" s="2" t="str">
        <x:v>아니오</x:v>
      </x:c>
      <x:c r="W168" s="2" t="str">
        <x:v>예</x:v>
      </x:c>
      <x:c r="X168" s="2" t="str">
        <x:v>ichi1,news1,nf05</x:v>
      </x:c>
      <x:c r="Y168" s="2" t="n">
        <x:v>100</x:v>
      </x:c>
      <x:c r="Z168" s="2" t="str"/>
      <x:c r="AA168" s="2" t="n">
        <x:v>0</x:v>
      </x:c>
      <x:c r="AB168" s="8" t="str">
        <x:v>also written as 因, 原 | esp. 元 | esp. 素 | oft. 基</x:v>
      </x:c>
      <x:c r="AC168" s="8" t="str"/>
      <x:c r="AD168" s="8" t="str">
        <x:v>["draft-ko-missing"]</x:v>
      </x:c>
      <x:c r="AE168" s="8" t="str">
        <x:v>검토 필요</x:v>
      </x:c>
      <x:c r="AF168" s="8" t="str"/>
    </x:row>
    <x:row r="169">
      <x:c r="A169" s="10" t="n">
        <x:v>168</x:v>
      </x:c>
      <x:c r="B169" s="2" t="str">
        <x:v>1차 검토 후보</x:v>
      </x:c>
      <x:c r="C169" s="2" t="str">
        <x:v>중복 변형 제거 검토</x:v>
      </x:c>
      <x:c r="D169" s="2" t="str">
        <x:v>중간</x:v>
      </x:c>
      <x:c r="E169" s="2" t="str">
        <x:v>N3</x:v>
      </x:c>
      <x:c r="F169" s="10" t="n">
        <x:v>29</x:v>
      </x:c>
      <x:c r="G169" s="2" t="str">
        <x:v>w_c764decd3f5b167e</x:v>
      </x:c>
      <x:c r="H169" s="2" t="str">
        <x:v>基</x:v>
      </x:c>
      <x:c r="I169" s="2" t="str">
        <x:v>もと</x:v>
      </x:c>
      <x:c r="J169" s="8" t="str">
        <x:v>기초, 근거</x:v>
      </x:c>
      <x:c r="K169" s="2" t="str">
        <x:v>noun</x:v>
      </x:c>
      <x:c r="L169" s="9" t="n">
        <x:v>4.37</x:v>
      </x:c>
      <x:c r="M169" s="2" t="str">
        <x:v>없음</x:v>
      </x:c>
      <x:c r="N169" s="11" t="n">
        <x:v>46</x:v>
      </x:c>
      <x:c r="O169" s="8" t="str">
        <x:v>검증된 예문 없음; 동일 JMdict 표제어의 표기·읽기 변형; 기존 데이터의 한국어 콘텐츠 보강 필요 태그</x:v>
      </x:c>
      <x:c r="P169" s="8" t="str">
        <x:v>no_example,same_jmdict_entry,weak_legacy_content</x:v>
      </x:c>
      <x:c r="Q169" s="2" t="str">
        <x:v>vg_003</x:v>
      </x:c>
      <x:c r="R169" s="2" t="str">
        <x:v>same_jmdict_entry</x:v>
      </x:c>
      <x:c r="S169" s="2" t="str">
        <x:v>w_5c01d31526099a31</x:v>
      </x:c>
      <x:c r="T169" s="2" t="str">
        <x:v>元</x:v>
      </x:c>
      <x:c r="U169" s="2" t="str">
        <x:v>もと</x:v>
      </x:c>
      <x:c r="V169" s="2" t="str">
        <x:v>아니오</x:v>
      </x:c>
      <x:c r="W169" s="2" t="str">
        <x:v>예</x:v>
      </x:c>
      <x:c r="X169" s="2" t="str">
        <x:v>ichi1,news1,nf05</x:v>
      </x:c>
      <x:c r="Y169" s="2" t="n">
        <x:v>100</x:v>
      </x:c>
      <x:c r="Z169" s="2" t="str"/>
      <x:c r="AA169" s="2" t="n">
        <x:v>0</x:v>
      </x:c>
      <x:c r="AB169" s="8" t="str">
        <x:v>also written as 因, 原 | esp. 元 | esp. 素 | oft. 基</x:v>
      </x:c>
      <x:c r="AC169" s="8" t="str"/>
      <x:c r="AD169" s="8" t="str">
        <x:v>["draft-ko-missing"]</x:v>
      </x:c>
      <x:c r="AE169" s="8" t="str">
        <x:v>검토 필요</x:v>
      </x:c>
      <x:c r="AF169" s="8" t="str"/>
    </x:row>
    <x:row r="170">
      <x:c r="A170" s="10" t="n">
        <x:v>169</x:v>
      </x:c>
      <x:c r="B170" s="2" t="str">
        <x:v>2차 보류</x:v>
      </x:c>
      <x:c r="C170" s="2" t="str">
        <x:v>2차 보류</x:v>
      </x:c>
      <x:c r="D170" s="2" t="str">
        <x:v>낮음</x:v>
      </x:c>
      <x:c r="E170" s="2" t="str">
        <x:v>N2</x:v>
      </x:c>
      <x:c r="F170" s="10" t="n">
        <x:v>74</x:v>
      </x:c>
      <x:c r="G170" s="2" t="str">
        <x:v>w_5d5826a8be45b592</x:v>
      </x:c>
      <x:c r="H170" s="2" t="str">
        <x:v>ちぎる</x:v>
      </x:c>
      <x:c r="I170" s="2" t="str">
        <x:v>ちぎる</x:v>
      </x:c>
      <x:c r="J170" s="8" t="str">
        <x:v>잘게 찢다; (과일을) 따다</x:v>
      </x:c>
      <x:c r="K170" s="2" t="str">
        <x:v>verb</x:v>
      </x:c>
      <x:c r="L170" s="9" t="n">
        <x:v>2.65</x:v>
      </x:c>
      <x:c r="M170" s="2" t="str">
        <x:v>없음</x:v>
      </x:c>
      <x:c r="N170" s="11" t="n">
        <x:v>45</x:v>
      </x:c>
      <x:c r="O170" s="8" t="str">
        <x:v>일반 사용 빈도 낮은 편(Zipf ≤ 3.0); 기존 한국어 뜻 품질 감사 대상; 검증된 예문 없음; JMdict 우선 어휘 표지 없음</x:v>
      </x:c>
      <x:c r="P170" s="8" t="str">
        <x:v>frequency_le_3_0,legacy_gloss_audit:mt_noise_token,no_example,no_jmdict_priority,weak_legacy_content</x:v>
      </x:c>
      <x:c r="Q170" s="2" t="str"/>
      <x:c r="R170" s="2" t="str"/>
      <x:c r="S170" s="2" t="str"/>
      <x:c r="T170" s="2" t="str"/>
      <x:c r="U170" s="2" t="str"/>
      <x:c r="V170" s="2" t="str">
        <x:v>아니오</x:v>
      </x:c>
      <x:c r="W170" s="2" t="str">
        <x:v>아니오</x:v>
      </x:c>
      <x:c r="X170" s="2" t="str"/>
      <x:c r="Y170" s="2" t="n">
        <x:v>0</x:v>
      </x:c>
      <x:c r="Z170" s="2" t="str"/>
      <x:c r="AA170" s="2" t="n">
        <x:v>0</x:v>
      </x:c>
      <x:c r="AB170" s="8" t="str"/>
      <x:c r="AC170" s="8" t="str">
        <x:v>mt_noise_token</x:v>
      </x:c>
      <x:c r="AD170" s="8" t="str">
        <x:v>["draft-ko-missing"]</x:v>
      </x:c>
      <x:c r="AE170" s="8" t="str">
        <x:v>검토 필요</x:v>
      </x:c>
      <x:c r="AF170" s="8" t="str"/>
    </x:row>
    <x:row r="171">
      <x:c r="A171" s="10" t="n">
        <x:v>170</x:v>
      </x:c>
      <x:c r="B171" s="2" t="str">
        <x:v>2차 보류</x:v>
      </x:c>
      <x:c r="C171" s="2" t="str">
        <x:v>2차 보류</x:v>
      </x:c>
      <x:c r="D171" s="2" t="str">
        <x:v>낮음</x:v>
      </x:c>
      <x:c r="E171" s="2" t="str">
        <x:v>N1</x:v>
      </x:c>
      <x:c r="F171" s="10" t="n">
        <x:v>49</x:v>
      </x:c>
      <x:c r="G171" s="2" t="str">
        <x:v>w_42ce78ae437fd971</x:v>
      </x:c>
      <x:c r="H171" s="2" t="str">
        <x:v>かさむ</x:v>
      </x:c>
      <x:c r="I171" s="2" t="str">
        <x:v>かさむ</x:v>
      </x:c>
      <x:c r="J171" s="8" t="str">
        <x:v>(비용이) 불어나다, 늘다</x:v>
      </x:c>
      <x:c r="K171" s="2" t="str">
        <x:v>verb</x:v>
      </x:c>
      <x:c r="L171" s="9" t="n">
        <x:v>2.68</x:v>
      </x:c>
      <x:c r="M171" s="2" t="str">
        <x:v>없음</x:v>
      </x:c>
      <x:c r="N171" s="11" t="n">
        <x:v>45</x:v>
      </x:c>
      <x:c r="O171" s="8" t="str">
        <x:v>일반 사용 빈도 낮은 편(Zipf ≤ 3.0); 기존 한국어 뜻 품질 감사 대상; 검증된 예문 없음; JMdict 우선 어휘 표지 없음</x:v>
      </x:c>
      <x:c r="P171" s="8" t="str">
        <x:v>frequency_le_3_0,legacy_gloss_audit:mt_noise_token,no_example,no_jmdict_priority,weak_legacy_content</x:v>
      </x:c>
      <x:c r="Q171" s="2" t="str"/>
      <x:c r="R171" s="2" t="str"/>
      <x:c r="S171" s="2" t="str"/>
      <x:c r="T171" s="2" t="str"/>
      <x:c r="U171" s="2" t="str"/>
      <x:c r="V171" s="2" t="str">
        <x:v>아니오</x:v>
      </x:c>
      <x:c r="W171" s="2" t="str">
        <x:v>아니오</x:v>
      </x:c>
      <x:c r="X171" s="2" t="str"/>
      <x:c r="Y171" s="2" t="n">
        <x:v>0</x:v>
      </x:c>
      <x:c r="Z171" s="2" t="str"/>
      <x:c r="AA171" s="2" t="n">
        <x:v>0</x:v>
      </x:c>
      <x:c r="AB171" s="8" t="str"/>
      <x:c r="AC171" s="8" t="str">
        <x:v>mt_noise_token</x:v>
      </x:c>
      <x:c r="AD171" s="8" t="str">
        <x:v>["draft-ko-missing"]</x:v>
      </x:c>
      <x:c r="AE171" s="8" t="str">
        <x:v>검토 필요</x:v>
      </x:c>
      <x:c r="AF171" s="8" t="str"/>
    </x:row>
    <x:row r="172">
      <x:c r="A172" s="10" t="n">
        <x:v>171</x:v>
      </x:c>
      <x:c r="B172" s="2" t="str">
        <x:v>1차 검토 후보</x:v>
      </x:c>
      <x:c r="C172" s="2" t="str">
        <x:v>저활용 제외 검토</x:v>
      </x:c>
      <x:c r="D172" s="2" t="str">
        <x:v>중간</x:v>
      </x:c>
      <x:c r="E172" s="2" t="str">
        <x:v>N1</x:v>
      </x:c>
      <x:c r="F172" s="10" t="n">
        <x:v>50</x:v>
      </x:c>
      <x:c r="G172" s="2" t="str">
        <x:v>w_8620630325882eef</x:v>
      </x:c>
      <x:c r="H172" s="2" t="str">
        <x:v>ロープウエイ</x:v>
      </x:c>
      <x:c r="I172" s="2" t="str">
        <x:v>ロープウエイ</x:v>
      </x:c>
      <x:c r="J172" s="8" t="str">
        <x:v>로프웨이</x:v>
      </x:c>
      <x:c r="K172" s="2" t="str">
        <x:v>noun</x:v>
      </x:c>
      <x:c r="L172" s="9" t="n">
        <x:v>1.61</x:v>
      </x:c>
      <x:c r="M172" s="2" t="str">
        <x:v>없음</x:v>
      </x:c>
      <x:c r="N172" s="11" t="n">
        <x:v>44</x:v>
      </x:c>
      <x:c r="O172" s="8" t="str">
        <x:v>일반 사용 빈도 매우 낮음(Zipf ≤ 2.0); 검증된 예문 없음; JMdict 우선 어휘 표지 없음</x:v>
      </x:c>
      <x:c r="P172" s="8" t="str">
        <x:v>frequency_le_2_0,no_example,no_jmdict_priority</x:v>
      </x:c>
      <x:c r="Q172" s="2" t="str"/>
      <x:c r="R172" s="2" t="str"/>
      <x:c r="S172" s="2" t="str"/>
      <x:c r="T172" s="2" t="str"/>
      <x:c r="U172" s="2" t="str"/>
      <x:c r="V172" s="2" t="str">
        <x:v>아니오</x:v>
      </x:c>
      <x:c r="W172" s="2" t="str">
        <x:v>예</x:v>
      </x:c>
      <x:c r="X172" s="2" t="str"/>
      <x:c r="Y172" s="2" t="n">
        <x:v>0</x:v>
      </x:c>
      <x:c r="Z172" s="2" t="str"/>
      <x:c r="AA172" s="2" t="n">
        <x:v>0</x:v>
      </x:c>
      <x:c r="AB172" s="8" t="str"/>
      <x:c r="AC172" s="8" t="str"/>
      <x:c r="AD172" s="8" t="str">
        <x:v>["ko-reviewed"]</x:v>
      </x:c>
      <x:c r="AE172" s="8" t="str">
        <x:v>검토 필요</x:v>
      </x:c>
      <x:c r="AF172" s="8" t="str"/>
    </x:row>
    <x:row r="173">
      <x:c r="A173" s="10" t="n">
        <x:v>172</x:v>
      </x:c>
      <x:c r="B173" s="2" t="str">
        <x:v>1차 검토 후보</x:v>
      </x:c>
      <x:c r="C173" s="2" t="str">
        <x:v>저활용 제외 검토</x:v>
      </x:c>
      <x:c r="D173" s="2" t="str">
        <x:v>중간</x:v>
      </x:c>
      <x:c r="E173" s="2" t="str">
        <x:v>N2</x:v>
      </x:c>
      <x:c r="F173" s="10" t="n">
        <x:v>75</x:v>
      </x:c>
      <x:c r="G173" s="2" t="str">
        <x:v>w_c04ce01d6f5db784</x:v>
      </x:c>
      <x:c r="H173" s="2" t="str">
        <x:v>ダイヤグラム</x:v>
      </x:c>
      <x:c r="I173" s="2" t="str">
        <x:v>ダイヤグラム</x:v>
      </x:c>
      <x:c r="J173" s="8" t="str">
        <x:v>도표, 다이어그램</x:v>
      </x:c>
      <x:c r="K173" s="2" t="str">
        <x:v>noun</x:v>
      </x:c>
      <x:c r="L173" s="9" t="n">
        <x:v>1.64</x:v>
      </x:c>
      <x:c r="M173" s="2" t="str">
        <x:v>없음</x:v>
      </x:c>
      <x:c r="N173" s="11" t="n">
        <x:v>44</x:v>
      </x:c>
      <x:c r="O173" s="8" t="str">
        <x:v>일반 사용 빈도 매우 낮음(Zipf ≤ 2.0); 검증된 예문 없음; JMdict 우선 어휘 표지 없음</x:v>
      </x:c>
      <x:c r="P173" s="8" t="str">
        <x:v>frequency_le_2_0,no_example,no_jmdict_priority</x:v>
      </x:c>
      <x:c r="Q173" s="2" t="str"/>
      <x:c r="R173" s="2" t="str"/>
      <x:c r="S173" s="2" t="str"/>
      <x:c r="T173" s="2" t="str"/>
      <x:c r="U173" s="2" t="str"/>
      <x:c r="V173" s="2" t="str">
        <x:v>아니오</x:v>
      </x:c>
      <x:c r="W173" s="2" t="str">
        <x:v>예</x:v>
      </x:c>
      <x:c r="X173" s="2" t="str"/>
      <x:c r="Y173" s="2" t="n">
        <x:v>0</x:v>
      </x:c>
      <x:c r="Z173" s="2" t="str"/>
      <x:c r="AA173" s="2" t="n">
        <x:v>0</x:v>
      </x:c>
      <x:c r="AB173" s="8" t="str"/>
      <x:c r="AC173" s="8" t="str"/>
      <x:c r="AD173" s="8" t="str">
        <x:v>["ko-reviewed"]</x:v>
      </x:c>
      <x:c r="AE173" s="8" t="str">
        <x:v>검토 필요</x:v>
      </x:c>
      <x:c r="AF173" s="8" t="str"/>
    </x:row>
    <x:row r="174">
      <x:c r="A174" s="10" t="n">
        <x:v>173</x:v>
      </x:c>
      <x:c r="B174" s="2" t="str">
        <x:v>1차 검토 후보</x:v>
      </x:c>
      <x:c r="C174" s="2" t="str">
        <x:v>저활용 제외 검토</x:v>
      </x:c>
      <x:c r="D174" s="2" t="str">
        <x:v>중간</x:v>
      </x:c>
      <x:c r="E174" s="2" t="str">
        <x:v>N2</x:v>
      </x:c>
      <x:c r="F174" s="10" t="n">
        <x:v>76</x:v>
      </x:c>
      <x:c r="G174" s="2" t="str">
        <x:v>w_4867b4450104d27c</x:v>
      </x:c>
      <x:c r="H174" s="2" t="str">
        <x:v>形容動詞</x:v>
      </x:c>
      <x:c r="I174" s="2" t="str">
        <x:v>けいようどうし</x:v>
      </x:c>
      <x:c r="J174" s="8" t="str">
        <x:v>형용동사</x:v>
      </x:c>
      <x:c r="K174" s="2" t="str">
        <x:v>noun</x:v>
      </x:c>
      <x:c r="L174" s="9" t="n">
        <x:v>1.67</x:v>
      </x:c>
      <x:c r="M174" s="2" t="str">
        <x:v>없음</x:v>
      </x:c>
      <x:c r="N174" s="11" t="n">
        <x:v>44</x:v>
      </x:c>
      <x:c r="O174" s="8" t="str">
        <x:v>일반 사용 빈도 매우 낮음(Zipf ≤ 2.0); 검증된 예문 없음; JMdict 우선 어휘 표지 없음</x:v>
      </x:c>
      <x:c r="P174" s="8" t="str">
        <x:v>frequency_le_2_0,no_example,no_jmdict_priority</x:v>
      </x:c>
      <x:c r="Q174" s="2" t="str"/>
      <x:c r="R174" s="2" t="str"/>
      <x:c r="S174" s="2" t="str"/>
      <x:c r="T174" s="2" t="str"/>
      <x:c r="U174" s="2" t="str"/>
      <x:c r="V174" s="2" t="str">
        <x:v>아니오</x:v>
      </x:c>
      <x:c r="W174" s="2" t="str">
        <x:v>예</x:v>
      </x:c>
      <x:c r="X174" s="2" t="str"/>
      <x:c r="Y174" s="2" t="n">
        <x:v>0</x:v>
      </x:c>
      <x:c r="Z174" s="2" t="str"/>
      <x:c r="AA174" s="2" t="n">
        <x:v>0</x:v>
      </x:c>
      <x:c r="AB174" s="8" t="str"/>
      <x:c r="AC174" s="8" t="str"/>
      <x:c r="AD174" s="8" t="str">
        <x:v>["ko-reviewed"]</x:v>
      </x:c>
      <x:c r="AE174" s="8" t="str">
        <x:v>검토 필요</x:v>
      </x:c>
      <x:c r="AF174" s="8" t="str"/>
    </x:row>
    <x:row r="175">
      <x:c r="A175" s="10" t="n">
        <x:v>174</x:v>
      </x:c>
      <x:c r="B175" s="2" t="str">
        <x:v>1차 검토 후보</x:v>
      </x:c>
      <x:c r="C175" s="2" t="str">
        <x:v>저활용 제외 검토</x:v>
      </x:c>
      <x:c r="D175" s="2" t="str">
        <x:v>중간</x:v>
      </x:c>
      <x:c r="E175" s="2" t="str">
        <x:v>N1</x:v>
      </x:c>
      <x:c r="F175" s="10" t="n">
        <x:v>51</x:v>
      </x:c>
      <x:c r="G175" s="2" t="str">
        <x:v>w_a6b82112020af822</x:v>
      </x:c>
      <x:c r="H175" s="2" t="str">
        <x:v>ふんだん</x:v>
      </x:c>
      <x:c r="I175" s="2" t="str">
        <x:v>ふんだん</x:v>
      </x:c>
      <x:c r="J175" s="8" t="str">
        <x:v>풍부함, 넉넉함</x:v>
      </x:c>
      <x:c r="K175" s="2" t="str">
        <x:v>adjective</x:v>
      </x:c>
      <x:c r="L175" s="9" t="n">
        <x:v>1.67</x:v>
      </x:c>
      <x:c r="M175" s="2" t="str">
        <x:v>없음</x:v>
      </x:c>
      <x:c r="N175" s="11" t="n">
        <x:v>44</x:v>
      </x:c>
      <x:c r="O175" s="8" t="str">
        <x:v>일반 사용 빈도 매우 낮음(Zipf ≤ 2.0); 검증된 예문 없음; JMdict 우선 어휘 표지 없음</x:v>
      </x:c>
      <x:c r="P175" s="8" t="str">
        <x:v>frequency_le_2_0,no_example,no_jmdict_priority</x:v>
      </x:c>
      <x:c r="Q175" s="2" t="str"/>
      <x:c r="R175" s="2" t="str"/>
      <x:c r="S175" s="2" t="str"/>
      <x:c r="T175" s="2" t="str"/>
      <x:c r="U175" s="2" t="str"/>
      <x:c r="V175" s="2" t="str">
        <x:v>아니오</x:v>
      </x:c>
      <x:c r="W175" s="2" t="str">
        <x:v>예</x:v>
      </x:c>
      <x:c r="X175" s="2" t="str"/>
      <x:c r="Y175" s="2" t="n">
        <x:v>0</x:v>
      </x:c>
      <x:c r="Z175" s="2" t="str"/>
      <x:c r="AA175" s="2" t="n">
        <x:v>0</x:v>
      </x:c>
      <x:c r="AB175" s="8" t="str">
        <x:v>usu. as 〜に</x:v>
      </x:c>
      <x:c r="AC175" s="8" t="str"/>
      <x:c r="AD175" s="8" t="str">
        <x:v>["ko-reviewed"]</x:v>
      </x:c>
      <x:c r="AE175" s="8" t="str">
        <x:v>검토 필요</x:v>
      </x:c>
      <x:c r="AF175" s="8" t="str"/>
    </x:row>
    <x:row r="176">
      <x:c r="A176" s="10" t="n">
        <x:v>175</x:v>
      </x:c>
      <x:c r="B176" s="2" t="str">
        <x:v>1차 검토 후보</x:v>
      </x:c>
      <x:c r="C176" s="2" t="str">
        <x:v>저활용 제외 검토</x:v>
      </x:c>
      <x:c r="D176" s="2" t="str">
        <x:v>중간</x:v>
      </x:c>
      <x:c r="E176" s="2" t="str">
        <x:v>N1</x:v>
      </x:c>
      <x:c r="F176" s="10" t="n">
        <x:v>52</x:v>
      </x:c>
      <x:c r="G176" s="2" t="str">
        <x:v>w_560fcad7938d0b0c</x:v>
      </x:c>
      <x:c r="H176" s="2" t="str">
        <x:v>つねる</x:v>
      </x:c>
      <x:c r="I176" s="2" t="str">
        <x:v>つねる</x:v>
      </x:c>
      <x:c r="J176" s="8" t="str">
        <x:v>꼬집다</x:v>
      </x:c>
      <x:c r="K176" s="2" t="str">
        <x:v>verb</x:v>
      </x:c>
      <x:c r="L176" s="9" t="n">
        <x:v>1.72</x:v>
      </x:c>
      <x:c r="M176" s="2" t="str">
        <x:v>없음</x:v>
      </x:c>
      <x:c r="N176" s="11" t="n">
        <x:v>44</x:v>
      </x:c>
      <x:c r="O176" s="8" t="str">
        <x:v>일반 사용 빈도 매우 낮음(Zipf ≤ 2.0); 검증된 예문 없음; JMdict 우선 어휘 표지 없음</x:v>
      </x:c>
      <x:c r="P176" s="8" t="str">
        <x:v>frequency_le_2_0,no_example,no_jmdict_priority</x:v>
      </x:c>
      <x:c r="Q176" s="2" t="str"/>
      <x:c r="R176" s="2" t="str"/>
      <x:c r="S176" s="2" t="str"/>
      <x:c r="T176" s="2" t="str"/>
      <x:c r="U176" s="2" t="str"/>
      <x:c r="V176" s="2" t="str">
        <x:v>아니오</x:v>
      </x:c>
      <x:c r="W176" s="2" t="str">
        <x:v>아니오</x:v>
      </x:c>
      <x:c r="X176" s="2" t="str"/>
      <x:c r="Y176" s="2" t="n">
        <x:v>0</x:v>
      </x:c>
      <x:c r="Z176" s="2" t="str"/>
      <x:c r="AA176" s="2" t="n">
        <x:v>0</x:v>
      </x:c>
      <x:c r="AB176" s="8" t="str"/>
      <x:c r="AC176" s="8" t="str"/>
      <x:c r="AD176" s="8" t="str">
        <x:v>["ko-reviewed"]</x:v>
      </x:c>
      <x:c r="AE176" s="8" t="str">
        <x:v>검토 필요</x:v>
      </x:c>
      <x:c r="AF176" s="8" t="str"/>
    </x:row>
    <x:row r="177">
      <x:c r="A177" s="10" t="n">
        <x:v>176</x:v>
      </x:c>
      <x:c r="B177" s="2" t="str">
        <x:v>1차 검토 후보</x:v>
      </x:c>
      <x:c r="C177" s="2" t="str">
        <x:v>저활용 제외 검토</x:v>
      </x:c>
      <x:c r="D177" s="2" t="str">
        <x:v>중간</x:v>
      </x:c>
      <x:c r="E177" s="2" t="str">
        <x:v>N2</x:v>
      </x:c>
      <x:c r="F177" s="10" t="n">
        <x:v>77</x:v>
      </x:c>
      <x:c r="G177" s="2" t="str">
        <x:v>w_6fddc1e91dadbf61</x:v>
      </x:c>
      <x:c r="H177" s="2" t="str">
        <x:v>もやす</x:v>
      </x:c>
      <x:c r="I177" s="2" t="str">
        <x:v>もやす</x:v>
      </x:c>
      <x:c r="J177" s="8" t="str">
        <x:v>불태우다</x:v>
      </x:c>
      <x:c r="K177" s="2" t="str">
        <x:v>verb</x:v>
      </x:c>
      <x:c r="L177" s="9" t="n">
        <x:v>1.74</x:v>
      </x:c>
      <x:c r="M177" s="2" t="str">
        <x:v>없음</x:v>
      </x:c>
      <x:c r="N177" s="11" t="n">
        <x:v>44</x:v>
      </x:c>
      <x:c r="O177" s="8" t="str">
        <x:v>일반 사용 빈도 매우 낮음(Zipf ≤ 2.0); 검증된 예문 없음; JMdict 우선 어휘 표지 없음</x:v>
      </x:c>
      <x:c r="P177" s="8" t="str">
        <x:v>frequency_le_2_0,no_example,no_jmdict_priority</x:v>
      </x:c>
      <x:c r="Q177" s="2" t="str"/>
      <x:c r="R177" s="2" t="str"/>
      <x:c r="S177" s="2" t="str"/>
      <x:c r="T177" s="2" t="str"/>
      <x:c r="U177" s="2" t="str"/>
      <x:c r="V177" s="2" t="str">
        <x:v>아니오</x:v>
      </x:c>
      <x:c r="W177" s="2" t="str">
        <x:v>아니오</x:v>
      </x:c>
      <x:c r="X177" s="2" t="str"/>
      <x:c r="Y177" s="2" t="n">
        <x:v>0</x:v>
      </x:c>
      <x:c r="Z177" s="2" t="str"/>
      <x:c r="AA177" s="2" t="n">
        <x:v>0</x:v>
      </x:c>
      <x:c r="AB177" s="8" t="str"/>
      <x:c r="AC177" s="8" t="str"/>
      <x:c r="AD177" s="8" t="str">
        <x:v>["backfill-replacement","assistant-ko-reviewed"]</x:v>
      </x:c>
      <x:c r="AE177" s="8" t="str">
        <x:v>검토 필요</x:v>
      </x:c>
      <x:c r="AF177" s="8" t="str"/>
    </x:row>
    <x:row r="178">
      <x:c r="A178" s="10" t="n">
        <x:v>177</x:v>
      </x:c>
      <x:c r="B178" s="2" t="str">
        <x:v>1차 검토 후보</x:v>
      </x:c>
      <x:c r="C178" s="2" t="str">
        <x:v>저활용 제외 검토</x:v>
      </x:c>
      <x:c r="D178" s="2" t="str">
        <x:v>중간</x:v>
      </x:c>
      <x:c r="E178" s="2" t="str">
        <x:v>N2</x:v>
      </x:c>
      <x:c r="F178" s="10" t="n">
        <x:v>78</x:v>
      </x:c>
      <x:c r="G178" s="2" t="str">
        <x:v>w_81d9a253570bac6e</x:v>
      </x:c>
      <x:c r="H178" s="2" t="str">
        <x:v>ばからしい</x:v>
      </x:c>
      <x:c r="I178" s="2" t="str">
        <x:v>ばからしい</x:v>
      </x:c>
      <x:c r="J178" s="8" t="str">
        <x:v>어리석다, 터무니없다</x:v>
      </x:c>
      <x:c r="K178" s="2" t="str">
        <x:v>adjective</x:v>
      </x:c>
      <x:c r="L178" s="9" t="n">
        <x:v>1.76</x:v>
      </x:c>
      <x:c r="M178" s="2" t="str">
        <x:v>없음</x:v>
      </x:c>
      <x:c r="N178" s="11" t="n">
        <x:v>44</x:v>
      </x:c>
      <x:c r="O178" s="8" t="str">
        <x:v>일반 사용 빈도 매우 낮음(Zipf ≤ 2.0); 검증된 예문 없음; JMdict 우선 어휘 표지 없음</x:v>
      </x:c>
      <x:c r="P178" s="8" t="str">
        <x:v>frequency_le_2_0,no_example,no_jmdict_priority</x:v>
      </x:c>
      <x:c r="Q178" s="2" t="str"/>
      <x:c r="R178" s="2" t="str"/>
      <x:c r="S178" s="2" t="str"/>
      <x:c r="T178" s="2" t="str"/>
      <x:c r="U178" s="2" t="str"/>
      <x:c r="V178" s="2" t="str">
        <x:v>아니오</x:v>
      </x:c>
      <x:c r="W178" s="2" t="str">
        <x:v>아니오</x:v>
      </x:c>
      <x:c r="X178" s="2" t="str"/>
      <x:c r="Y178" s="2" t="n">
        <x:v>0</x:v>
      </x:c>
      <x:c r="Z178" s="2" t="str"/>
      <x:c r="AA178" s="2" t="n">
        <x:v>0</x:v>
      </x:c>
      <x:c r="AB178" s="8" t="str"/>
      <x:c r="AC178" s="8" t="str"/>
      <x:c r="AD178" s="8" t="str">
        <x:v>["ko-reviewed"]</x:v>
      </x:c>
      <x:c r="AE178" s="8" t="str">
        <x:v>검토 필요</x:v>
      </x:c>
      <x:c r="AF178" s="8" t="str"/>
    </x:row>
    <x:row r="179">
      <x:c r="A179" s="10" t="n">
        <x:v>178</x:v>
      </x:c>
      <x:c r="B179" s="2" t="str">
        <x:v>1차 검토 후보</x:v>
      </x:c>
      <x:c r="C179" s="2" t="str">
        <x:v>저활용 제외 검토</x:v>
      </x:c>
      <x:c r="D179" s="2" t="str">
        <x:v>중간</x:v>
      </x:c>
      <x:c r="E179" s="2" t="str">
        <x:v>N2</x:v>
      </x:c>
      <x:c r="F179" s="10" t="n">
        <x:v>79</x:v>
      </x:c>
      <x:c r="G179" s="2" t="str">
        <x:v>w_837681aeccee5dd7</x:v>
      </x:c>
      <x:c r="H179" s="2" t="str">
        <x:v>寒帯</x:v>
      </x:c>
      <x:c r="I179" s="2" t="str">
        <x:v>かんたい</x:v>
      </x:c>
      <x:c r="J179" s="8" t="str">
        <x:v>한대</x:v>
      </x:c>
      <x:c r="K179" s="2" t="str">
        <x:v>noun</x:v>
      </x:c>
      <x:c r="L179" s="9" t="n">
        <x:v>1.76</x:v>
      </x:c>
      <x:c r="M179" s="2" t="str">
        <x:v>없음</x:v>
      </x:c>
      <x:c r="N179" s="11" t="n">
        <x:v>44</x:v>
      </x:c>
      <x:c r="O179" s="8" t="str">
        <x:v>일반 사용 빈도 매우 낮음(Zipf ≤ 2.0); 검증된 예문 없음; JMdict 우선 어휘 표지 없음</x:v>
      </x:c>
      <x:c r="P179" s="8" t="str">
        <x:v>frequency_le_2_0,no_example,no_jmdict_priority</x:v>
      </x:c>
      <x:c r="Q179" s="2" t="str"/>
      <x:c r="R179" s="2" t="str"/>
      <x:c r="S179" s="2" t="str"/>
      <x:c r="T179" s="2" t="str"/>
      <x:c r="U179" s="2" t="str"/>
      <x:c r="V179" s="2" t="str">
        <x:v>아니오</x:v>
      </x:c>
      <x:c r="W179" s="2" t="str">
        <x:v>예</x:v>
      </x:c>
      <x:c r="X179" s="2" t="str"/>
      <x:c r="Y179" s="2" t="n">
        <x:v>0</x:v>
      </x:c>
      <x:c r="Z179" s="2" t="str"/>
      <x:c r="AA179" s="2" t="n">
        <x:v>0</x:v>
      </x:c>
      <x:c r="AB179" s="8" t="str"/>
      <x:c r="AC179" s="8" t="str"/>
      <x:c r="AD179" s="8" t="str">
        <x:v>["ko-reviewed"]</x:v>
      </x:c>
      <x:c r="AE179" s="8" t="str">
        <x:v>검토 필요</x:v>
      </x:c>
      <x:c r="AF179" s="8" t="str"/>
    </x:row>
    <x:row r="180">
      <x:c r="A180" s="10" t="n">
        <x:v>179</x:v>
      </x:c>
      <x:c r="B180" s="2" t="str">
        <x:v>1차 검토 후보</x:v>
      </x:c>
      <x:c r="C180" s="2" t="str">
        <x:v>저활용 제외 검토</x:v>
      </x:c>
      <x:c r="D180" s="2" t="str">
        <x:v>중간</x:v>
      </x:c>
      <x:c r="E180" s="2" t="str">
        <x:v>N1</x:v>
      </x:c>
      <x:c r="F180" s="10" t="n">
        <x:v>53</x:v>
      </x:c>
      <x:c r="G180" s="2" t="str">
        <x:v>w_58e7dc3697f3b7ef</x:v>
      </x:c>
      <x:c r="H180" s="2" t="str">
        <x:v>へりくだる</x:v>
      </x:c>
      <x:c r="I180" s="2" t="str">
        <x:v>へりくだる</x:v>
      </x:c>
      <x:c r="J180" s="8" t="str">
        <x:v>겸손하게 굴다</x:v>
      </x:c>
      <x:c r="K180" s="2" t="str">
        <x:v>verb</x:v>
      </x:c>
      <x:c r="L180" s="9" t="n">
        <x:v>1.79</x:v>
      </x:c>
      <x:c r="M180" s="2" t="str">
        <x:v>없음</x:v>
      </x:c>
      <x:c r="N180" s="11" t="n">
        <x:v>44</x:v>
      </x:c>
      <x:c r="O180" s="8" t="str">
        <x:v>일반 사용 빈도 매우 낮음(Zipf ≤ 2.0); 검증된 예문 없음; JMdict 우선 어휘 표지 없음</x:v>
      </x:c>
      <x:c r="P180" s="8" t="str">
        <x:v>frequency_le_2_0,no_example,no_jmdict_priority</x:v>
      </x:c>
      <x:c r="Q180" s="2" t="str"/>
      <x:c r="R180" s="2" t="str"/>
      <x:c r="S180" s="2" t="str"/>
      <x:c r="T180" s="2" t="str"/>
      <x:c r="U180" s="2" t="str"/>
      <x:c r="V180" s="2" t="str">
        <x:v>아니오</x:v>
      </x:c>
      <x:c r="W180" s="2" t="str">
        <x:v>아니오</x:v>
      </x:c>
      <x:c r="X180" s="2" t="str"/>
      <x:c r="Y180" s="2" t="n">
        <x:v>0</x:v>
      </x:c>
      <x:c r="Z180" s="2" t="str"/>
      <x:c r="AA180" s="2" t="n">
        <x:v>0</x:v>
      </x:c>
      <x:c r="AB180" s="8" t="str"/>
      <x:c r="AC180" s="8" t="str"/>
      <x:c r="AD180" s="8" t="str">
        <x:v>["ko-reviewed"]</x:v>
      </x:c>
      <x:c r="AE180" s="8" t="str">
        <x:v>검토 필요</x:v>
      </x:c>
      <x:c r="AF180" s="8" t="str"/>
    </x:row>
    <x:row r="181">
      <x:c r="A181" s="10" t="n">
        <x:v>180</x:v>
      </x:c>
      <x:c r="B181" s="2" t="str">
        <x:v>1차 검토 후보</x:v>
      </x:c>
      <x:c r="C181" s="2" t="str">
        <x:v>저활용 제외 검토</x:v>
      </x:c>
      <x:c r="D181" s="2" t="str">
        <x:v>중간</x:v>
      </x:c>
      <x:c r="E181" s="2" t="str">
        <x:v>N2</x:v>
      </x:c>
      <x:c r="F181" s="10" t="n">
        <x:v>80</x:v>
      </x:c>
      <x:c r="G181" s="2" t="str">
        <x:v>w_53cc9946cf9a22e6</x:v>
      </x:c>
      <x:c r="H181" s="2" t="str">
        <x:v>ごめんください</x:v>
      </x:c>
      <x:c r="I181" s="2" t="str">
        <x:v>ごめんください</x:v>
      </x:c>
      <x:c r="J181" s="8" t="str">
        <x:v>실례합니다, 계십니까</x:v>
      </x:c>
      <x:c r="K181" s="2" t="str">
        <x:v>expression</x:v>
      </x:c>
      <x:c r="L181" s="9" t="n">
        <x:v>1.8</x:v>
      </x:c>
      <x:c r="M181" s="2" t="str">
        <x:v>없음</x:v>
      </x:c>
      <x:c r="N181" s="11" t="n">
        <x:v>44</x:v>
      </x:c>
      <x:c r="O181" s="8" t="str">
        <x:v>일반 사용 빈도 매우 낮음(Zipf ≤ 2.0); 검증된 예문 없음; JMdict 우선 어휘 표지 없음</x:v>
      </x:c>
      <x:c r="P181" s="8" t="str">
        <x:v>frequency_le_2_0,no_example,no_jmdict_priority</x:v>
      </x:c>
      <x:c r="Q181" s="2" t="str"/>
      <x:c r="R181" s="2" t="str"/>
      <x:c r="S181" s="2" t="str"/>
      <x:c r="T181" s="2" t="str"/>
      <x:c r="U181" s="2" t="str"/>
      <x:c r="V181" s="2" t="str">
        <x:v>아니오</x:v>
      </x:c>
      <x:c r="W181" s="2" t="str">
        <x:v>아니오</x:v>
      </x:c>
      <x:c r="X181" s="2" t="str"/>
      <x:c r="Y181" s="2" t="n">
        <x:v>0</x:v>
      </x:c>
      <x:c r="Z181" s="2" t="str"/>
      <x:c r="AA181" s="2" t="n">
        <x:v>0</x:v>
      </x:c>
      <x:c r="AB181" s="8" t="str"/>
      <x:c r="AC181" s="8" t="str"/>
      <x:c r="AD181" s="8" t="str">
        <x:v>["ko-reviewed"]</x:v>
      </x:c>
      <x:c r="AE181" s="8" t="str">
        <x:v>검토 필요</x:v>
      </x:c>
      <x:c r="AF181" s="8" t="str"/>
    </x:row>
    <x:row r="182">
      <x:c r="A182" s="10" t="n">
        <x:v>181</x:v>
      </x:c>
      <x:c r="B182" s="2" t="str">
        <x:v>1차 검토 후보</x:v>
      </x:c>
      <x:c r="C182" s="2" t="str">
        <x:v>저활용 제외 검토</x:v>
      </x:c>
      <x:c r="D182" s="2" t="str">
        <x:v>중간</x:v>
      </x:c>
      <x:c r="E182" s="2" t="str">
        <x:v>N1</x:v>
      </x:c>
      <x:c r="F182" s="10" t="n">
        <x:v>54</x:v>
      </x:c>
      <x:c r="G182" s="2" t="str">
        <x:v>w_6836fd47438485b3</x:v>
      </x:c>
      <x:c r="H182" s="2" t="str">
        <x:v>吊り革</x:v>
      </x:c>
      <x:c r="I182" s="2" t="str">
        <x:v>つりかわ</x:v>
      </x:c>
      <x:c r="J182" s="8" t="str">
        <x:v>(전철) 손잡이</x:v>
      </x:c>
      <x:c r="K182" s="2" t="str">
        <x:v>noun</x:v>
      </x:c>
      <x:c r="L182" s="9" t="n">
        <x:v>1.83</x:v>
      </x:c>
      <x:c r="M182" s="2" t="str">
        <x:v>없음</x:v>
      </x:c>
      <x:c r="N182" s="11" t="n">
        <x:v>44</x:v>
      </x:c>
      <x:c r="O182" s="8" t="str">
        <x:v>일반 사용 빈도 매우 낮음(Zipf ≤ 2.0); 검증된 예문 없음; JMdict 우선 어휘 표지 없음</x:v>
      </x:c>
      <x:c r="P182" s="8" t="str">
        <x:v>frequency_le_2_0,no_example,no_jmdict_priority</x:v>
      </x:c>
      <x:c r="Q182" s="2" t="str"/>
      <x:c r="R182" s="2" t="str"/>
      <x:c r="S182" s="2" t="str"/>
      <x:c r="T182" s="2" t="str"/>
      <x:c r="U182" s="2" t="str"/>
      <x:c r="V182" s="2" t="str">
        <x:v>아니오</x:v>
      </x:c>
      <x:c r="W182" s="2" t="str">
        <x:v>예</x:v>
      </x:c>
      <x:c r="X182" s="2" t="str"/>
      <x:c r="Y182" s="2" t="n">
        <x:v>0</x:v>
      </x:c>
      <x:c r="Z182" s="2" t="str"/>
      <x:c r="AA182" s="2" t="n">
        <x:v>0</x:v>
      </x:c>
      <x:c r="AB182" s="8" t="str"/>
      <x:c r="AC182" s="8" t="str"/>
      <x:c r="AD182" s="8" t="str">
        <x:v>["ko-reviewed"]</x:v>
      </x:c>
      <x:c r="AE182" s="8" t="str">
        <x:v>검토 필요</x:v>
      </x:c>
      <x:c r="AF182" s="8" t="str"/>
    </x:row>
    <x:row r="183">
      <x:c r="A183" s="10" t="n">
        <x:v>182</x:v>
      </x:c>
      <x:c r="B183" s="2" t="str">
        <x:v>1차 검토 후보</x:v>
      </x:c>
      <x:c r="C183" s="2" t="str">
        <x:v>저활용 제외 검토</x:v>
      </x:c>
      <x:c r="D183" s="2" t="str">
        <x:v>중간</x:v>
      </x:c>
      <x:c r="E183" s="2" t="str">
        <x:v>N1</x:v>
      </x:c>
      <x:c r="F183" s="10" t="n">
        <x:v>55</x:v>
      </x:c>
      <x:c r="G183" s="2" t="str">
        <x:v>w_e740ff488d8fb2ff</x:v>
      </x:c>
      <x:c r="H183" s="2" t="str">
        <x:v>纏まり</x:v>
      </x:c>
      <x:c r="I183" s="2" t="str">
        <x:v>まとまり</x:v>
      </x:c>
      <x:c r="J183" s="8" t="str">
        <x:v>정리됨, 통일성, 짜임새</x:v>
      </x:c>
      <x:c r="K183" s="2" t="str">
        <x:v>noun</x:v>
      </x:c>
      <x:c r="L183" s="9" t="n">
        <x:v>2.02</x:v>
      </x:c>
      <x:c r="M183" s="2" t="str">
        <x:v>없음</x:v>
      </x:c>
      <x:c r="N183" s="11" t="n">
        <x:v>43</x:v>
      </x:c>
      <x:c r="O183" s="8" t="str">
        <x:v>일반 사용 빈도 낮음(Zipf ≤ 2.5); 검증된 예문 없음; JMdict 우선 어휘 표지 없음; 기존 데이터의 한국어 콘텐츠 보강 필요 태그</x:v>
      </x:c>
      <x:c r="P183" s="8" t="str">
        <x:v>frequency_le_2_5,no_example,no_jmdict_priority,weak_legacy_content</x:v>
      </x:c>
      <x:c r="Q183" s="2" t="str"/>
      <x:c r="R183" s="2" t="str"/>
      <x:c r="S183" s="2" t="str"/>
      <x:c r="T183" s="2" t="str"/>
      <x:c r="U183" s="2" t="str"/>
      <x:c r="V183" s="2" t="str">
        <x:v>아니오</x:v>
      </x:c>
      <x:c r="W183" s="2" t="str">
        <x:v>예</x:v>
      </x:c>
      <x:c r="X183" s="2" t="str"/>
      <x:c r="Y183" s="2" t="n">
        <x:v>0</x:v>
      </x:c>
      <x:c r="Z183" s="2" t="str"/>
      <x:c r="AA183" s="2" t="n">
        <x:v>0</x:v>
      </x:c>
      <x:c r="AB183" s="8" t="str">
        <x:v>word usually written using kana alone</x:v>
      </x:c>
      <x:c r="AC183" s="8" t="str"/>
      <x:c r="AD183" s="8" t="str">
        <x:v>["draft-ko-missing"]</x:v>
      </x:c>
      <x:c r="AE183" s="8" t="str">
        <x:v>검토 필요</x:v>
      </x:c>
      <x:c r="AF183" s="8" t="str"/>
    </x:row>
    <x:row r="184">
      <x:c r="A184" s="10" t="n">
        <x:v>183</x:v>
      </x:c>
      <x:c r="B184" s="2" t="str">
        <x:v>1차 검토 후보</x:v>
      </x:c>
      <x:c r="C184" s="2" t="str">
        <x:v>저활용 제외 검토</x:v>
      </x:c>
      <x:c r="D184" s="2" t="str">
        <x:v>중간</x:v>
      </x:c>
      <x:c r="E184" s="2" t="str">
        <x:v>N1</x:v>
      </x:c>
      <x:c r="F184" s="10" t="n">
        <x:v>56</x:v>
      </x:c>
      <x:c r="G184" s="2" t="str">
        <x:v>w_22505daebb227709</x:v>
      </x:c>
      <x:c r="H184" s="2" t="str">
        <x:v>むしる</x:v>
      </x:c>
      <x:c r="I184" s="2" t="str">
        <x:v>むしる</x:v>
      </x:c>
      <x:c r="J184" s="8" t="str">
        <x:v>쥐어뜯다, 잡아 뽑다</x:v>
      </x:c>
      <x:c r="K184" s="2" t="str">
        <x:v>verb</x:v>
      </x:c>
      <x:c r="L184" s="9" t="n">
        <x:v>2.03</x:v>
      </x:c>
      <x:c r="M184" s="2" t="str">
        <x:v>없음</x:v>
      </x:c>
      <x:c r="N184" s="11" t="n">
        <x:v>43</x:v>
      </x:c>
      <x:c r="O184" s="8" t="str">
        <x:v>일반 사용 빈도 낮음(Zipf ≤ 2.5); 검증된 예문 없음; JMdict 우선 어휘 표지 없음; 기존 데이터의 한국어 콘텐츠 보강 필요 태그</x:v>
      </x:c>
      <x:c r="P184" s="8" t="str">
        <x:v>frequency_le_2_5,no_example,no_jmdict_priority,weak_legacy_content</x:v>
      </x:c>
      <x:c r="Q184" s="2" t="str"/>
      <x:c r="R184" s="2" t="str"/>
      <x:c r="S184" s="2" t="str"/>
      <x:c r="T184" s="2" t="str"/>
      <x:c r="U184" s="2" t="str"/>
      <x:c r="V184" s="2" t="str">
        <x:v>아니오</x:v>
      </x:c>
      <x:c r="W184" s="2" t="str">
        <x:v>아니오</x:v>
      </x:c>
      <x:c r="X184" s="2" t="str"/>
      <x:c r="Y184" s="2" t="n">
        <x:v>0</x:v>
      </x:c>
      <x:c r="Z184" s="2" t="str"/>
      <x:c r="AA184" s="2" t="n">
        <x:v>0</x:v>
      </x:c>
      <x:c r="AB184" s="8" t="str"/>
      <x:c r="AC184" s="8" t="str"/>
      <x:c r="AD184" s="8" t="str">
        <x:v>["draft-ko-missing"]</x:v>
      </x:c>
      <x:c r="AE184" s="8" t="str">
        <x:v>검토 필요</x:v>
      </x:c>
      <x:c r="AF184" s="8" t="str"/>
    </x:row>
    <x:row r="185">
      <x:c r="A185" s="10" t="n">
        <x:v>184</x:v>
      </x:c>
      <x:c r="B185" s="2" t="str">
        <x:v>1차 검토 후보</x:v>
      </x:c>
      <x:c r="C185" s="2" t="str">
        <x:v>저활용 제외 검토</x:v>
      </x:c>
      <x:c r="D185" s="2" t="str">
        <x:v>중간</x:v>
      </x:c>
      <x:c r="E185" s="2" t="str">
        <x:v>N1</x:v>
      </x:c>
      <x:c r="F185" s="10" t="n">
        <x:v>57</x:v>
      </x:c>
      <x:c r="G185" s="2" t="str">
        <x:v>w_49b1b9da6abfc4b4</x:v>
      </x:c>
      <x:c r="H185" s="2" t="str">
        <x:v>イェス</x:v>
      </x:c>
      <x:c r="I185" s="2" t="str">
        <x:v>イェス</x:v>
      </x:c>
      <x:c r="J185" s="8" t="str">
        <x:v>네, 예</x:v>
      </x:c>
      <x:c r="K185" s="2" t="str">
        <x:v>interjection</x:v>
      </x:c>
      <x:c r="L185" s="9" t="n">
        <x:v>2.05</x:v>
      </x:c>
      <x:c r="M185" s="2" t="str">
        <x:v>없음</x:v>
      </x:c>
      <x:c r="N185" s="11" t="n">
        <x:v>43</x:v>
      </x:c>
      <x:c r="O185" s="8" t="str">
        <x:v>일반 사용 빈도 낮음(Zipf ≤ 2.5); 검증된 예문 없음; JMdict 우선 어휘 표지 없음; 기존 데이터의 한국어 콘텐츠 보강 필요 태그</x:v>
      </x:c>
      <x:c r="P185" s="8" t="str">
        <x:v>frequency_le_2_5,no_example,no_jmdict_priority,weak_legacy_content</x:v>
      </x:c>
      <x:c r="Q185" s="2" t="str"/>
      <x:c r="R185" s="2" t="str"/>
      <x:c r="S185" s="2" t="str"/>
      <x:c r="T185" s="2" t="str"/>
      <x:c r="U185" s="2" t="str"/>
      <x:c r="V185" s="2" t="str">
        <x:v>아니오</x:v>
      </x:c>
      <x:c r="W185" s="2" t="str">
        <x:v>예</x:v>
      </x:c>
      <x:c r="X185" s="2" t="str"/>
      <x:c r="Y185" s="2" t="n">
        <x:v>0</x:v>
      </x:c>
      <x:c r="Z185" s="2" t="str"/>
      <x:c r="AA185" s="2" t="n">
        <x:v>0</x:v>
      </x:c>
      <x:c r="AB185" s="8" t="str"/>
      <x:c r="AC185" s="8" t="str"/>
      <x:c r="AD185" s="8" t="str">
        <x:v>["draft-ko-missing"]</x:v>
      </x:c>
      <x:c r="AE185" s="8" t="str">
        <x:v>검토 필요</x:v>
      </x:c>
      <x:c r="AF185" s="8" t="str"/>
    </x:row>
    <x:row r="186">
      <x:c r="A186" s="10" t="n">
        <x:v>185</x:v>
      </x:c>
      <x:c r="B186" s="2" t="str">
        <x:v>1차 검토 후보</x:v>
      </x:c>
      <x:c r="C186" s="2" t="str">
        <x:v>저활용 제외 검토</x:v>
      </x:c>
      <x:c r="D186" s="2" t="str">
        <x:v>중간</x:v>
      </x:c>
      <x:c r="E186" s="2" t="str">
        <x:v>N1</x:v>
      </x:c>
      <x:c r="F186" s="10" t="n">
        <x:v>58</x:v>
      </x:c>
      <x:c r="G186" s="2" t="str">
        <x:v>w_fd8de04bcf7491cf</x:v>
      </x:c>
      <x:c r="H186" s="2" t="str">
        <x:v>謝絶</x:v>
      </x:c>
      <x:c r="I186" s="2" t="str">
        <x:v>しゃぜつ</x:v>
      </x:c>
      <x:c r="J186" s="8" t="str">
        <x:v>거절</x:v>
      </x:c>
      <x:c r="K186" s="2" t="str">
        <x:v>noun</x:v>
      </x:c>
      <x:c r="L186" s="9" t="n">
        <x:v>2.08</x:v>
      </x:c>
      <x:c r="M186" s="2" t="str">
        <x:v>없음</x:v>
      </x:c>
      <x:c r="N186" s="11" t="n">
        <x:v>43</x:v>
      </x:c>
      <x:c r="O186" s="8" t="str">
        <x:v>일반 사용 빈도 낮음(Zipf ≤ 2.5); 검증된 예문 없음; JMdict 우선 어휘 표지 없음; 기존 데이터의 한국어 콘텐츠 보강 필요 태그</x:v>
      </x:c>
      <x:c r="P186" s="8" t="str">
        <x:v>frequency_le_2_5,no_example,no_jmdict_priority,weak_legacy_content</x:v>
      </x:c>
      <x:c r="Q186" s="2" t="str"/>
      <x:c r="R186" s="2" t="str"/>
      <x:c r="S186" s="2" t="str"/>
      <x:c r="T186" s="2" t="str"/>
      <x:c r="U186" s="2" t="str"/>
      <x:c r="V186" s="2" t="str">
        <x:v>아니오</x:v>
      </x:c>
      <x:c r="W186" s="2" t="str">
        <x:v>예</x:v>
      </x:c>
      <x:c r="X186" s="2" t="str"/>
      <x:c r="Y186" s="2" t="n">
        <x:v>0</x:v>
      </x:c>
      <x:c r="Z186" s="2" t="str"/>
      <x:c r="AA186" s="2" t="n">
        <x:v>0</x:v>
      </x:c>
      <x:c r="AB186" s="8" t="str"/>
      <x:c r="AC186" s="8" t="str"/>
      <x:c r="AD186" s="8" t="str">
        <x:v>["draft-ko-missing"]</x:v>
      </x:c>
      <x:c r="AE186" s="8" t="str">
        <x:v>검토 필요</x:v>
      </x:c>
      <x:c r="AF186" s="8" t="str"/>
    </x:row>
    <x:row r="187">
      <x:c r="A187" s="10" t="n">
        <x:v>186</x:v>
      </x:c>
      <x:c r="B187" s="2" t="str">
        <x:v>1차 검토 후보</x:v>
      </x:c>
      <x:c r="C187" s="2" t="str">
        <x:v>저활용 제외 검토</x:v>
      </x:c>
      <x:c r="D187" s="2" t="str">
        <x:v>중간</x:v>
      </x:c>
      <x:c r="E187" s="2" t="str">
        <x:v>N1</x:v>
      </x:c>
      <x:c r="F187" s="10" t="n">
        <x:v>59</x:v>
      </x:c>
      <x:c r="G187" s="2" t="str">
        <x:v>w_0076e56c5517d460</x:v>
      </x:c>
      <x:c r="H187" s="2" t="str">
        <x:v>進度</x:v>
      </x:c>
      <x:c r="I187" s="2" t="str">
        <x:v>しんど</x:v>
      </x:c>
      <x:c r="J187" s="8" t="str">
        <x:v>진도</x:v>
      </x:c>
      <x:c r="K187" s="2" t="str">
        <x:v>noun</x:v>
      </x:c>
      <x:c r="L187" s="9" t="n">
        <x:v>2.11</x:v>
      </x:c>
      <x:c r="M187" s="2" t="str">
        <x:v>없음</x:v>
      </x:c>
      <x:c r="N187" s="11" t="n">
        <x:v>43</x:v>
      </x:c>
      <x:c r="O187" s="8" t="str">
        <x:v>일반 사용 빈도 낮음(Zipf ≤ 2.5); 검증된 예문 없음; JMdict 우선 어휘 표지 없음; 기존 데이터의 한국어 콘텐츠 보강 필요 태그</x:v>
      </x:c>
      <x:c r="P187" s="8" t="str">
        <x:v>frequency_le_2_5,no_example,no_jmdict_priority,weak_legacy_content</x:v>
      </x:c>
      <x:c r="Q187" s="2" t="str"/>
      <x:c r="R187" s="2" t="str"/>
      <x:c r="S187" s="2" t="str"/>
      <x:c r="T187" s="2" t="str"/>
      <x:c r="U187" s="2" t="str"/>
      <x:c r="V187" s="2" t="str">
        <x:v>아니오</x:v>
      </x:c>
      <x:c r="W187" s="2" t="str">
        <x:v>예</x:v>
      </x:c>
      <x:c r="X187" s="2" t="str"/>
      <x:c r="Y187" s="2" t="n">
        <x:v>0</x:v>
      </x:c>
      <x:c r="Z187" s="2" t="str"/>
      <x:c r="AA187" s="2" t="n">
        <x:v>0</x:v>
      </x:c>
      <x:c r="AB187" s="8" t="str"/>
      <x:c r="AC187" s="8" t="str"/>
      <x:c r="AD187" s="8" t="str">
        <x:v>["draft-ko-missing"]</x:v>
      </x:c>
      <x:c r="AE187" s="8" t="str">
        <x:v>검토 필요</x:v>
      </x:c>
      <x:c r="AF187" s="8" t="str"/>
    </x:row>
    <x:row r="188">
      <x:c r="A188" s="10" t="n">
        <x:v>187</x:v>
      </x:c>
      <x:c r="B188" s="2" t="str">
        <x:v>1차 검토 후보</x:v>
      </x:c>
      <x:c r="C188" s="2" t="str">
        <x:v>저활용 제외 검토</x:v>
      </x:c>
      <x:c r="D188" s="2" t="str">
        <x:v>중간</x:v>
      </x:c>
      <x:c r="E188" s="2" t="str">
        <x:v>N1</x:v>
      </x:c>
      <x:c r="F188" s="10" t="n">
        <x:v>60</x:v>
      </x:c>
      <x:c r="G188" s="2" t="str">
        <x:v>w_c062f1fced55c802</x:v>
      </x:c>
      <x:c r="H188" s="2" t="str">
        <x:v>賜る</x:v>
      </x:c>
      <x:c r="I188" s="2" t="str">
        <x:v>たまわる</x:v>
      </x:c>
      <x:c r="J188" s="8" t="str">
        <x:v>허가하다, 주다</x:v>
      </x:c>
      <x:c r="K188" s="2" t="str">
        <x:v>verb</x:v>
      </x:c>
      <x:c r="L188" s="9" t="n">
        <x:v>2.21</x:v>
      </x:c>
      <x:c r="M188" s="2" t="str">
        <x:v>없음</x:v>
      </x:c>
      <x:c r="N188" s="11" t="n">
        <x:v>43</x:v>
      </x:c>
      <x:c r="O188" s="8" t="str">
        <x:v>일반 사용 빈도 낮음(Zipf ≤ 2.5); 검증된 예문 없음; JMdict 우선 어휘 표지 없음; 기존 데이터의 한국어 콘텐츠 보강 필요 태그</x:v>
      </x:c>
      <x:c r="P188" s="8" t="str">
        <x:v>frequency_le_2_5,no_example,no_jmdict_priority,weak_legacy_content</x:v>
      </x:c>
      <x:c r="Q188" s="2" t="str"/>
      <x:c r="R188" s="2" t="str"/>
      <x:c r="S188" s="2" t="str"/>
      <x:c r="T188" s="2" t="str"/>
      <x:c r="U188" s="2" t="str"/>
      <x:c r="V188" s="2" t="str">
        <x:v>아니오</x:v>
      </x:c>
      <x:c r="W188" s="2" t="str">
        <x:v>예</x:v>
      </x:c>
      <x:c r="X188" s="2" t="str"/>
      <x:c r="Y188" s="2" t="n">
        <x:v>0</x:v>
      </x:c>
      <x:c r="Z188" s="2" t="str"/>
      <x:c r="AA188" s="2" t="n">
        <x:v>0</x:v>
      </x:c>
      <x:c r="AB188" s="8" t="str">
        <x:v>honorific or respectful (sonkeigo) language | humble (kenjougo) language</x:v>
      </x:c>
      <x:c r="AC188" s="8" t="str"/>
      <x:c r="AD188" s="8" t="str">
        <x:v>["draft-ko-missing"]</x:v>
      </x:c>
      <x:c r="AE188" s="8" t="str">
        <x:v>검토 필요</x:v>
      </x:c>
      <x:c r="AF188" s="8" t="str"/>
    </x:row>
    <x:row r="189">
      <x:c r="A189" s="10" t="n">
        <x:v>188</x:v>
      </x:c>
      <x:c r="B189" s="2" t="str">
        <x:v>1차 검토 후보</x:v>
      </x:c>
      <x:c r="C189" s="2" t="str">
        <x:v>저활용 제외 검토</x:v>
      </x:c>
      <x:c r="D189" s="2" t="str">
        <x:v>중간</x:v>
      </x:c>
      <x:c r="E189" s="2" t="str">
        <x:v>N2</x:v>
      </x:c>
      <x:c r="F189" s="10" t="n">
        <x:v>81</x:v>
      </x:c>
      <x:c r="G189" s="2" t="str">
        <x:v>w_463b73e9be94bc29</x:v>
      </x:c>
      <x:c r="H189" s="2" t="str">
        <x:v>しぼむ</x:v>
      </x:c>
      <x:c r="I189" s="2" t="str">
        <x:v>しぼむ</x:v>
      </x:c>
      <x:c r="J189" s="8" t="str">
        <x:v>시들다, 쪼그라들다</x:v>
      </x:c>
      <x:c r="K189" s="2" t="str">
        <x:v>verb</x:v>
      </x:c>
      <x:c r="L189" s="9" t="n">
        <x:v>2.22</x:v>
      </x:c>
      <x:c r="M189" s="2" t="str">
        <x:v>없음</x:v>
      </x:c>
      <x:c r="N189" s="11" t="n">
        <x:v>43</x:v>
      </x:c>
      <x:c r="O189" s="8" t="str">
        <x:v>일반 사용 빈도 낮음(Zipf ≤ 2.5); 검증된 예문 없음; JMdict 우선 어휘 표지 없음; 기존 데이터의 한국어 콘텐츠 보강 필요 태그</x:v>
      </x:c>
      <x:c r="P189" s="8" t="str">
        <x:v>frequency_le_2_5,no_example,no_jmdict_priority,weak_legacy_content</x:v>
      </x:c>
      <x:c r="Q189" s="2" t="str"/>
      <x:c r="R189" s="2" t="str"/>
      <x:c r="S189" s="2" t="str"/>
      <x:c r="T189" s="2" t="str"/>
      <x:c r="U189" s="2" t="str"/>
      <x:c r="V189" s="2" t="str">
        <x:v>아니오</x:v>
      </x:c>
      <x:c r="W189" s="2" t="str">
        <x:v>아니오</x:v>
      </x:c>
      <x:c r="X189" s="2" t="str"/>
      <x:c r="Y189" s="2" t="n">
        <x:v>0</x:v>
      </x:c>
      <x:c r="Z189" s="2" t="str"/>
      <x:c r="AA189" s="2" t="n">
        <x:v>0</x:v>
      </x:c>
      <x:c r="AB189" s="8" t="str"/>
      <x:c r="AC189" s="8" t="str"/>
      <x:c r="AD189" s="8" t="str">
        <x:v>["draft-ko-missing"]</x:v>
      </x:c>
      <x:c r="AE189" s="8" t="str">
        <x:v>검토 필요</x:v>
      </x:c>
      <x:c r="AF189" s="8" t="str"/>
    </x:row>
    <x:row r="190">
      <x:c r="A190" s="10" t="n">
        <x:v>189</x:v>
      </x:c>
      <x:c r="B190" s="2" t="str">
        <x:v>1차 검토 후보</x:v>
      </x:c>
      <x:c r="C190" s="2" t="str">
        <x:v>저활용 제외 검토</x:v>
      </x:c>
      <x:c r="D190" s="2" t="str">
        <x:v>중간</x:v>
      </x:c>
      <x:c r="E190" s="2" t="str">
        <x:v>N1</x:v>
      </x:c>
      <x:c r="F190" s="10" t="n">
        <x:v>61</x:v>
      </x:c>
      <x:c r="G190" s="2" t="str">
        <x:v>w_5046fc7a902c0eeb</x:v>
      </x:c>
      <x:c r="H190" s="2" t="str">
        <x:v>浅ましい</x:v>
      </x:c>
      <x:c r="I190" s="2" t="str">
        <x:v>あさましい</x:v>
      </x:c>
      <x:c r="J190" s="8" t="str">
        <x:v>비열하다, 한심하다</x:v>
      </x:c>
      <x:c r="K190" s="2" t="str">
        <x:v>adjective</x:v>
      </x:c>
      <x:c r="L190" s="9" t="n">
        <x:v>2.24</x:v>
      </x:c>
      <x:c r="M190" s="2" t="str">
        <x:v>없음</x:v>
      </x:c>
      <x:c r="N190" s="11" t="n">
        <x:v>43</x:v>
      </x:c>
      <x:c r="O190" s="8" t="str">
        <x:v>일반 사용 빈도 낮음(Zipf ≤ 2.5); 검증된 예문 없음; JMdict 우선 어휘 표지 없음; 기존 데이터의 한국어 콘텐츠 보강 필요 태그</x:v>
      </x:c>
      <x:c r="P190" s="8" t="str">
        <x:v>frequency_le_2_5,no_example,no_jmdict_priority,weak_legacy_content</x:v>
      </x:c>
      <x:c r="Q190" s="2" t="str"/>
      <x:c r="R190" s="2" t="str"/>
      <x:c r="S190" s="2" t="str"/>
      <x:c r="T190" s="2" t="str"/>
      <x:c r="U190" s="2" t="str"/>
      <x:c r="V190" s="2" t="str">
        <x:v>아니오</x:v>
      </x:c>
      <x:c r="W190" s="2" t="str">
        <x:v>예</x:v>
      </x:c>
      <x:c r="X190" s="2" t="str"/>
      <x:c r="Y190" s="2" t="n">
        <x:v>0</x:v>
      </x:c>
      <x:c r="Z190" s="2" t="str"/>
      <x:c r="AA190" s="2" t="n">
        <x:v>0</x:v>
      </x:c>
      <x:c r="AB190" s="8" t="str"/>
      <x:c r="AC190" s="8" t="str"/>
      <x:c r="AD190" s="8" t="str">
        <x:v>["draft-ko-missing"]</x:v>
      </x:c>
      <x:c r="AE190" s="8" t="str">
        <x:v>검토 필요</x:v>
      </x:c>
      <x:c r="AF190" s="8" t="str"/>
    </x:row>
    <x:row r="191">
      <x:c r="A191" s="10" t="n">
        <x:v>190</x:v>
      </x:c>
      <x:c r="B191" s="2" t="str">
        <x:v>1차 검토 후보</x:v>
      </x:c>
      <x:c r="C191" s="2" t="str">
        <x:v>저활용 제외 검토</x:v>
      </x:c>
      <x:c r="D191" s="2" t="str">
        <x:v>중간</x:v>
      </x:c>
      <x:c r="E191" s="2" t="str">
        <x:v>N1</x:v>
      </x:c>
      <x:c r="F191" s="10" t="n">
        <x:v>62</x:v>
      </x:c>
      <x:c r="G191" s="2" t="str">
        <x:v>w_824f367e56efc87d</x:v>
      </x:c>
      <x:c r="H191" s="2" t="str">
        <x:v>朽ちる</x:v>
      </x:c>
      <x:c r="I191" s="2" t="str">
        <x:v>くちる</x:v>
      </x:c>
      <x:c r="J191" s="8" t="str">
        <x:v>썩다</x:v>
      </x:c>
      <x:c r="K191" s="2" t="str">
        <x:v>verb</x:v>
      </x:c>
      <x:c r="L191" s="9" t="n">
        <x:v>2.24</x:v>
      </x:c>
      <x:c r="M191" s="2" t="str">
        <x:v>없음</x:v>
      </x:c>
      <x:c r="N191" s="11" t="n">
        <x:v>43</x:v>
      </x:c>
      <x:c r="O191" s="8" t="str">
        <x:v>일반 사용 빈도 낮음(Zipf ≤ 2.5); 검증된 예문 없음; JMdict 우선 어휘 표지 없음; 기존 데이터의 한국어 콘텐츠 보강 필요 태그</x:v>
      </x:c>
      <x:c r="P191" s="8" t="str">
        <x:v>frequency_le_2_5,no_example,no_jmdict_priority,weak_legacy_content</x:v>
      </x:c>
      <x:c r="Q191" s="2" t="str"/>
      <x:c r="R191" s="2" t="str"/>
      <x:c r="S191" s="2" t="str"/>
      <x:c r="T191" s="2" t="str"/>
      <x:c r="U191" s="2" t="str"/>
      <x:c r="V191" s="2" t="str">
        <x:v>아니오</x:v>
      </x:c>
      <x:c r="W191" s="2" t="str">
        <x:v>예</x:v>
      </x:c>
      <x:c r="X191" s="2" t="str"/>
      <x:c r="Y191" s="2" t="n">
        <x:v>0</x:v>
      </x:c>
      <x:c r="Z191" s="2" t="str"/>
      <x:c r="AA191" s="2" t="n">
        <x:v>0</x:v>
      </x:c>
      <x:c r="AB191" s="8" t="str">
        <x:v>often in neg.</x:v>
      </x:c>
      <x:c r="AC191" s="8" t="str"/>
      <x:c r="AD191" s="8" t="str">
        <x:v>["draft-ko-missing"]</x:v>
      </x:c>
      <x:c r="AE191" s="8" t="str">
        <x:v>검토 필요</x:v>
      </x:c>
      <x:c r="AF191" s="8" t="str"/>
    </x:row>
    <x:row r="192">
      <x:c r="A192" s="10" t="n">
        <x:v>191</x:v>
      </x:c>
      <x:c r="B192" s="2" t="str">
        <x:v>1차 검토 후보</x:v>
      </x:c>
      <x:c r="C192" s="2" t="str">
        <x:v>저활용 제외 검토</x:v>
      </x:c>
      <x:c r="D192" s="2" t="str">
        <x:v>중간</x:v>
      </x:c>
      <x:c r="E192" s="2" t="str">
        <x:v>N1</x:v>
      </x:c>
      <x:c r="F192" s="10" t="n">
        <x:v>63</x:v>
      </x:c>
      <x:c r="G192" s="2" t="str">
        <x:v>w_f0d163848d3fa09e</x:v>
      </x:c>
      <x:c r="H192" s="2" t="str">
        <x:v>違える</x:v>
      </x:c>
      <x:c r="I192" s="2" t="str">
        <x:v>ちがえる</x:v>
      </x:c>
      <x:c r="J192" s="8" t="str">
        <x:v>다르게 하다; (삐끗) 접질리다</x:v>
      </x:c>
      <x:c r="K192" s="2" t="str">
        <x:v>verb</x:v>
      </x:c>
      <x:c r="L192" s="9" t="n">
        <x:v>2.31</x:v>
      </x:c>
      <x:c r="M192" s="2" t="str">
        <x:v>없음</x:v>
      </x:c>
      <x:c r="N192" s="11" t="n">
        <x:v>43</x:v>
      </x:c>
      <x:c r="O192" s="8" t="str">
        <x:v>일반 사용 빈도 낮음(Zipf ≤ 2.5); 검증된 예문 없음; JMdict 우선 어휘 표지 없음; 기존 데이터의 한국어 콘텐츠 보강 필요 태그</x:v>
      </x:c>
      <x:c r="P192" s="8" t="str">
        <x:v>frequency_le_2_5,no_example,no_jmdict_priority,weak_legacy_content</x:v>
      </x:c>
      <x:c r="Q192" s="2" t="str"/>
      <x:c r="R192" s="2" t="str"/>
      <x:c r="S192" s="2" t="str"/>
      <x:c r="T192" s="2" t="str"/>
      <x:c r="U192" s="2" t="str"/>
      <x:c r="V192" s="2" t="str">
        <x:v>아니오</x:v>
      </x:c>
      <x:c r="W192" s="2" t="str">
        <x:v>예</x:v>
      </x:c>
      <x:c r="X192" s="2" t="str"/>
      <x:c r="Y192" s="2" t="n">
        <x:v>0</x:v>
      </x:c>
      <x:c r="Z192" s="2" t="str"/>
      <x:c r="AA192" s="2" t="n">
        <x:v>0</x:v>
      </x:c>
      <x:c r="AB192" s="8" t="str"/>
      <x:c r="AC192" s="8" t="str"/>
      <x:c r="AD192" s="8" t="str">
        <x:v>["draft-ko-missing"]</x:v>
      </x:c>
      <x:c r="AE192" s="8" t="str">
        <x:v>검토 필요</x:v>
      </x:c>
      <x:c r="AF192" s="8" t="str"/>
    </x:row>
    <x:row r="193">
      <x:c r="A193" s="10" t="n">
        <x:v>192</x:v>
      </x:c>
      <x:c r="B193" s="2" t="str">
        <x:v>1차 검토 후보</x:v>
      </x:c>
      <x:c r="C193" s="2" t="str">
        <x:v>저활용 제외 검토</x:v>
      </x:c>
      <x:c r="D193" s="2" t="str">
        <x:v>중간</x:v>
      </x:c>
      <x:c r="E193" s="2" t="str">
        <x:v>N1</x:v>
      </x:c>
      <x:c r="F193" s="10" t="n">
        <x:v>64</x:v>
      </x:c>
      <x:c r="G193" s="2" t="str">
        <x:v>w_244b27baa8480151</x:v>
      </x:c>
      <x:c r="H193" s="2" t="str">
        <x:v>すれちがい</x:v>
      </x:c>
      <x:c r="I193" s="2" t="str">
        <x:v>すれちがい</x:v>
      </x:c>
      <x:c r="J193" s="8" t="str">
        <x:v>스쳐 지나감; 엇갈림</x:v>
      </x:c>
      <x:c r="K193" s="2" t="str">
        <x:v>noun</x:v>
      </x:c>
      <x:c r="L193" s="9" t="n">
        <x:v>2.35</x:v>
      </x:c>
      <x:c r="M193" s="2" t="str">
        <x:v>없음</x:v>
      </x:c>
      <x:c r="N193" s="11" t="n">
        <x:v>43</x:v>
      </x:c>
      <x:c r="O193" s="8" t="str">
        <x:v>일반 사용 빈도 낮음(Zipf ≤ 2.5); 검증된 예문 없음; JMdict 우선 어휘 표지 없음; 기존 데이터의 한국어 콘텐츠 보강 필요 태그</x:v>
      </x:c>
      <x:c r="P193" s="8" t="str">
        <x:v>frequency_le_2_5,no_example,no_jmdict_priority,weak_legacy_content</x:v>
      </x:c>
      <x:c r="Q193" s="2" t="str"/>
      <x:c r="R193" s="2" t="str"/>
      <x:c r="S193" s="2" t="str"/>
      <x:c r="T193" s="2" t="str"/>
      <x:c r="U193" s="2" t="str"/>
      <x:c r="V193" s="2" t="str">
        <x:v>아니오</x:v>
      </x:c>
      <x:c r="W193" s="2" t="str">
        <x:v>아니오</x:v>
      </x:c>
      <x:c r="X193" s="2" t="str"/>
      <x:c r="Y193" s="2" t="n">
        <x:v>0</x:v>
      </x:c>
      <x:c r="Z193" s="2" t="str"/>
      <x:c r="AA193" s="2" t="n">
        <x:v>0</x:v>
      </x:c>
      <x:c r="AB193" s="8" t="str"/>
      <x:c r="AC193" s="8" t="str"/>
      <x:c r="AD193" s="8" t="str">
        <x:v>["draft-ko-missing"]</x:v>
      </x:c>
      <x:c r="AE193" s="8" t="str">
        <x:v>검토 필요</x:v>
      </x:c>
      <x:c r="AF193" s="8" t="str"/>
    </x:row>
    <x:row r="194">
      <x:c r="A194" s="10" t="n">
        <x:v>193</x:v>
      </x:c>
      <x:c r="B194" s="2" t="str">
        <x:v>1차 검토 후보</x:v>
      </x:c>
      <x:c r="C194" s="2" t="str">
        <x:v>저활용 제외 검토</x:v>
      </x:c>
      <x:c r="D194" s="2" t="str">
        <x:v>중간</x:v>
      </x:c>
      <x:c r="E194" s="2" t="str">
        <x:v>N1</x:v>
      </x:c>
      <x:c r="F194" s="10" t="n">
        <x:v>65</x:v>
      </x:c>
      <x:c r="G194" s="2" t="str">
        <x:v>w_86772cf44aaa74e8</x:v>
      </x:c>
      <x:c r="H194" s="2" t="str">
        <x:v>吹奏</x:v>
      </x:c>
      <x:c r="I194" s="2" t="str">
        <x:v>すいそう</x:v>
      </x:c>
      <x:c r="J194" s="8" t="str">
        <x:v>취주, 관악 연주</x:v>
      </x:c>
      <x:c r="K194" s="2" t="str">
        <x:v>noun</x:v>
      </x:c>
      <x:c r="L194" s="9" t="n">
        <x:v>2.36</x:v>
      </x:c>
      <x:c r="M194" s="2" t="str">
        <x:v>없음</x:v>
      </x:c>
      <x:c r="N194" s="11" t="n">
        <x:v>43</x:v>
      </x:c>
      <x:c r="O194" s="8" t="str">
        <x:v>일반 사용 빈도 낮음(Zipf ≤ 2.5); 검증된 예문 없음; JMdict 우선 어휘 표지 없음; 기존 데이터의 한국어 콘텐츠 보강 필요 태그</x:v>
      </x:c>
      <x:c r="P194" s="8" t="str">
        <x:v>frequency_le_2_5,no_example,no_jmdict_priority,weak_legacy_content</x:v>
      </x:c>
      <x:c r="Q194" s="2" t="str"/>
      <x:c r="R194" s="2" t="str"/>
      <x:c r="S194" s="2" t="str"/>
      <x:c r="T194" s="2" t="str"/>
      <x:c r="U194" s="2" t="str"/>
      <x:c r="V194" s="2" t="str">
        <x:v>아니오</x:v>
      </x:c>
      <x:c r="W194" s="2" t="str">
        <x:v>예</x:v>
      </x:c>
      <x:c r="X194" s="2" t="str"/>
      <x:c r="Y194" s="2" t="n">
        <x:v>0</x:v>
      </x:c>
      <x:c r="Z194" s="2" t="str"/>
      <x:c r="AA194" s="2" t="n">
        <x:v>0</x:v>
      </x:c>
      <x:c r="AB194" s="8" t="str"/>
      <x:c r="AC194" s="8" t="str"/>
      <x:c r="AD194" s="8" t="str">
        <x:v>["draft-ko-missing"]</x:v>
      </x:c>
      <x:c r="AE194" s="8" t="str">
        <x:v>검토 필요</x:v>
      </x:c>
      <x:c r="AF194" s="8" t="str"/>
    </x:row>
    <x:row r="195">
      <x:c r="A195" s="10" t="n">
        <x:v>194</x:v>
      </x:c>
      <x:c r="B195" s="2" t="str">
        <x:v>1차 검토 후보</x:v>
      </x:c>
      <x:c r="C195" s="2" t="str">
        <x:v>저활용 제외 검토</x:v>
      </x:c>
      <x:c r="D195" s="2" t="str">
        <x:v>중간</x:v>
      </x:c>
      <x:c r="E195" s="2" t="str">
        <x:v>N1</x:v>
      </x:c>
      <x:c r="F195" s="10" t="n">
        <x:v>66</x:v>
      </x:c>
      <x:c r="G195" s="2" t="str">
        <x:v>w_5dcb43ede1c974c9</x:v>
      </x:c>
      <x:c r="H195" s="2" t="str">
        <x:v>擦れる</x:v>
      </x:c>
      <x:c r="I195" s="2" t="str">
        <x:v>すれる</x:v>
      </x:c>
      <x:c r="J195" s="8" t="str">
        <x:v>문지르다, 쓸리다</x:v>
      </x:c>
      <x:c r="K195" s="2" t="str">
        <x:v>verb</x:v>
      </x:c>
      <x:c r="L195" s="9" t="n">
        <x:v>2.38</x:v>
      </x:c>
      <x:c r="M195" s="2" t="str">
        <x:v>없음</x:v>
      </x:c>
      <x:c r="N195" s="11" t="n">
        <x:v>43</x:v>
      </x:c>
      <x:c r="O195" s="8" t="str">
        <x:v>일반 사용 빈도 낮음(Zipf ≤ 2.5); 검증된 예문 없음; JMdict 우선 어휘 표지 없음; 기존 데이터의 한국어 콘텐츠 보강 필요 태그</x:v>
      </x:c>
      <x:c r="P195" s="8" t="str">
        <x:v>frequency_le_2_5,no_example,no_jmdict_priority,weak_legacy_content</x:v>
      </x:c>
      <x:c r="Q195" s="2" t="str"/>
      <x:c r="R195" s="2" t="str"/>
      <x:c r="S195" s="2" t="str"/>
      <x:c r="T195" s="2" t="str"/>
      <x:c r="U195" s="2" t="str"/>
      <x:c r="V195" s="2" t="str">
        <x:v>아니오</x:v>
      </x:c>
      <x:c r="W195" s="2" t="str">
        <x:v>예</x:v>
      </x:c>
      <x:c r="X195" s="2" t="str"/>
      <x:c r="Y195" s="2" t="n">
        <x:v>0</x:v>
      </x:c>
      <x:c r="Z195" s="2" t="str"/>
      <x:c r="AA195" s="2" t="n">
        <x:v>0</x:v>
      </x:c>
      <x:c r="AB195" s="8" t="str"/>
      <x:c r="AC195" s="8" t="str"/>
      <x:c r="AD195" s="8" t="str">
        <x:v>["draft-ko-missing"]</x:v>
      </x:c>
      <x:c r="AE195" s="8" t="str">
        <x:v>검토 필요</x:v>
      </x:c>
      <x:c r="AF195" s="8" t="str"/>
    </x:row>
    <x:row r="196">
      <x:c r="A196" s="10" t="n">
        <x:v>195</x:v>
      </x:c>
      <x:c r="B196" s="2" t="str">
        <x:v>1차 검토 후보</x:v>
      </x:c>
      <x:c r="C196" s="2" t="str">
        <x:v>저활용 제외 검토</x:v>
      </x:c>
      <x:c r="D196" s="2" t="str">
        <x:v>중간</x:v>
      </x:c>
      <x:c r="E196" s="2" t="str">
        <x:v>N1</x:v>
      </x:c>
      <x:c r="F196" s="10" t="n">
        <x:v>67</x:v>
      </x:c>
      <x:c r="G196" s="2" t="str">
        <x:v>w_b5ea7422554eec0c</x:v>
      </x:c>
      <x:c r="H196" s="2" t="str">
        <x:v>焚火</x:v>
      </x:c>
      <x:c r="I196" s="2" t="str">
        <x:v>たきび</x:v>
      </x:c>
      <x:c r="J196" s="8" t="str">
        <x:v>모닥불</x:v>
      </x:c>
      <x:c r="K196" s="2" t="str">
        <x:v>noun</x:v>
      </x:c>
      <x:c r="L196" s="9" t="n">
        <x:v>2.39</x:v>
      </x:c>
      <x:c r="M196" s="2" t="str">
        <x:v>없음</x:v>
      </x:c>
      <x:c r="N196" s="11" t="n">
        <x:v>43</x:v>
      </x:c>
      <x:c r="O196" s="8" t="str">
        <x:v>일반 사용 빈도 낮음(Zipf ≤ 2.5); 검증된 예문 없음; JMdict 우선 어휘 표지 없음; 기존 데이터의 한국어 콘텐츠 보강 필요 태그</x:v>
      </x:c>
      <x:c r="P196" s="8" t="str">
        <x:v>frequency_le_2_5,no_example,no_jmdict_priority,weak_legacy_content</x:v>
      </x:c>
      <x:c r="Q196" s="2" t="str"/>
      <x:c r="R196" s="2" t="str"/>
      <x:c r="S196" s="2" t="str"/>
      <x:c r="T196" s="2" t="str"/>
      <x:c r="U196" s="2" t="str"/>
      <x:c r="V196" s="2" t="str">
        <x:v>아니오</x:v>
      </x:c>
      <x:c r="W196" s="2" t="str">
        <x:v>예</x:v>
      </x:c>
      <x:c r="X196" s="2" t="str"/>
      <x:c r="Y196" s="2" t="n">
        <x:v>0</x:v>
      </x:c>
      <x:c r="Z196" s="2" t="str"/>
      <x:c r="AA196" s="2" t="n">
        <x:v>0</x:v>
      </x:c>
      <x:c r="AB196" s="8" t="str"/>
      <x:c r="AC196" s="8" t="str"/>
      <x:c r="AD196" s="8" t="str">
        <x:v>["draft-ko-missing"]</x:v>
      </x:c>
      <x:c r="AE196" s="8" t="str">
        <x:v>검토 필요</x:v>
      </x:c>
      <x:c r="AF196" s="8" t="str"/>
    </x:row>
    <x:row r="197">
      <x:c r="A197" s="10" t="n">
        <x:v>196</x:v>
      </x:c>
      <x:c r="B197" s="2" t="str">
        <x:v>1차 검토 후보</x:v>
      </x:c>
      <x:c r="C197" s="2" t="str">
        <x:v>저활용 제외 검토</x:v>
      </x:c>
      <x:c r="D197" s="2" t="str">
        <x:v>중간</x:v>
      </x:c>
      <x:c r="E197" s="2" t="str">
        <x:v>N3</x:v>
      </x:c>
      <x:c r="F197" s="10" t="n">
        <x:v>30</x:v>
      </x:c>
      <x:c r="G197" s="2" t="str">
        <x:v>w_576098eca2c5c7c0</x:v>
      </x:c>
      <x:c r="H197" s="2" t="str">
        <x:v>うなる</x:v>
      </x:c>
      <x:c r="I197" s="2" t="str">
        <x:v>うなる</x:v>
      </x:c>
      <x:c r="J197" s="8" t="str">
        <x:v>신음하다</x:v>
      </x:c>
      <x:c r="K197" s="2" t="str">
        <x:v>verb</x:v>
      </x:c>
      <x:c r="L197" s="9" t="n">
        <x:v>2.41</x:v>
      </x:c>
      <x:c r="M197" s="2" t="str">
        <x:v>없음</x:v>
      </x:c>
      <x:c r="N197" s="11" t="n">
        <x:v>43</x:v>
      </x:c>
      <x:c r="O197" s="8" t="str">
        <x:v>일반 사용 빈도 낮음(Zipf ≤ 2.5); 검증된 예문 없음; JMdict 우선 어휘 표지 없음; 기존 데이터의 한국어 콘텐츠 보강 필요 태그</x:v>
      </x:c>
      <x:c r="P197" s="8" t="str">
        <x:v>frequency_le_2_5,no_example,no_jmdict_priority,weak_legacy_content</x:v>
      </x:c>
      <x:c r="Q197" s="2" t="str"/>
      <x:c r="R197" s="2" t="str"/>
      <x:c r="S197" s="2" t="str"/>
      <x:c r="T197" s="2" t="str"/>
      <x:c r="U197" s="2" t="str"/>
      <x:c r="V197" s="2" t="str">
        <x:v>아니오</x:v>
      </x:c>
      <x:c r="W197" s="2" t="str">
        <x:v>아니오</x:v>
      </x:c>
      <x:c r="X197" s="2" t="str"/>
      <x:c r="Y197" s="2" t="n">
        <x:v>0</x:v>
      </x:c>
      <x:c r="Z197" s="2" t="str"/>
      <x:c r="AA197" s="2" t="n">
        <x:v>0</x:v>
      </x:c>
      <x:c r="AB197" s="8" t="str"/>
      <x:c r="AC197" s="8" t="str"/>
      <x:c r="AD197" s="8" t="str">
        <x:v>["draft-ko-missing"]</x:v>
      </x:c>
      <x:c r="AE197" s="8" t="str">
        <x:v>검토 필요</x:v>
      </x:c>
      <x:c r="AF197" s="8" t="str"/>
    </x:row>
    <x:row r="198">
      <x:c r="A198" s="10" t="n">
        <x:v>197</x:v>
      </x:c>
      <x:c r="B198" s="2" t="str">
        <x:v>1차 검토 후보</x:v>
      </x:c>
      <x:c r="C198" s="2" t="str">
        <x:v>저활용 제외 검토</x:v>
      </x:c>
      <x:c r="D198" s="2" t="str">
        <x:v>중간</x:v>
      </x:c>
      <x:c r="E198" s="2" t="str">
        <x:v>N1</x:v>
      </x:c>
      <x:c r="F198" s="10" t="n">
        <x:v>68</x:v>
      </x:c>
      <x:c r="G198" s="2" t="str">
        <x:v>w_3f6beba4a6bb1e23</x:v>
      </x:c>
      <x:c r="H198" s="2" t="str">
        <x:v>もめる</x:v>
      </x:c>
      <x:c r="I198" s="2" t="str">
        <x:v>もめる</x:v>
      </x:c>
      <x:c r="J198" s="8" t="str">
        <x:v>옥신각신하다, 분쟁이 일다</x:v>
      </x:c>
      <x:c r="K198" s="2" t="str">
        <x:v>verb</x:v>
      </x:c>
      <x:c r="L198" s="9" t="n">
        <x:v>2.49</x:v>
      </x:c>
      <x:c r="M198" s="2" t="str">
        <x:v>없음</x:v>
      </x:c>
      <x:c r="N198" s="11" t="n">
        <x:v>43</x:v>
      </x:c>
      <x:c r="O198" s="8" t="str">
        <x:v>일반 사용 빈도 낮음(Zipf ≤ 2.5); 검증된 예문 없음; JMdict 우선 어휘 표지 없음; 기존 데이터의 한국어 콘텐츠 보강 필요 태그</x:v>
      </x:c>
      <x:c r="P198" s="8" t="str">
        <x:v>frequency_le_2_5,no_example,no_jmdict_priority,weak_legacy_content</x:v>
      </x:c>
      <x:c r="Q198" s="2" t="str"/>
      <x:c r="R198" s="2" t="str"/>
      <x:c r="S198" s="2" t="str"/>
      <x:c r="T198" s="2" t="str"/>
      <x:c r="U198" s="2" t="str"/>
      <x:c r="V198" s="2" t="str">
        <x:v>아니오</x:v>
      </x:c>
      <x:c r="W198" s="2" t="str">
        <x:v>아니오</x:v>
      </x:c>
      <x:c r="X198" s="2" t="str"/>
      <x:c r="Y198" s="2" t="n">
        <x:v>0</x:v>
      </x:c>
      <x:c r="Z198" s="2" t="str"/>
      <x:c r="AA198" s="2" t="n">
        <x:v>0</x:v>
      </x:c>
      <x:c r="AB198" s="8" t="str"/>
      <x:c r="AC198" s="8" t="str"/>
      <x:c r="AD198" s="8" t="str">
        <x:v>["draft-ko-missing"]</x:v>
      </x:c>
      <x:c r="AE198" s="8" t="str">
        <x:v>검토 필요</x:v>
      </x:c>
      <x:c r="AF198" s="8" t="str"/>
    </x:row>
    <x:row r="199">
      <x:c r="A199" s="10" t="n">
        <x:v>198</x:v>
      </x:c>
      <x:c r="B199" s="2" t="str">
        <x:v>1차 검토 후보</x:v>
      </x:c>
      <x:c r="C199" s="2" t="str">
        <x:v>저활용 제외 검토</x:v>
      </x:c>
      <x:c r="D199" s="2" t="str">
        <x:v>중간</x:v>
      </x:c>
      <x:c r="E199" s="2" t="str">
        <x:v>N1</x:v>
      </x:c>
      <x:c r="F199" s="10" t="n">
        <x:v>69</x:v>
      </x:c>
      <x:c r="G199" s="2" t="str">
        <x:v>w_cfe9a75c1b556e63</x:v>
      </x:c>
      <x:c r="H199" s="2" t="str">
        <x:v>てんで</x:v>
      </x:c>
      <x:c r="I199" s="2" t="str">
        <x:v>てんで</x:v>
      </x:c>
      <x:c r="J199" s="8" t="str">
        <x:v>전혀(아님), 완전히</x:v>
      </x:c>
      <x:c r="K199" s="2" t="str">
        <x:v>adverb</x:v>
      </x:c>
      <x:c r="L199" s="9" t="n">
        <x:v>2.49</x:v>
      </x:c>
      <x:c r="M199" s="2" t="str">
        <x:v>없음</x:v>
      </x:c>
      <x:c r="N199" s="11" t="n">
        <x:v>43</x:v>
      </x:c>
      <x:c r="O199" s="8" t="str">
        <x:v>일반 사용 빈도 낮음(Zipf ≤ 2.5); 검증된 예문 없음; JMdict 우선 어휘 표지 없음; 기존 데이터의 한국어 콘텐츠 보강 필요 태그</x:v>
      </x:c>
      <x:c r="P199" s="8" t="str">
        <x:v>frequency_le_2_5,no_example,no_jmdict_priority,weak_legacy_content</x:v>
      </x:c>
      <x:c r="Q199" s="2" t="str"/>
      <x:c r="R199" s="2" t="str"/>
      <x:c r="S199" s="2" t="str"/>
      <x:c r="T199" s="2" t="str"/>
      <x:c r="U199" s="2" t="str"/>
      <x:c r="V199" s="2" t="str">
        <x:v>아니오</x:v>
      </x:c>
      <x:c r="W199" s="2" t="str">
        <x:v>예</x:v>
      </x:c>
      <x:c r="X199" s="2" t="str"/>
      <x:c r="Y199" s="2" t="n">
        <x:v>0</x:v>
      </x:c>
      <x:c r="Z199" s="2" t="str"/>
      <x:c r="AA199" s="2" t="n">
        <x:v>0</x:v>
      </x:c>
      <x:c r="AB199" s="8" t="str">
        <x:v>with neg. sentence</x:v>
      </x:c>
      <x:c r="AC199" s="8" t="str"/>
      <x:c r="AD199" s="8" t="str">
        <x:v>["draft-ko-missing"]</x:v>
      </x:c>
      <x:c r="AE199" s="8" t="str">
        <x:v>검토 필요</x:v>
      </x:c>
      <x:c r="AF199" s="8" t="str"/>
    </x:row>
    <x:row r="200">
      <x:c r="A200" s="10" t="n">
        <x:v>199</x:v>
      </x:c>
      <x:c r="B200" s="2" t="str">
        <x:v>1차 검토 후보</x:v>
      </x:c>
      <x:c r="C200" s="2" t="str">
        <x:v>표기 교정·교체 검토</x:v>
      </x:c>
      <x:c r="D200" s="2" t="str">
        <x:v>중간</x:v>
      </x:c>
      <x:c r="E200" s="2" t="str">
        <x:v>N2</x:v>
      </x:c>
      <x:c r="F200" s="10" t="n">
        <x:v>82</x:v>
      </x:c>
      <x:c r="G200" s="2" t="str">
        <x:v>w_0e243c6681fb79d2</x:v>
      </x:c>
      <x:c r="H200" s="2" t="str">
        <x:v>引受る</x:v>
      </x:c>
      <x:c r="I200" s="2" t="str">
        <x:v>ひきうける</x:v>
      </x:c>
      <x:c r="J200" s="8" t="str">
        <x:v>맡다, 인수하다</x:v>
      </x:c>
      <x:c r="K200" s="2" t="str">
        <x:v>verb</x:v>
      </x:c>
      <x:c r="L200" s="9" t="n">
        <x:v>2.62</x:v>
      </x:c>
      <x:c r="M200" s="2" t="str">
        <x:v>없음</x:v>
      </x:c>
      <x:c r="N200" s="11" t="n">
        <x:v>43</x:v>
      </x:c>
      <x:c r="O200" s="8" t="str">
        <x:v>일반 사용 빈도 낮은 편(Zipf ≤ 3.0); JMdict에서 희귀·비표준 표기로 표시; 검증된 예문 없음</x:v>
      </x:c>
      <x:c r="P200" s="8" t="str">
        <x:v>frequency_le_3_0,jmdict_uncommon_or_irregular,no_example</x:v>
      </x:c>
      <x:c r="Q200" s="2" t="str"/>
      <x:c r="R200" s="2" t="str"/>
      <x:c r="S200" s="2" t="str"/>
      <x:c r="T200" s="2" t="str"/>
      <x:c r="U200" s="2" t="str"/>
      <x:c r="V200" s="2" t="str">
        <x:v>아니오</x:v>
      </x:c>
      <x:c r="W200" s="2" t="str">
        <x:v>예</x:v>
      </x:c>
      <x:c r="X200" s="2" t="str">
        <x:v>ichi1,news2,nf38</x:v>
      </x:c>
      <x:c r="Y200" s="2" t="n">
        <x:v>100</x:v>
      </x:c>
      <x:c r="Z200" s="2" t="str"/>
      <x:c r="AA200" s="2" t="n">
        <x:v>0</x:v>
      </x:c>
      <x:c r="AB200" s="8" t="str">
        <x:v>irregular okurigana usage</x:v>
      </x:c>
      <x:c r="AC200" s="8" t="str"/>
      <x:c r="AD200" s="8" t="str">
        <x:v>["ko-reviewed"]</x:v>
      </x:c>
      <x:c r="AE200" s="8" t="str">
        <x:v>검토 필요</x:v>
      </x:c>
      <x:c r="AF200" s="8" t="str"/>
    </x:row>
    <x:row r="201">
      <x:c r="A201" s="10" t="n">
        <x:v>200</x:v>
      </x:c>
      <x:c r="B201" s="2" t="str">
        <x:v>1차 검토 후보</x:v>
      </x:c>
      <x:c r="C201" s="2" t="str">
        <x:v>표기 교정·교체 검토</x:v>
      </x:c>
      <x:c r="D201" s="2" t="str">
        <x:v>중간</x:v>
      </x:c>
      <x:c r="E201" s="2" t="str">
        <x:v>N1</x:v>
      </x:c>
      <x:c r="F201" s="10" t="n">
        <x:v>70</x:v>
      </x:c>
      <x:c r="G201" s="2" t="str">
        <x:v>w_9832c96412b45fec</x:v>
      </x:c>
      <x:c r="H201" s="2" t="str">
        <x:v>仕上</x:v>
      </x:c>
      <x:c r="I201" s="2" t="str">
        <x:v>しあげ</x:v>
      </x:c>
      <x:c r="J201" s="8" t="str">
        <x:v>마무리, 완성</x:v>
      </x:c>
      <x:c r="K201" s="2" t="str">
        <x:v>noun</x:v>
      </x:c>
      <x:c r="L201" s="9" t="n">
        <x:v>2.73</x:v>
      </x:c>
      <x:c r="M201" s="2" t="str">
        <x:v>없음</x:v>
      </x:c>
      <x:c r="N201" s="11" t="n">
        <x:v>43</x:v>
      </x:c>
      <x:c r="O201" s="8" t="str">
        <x:v>일반 사용 빈도 낮은 편(Zipf ≤ 3.0); JMdict에서 희귀·비표준 표기로 표시; 검증된 예문 없음</x:v>
      </x:c>
      <x:c r="P201" s="8" t="str">
        <x:v>frequency_le_3_0,jmdict_uncommon_or_irregular,no_example</x:v>
      </x:c>
      <x:c r="Q201" s="2" t="str"/>
      <x:c r="R201" s="2" t="str"/>
      <x:c r="S201" s="2" t="str"/>
      <x:c r="T201" s="2" t="str"/>
      <x:c r="U201" s="2" t="str"/>
      <x:c r="V201" s="2" t="str">
        <x:v>아니오</x:v>
      </x:c>
      <x:c r="W201" s="2" t="str">
        <x:v>예</x:v>
      </x:c>
      <x:c r="X201" s="2" t="str">
        <x:v>ichi1,news1,nf12</x:v>
      </x:c>
      <x:c r="Y201" s="2" t="n">
        <x:v>100</x:v>
      </x:c>
      <x:c r="Z201" s="2" t="str"/>
      <x:c r="AA201" s="2" t="n">
        <x:v>0</x:v>
      </x:c>
      <x:c r="AB201" s="8" t="str">
        <x:v>irregular okurigana usage</x:v>
      </x:c>
      <x:c r="AC201" s="8" t="str"/>
      <x:c r="AD201" s="8" t="str">
        <x:v>["ko-reviewed"]</x:v>
      </x:c>
      <x:c r="AE201" s="8" t="str">
        <x:v>검토 필요</x:v>
      </x:c>
      <x:c r="AF201" s="8" t="str"/>
    </x:row>
    <x:row r="202">
      <x:c r="A202" s="10" t="n">
        <x:v>201</x:v>
      </x:c>
      <x:c r="B202" s="2" t="str">
        <x:v>1차 검토 후보</x:v>
      </x:c>
      <x:c r="C202" s="2" t="str">
        <x:v>표기 교정·교체 검토</x:v>
      </x:c>
      <x:c r="D202" s="2" t="str">
        <x:v>중간</x:v>
      </x:c>
      <x:c r="E202" s="2" t="str">
        <x:v>N2</x:v>
      </x:c>
      <x:c r="F202" s="10" t="n">
        <x:v>83</x:v>
      </x:c>
      <x:c r="G202" s="2" t="str">
        <x:v>w_1f5508db6aa19315</x:v>
      </x:c>
      <x:c r="H202" s="2" t="str">
        <x:v>漸く</x:v>
      </x:c>
      <x:c r="I202" s="2" t="str">
        <x:v>ようやく</x:v>
      </x:c>
      <x:c r="J202" s="8" t="str">
        <x:v>마침내, 겨우</x:v>
      </x:c>
      <x:c r="K202" s="2" t="str">
        <x:v>adverb</x:v>
      </x:c>
      <x:c r="L202" s="9" t="n">
        <x:v>2.93</x:v>
      </x:c>
      <x:c r="M202" s="2" t="str">
        <x:v>없음</x:v>
      </x:c>
      <x:c r="N202" s="11" t="n">
        <x:v>43</x:v>
      </x:c>
      <x:c r="O202" s="8" t="str">
        <x:v>일반 사용 빈도 낮은 편(Zipf ≤ 3.0); JMdict에서 희귀·비표준 표기로 표시; 검증된 예문 없음</x:v>
      </x:c>
      <x:c r="P202" s="8" t="str">
        <x:v>frequency_le_3_0,jmdict_uncommon_or_irregular,no_example</x:v>
      </x:c>
      <x:c r="Q202" s="2" t="str"/>
      <x:c r="R202" s="2" t="str"/>
      <x:c r="S202" s="2" t="str"/>
      <x:c r="T202" s="2" t="str"/>
      <x:c r="U202" s="2" t="str"/>
      <x:c r="V202" s="2" t="str">
        <x:v>아니오</x:v>
      </x:c>
      <x:c r="W202" s="2" t="str">
        <x:v>예</x:v>
      </x:c>
      <x:c r="X202" s="2" t="str">
        <x:v>ichi1</x:v>
      </x:c>
      <x:c r="Y202" s="2" t="n">
        <x:v>100</x:v>
      </x:c>
      <x:c r="Z202" s="2" t="str"/>
      <x:c r="AA202" s="2" t="n">
        <x:v>0</x:v>
      </x:c>
      <x:c r="AB202" s="8" t="str">
        <x:v>rarely used kanji form | word usually written using kana alone</x:v>
      </x:c>
      <x:c r="AC202" s="8" t="str"/>
      <x:c r="AD202" s="8" t="str">
        <x:v>["backfill-replacement","assistant-ko-reviewed"]</x:v>
      </x:c>
      <x:c r="AE202" s="8" t="str">
        <x:v>검토 필요</x:v>
      </x:c>
      <x:c r="AF202" s="8" t="str"/>
    </x:row>
    <x:row r="203">
      <x:c r="A203" s="10" t="n">
        <x:v>202</x:v>
      </x:c>
      <x:c r="B203" s="2" t="str">
        <x:v>1차 검토 후보</x:v>
      </x:c>
      <x:c r="C203" s="2" t="str">
        <x:v>표기 교정·교체 검토</x:v>
      </x:c>
      <x:c r="D203" s="2" t="str">
        <x:v>중간</x:v>
      </x:c>
      <x:c r="E203" s="2" t="str">
        <x:v>N1</x:v>
      </x:c>
      <x:c r="F203" s="10" t="n">
        <x:v>71</x:v>
      </x:c>
      <x:c r="G203" s="2" t="str">
        <x:v>w_10ff23f2d6f00e95</x:v>
      </x:c>
      <x:c r="H203" s="2" t="str">
        <x:v>於いて</x:v>
      </x:c>
      <x:c r="I203" s="2" t="str">
        <x:v>おいて</x:v>
      </x:c>
      <x:c r="J203" s="8" t="str">
        <x:v>~에 있어서, ~에서</x:v>
      </x:c>
      <x:c r="K203" s="2" t="str">
        <x:v>expression</x:v>
      </x:c>
      <x:c r="L203" s="9" t="n">
        <x:v>3.38</x:v>
      </x:c>
      <x:c r="M203" s="2" t="str">
        <x:v>있음</x:v>
      </x:c>
      <x:c r="N203" s="11" t="n">
        <x:v>43</x:v>
      </x:c>
      <x:c r="O203" s="8" t="str">
        <x:v>일반 사용 빈도 보통 이하(Zipf ≤ 3.5); JMdict에서 희귀·비표준 표기로 표시; JMdict 우선 어휘 표지 없음</x:v>
      </x:c>
      <x:c r="P203" s="8" t="str">
        <x:v>frequency_le_3_5,jmdict_uncommon_or_irregular,no_jmdict_priority</x:v>
      </x:c>
      <x:c r="Q203" s="2" t="str"/>
      <x:c r="R203" s="2" t="str"/>
      <x:c r="S203" s="2" t="str"/>
      <x:c r="T203" s="2" t="str"/>
      <x:c r="U203" s="2" t="str"/>
      <x:c r="V203" s="2" t="str">
        <x:v>아니오</x:v>
      </x:c>
      <x:c r="W203" s="2" t="str">
        <x:v>예</x:v>
      </x:c>
      <x:c r="X203" s="2" t="str"/>
      <x:c r="Y203" s="2" t="n">
        <x:v>0</x:v>
      </x:c>
      <x:c r="Z203" s="2" t="str"/>
      <x:c r="AA203" s="2" t="n">
        <x:v>0</x:v>
      </x:c>
      <x:c r="AB203" s="8" t="str">
        <x:v>as ...において | rarely used kanji form | word usually written using kana alone</x:v>
      </x:c>
      <x:c r="AC203" s="8" t="str"/>
      <x:c r="AD203" s="8" t="str">
        <x:v>["ko-reviewed"]</x:v>
      </x:c>
      <x:c r="AE203" s="8" t="str">
        <x:v>검토 필요</x:v>
      </x:c>
      <x:c r="AF203" s="8" t="str"/>
    </x:row>
    <x:row r="204">
      <x:c r="A204" s="10" t="n">
        <x:v>203</x:v>
      </x:c>
      <x:c r="B204" s="2" t="str">
        <x:v>1차 검토 후보</x:v>
      </x:c>
      <x:c r="C204" s="2" t="str">
        <x:v>표기 교정·교체 검토</x:v>
      </x:c>
      <x:c r="D204" s="2" t="str">
        <x:v>중간</x:v>
      </x:c>
      <x:c r="E204" s="2" t="str">
        <x:v>N1</x:v>
      </x:c>
      <x:c r="F204" s="10" t="n">
        <x:v>72</x:v>
      </x:c>
      <x:c r="G204" s="2" t="str">
        <x:v>w_8112103205b7d884</x:v>
      </x:c>
      <x:c r="H204" s="2" t="str">
        <x:v>切替</x:v>
      </x:c>
      <x:c r="I204" s="2" t="str">
        <x:v>きりかえ</x:v>
      </x:c>
      <x:c r="J204" s="8" t="str">
        <x:v>전환, 교체</x:v>
      </x:c>
      <x:c r="K204" s="2" t="str">
        <x:v>noun</x:v>
      </x:c>
      <x:c r="L204" s="9" t="n">
        <x:v>3.22</x:v>
      </x:c>
      <x:c r="M204" s="2" t="str">
        <x:v>없음</x:v>
      </x:c>
      <x:c r="N204" s="11" t="n">
        <x:v>42</x:v>
      </x:c>
      <x:c r="O204" s="8" t="str">
        <x:v>일반 사용 빈도 보통 이하(Zipf ≤ 3.5); JMdict에서 희귀·비표준 표기로 표시; 검증된 예문 없음; 기존 데이터의 한국어 콘텐츠 보강 필요 태그</x:v>
      </x:c>
      <x:c r="P204" s="8" t="str">
        <x:v>frequency_le_3_5,jmdict_uncommon_or_irregular,no_example,weak_legacy_content</x:v>
      </x:c>
      <x:c r="Q204" s="2" t="str"/>
      <x:c r="R204" s="2" t="str"/>
      <x:c r="S204" s="2" t="str"/>
      <x:c r="T204" s="2" t="str"/>
      <x:c r="U204" s="2" t="str"/>
      <x:c r="V204" s="2" t="str">
        <x:v>아니오</x:v>
      </x:c>
      <x:c r="W204" s="2" t="str">
        <x:v>예</x:v>
      </x:c>
      <x:c r="X204" s="2" t="str">
        <x:v>news1,nf11</x:v>
      </x:c>
      <x:c r="Y204" s="2" t="n">
        <x:v>100</x:v>
      </x:c>
      <x:c r="Z204" s="2" t="str"/>
      <x:c r="AA204" s="2" t="n">
        <x:v>0</x:v>
      </x:c>
      <x:c r="AB204" s="8" t="str">
        <x:v>irregular okurigana usage</x:v>
      </x:c>
      <x:c r="AC204" s="8" t="str"/>
      <x:c r="AD204" s="8" t="str">
        <x:v>["draft-ko-missing"]</x:v>
      </x:c>
      <x:c r="AE204" s="8" t="str">
        <x:v>검토 필요</x:v>
      </x:c>
      <x:c r="AF204" s="8" t="str"/>
    </x:row>
    <x:row r="205">
      <x:c r="A205" s="10" t="n">
        <x:v>204</x:v>
      </x:c>
      <x:c r="B205" s="2" t="str">
        <x:v>1차 검토 후보</x:v>
      </x:c>
      <x:c r="C205" s="2" t="str">
        <x:v>표기 교정·교체 검토</x:v>
      </x:c>
      <x:c r="D205" s="2" t="str">
        <x:v>중간</x:v>
      </x:c>
      <x:c r="E205" s="2" t="str">
        <x:v>N5</x:v>
      </x:c>
      <x:c r="F205" s="10" t="n">
        <x:v>2</x:v>
      </x:c>
      <x:c r="G205" s="2" t="str">
        <x:v>w_17036d0d07dbde4f</x:v>
      </x:c>
      <x:c r="H205" s="2" t="str">
        <x:v>朝御飯</x:v>
      </x:c>
      <x:c r="I205" s="2" t="str">
        <x:v>あさごはん</x:v>
      </x:c>
      <x:c r="J205" s="8" t="str">
        <x:v>아침식사</x:v>
      </x:c>
      <x:c r="K205" s="2" t="str">
        <x:v>noun</x:v>
      </x:c>
      <x:c r="L205" s="9" t="n">
        <x:v>3.34</x:v>
      </x:c>
      <x:c r="M205" s="2" t="str">
        <x:v>없음</x:v>
      </x:c>
      <x:c r="N205" s="11" t="n">
        <x:v>42</x:v>
      </x:c>
      <x:c r="O205" s="8" t="str">
        <x:v>일반 사용 빈도 보통 이하(Zipf ≤ 3.5); JMdict에서 희귀·비표준 표기로 표시; 검증된 예문 없음; 기존 데이터의 한국어 콘텐츠 보강 필요 태그</x:v>
      </x:c>
      <x:c r="P205" s="8" t="str">
        <x:v>frequency_le_3_5,jmdict_uncommon_or_irregular,no_example,weak_legacy_content</x:v>
      </x:c>
      <x:c r="Q205" s="2" t="str"/>
      <x:c r="R205" s="2" t="str"/>
      <x:c r="S205" s="2" t="str"/>
      <x:c r="T205" s="2" t="str"/>
      <x:c r="U205" s="2" t="str"/>
      <x:c r="V205" s="2" t="str">
        <x:v>아니오</x:v>
      </x:c>
      <x:c r="W205" s="2" t="str">
        <x:v>예</x:v>
      </x:c>
      <x:c r="X205" s="2" t="str">
        <x:v>spec1</x:v>
      </x:c>
      <x:c r="Y205" s="2" t="n">
        <x:v>100</x:v>
      </x:c>
      <x:c r="Z205" s="2" t="str"/>
      <x:c r="AA205" s="2" t="n">
        <x:v>0</x:v>
      </x:c>
      <x:c r="AB205" s="8" t="str">
        <x:v>rarely used kanji form</x:v>
      </x:c>
      <x:c r="AC205" s="8" t="str"/>
      <x:c r="AD205" s="8" t="str">
        <x:v>["draft-ko-missing"]</x:v>
      </x:c>
      <x:c r="AE205" s="8" t="str">
        <x:v>검토 필요</x:v>
      </x:c>
      <x:c r="AF205" s="8" t="str"/>
    </x:row>
    <x:row r="206">
      <x:c r="A206" s="10" t="n">
        <x:v>205</x:v>
      </x:c>
      <x:c r="B206" s="2" t="str">
        <x:v>1차 검토 후보</x:v>
      </x:c>
      <x:c r="C206" s="2" t="str">
        <x:v>표기 교정·교체 검토</x:v>
      </x:c>
      <x:c r="D206" s="2" t="str">
        <x:v>중간</x:v>
      </x:c>
      <x:c r="E206" s="2" t="str">
        <x:v>N3</x:v>
      </x:c>
      <x:c r="F206" s="10" t="n">
        <x:v>31</x:v>
      </x:c>
      <x:c r="G206" s="2" t="str">
        <x:v>w_c73083f7ce0f1120</x:v>
      </x:c>
      <x:c r="H206" s="2" t="str">
        <x:v>所為</x:v>
      </x:c>
      <x:c r="I206" s="2" t="str">
        <x:v>せい</x:v>
      </x:c>
      <x:c r="J206" s="8" t="str">
        <x:v>원인, 이유, 잘못, 결함</x:v>
      </x:c>
      <x:c r="K206" s="2" t="str">
        <x:v>noun</x:v>
      </x:c>
      <x:c r="L206" s="9" t="n">
        <x:v>3.34</x:v>
      </x:c>
      <x:c r="M206" s="2" t="str">
        <x:v>없음</x:v>
      </x:c>
      <x:c r="N206" s="11" t="n">
        <x:v>42</x:v>
      </x:c>
      <x:c r="O206" s="8" t="str">
        <x:v>일반 사용 빈도 보통 이하(Zipf ≤ 3.5); JMdict에서 희귀·비표준 표기로 표시; 검증된 예문 없음; 기존 데이터의 한국어 콘텐츠 보강 필요 태그</x:v>
      </x:c>
      <x:c r="P206" s="8" t="str">
        <x:v>frequency_le_3_5,jmdict_uncommon_or_irregular,no_example,weak_legacy_content</x:v>
      </x:c>
      <x:c r="Q206" s="2" t="str"/>
      <x:c r="R206" s="2" t="str"/>
      <x:c r="S206" s="2" t="str"/>
      <x:c r="T206" s="2" t="str"/>
      <x:c r="U206" s="2" t="str"/>
      <x:c r="V206" s="2" t="str">
        <x:v>아니오</x:v>
      </x:c>
      <x:c r="W206" s="2" t="str">
        <x:v>예</x:v>
      </x:c>
      <x:c r="X206" s="2" t="str">
        <x:v>ichi1</x:v>
      </x:c>
      <x:c r="Y206" s="2" t="n">
        <x:v>100</x:v>
      </x:c>
      <x:c r="Z206" s="2" t="str"/>
      <x:c r="AA206" s="2" t="n">
        <x:v>0</x:v>
      </x:c>
      <x:c r="AB206" s="8" t="str">
        <x:v>often ...のせい | rarely used kanji form | word usually written using kana alone</x:v>
      </x:c>
      <x:c r="AC206" s="8" t="str"/>
      <x:c r="AD206" s="8" t="str">
        <x:v>["draft-ko-missing"]</x:v>
      </x:c>
      <x:c r="AE206" s="8" t="str">
        <x:v>검토 필요</x:v>
      </x:c>
      <x:c r="AF206" s="8" t="str"/>
    </x:row>
    <x:row r="207">
      <x:c r="A207" s="10" t="n">
        <x:v>206</x:v>
      </x:c>
      <x:c r="B207" s="2" t="str">
        <x:v>1차 검토 후보</x:v>
      </x:c>
      <x:c r="C207" s="2" t="str">
        <x:v>표기 교정·교체 검토</x:v>
      </x:c>
      <x:c r="D207" s="2" t="str">
        <x:v>중간</x:v>
      </x:c>
      <x:c r="E207" s="2" t="str">
        <x:v>N4</x:v>
      </x:c>
      <x:c r="F207" s="10" t="n">
        <x:v>18</x:v>
      </x:c>
      <x:c r="G207" s="2" t="str">
        <x:v>w_70fd64391d08ee53</x:v>
      </x:c>
      <x:c r="H207" s="2" t="str">
        <x:v>下る</x:v>
      </x:c>
      <x:c r="I207" s="2" t="str">
        <x:v>さがる</x:v>
      </x:c>
      <x:c r="J207" s="8" t="str">
        <x:v>내려가다, 떨어뜨리다, 떨어지다</x:v>
      </x:c>
      <x:c r="K207" s="2" t="str">
        <x:v>verb</x:v>
      </x:c>
      <x:c r="L207" s="9" t="n">
        <x:v>3.47</x:v>
      </x:c>
      <x:c r="M207" s="2" t="str">
        <x:v>없음</x:v>
      </x:c>
      <x:c r="N207" s="11" t="n">
        <x:v>42</x:v>
      </x:c>
      <x:c r="O207" s="8" t="str">
        <x:v>일반 사용 빈도 보통 이하(Zipf ≤ 3.5); JMdict에서 희귀·비표준 표기로 표시; 검증된 예문 없음; 기존 데이터의 한국어 콘텐츠 보강 필요 태그</x:v>
      </x:c>
      <x:c r="P207" s="8" t="str">
        <x:v>frequency_le_3_5,jmdict_uncommon_or_irregular,no_example,weak_legacy_content</x:v>
      </x:c>
      <x:c r="Q207" s="2" t="str"/>
      <x:c r="R207" s="2" t="str"/>
      <x:c r="S207" s="2" t="str"/>
      <x:c r="T207" s="2" t="str"/>
      <x:c r="U207" s="2" t="str"/>
      <x:c r="V207" s="2" t="str">
        <x:v>아니오</x:v>
      </x:c>
      <x:c r="W207" s="2" t="str">
        <x:v>예</x:v>
      </x:c>
      <x:c r="X207" s="2" t="str">
        <x:v>ichi1,news1,nf24</x:v>
      </x:c>
      <x:c r="Y207" s="2" t="n">
        <x:v>100</x:v>
      </x:c>
      <x:c r="Z207" s="2" t="str"/>
      <x:c r="AA207" s="2" t="n">
        <x:v>0</x:v>
      </x:c>
      <x:c r="AB207" s="8" t="str">
        <x:v>irregular okurigana usage | usu. サガる | word usually written using kana alone</x:v>
      </x:c>
      <x:c r="AC207" s="8" t="str"/>
      <x:c r="AD207" s="8" t="str">
        <x:v>["draft-ko-missing"]</x:v>
      </x:c>
      <x:c r="AE207" s="8" t="str">
        <x:v>검토 필요</x:v>
      </x:c>
      <x:c r="AF207" s="8" t="str"/>
    </x:row>
    <x:row r="208">
      <x:c r="A208" s="10" t="n">
        <x:v>207</x:v>
      </x:c>
      <x:c r="B208" s="2" t="str">
        <x:v>1차 검토 후보</x:v>
      </x:c>
      <x:c r="C208" s="2" t="str">
        <x:v>표기 교정·교체 검토</x:v>
      </x:c>
      <x:c r="D208" s="2" t="str">
        <x:v>중간</x:v>
      </x:c>
      <x:c r="E208" s="2" t="str">
        <x:v>N1</x:v>
      </x:c>
      <x:c r="F208" s="10" t="n">
        <x:v>73</x:v>
      </x:c>
      <x:c r="G208" s="2" t="str">
        <x:v>w_68f04444965e780c</x:v>
      </x:c>
      <x:c r="H208" s="2" t="str">
        <x:v>藁</x:v>
      </x:c>
      <x:c r="I208" s="2" t="str">
        <x:v>わら</x:v>
      </x:c>
      <x:c r="J208" s="8" t="str">
        <x:v>짚</x:v>
      </x:c>
      <x:c r="K208" s="2" t="str">
        <x:v>noun</x:v>
      </x:c>
      <x:c r="L208" s="9" t="n">
        <x:v>3.47</x:v>
      </x:c>
      <x:c r="M208" s="2" t="str">
        <x:v>없음</x:v>
      </x:c>
      <x:c r="N208" s="11" t="n">
        <x:v>42</x:v>
      </x:c>
      <x:c r="O208" s="8" t="str">
        <x:v>일반 사용 빈도 보통 이하(Zipf ≤ 3.5); JMdict에서 희귀·비표준 표기로 표시; 검증된 예문 없음; 기존 데이터의 한국어 콘텐츠 보강 필요 태그</x:v>
      </x:c>
      <x:c r="P208" s="8" t="str">
        <x:v>frequency_le_3_5,jmdict_uncommon_or_irregular,no_example,weak_legacy_content</x:v>
      </x:c>
      <x:c r="Q208" s="2" t="str"/>
      <x:c r="R208" s="2" t="str"/>
      <x:c r="S208" s="2" t="str"/>
      <x:c r="T208" s="2" t="str"/>
      <x:c r="U208" s="2" t="str"/>
      <x:c r="V208" s="2" t="str">
        <x:v>아니오</x:v>
      </x:c>
      <x:c r="W208" s="2" t="str">
        <x:v>예</x:v>
      </x:c>
      <x:c r="X208" s="2" t="str">
        <x:v>ichi1</x:v>
      </x:c>
      <x:c r="Y208" s="2" t="n">
        <x:v>100</x:v>
      </x:c>
      <x:c r="Z208" s="2" t="str">
        <x:v>ichi1</x:v>
      </x:c>
      <x:c r="AA208" s="2" t="n">
        <x:v>100</x:v>
      </x:c>
      <x:c r="AB208" s="8" t="str">
        <x:v>Internet slang | rarely used kanji form | word usually written using kana alone</x:v>
      </x:c>
      <x:c r="AC208" s="8" t="str"/>
      <x:c r="AD208" s="8" t="str">
        <x:v>["draft-ko-missing"]</x:v>
      </x:c>
      <x:c r="AE208" s="8" t="str">
        <x:v>검토 필요</x:v>
      </x:c>
      <x:c r="AF208" s="8" t="str"/>
    </x:row>
    <x:row r="209">
      <x:c r="A209" s="10" t="n">
        <x:v>208</x:v>
      </x:c>
      <x:c r="B209" s="2" t="str">
        <x:v>1차 검토 후보</x:v>
      </x:c>
      <x:c r="C209" s="2" t="str">
        <x:v>표기 교정·교체 검토</x:v>
      </x:c>
      <x:c r="D209" s="2" t="str">
        <x:v>중간</x:v>
      </x:c>
      <x:c r="E209" s="2" t="str">
        <x:v>N1</x:v>
      </x:c>
      <x:c r="F209" s="10" t="n">
        <x:v>74</x:v>
      </x:c>
      <x:c r="G209" s="2" t="str">
        <x:v>w_d7f8d04860ff93aa</x:v>
      </x:c>
      <x:c r="H209" s="2" t="str">
        <x:v>纏め</x:v>
      </x:c>
      <x:c r="I209" s="2" t="str">
        <x:v>まとめ</x:v>
      </x:c>
      <x:c r="J209" s="8" t="str">
        <x:v>정리, 종합</x:v>
      </x:c>
      <x:c r="K209" s="2" t="str">
        <x:v>noun</x:v>
      </x:c>
      <x:c r="L209" s="9" t="n">
        <x:v>3.49</x:v>
      </x:c>
      <x:c r="M209" s="2" t="str">
        <x:v>없음</x:v>
      </x:c>
      <x:c r="N209" s="11" t="n">
        <x:v>42</x:v>
      </x:c>
      <x:c r="O209" s="8" t="str">
        <x:v>일반 사용 빈도 보통 이하(Zipf ≤ 3.5); JMdict에서 희귀·비표준 표기로 표시; 검증된 예문 없음; 기존 데이터의 한국어 콘텐츠 보강 필요 태그</x:v>
      </x:c>
      <x:c r="P209" s="8" t="str">
        <x:v>frequency_le_3_5,jmdict_uncommon_or_irregular,no_example,weak_legacy_content</x:v>
      </x:c>
      <x:c r="Q209" s="2" t="str"/>
      <x:c r="R209" s="2" t="str"/>
      <x:c r="S209" s="2" t="str"/>
      <x:c r="T209" s="2" t="str"/>
      <x:c r="U209" s="2" t="str"/>
      <x:c r="V209" s="2" t="str">
        <x:v>아니오</x:v>
      </x:c>
      <x:c r="W209" s="2" t="str">
        <x:v>예</x:v>
      </x:c>
      <x:c r="X209" s="2" t="str">
        <x:v>ichi1</x:v>
      </x:c>
      <x:c r="Y209" s="2" t="n">
        <x:v>100</x:v>
      </x:c>
      <x:c r="Z209" s="2" t="str"/>
      <x:c r="AA209" s="2" t="n">
        <x:v>0</x:v>
      </x:c>
      <x:c r="AB209" s="8" t="str">
        <x:v>rarely used kanji form | word usually written using kana alone</x:v>
      </x:c>
      <x:c r="AC209" s="8" t="str"/>
      <x:c r="AD209" s="8" t="str">
        <x:v>["draft-ko-missing"]</x:v>
      </x:c>
      <x:c r="AE209" s="8" t="str">
        <x:v>검토 필요</x:v>
      </x:c>
      <x:c r="AF209" s="8" t="str"/>
    </x:row>
    <x:row r="210">
      <x:c r="A210" s="10" t="n">
        <x:v>209</x:v>
      </x:c>
      <x:c r="B210" s="2" t="str">
        <x:v>1차 제외 추천</x:v>
      </x:c>
      <x:c r="C210" s="2" t="str">
        <x:v>중복 변형 제거 검토</x:v>
      </x:c>
      <x:c r="D210" s="2" t="str">
        <x:v>높음</x:v>
      </x:c>
      <x:c r="E210" s="2" t="str">
        <x:v>N3</x:v>
      </x:c>
      <x:c r="F210" s="10" t="n">
        <x:v>32</x:v>
      </x:c>
      <x:c r="G210" s="2" t="str">
        <x:v>w_d728d1f32a31b6f6</x:v>
      </x:c>
      <x:c r="H210" s="2" t="str">
        <x:v>遭う</x:v>
      </x:c>
      <x:c r="I210" s="2" t="str">
        <x:v>あう</x:v>
      </x:c>
      <x:c r="J210" s="8" t="str">
        <x:v>마주치다, 당하다</x:v>
      </x:c>
      <x:c r="K210" s="2" t="str">
        <x:v>verb</x:v>
      </x:c>
      <x:c r="L210" s="9" t="n">
        <x:v>3.56</x:v>
      </x:c>
      <x:c r="M210" s="2" t="str">
        <x:v>없음</x:v>
      </x:c>
      <x:c r="N210" s="11" t="n">
        <x:v>41</x:v>
      </x:c>
      <x:c r="O210" s="8" t="str">
        <x:v>검증된 예문 없음; 동일 JMdict 표제어의 표기·읽기 변형</x:v>
      </x:c>
      <x:c r="P210" s="8" t="str">
        <x:v>no_example,same_jmdict_entry</x:v>
      </x:c>
      <x:c r="Q210" s="2" t="str">
        <x:v>vg_113</x:v>
      </x:c>
      <x:c r="R210" s="2" t="str">
        <x:v>same_jmdict_entry</x:v>
      </x:c>
      <x:c r="S210" s="2" t="str">
        <x:v>w_fb0af263d0cf8d1e</x:v>
      </x:c>
      <x:c r="T210" s="2" t="str">
        <x:v>会う</x:v>
      </x:c>
      <x:c r="U210" s="2" t="str">
        <x:v>あう</x:v>
      </x:c>
      <x:c r="V210" s="2" t="str">
        <x:v>예</x:v>
      </x:c>
      <x:c r="W210" s="2" t="str">
        <x:v>예</x:v>
      </x:c>
      <x:c r="X210" s="2" t="str">
        <x:v>ichi1,news2,nf26,nf34</x:v>
      </x:c>
      <x:c r="Y210" s="2" t="n">
        <x:v>100</x:v>
      </x:c>
      <x:c r="Z210" s="2" t="str">
        <x:v>ichi1,news2,nf34</x:v>
      </x:c>
      <x:c r="AA210" s="2" t="n">
        <x:v>100</x:v>
      </x:c>
      <x:c r="AB210" s="8" t="str">
        <x:v>esp. 遭う when in kanji | word usually written using kana alone | 逢う is often used for close friends, etc. and may be associated with drama or pathos; 遭う may have an undesirable nuance</x:v>
      </x:c>
      <x:c r="AC210" s="8" t="str"/>
      <x:c r="AD210" s="8" t="str">
        <x:v>["ko-reviewed"]</x:v>
      </x:c>
      <x:c r="AE210" s="8" t="str">
        <x:v>검토 필요</x:v>
      </x:c>
      <x:c r="AF210" s="8" t="str"/>
    </x:row>
    <x:row r="211">
      <x:c r="A211" s="10" t="n">
        <x:v>210</x:v>
      </x:c>
      <x:c r="B211" s="2" t="str">
        <x:v>1차 제외 추천</x:v>
      </x:c>
      <x:c r="C211" s="2" t="str">
        <x:v>중복 변형 제거 검토</x:v>
      </x:c>
      <x:c r="D211" s="2" t="str">
        <x:v>높음</x:v>
      </x:c>
      <x:c r="E211" s="2" t="str">
        <x:v>N2</x:v>
      </x:c>
      <x:c r="F211" s="10" t="n">
        <x:v>84</x:v>
      </x:c>
      <x:c r="G211" s="2" t="str">
        <x:v>w_4886cebbe81a296f</x:v>
      </x:c>
      <x:c r="H211" s="2" t="str">
        <x:v>湯飲</x:v>
      </x:c>
      <x:c r="I211" s="2" t="str">
        <x:v>ゆのみ</x:v>
      </x:c>
      <x:c r="J211" s="8" t="str">
        <x:v>찻잔</x:v>
      </x:c>
      <x:c r="K211" s="2" t="str">
        <x:v>noun</x:v>
      </x:c>
      <x:c r="L211" s="9" t="n">
        <x:v>3.6</x:v>
      </x:c>
      <x:c r="M211" s="2" t="str">
        <x:v>없음</x:v>
      </x:c>
      <x:c r="N211" s="11" t="n">
        <x:v>41</x:v>
      </x:c>
      <x:c r="O211" s="8" t="str">
        <x:v>검증된 예문 없음; 동일 JMdict 표제어의 표기·읽기 변형; 읽기와 한국어 뜻이 같은 표기 변형</x:v>
      </x:c>
      <x:c r="P211" s="8" t="str">
        <x:v>no_example,same_jmdict_entry,same_reading_meaning</x:v>
      </x:c>
      <x:c r="Q211" s="2" t="str">
        <x:v>vg_047</x:v>
      </x:c>
      <x:c r="R211" s="2" t="str">
        <x:v>same_jmdict_entry,same_reading_meaning</x:v>
      </x:c>
      <x:c r="S211" s="2" t="str">
        <x:v>w_88ac17378fccd5f4</x:v>
      </x:c>
      <x:c r="T211" s="2" t="str">
        <x:v>湯飲み</x:v>
      </x:c>
      <x:c r="U211" s="2" t="str">
        <x:v>ゆのみ</x:v>
      </x:c>
      <x:c r="V211" s="2" t="str">
        <x:v>아니오</x:v>
      </x:c>
      <x:c r="W211" s="2" t="str">
        <x:v>예</x:v>
      </x:c>
      <x:c r="X211" s="2" t="str">
        <x:v>ichi1,spec1</x:v>
      </x:c>
      <x:c r="Y211" s="2" t="n">
        <x:v>100</x:v>
      </x:c>
      <x:c r="Z211" s="2" t="str"/>
      <x:c r="AA211" s="2" t="n">
        <x:v>0</x:v>
      </x:c>
      <x:c r="AB211" s="8" t="str">
        <x:v>abbreviation</x:v>
      </x:c>
      <x:c r="AC211" s="8" t="str"/>
      <x:c r="AD211" s="8" t="str">
        <x:v>["backfill-replacement","assistant-ko-reviewed"]</x:v>
      </x:c>
      <x:c r="AE211" s="8" t="str">
        <x:v>검토 필요</x:v>
      </x:c>
      <x:c r="AF211" s="8" t="str"/>
    </x:row>
    <x:row r="212">
      <x:c r="A212" s="10" t="n">
        <x:v>211</x:v>
      </x:c>
      <x:c r="B212" s="2" t="str">
        <x:v>1차 검토 후보</x:v>
      </x:c>
      <x:c r="C212" s="2" t="str">
        <x:v>중복 변형 제거 검토</x:v>
      </x:c>
      <x:c r="D212" s="2" t="str">
        <x:v>중간</x:v>
      </x:c>
      <x:c r="E212" s="2" t="str">
        <x:v>N1</x:v>
      </x:c>
      <x:c r="F212" s="10" t="n">
        <x:v>75</x:v>
      </x:c>
      <x:c r="G212" s="2" t="str">
        <x:v>w_9da5d3e318f2c437</x:v>
      </x:c>
      <x:c r="H212" s="2" t="str">
        <x:v>股</x:v>
      </x:c>
      <x:c r="I212" s="2" t="str">
        <x:v>もも</x:v>
      </x:c>
      <x:c r="J212" s="8" t="str">
        <x:v>넓적다리, 허벅지</x:v>
      </x:c>
      <x:c r="K212" s="2" t="str">
        <x:v>noun</x:v>
      </x:c>
      <x:c r="L212" s="9" t="n">
        <x:v>3.81</x:v>
      </x:c>
      <x:c r="M212" s="2" t="str">
        <x:v>없음</x:v>
      </x:c>
      <x:c r="N212" s="11" t="n">
        <x:v>41</x:v>
      </x:c>
      <x:c r="O212" s="8" t="str">
        <x:v>검증된 예문 없음; 동일 JMdict 표제어의 표기·읽기 변형</x:v>
      </x:c>
      <x:c r="P212" s="8" t="str">
        <x:v>no_example,same_jmdict_entry</x:v>
      </x:c>
      <x:c r="Q212" s="2" t="str">
        <x:v>vg_097</x:v>
      </x:c>
      <x:c r="R212" s="2" t="str">
        <x:v>same_jmdict_entry</x:v>
      </x:c>
      <x:c r="S212" s="2" t="str">
        <x:v>w_fac30bc019ff0119</x:v>
      </x:c>
      <x:c r="T212" s="2" t="str">
        <x:v>腿</x:v>
      </x:c>
      <x:c r="U212" s="2" t="str">
        <x:v>もも</x:v>
      </x:c>
      <x:c r="V212" s="2" t="str">
        <x:v>아니오</x:v>
      </x:c>
      <x:c r="W212" s="2" t="str">
        <x:v>예</x:v>
      </x:c>
      <x:c r="X212" s="2" t="str">
        <x:v>ichi1</x:v>
      </x:c>
      <x:c r="Y212" s="2" t="n">
        <x:v>100</x:v>
      </x:c>
      <x:c r="Z212" s="2" t="str"/>
      <x:c r="AA212" s="2" t="n">
        <x:v>0</x:v>
      </x:c>
      <x:c r="AB212" s="8" t="str"/>
      <x:c r="AC212" s="8" t="str"/>
      <x:c r="AD212" s="8" t="str">
        <x:v>["ko-reviewed"]</x:v>
      </x:c>
      <x:c r="AE212" s="8" t="str">
        <x:v>검토 필요</x:v>
      </x:c>
      <x:c r="AF212" s="8" t="str"/>
    </x:row>
    <x:row r="213">
      <x:c r="A213" s="10" t="n">
        <x:v>212</x:v>
      </x:c>
      <x:c r="B213" s="2" t="str">
        <x:v>1차 제외 추천</x:v>
      </x:c>
      <x:c r="C213" s="2" t="str">
        <x:v>중복 변형 제거 검토</x:v>
      </x:c>
      <x:c r="D213" s="2" t="str">
        <x:v>높음</x:v>
      </x:c>
      <x:c r="E213" s="2" t="str">
        <x:v>N2</x:v>
      </x:c>
      <x:c r="F213" s="10" t="n">
        <x:v>85</x:v>
      </x:c>
      <x:c r="G213" s="2" t="str">
        <x:v>w_00c99649445717dd</x:v>
      </x:c>
      <x:c r="H213" s="2" t="str">
        <x:v>間もなく</x:v>
      </x:c>
      <x:c r="I213" s="2" t="str">
        <x:v>まもなく</x:v>
      </x:c>
      <x:c r="J213" s="8" t="str">
        <x:v>머지않아, 곧</x:v>
      </x:c>
      <x:c r="K213" s="2" t="str">
        <x:v>adverb</x:v>
      </x:c>
      <x:c r="L213" s="9" t="n">
        <x:v>3.91</x:v>
      </x:c>
      <x:c r="M213" s="2" t="str">
        <x:v>없음</x:v>
      </x:c>
      <x:c r="N213" s="11" t="n">
        <x:v>41</x:v>
      </x:c>
      <x:c r="O213" s="8" t="str">
        <x:v>검증된 예문 없음; 동일 JMdict 표제어의 표기·읽기 변형; 읽기와 한국어 뜻이 같은 표기 변형</x:v>
      </x:c>
      <x:c r="P213" s="8" t="str">
        <x:v>no_example,same_jmdict_entry,same_reading_meaning</x:v>
      </x:c>
      <x:c r="Q213" s="2" t="str">
        <x:v>vg_001</x:v>
      </x:c>
      <x:c r="R213" s="2" t="str">
        <x:v>same_jmdict_entry,same_reading_meaning</x:v>
      </x:c>
      <x:c r="S213" s="2" t="str">
        <x:v>w_890b93fece49c035</x:v>
      </x:c>
      <x:c r="T213" s="2" t="str">
        <x:v>間も無く</x:v>
      </x:c>
      <x:c r="U213" s="2" t="str">
        <x:v>まもなく</x:v>
      </x:c>
      <x:c r="V213" s="2" t="str">
        <x:v>아니오</x:v>
      </x:c>
      <x:c r="W213" s="2" t="str">
        <x:v>예</x:v>
      </x:c>
      <x:c r="X213" s="2" t="str">
        <x:v>ichi1,news1,nf05</x:v>
      </x:c>
      <x:c r="Y213" s="2" t="n">
        <x:v>100</x:v>
      </x:c>
      <x:c r="Z213" s="2" t="str">
        <x:v>news1,nf05</x:v>
      </x:c>
      <x:c r="AA213" s="2" t="n">
        <x:v>100</x:v>
      </x:c>
      <x:c r="AB213" s="8" t="str">
        <x:v>after the dictionary form of a verb | word usually written using kana alone</x:v>
      </x:c>
      <x:c r="AC213" s="8" t="str"/>
      <x:c r="AD213" s="8" t="str">
        <x:v>["ko-reviewed"]</x:v>
      </x:c>
      <x:c r="AE213" s="8" t="str">
        <x:v>검토 필요</x:v>
      </x:c>
      <x:c r="AF213" s="8" t="str"/>
    </x:row>
    <x:row r="214">
      <x:c r="A214" s="10" t="n">
        <x:v>213</x:v>
      </x:c>
      <x:c r="B214" s="2" t="str">
        <x:v>1차 제외 추천</x:v>
      </x:c>
      <x:c r="C214" s="2" t="str">
        <x:v>중복 변형 제거 검토</x:v>
      </x:c>
      <x:c r="D214" s="2" t="str">
        <x:v>높음</x:v>
      </x:c>
      <x:c r="E214" s="2" t="str">
        <x:v>N1</x:v>
      </x:c>
      <x:c r="F214" s="10" t="n">
        <x:v>76</x:v>
      </x:c>
      <x:c r="G214" s="2" t="str">
        <x:v>w_88d4a0016b8cd6a1</x:v>
      </x:c>
      <x:c r="H214" s="2" t="str">
        <x:v>重複</x:v>
      </x:c>
      <x:c r="I214" s="2" t="str">
        <x:v>ちょうふく</x:v>
      </x:c>
      <x:c r="J214" s="8" t="str">
        <x:v>중복</x:v>
      </x:c>
      <x:c r="K214" s="2" t="str">
        <x:v>noun</x:v>
      </x:c>
      <x:c r="L214" s="9" t="n">
        <x:v>4.01</x:v>
      </x:c>
      <x:c r="M214" s="2" t="str">
        <x:v>없음</x:v>
      </x:c>
      <x:c r="N214" s="11" t="n">
        <x:v>41</x:v>
      </x:c>
      <x:c r="O214" s="8" t="str">
        <x:v>검증된 예문 없음; 동일 JMdict 표제어의 표기·읽기 변형</x:v>
      </x:c>
      <x:c r="P214" s="8" t="str">
        <x:v>no_example,same_jmdict_entry</x:v>
      </x:c>
      <x:c r="Q214" s="2" t="str">
        <x:v>vg_072</x:v>
      </x:c>
      <x:c r="R214" s="2" t="str">
        <x:v>same_jmdict_entry</x:v>
      </x:c>
      <x:c r="S214" s="2" t="str">
        <x:v>w_6c4fceb1976ffbee</x:v>
      </x:c>
      <x:c r="T214" s="2" t="str">
        <x:v>重複</x:v>
      </x:c>
      <x:c r="U214" s="2" t="str">
        <x:v>じゅうふく</x:v>
      </x:c>
      <x:c r="V214" s="2" t="str">
        <x:v>예</x:v>
      </x:c>
      <x:c r="W214" s="2" t="str">
        <x:v>예</x:v>
      </x:c>
      <x:c r="X214" s="2" t="str">
        <x:v>ichi1,news1,nf18</x:v>
      </x:c>
      <x:c r="Y214" s="2" t="n">
        <x:v>100</x:v>
      </x:c>
      <x:c r="Z214" s="2" t="str">
        <x:v>ichi1,news1,nf18</x:v>
      </x:c>
      <x:c r="AA214" s="2" t="n">
        <x:v>100</x:v>
      </x:c>
      <x:c r="AB214" s="8" t="str"/>
      <x:c r="AC214" s="8" t="str"/>
      <x:c r="AD214" s="8" t="str">
        <x:v>["ko-reviewed"]</x:v>
      </x:c>
      <x:c r="AE214" s="8" t="str">
        <x:v>검토 필요</x:v>
      </x:c>
      <x:c r="AF214" s="8" t="str"/>
    </x:row>
    <x:row r="215">
      <x:c r="A215" s="10" t="n">
        <x:v>214</x:v>
      </x:c>
      <x:c r="B215" s="2" t="str">
        <x:v>1차 제외 추천</x:v>
      </x:c>
      <x:c r="C215" s="2" t="str">
        <x:v>중복 변형 제거 검토</x:v>
      </x:c>
      <x:c r="D215" s="2" t="str">
        <x:v>높음</x:v>
      </x:c>
      <x:c r="E215" s="2" t="str">
        <x:v>N1</x:v>
      </x:c>
      <x:c r="F215" s="10" t="n">
        <x:v>77</x:v>
      </x:c>
      <x:c r="G215" s="2" t="str">
        <x:v>w_333895c749853e94</x:v>
      </x:c>
      <x:c r="H215" s="2" t="str">
        <x:v>避ける</x:v>
      </x:c>
      <x:c r="I215" s="2" t="str">
        <x:v>よける</x:v>
      </x:c>
      <x:c r="J215" s="8" t="str">
        <x:v>피하다, 비키다</x:v>
      </x:c>
      <x:c r="K215" s="2" t="str">
        <x:v>verb</x:v>
      </x:c>
      <x:c r="L215" s="9" t="n">
        <x:v>4.25</x:v>
      </x:c>
      <x:c r="M215" s="2" t="str">
        <x:v>없음</x:v>
      </x:c>
      <x:c r="N215" s="11" t="n">
        <x:v>41</x:v>
      </x:c>
      <x:c r="O215" s="8" t="str">
        <x:v>검증된 예문 없음; 동일 JMdict 표제어의 표기·읽기 변형</x:v>
      </x:c>
      <x:c r="P215" s="8" t="str">
        <x:v>no_example,same_jmdict_entry</x:v>
      </x:c>
      <x:c r="Q215" s="2" t="str">
        <x:v>vg_036</x:v>
      </x:c>
      <x:c r="R215" s="2" t="str">
        <x:v>same_jmdict_entry</x:v>
      </x:c>
      <x:c r="S215" s="2" t="str">
        <x:v>w_4aa05cc6aa3c399e</x:v>
      </x:c>
      <x:c r="T215" s="2" t="str">
        <x:v>避ける</x:v>
      </x:c>
      <x:c r="U215" s="2" t="str">
        <x:v>さける</x:v>
      </x:c>
      <x:c r="V215" s="2" t="str">
        <x:v>예</x:v>
      </x:c>
      <x:c r="W215" s="2" t="str">
        <x:v>예</x:v>
      </x:c>
      <x:c r="X215" s="2" t="str">
        <x:v>ichi1</x:v>
      </x:c>
      <x:c r="Y215" s="2" t="n">
        <x:v>100</x:v>
      </x:c>
      <x:c r="Z215" s="2" t="str">
        <x:v>ichi1</x:v>
      </x:c>
      <x:c r="AA215" s="2" t="n">
        <x:v>100</x:v>
      </x:c>
      <x:c r="AB215" s="8" t="str"/>
      <x:c r="AC215" s="8" t="str"/>
      <x:c r="AD215" s="8" t="str">
        <x:v>["backfill-replacement","assistant-ko-reviewed"]</x:v>
      </x:c>
      <x:c r="AE215" s="8" t="str">
        <x:v>검토 필요</x:v>
      </x:c>
      <x:c r="AF215" s="8" t="str"/>
    </x:row>
    <x:row r="216">
      <x:c r="A216" s="10" t="n">
        <x:v>215</x:v>
      </x:c>
      <x:c r="B216" s="2" t="str">
        <x:v>2차 보류</x:v>
      </x:c>
      <x:c r="C216" s="2" t="str">
        <x:v>2차 보류</x:v>
      </x:c>
      <x:c r="D216" s="2" t="str">
        <x:v>낮음</x:v>
      </x:c>
      <x:c r="E216" s="2" t="str">
        <x:v>N2</x:v>
      </x:c>
      <x:c r="F216" s="10" t="n">
        <x:v>86</x:v>
      </x:c>
      <x:c r="G216" s="2" t="str">
        <x:v>w_0abbc28c61b474ee</x:v>
      </x:c>
      <x:c r="H216" s="2" t="str">
        <x:v>言付ける</x:v>
      </x:c>
      <x:c r="I216" s="2" t="str">
        <x:v>ことづける</x:v>
      </x:c>
      <x:c r="J216" s="8" t="str">
        <x:v>전언을 부탁하다</x:v>
      </x:c>
      <x:c r="K216" s="2" t="str">
        <x:v>verb</x:v>
      </x:c>
      <x:c r="L216" s="9" t="n">
        <x:v>0</x:v>
      </x:c>
      <x:c r="M216" s="2" t="str">
        <x:v>없음</x:v>
      </x:c>
      <x:c r="N216" s="11" t="n">
        <x:v>39</x:v>
      </x:c>
      <x:c r="O216" s="8" t="str">
        <x:v>일반 사용 빈도가 없거나 0; 검증된 예문 없음; 기존 데이터의 한국어 콘텐츠 보강 필요 태그</x:v>
      </x:c>
      <x:c r="P216" s="8" t="str">
        <x:v>frequency_missing_or_zero,no_example,weak_legacy_content</x:v>
      </x:c>
      <x:c r="Q216" s="2" t="str"/>
      <x:c r="R216" s="2" t="str"/>
      <x:c r="S216" s="2" t="str"/>
      <x:c r="T216" s="2" t="str"/>
      <x:c r="U216" s="2" t="str"/>
      <x:c r="V216" s="2" t="str">
        <x:v>아니오</x:v>
      </x:c>
      <x:c r="W216" s="2" t="str">
        <x:v>예</x:v>
      </x:c>
      <x:c r="X216" s="2" t="str">
        <x:v>ichi2</x:v>
      </x:c>
      <x:c r="Y216" s="2" t="n">
        <x:v>70</x:v>
      </x:c>
      <x:c r="Z216" s="2" t="str">
        <x:v>ichi2</x:v>
      </x:c>
      <x:c r="AA216" s="2" t="n">
        <x:v>70</x:v>
      </x:c>
      <x:c r="AB216" s="8" t="str">
        <x:v>archaic</x:v>
      </x:c>
      <x:c r="AC216" s="8" t="str"/>
      <x:c r="AD216" s="8" t="str">
        <x:v>["draft-ko-missing"]</x:v>
      </x:c>
      <x:c r="AE216" s="8" t="str">
        <x:v>검토 필요</x:v>
      </x:c>
      <x:c r="AF216" s="8" t="str"/>
    </x:row>
    <x:row r="217">
      <x:c r="A217" s="10" t="n">
        <x:v>216</x:v>
      </x:c>
      <x:c r="B217" s="2" t="str">
        <x:v>2차 보류</x:v>
      </x:c>
      <x:c r="C217" s="2" t="str">
        <x:v>2차 보류</x:v>
      </x:c>
      <x:c r="D217" s="2" t="str">
        <x:v>낮음</x:v>
      </x:c>
      <x:c r="E217" s="2" t="str">
        <x:v>N2</x:v>
      </x:c>
      <x:c r="F217" s="10" t="n">
        <x:v>87</x:v>
      </x:c>
      <x:c r="G217" s="2" t="str">
        <x:v>w_a82845946fd52380</x:v>
      </x:c>
      <x:c r="H217" s="2" t="str">
        <x:v>言い付ける</x:v>
      </x:c>
      <x:c r="I217" s="2" t="str">
        <x:v>いいつける</x:v>
      </x:c>
      <x:c r="J217" s="8" t="str">
        <x:v>말하다, 전하다, 명령하다, 주문하다</x:v>
      </x:c>
      <x:c r="K217" s="2" t="str">
        <x:v>verb</x:v>
      </x:c>
      <x:c r="L217" s="9" t="n">
        <x:v>0</x:v>
      </x:c>
      <x:c r="M217" s="2" t="str">
        <x:v>없음</x:v>
      </x:c>
      <x:c r="N217" s="11" t="n">
        <x:v>39</x:v>
      </x:c>
      <x:c r="O217" s="8" t="str">
        <x:v>일반 사용 빈도가 없거나 0; 검증된 예문 없음; 기존 데이터의 한국어 콘텐츠 보강 필요 태그</x:v>
      </x:c>
      <x:c r="P217" s="8" t="str">
        <x:v>frequency_missing_or_zero,no_example,weak_legacy_content</x:v>
      </x:c>
      <x:c r="Q217" s="2" t="str"/>
      <x:c r="R217" s="2" t="str"/>
      <x:c r="S217" s="2" t="str"/>
      <x:c r="T217" s="2" t="str"/>
      <x:c r="U217" s="2" t="str"/>
      <x:c r="V217" s="2" t="str">
        <x:v>아니오</x:v>
      </x:c>
      <x:c r="W217" s="2" t="str">
        <x:v>예</x:v>
      </x:c>
      <x:c r="X217" s="2" t="str">
        <x:v>ichi2</x:v>
      </x:c>
      <x:c r="Y217" s="2" t="n">
        <x:v>70</x:v>
      </x:c>
      <x:c r="Z217" s="2" t="str"/>
      <x:c r="AA217" s="2" t="n">
        <x:v>0</x:v>
      </x:c>
      <x:c r="AB217" s="8" t="str"/>
      <x:c r="AC217" s="8" t="str"/>
      <x:c r="AD217" s="8" t="str">
        <x:v>["draft-ko-missing"]</x:v>
      </x:c>
      <x:c r="AE217" s="8" t="str">
        <x:v>검토 필요</x:v>
      </x:c>
      <x:c r="AF217" s="8" t="str"/>
    </x:row>
    <x:row r="218">
      <x:c r="A218" s="10" t="n">
        <x:v>217</x:v>
      </x:c>
      <x:c r="B218" s="2" t="str">
        <x:v>2차 보류</x:v>
      </x:c>
      <x:c r="C218" s="2" t="str">
        <x:v>2차 보류</x:v>
      </x:c>
      <x:c r="D218" s="2" t="str">
        <x:v>낮음</x:v>
      </x:c>
      <x:c r="E218" s="2" t="str">
        <x:v>N2</x:v>
      </x:c>
      <x:c r="F218" s="10" t="n">
        <x:v>88</x:v>
      </x:c>
      <x:c r="G218" s="2" t="str">
        <x:v>w_d1d11476923d652c</x:v>
      </x:c>
      <x:c r="H218" s="2" t="str">
        <x:v>通り掛かる</x:v>
      </x:c>
      <x:c r="I218" s="2" t="str">
        <x:v>とおりかかる</x:v>
      </x:c>
      <x:c r="J218" s="8" t="str">
        <x:v>마침 지나가다</x:v>
      </x:c>
      <x:c r="K218" s="2" t="str">
        <x:v>verb</x:v>
      </x:c>
      <x:c r="L218" s="9" t="n">
        <x:v>0</x:v>
      </x:c>
      <x:c r="M218" s="2" t="str">
        <x:v>없음</x:v>
      </x:c>
      <x:c r="N218" s="11" t="n">
        <x:v>39</x:v>
      </x:c>
      <x:c r="O218" s="8" t="str">
        <x:v>일반 사용 빈도가 없거나 0; 검증된 예문 없음; 기존 데이터의 한국어 콘텐츠 보강 필요 태그</x:v>
      </x:c>
      <x:c r="P218" s="8" t="str">
        <x:v>frequency_missing_or_zero,no_example,weak_legacy_content</x:v>
      </x:c>
      <x:c r="Q218" s="2" t="str"/>
      <x:c r="R218" s="2" t="str"/>
      <x:c r="S218" s="2" t="str"/>
      <x:c r="T218" s="2" t="str"/>
      <x:c r="U218" s="2" t="str"/>
      <x:c r="V218" s="2" t="str">
        <x:v>아니오</x:v>
      </x:c>
      <x:c r="W218" s="2" t="str">
        <x:v>예</x:v>
      </x:c>
      <x:c r="X218" s="2" t="str">
        <x:v>ichi2</x:v>
      </x:c>
      <x:c r="Y218" s="2" t="n">
        <x:v>70</x:v>
      </x:c>
      <x:c r="Z218" s="2" t="str">
        <x:v>ichi2</x:v>
      </x:c>
      <x:c r="AA218" s="2" t="n">
        <x:v>70</x:v>
      </x:c>
      <x:c r="AB218" s="8" t="str"/>
      <x:c r="AC218" s="8" t="str"/>
      <x:c r="AD218" s="8" t="str">
        <x:v>["draft-ko-missing"]</x:v>
      </x:c>
      <x:c r="AE218" s="8" t="str">
        <x:v>검토 필요</x:v>
      </x:c>
      <x:c r="AF218" s="8" t="str"/>
    </x:row>
    <x:row r="219">
      <x:c r="A219" s="10" t="n">
        <x:v>218</x:v>
      </x:c>
      <x:c r="B219" s="2" t="str">
        <x:v>1차 제외 추천</x:v>
      </x:c>
      <x:c r="C219" s="2" t="str">
        <x:v>중복 변형 제거 검토</x:v>
      </x:c>
      <x:c r="D219" s="2" t="str">
        <x:v>높음</x:v>
      </x:c>
      <x:c r="E219" s="2" t="str">
        <x:v>N1</x:v>
      </x:c>
      <x:c r="F219" s="10" t="n">
        <x:v>78</x:v>
      </x:c>
      <x:c r="G219" s="2" t="str">
        <x:v>w_f674a6e474771268</x:v>
      </x:c>
      <x:c r="H219" s="2" t="str">
        <x:v>清ます</x:v>
      </x:c>
      <x:c r="I219" s="2" t="str">
        <x:v>すます</x:v>
      </x:c>
      <x:c r="J219" s="8" t="str">
        <x:v>맑게 하다; (귀를) 기울이다</x:v>
      </x:c>
      <x:c r="K219" s="2" t="str">
        <x:v>verb</x:v>
      </x:c>
      <x:c r="L219" s="9" t="n">
        <x:v>5.31</x:v>
      </x:c>
      <x:c r="M219" s="2" t="str">
        <x:v>없음</x:v>
      </x:c>
      <x:c r="N219" s="11" t="n">
        <x:v>39</x:v>
      </x:c>
      <x:c r="O219" s="8" t="str">
        <x:v>검증된 예문 없음; 동일 JMdict 표제어의 표기·읽기 변형; 읽기와 한국어 뜻이 같은 표기 변형; 기존 데이터의 한국어 콘텐츠 보강 필요 태그</x:v>
      </x:c>
      <x:c r="P219" s="8" t="str">
        <x:v>no_example,same_jmdict_entry,same_reading_meaning,weak_legacy_content</x:v>
      </x:c>
      <x:c r="Q219" s="2" t="str">
        <x:v>vg_080</x:v>
      </x:c>
      <x:c r="R219" s="2" t="str">
        <x:v>same_jmdict_entry,same_reading_meaning</x:v>
      </x:c>
      <x:c r="S219" s="2" t="str">
        <x:v>w_78ac2072100fce3f</x:v>
      </x:c>
      <x:c r="T219" s="2" t="str">
        <x:v>澄ます</x:v>
      </x:c>
      <x:c r="U219" s="2" t="str">
        <x:v>すます</x:v>
      </x:c>
      <x:c r="V219" s="2" t="str">
        <x:v>아니오</x:v>
      </x:c>
      <x:c r="W219" s="2" t="str">
        <x:v>예</x:v>
      </x:c>
      <x:c r="X219" s="2" t="str">
        <x:v>news2,nf42,spec2</x:v>
      </x:c>
      <x:c r="Y219" s="2" t="n">
        <x:v>70</x:v>
      </x:c>
      <x:c r="Z219" s="2" t="str"/>
      <x:c r="AA219" s="2" t="n">
        <x:v>0</x:v>
      </x:c>
      <x:c r="AB219" s="8" t="str"/>
      <x:c r="AC219" s="8" t="str"/>
      <x:c r="AD219" s="8" t="str">
        <x:v>["draft-ko-missing"]</x:v>
      </x:c>
      <x:c r="AE219" s="8" t="str">
        <x:v>검토 필요</x:v>
      </x:c>
      <x:c r="AF219" s="8" t="str"/>
    </x:row>
    <x:row r="220">
      <x:c r="A220" s="10" t="n">
        <x:v>219</x:v>
      </x:c>
      <x:c r="B220" s="2" t="str">
        <x:v>1차 검토 후보</x:v>
      </x:c>
      <x:c r="C220" s="2" t="str">
        <x:v>저활용 제외 검토</x:v>
      </x:c>
      <x:c r="D220" s="2" t="str">
        <x:v>중간</x:v>
      </x:c>
      <x:c r="E220" s="2" t="str">
        <x:v>N1</x:v>
      </x:c>
      <x:c r="F220" s="10" t="n">
        <x:v>79</x:v>
      </x:c>
      <x:c r="G220" s="2" t="str">
        <x:v>w_e010e97d5f09b8ea</x:v>
      </x:c>
      <x:c r="H220" s="2" t="str">
        <x:v>盛装</x:v>
      </x:c>
      <x:c r="I220" s="2" t="str">
        <x:v>せいそう</x:v>
      </x:c>
      <x:c r="J220" s="8" t="str">
        <x:v>성장(盛裝), 차려입음</x:v>
      </x:c>
      <x:c r="K220" s="2" t="str">
        <x:v>noun</x:v>
      </x:c>
      <x:c r="L220" s="9" t="n">
        <x:v>2.03</x:v>
      </x:c>
      <x:c r="M220" s="2" t="str">
        <x:v>없음</x:v>
      </x:c>
      <x:c r="N220" s="11" t="n">
        <x:v>38</x:v>
      </x:c>
      <x:c r="O220" s="8" t="str">
        <x:v>일반 사용 빈도 낮음(Zipf ≤ 2.5); 검증된 예문 없음; JMdict 우선 어휘 표지 없음</x:v>
      </x:c>
      <x:c r="P220" s="8" t="str">
        <x:v>frequency_le_2_5,no_example,no_jmdict_priority</x:v>
      </x:c>
      <x:c r="Q220" s="2" t="str"/>
      <x:c r="R220" s="2" t="str"/>
      <x:c r="S220" s="2" t="str"/>
      <x:c r="T220" s="2" t="str"/>
      <x:c r="U220" s="2" t="str"/>
      <x:c r="V220" s="2" t="str">
        <x:v>아니오</x:v>
      </x:c>
      <x:c r="W220" s="2" t="str">
        <x:v>예</x:v>
      </x:c>
      <x:c r="X220" s="2" t="str"/>
      <x:c r="Y220" s="2" t="n">
        <x:v>0</x:v>
      </x:c>
      <x:c r="Z220" s="2" t="str"/>
      <x:c r="AA220" s="2" t="n">
        <x:v>0</x:v>
      </x:c>
      <x:c r="AB220" s="8" t="str"/>
      <x:c r="AC220" s="8" t="str"/>
      <x:c r="AD220" s="8" t="str">
        <x:v>["ko-reviewed"]</x:v>
      </x:c>
      <x:c r="AE220" s="8" t="str">
        <x:v>검토 필요</x:v>
      </x:c>
      <x:c r="AF220" s="8" t="str"/>
    </x:row>
    <x:row r="221">
      <x:c r="A221" s="10" t="n">
        <x:v>220</x:v>
      </x:c>
      <x:c r="B221" s="2" t="str">
        <x:v>1차 검토 후보</x:v>
      </x:c>
      <x:c r="C221" s="2" t="str">
        <x:v>저활용 제외 검토</x:v>
      </x:c>
      <x:c r="D221" s="2" t="str">
        <x:v>중간</x:v>
      </x:c>
      <x:c r="E221" s="2" t="str">
        <x:v>N1</x:v>
      </x:c>
      <x:c r="F221" s="10" t="n">
        <x:v>80</x:v>
      </x:c>
      <x:c r="G221" s="2" t="str">
        <x:v>w_b8d36d89b9d7a2e4</x:v>
      </x:c>
      <x:c r="H221" s="2" t="str">
        <x:v>他動詞</x:v>
      </x:c>
      <x:c r="I221" s="2" t="str">
        <x:v>たどうし</x:v>
      </x:c>
      <x:c r="J221" s="8" t="str">
        <x:v>타동사</x:v>
      </x:c>
      <x:c r="K221" s="2" t="str">
        <x:v>noun</x:v>
      </x:c>
      <x:c r="L221" s="9" t="n">
        <x:v>2.05</x:v>
      </x:c>
      <x:c r="M221" s="2" t="str">
        <x:v>없음</x:v>
      </x:c>
      <x:c r="N221" s="11" t="n">
        <x:v>38</x:v>
      </x:c>
      <x:c r="O221" s="8" t="str">
        <x:v>일반 사용 빈도 낮음(Zipf ≤ 2.5); 검증된 예문 없음; JMdict 우선 어휘 표지 없음</x:v>
      </x:c>
      <x:c r="P221" s="8" t="str">
        <x:v>frequency_le_2_5,no_example,no_jmdict_priority</x:v>
      </x:c>
      <x:c r="Q221" s="2" t="str"/>
      <x:c r="R221" s="2" t="str"/>
      <x:c r="S221" s="2" t="str"/>
      <x:c r="T221" s="2" t="str"/>
      <x:c r="U221" s="2" t="str"/>
      <x:c r="V221" s="2" t="str">
        <x:v>아니오</x:v>
      </x:c>
      <x:c r="W221" s="2" t="str">
        <x:v>예</x:v>
      </x:c>
      <x:c r="X221" s="2" t="str"/>
      <x:c r="Y221" s="2" t="n">
        <x:v>0</x:v>
      </x:c>
      <x:c r="Z221" s="2" t="str"/>
      <x:c r="AA221" s="2" t="n">
        <x:v>0</x:v>
      </x:c>
      <x:c r="AB221" s="8" t="str"/>
      <x:c r="AC221" s="8" t="str"/>
      <x:c r="AD221" s="8" t="str">
        <x:v>["ko-reviewed"]</x:v>
      </x:c>
      <x:c r="AE221" s="8" t="str">
        <x:v>검토 필요</x:v>
      </x:c>
      <x:c r="AF221" s="8" t="str"/>
    </x:row>
    <x:row r="222">
      <x:c r="A222" s="10" t="n">
        <x:v>221</x:v>
      </x:c>
      <x:c r="B222" s="2" t="str">
        <x:v>1차 검토 후보</x:v>
      </x:c>
      <x:c r="C222" s="2" t="str">
        <x:v>저활용 제외 검토</x:v>
      </x:c>
      <x:c r="D222" s="2" t="str">
        <x:v>중간</x:v>
      </x:c>
      <x:c r="E222" s="2" t="str">
        <x:v>N2</x:v>
      </x:c>
      <x:c r="F222" s="10" t="n">
        <x:v>89</x:v>
      </x:c>
      <x:c r="G222" s="2" t="str">
        <x:v>w_b1c2aa5444f0f1c7</x:v>
      </x:c>
      <x:c r="H222" s="2" t="str">
        <x:v>くるむ</x:v>
      </x:c>
      <x:c r="I222" s="2" t="str">
        <x:v>くるむ</x:v>
      </x:c>
      <x:c r="J222" s="8" t="str">
        <x:v>싸다, 감싸다</x:v>
      </x:c>
      <x:c r="K222" s="2" t="str">
        <x:v>verb</x:v>
      </x:c>
      <x:c r="L222" s="9" t="n">
        <x:v>2.07</x:v>
      </x:c>
      <x:c r="M222" s="2" t="str">
        <x:v>없음</x:v>
      </x:c>
      <x:c r="N222" s="11" t="n">
        <x:v>38</x:v>
      </x:c>
      <x:c r="O222" s="8" t="str">
        <x:v>일반 사용 빈도 낮음(Zipf ≤ 2.5); 검증된 예문 없음; JMdict 우선 어휘 표지 없음</x:v>
      </x:c>
      <x:c r="P222" s="8" t="str">
        <x:v>frequency_le_2_5,no_example,no_jmdict_priority</x:v>
      </x:c>
      <x:c r="Q222" s="2" t="str"/>
      <x:c r="R222" s="2" t="str"/>
      <x:c r="S222" s="2" t="str"/>
      <x:c r="T222" s="2" t="str"/>
      <x:c r="U222" s="2" t="str"/>
      <x:c r="V222" s="2" t="str">
        <x:v>아니오</x:v>
      </x:c>
      <x:c r="W222" s="2" t="str">
        <x:v>아니오</x:v>
      </x:c>
      <x:c r="X222" s="2" t="str"/>
      <x:c r="Y222" s="2" t="n">
        <x:v>0</x:v>
      </x:c>
      <x:c r="Z222" s="2" t="str"/>
      <x:c r="AA222" s="2" t="n">
        <x:v>0</x:v>
      </x:c>
      <x:c r="AB222" s="8" t="str"/>
      <x:c r="AC222" s="8" t="str"/>
      <x:c r="AD222" s="8" t="str">
        <x:v>["ko-reviewed"]</x:v>
      </x:c>
      <x:c r="AE222" s="8" t="str">
        <x:v>검토 필요</x:v>
      </x:c>
      <x:c r="AF222" s="8" t="str"/>
    </x:row>
    <x:row r="223">
      <x:c r="A223" s="10" t="n">
        <x:v>222</x:v>
      </x:c>
      <x:c r="B223" s="2" t="str">
        <x:v>1차 검토 후보</x:v>
      </x:c>
      <x:c r="C223" s="2" t="str">
        <x:v>저활용 제외 검토</x:v>
      </x:c>
      <x:c r="D223" s="2" t="str">
        <x:v>중간</x:v>
      </x:c>
      <x:c r="E223" s="2" t="str">
        <x:v>N2</x:v>
      </x:c>
      <x:c r="F223" s="10" t="n">
        <x:v>90</x:v>
      </x:c>
      <x:c r="G223" s="2" t="str">
        <x:v>w_d06e6a26243b7c24</x:v>
      </x:c>
      <x:c r="H223" s="2" t="str">
        <x:v>破く</x:v>
      </x:c>
      <x:c r="I223" s="2" t="str">
        <x:v>やぶく</x:v>
      </x:c>
      <x:c r="J223" s="8" t="str">
        <x:v>찢다</x:v>
      </x:c>
      <x:c r="K223" s="2" t="str">
        <x:v>verb</x:v>
      </x:c>
      <x:c r="L223" s="9" t="n">
        <x:v>2.11</x:v>
      </x:c>
      <x:c r="M223" s="2" t="str">
        <x:v>없음</x:v>
      </x:c>
      <x:c r="N223" s="11" t="n">
        <x:v>38</x:v>
      </x:c>
      <x:c r="O223" s="8" t="str">
        <x:v>일반 사용 빈도 낮음(Zipf ≤ 2.5); 검증된 예문 없음; JMdict 우선 어휘 표지 없음</x:v>
      </x:c>
      <x:c r="P223" s="8" t="str">
        <x:v>frequency_le_2_5,no_example,no_jmdict_priority</x:v>
      </x:c>
      <x:c r="Q223" s="2" t="str"/>
      <x:c r="R223" s="2" t="str"/>
      <x:c r="S223" s="2" t="str"/>
      <x:c r="T223" s="2" t="str"/>
      <x:c r="U223" s="2" t="str"/>
      <x:c r="V223" s="2" t="str">
        <x:v>아니오</x:v>
      </x:c>
      <x:c r="W223" s="2" t="str">
        <x:v>예</x:v>
      </x:c>
      <x:c r="X223" s="2" t="str"/>
      <x:c r="Y223" s="2" t="n">
        <x:v>0</x:v>
      </x:c>
      <x:c r="Z223" s="2" t="str"/>
      <x:c r="AA223" s="2" t="n">
        <x:v>0</x:v>
      </x:c>
      <x:c r="AB223" s="8" t="str"/>
      <x:c r="AC223" s="8" t="str"/>
      <x:c r="AD223" s="8" t="str">
        <x:v>["backfill-replacement","assistant-ko-reviewed"]</x:v>
      </x:c>
      <x:c r="AE223" s="8" t="str">
        <x:v>검토 필요</x:v>
      </x:c>
      <x:c r="AF223" s="8" t="str"/>
    </x:row>
    <x:row r="224">
      <x:c r="A224" s="10" t="n">
        <x:v>223</x:v>
      </x:c>
      <x:c r="B224" s="2" t="str">
        <x:v>1차 검토 후보</x:v>
      </x:c>
      <x:c r="C224" s="2" t="str">
        <x:v>저활용 제외 검토</x:v>
      </x:c>
      <x:c r="D224" s="2" t="str">
        <x:v>중간</x:v>
      </x:c>
      <x:c r="E224" s="2" t="str">
        <x:v>N2</x:v>
      </x:c>
      <x:c r="F224" s="10" t="n">
        <x:v>91</x:v>
      </x:c>
      <x:c r="G224" s="2" t="str">
        <x:v>w_a0605c89158e116f</x:v>
      </x:c>
      <x:c r="H224" s="2" t="str">
        <x:v>店屋</x:v>
      </x:c>
      <x:c r="I224" s="2" t="str">
        <x:v>みせや</x:v>
      </x:c>
      <x:c r="J224" s="8" t="str">
        <x:v>가게, 상점</x:v>
      </x:c>
      <x:c r="K224" s="2" t="str">
        <x:v>noun</x:v>
      </x:c>
      <x:c r="L224" s="9" t="n">
        <x:v>2.12</x:v>
      </x:c>
      <x:c r="M224" s="2" t="str">
        <x:v>없음</x:v>
      </x:c>
      <x:c r="N224" s="11" t="n">
        <x:v>38</x:v>
      </x:c>
      <x:c r="O224" s="8" t="str">
        <x:v>일반 사용 빈도 낮음(Zipf ≤ 2.5); 검증된 예문 없음; JMdict 우선 어휘 표지 없음</x:v>
      </x:c>
      <x:c r="P224" s="8" t="str">
        <x:v>frequency_le_2_5,no_example,no_jmdict_priority</x:v>
      </x:c>
      <x:c r="Q224" s="2" t="str"/>
      <x:c r="R224" s="2" t="str"/>
      <x:c r="S224" s="2" t="str"/>
      <x:c r="T224" s="2" t="str"/>
      <x:c r="U224" s="2" t="str"/>
      <x:c r="V224" s="2" t="str">
        <x:v>아니오</x:v>
      </x:c>
      <x:c r="W224" s="2" t="str">
        <x:v>예</x:v>
      </x:c>
      <x:c r="X224" s="2" t="str"/>
      <x:c r="Y224" s="2" t="n">
        <x:v>0</x:v>
      </x:c>
      <x:c r="Z224" s="2" t="str"/>
      <x:c r="AA224" s="2" t="n">
        <x:v>0</x:v>
      </x:c>
      <x:c r="AB224" s="8" t="str"/>
      <x:c r="AC224" s="8" t="str"/>
      <x:c r="AD224" s="8" t="str">
        <x:v>["backfill-replacement","assistant-ko-reviewed"]</x:v>
      </x:c>
      <x:c r="AE224" s="8" t="str">
        <x:v>검토 필요</x:v>
      </x:c>
      <x:c r="AF224" s="8" t="str"/>
    </x:row>
    <x:row r="225">
      <x:c r="A225" s="10" t="n">
        <x:v>224</x:v>
      </x:c>
      <x:c r="B225" s="2" t="str">
        <x:v>1차 검토 후보</x:v>
      </x:c>
      <x:c r="C225" s="2" t="str">
        <x:v>저활용 제외 검토</x:v>
      </x:c>
      <x:c r="D225" s="2" t="str">
        <x:v>중간</x:v>
      </x:c>
      <x:c r="E225" s="2" t="str">
        <x:v>N2</x:v>
      </x:c>
      <x:c r="F225" s="10" t="n">
        <x:v>92</x:v>
      </x:c>
      <x:c r="G225" s="2" t="str">
        <x:v>w_308680a8ffac242b</x:v>
      </x:c>
      <x:c r="H225" s="2" t="str">
        <x:v>ぴたり</x:v>
      </x:c>
      <x:c r="I225" s="2" t="str">
        <x:v>ぴたり</x:v>
      </x:c>
      <x:c r="J225" s="8" t="str">
        <x:v>딱, 꼭 맞게</x:v>
      </x:c>
      <x:c r="K225" s="2" t="str">
        <x:v>adverb</x:v>
      </x:c>
      <x:c r="L225" s="9" t="n">
        <x:v>2.14</x:v>
      </x:c>
      <x:c r="M225" s="2" t="str">
        <x:v>없음</x:v>
      </x:c>
      <x:c r="N225" s="11" t="n">
        <x:v>38</x:v>
      </x:c>
      <x:c r="O225" s="8" t="str">
        <x:v>일반 사용 빈도 낮음(Zipf ≤ 2.5); 검증된 예문 없음; JMdict 우선 어휘 표지 없음</x:v>
      </x:c>
      <x:c r="P225" s="8" t="str">
        <x:v>frequency_le_2_5,no_example,no_jmdict_priority</x:v>
      </x:c>
      <x:c r="Q225" s="2" t="str"/>
      <x:c r="R225" s="2" t="str"/>
      <x:c r="S225" s="2" t="str"/>
      <x:c r="T225" s="2" t="str"/>
      <x:c r="U225" s="2" t="str"/>
      <x:c r="V225" s="2" t="str">
        <x:v>아니오</x:v>
      </x:c>
      <x:c r="W225" s="2" t="str">
        <x:v>예</x:v>
      </x:c>
      <x:c r="X225" s="2" t="str"/>
      <x:c r="Y225" s="2" t="n">
        <x:v>0</x:v>
      </x:c>
      <x:c r="Z225" s="2" t="str"/>
      <x:c r="AA225" s="2" t="n">
        <x:v>0</x:v>
      </x:c>
      <x:c r="AB225" s="8" t="str">
        <x:v>onomatopoeic or mimetic word | ぴったし is colloquial</x:v>
      </x:c>
      <x:c r="AC225" s="8" t="str"/>
      <x:c r="AD225" s="8" t="str">
        <x:v>["ko-reviewed"]</x:v>
      </x:c>
      <x:c r="AE225" s="8" t="str">
        <x:v>검토 필요</x:v>
      </x:c>
      <x:c r="AF225" s="8" t="str"/>
    </x:row>
    <x:row r="226">
      <x:c r="A226" s="10" t="n">
        <x:v>225</x:v>
      </x:c>
      <x:c r="B226" s="2" t="str">
        <x:v>1차 검토 후보</x:v>
      </x:c>
      <x:c r="C226" s="2" t="str">
        <x:v>저활용 제외 검토</x:v>
      </x:c>
      <x:c r="D226" s="2" t="str">
        <x:v>중간</x:v>
      </x:c>
      <x:c r="E226" s="2" t="str">
        <x:v>N1</x:v>
      </x:c>
      <x:c r="F226" s="10" t="n">
        <x:v>81</x:v>
      </x:c>
      <x:c r="G226" s="2" t="str">
        <x:v>w_c972bbd86d419db3</x:v>
      </x:c>
      <x:c r="H226" s="2" t="str">
        <x:v>気立て</x:v>
      </x:c>
      <x:c r="I226" s="2" t="str">
        <x:v>きだて</x:v>
      </x:c>
      <x:c r="J226" s="8" t="str">
        <x:v>성품, 마음씨</x:v>
      </x:c>
      <x:c r="K226" s="2" t="str">
        <x:v>noun</x:v>
      </x:c>
      <x:c r="L226" s="9" t="n">
        <x:v>2.18</x:v>
      </x:c>
      <x:c r="M226" s="2" t="str">
        <x:v>없음</x:v>
      </x:c>
      <x:c r="N226" s="11" t="n">
        <x:v>38</x:v>
      </x:c>
      <x:c r="O226" s="8" t="str">
        <x:v>일반 사용 빈도 낮음(Zipf ≤ 2.5); 검증된 예문 없음; JMdict 우선 어휘 표지 없음</x:v>
      </x:c>
      <x:c r="P226" s="8" t="str">
        <x:v>frequency_le_2_5,no_example,no_jmdict_priority</x:v>
      </x:c>
      <x:c r="Q226" s="2" t="str"/>
      <x:c r="R226" s="2" t="str"/>
      <x:c r="S226" s="2" t="str"/>
      <x:c r="T226" s="2" t="str"/>
      <x:c r="U226" s="2" t="str"/>
      <x:c r="V226" s="2" t="str">
        <x:v>아니오</x:v>
      </x:c>
      <x:c r="W226" s="2" t="str">
        <x:v>예</x:v>
      </x:c>
      <x:c r="X226" s="2" t="str"/>
      <x:c r="Y226" s="2" t="n">
        <x:v>0</x:v>
      </x:c>
      <x:c r="Z226" s="2" t="str"/>
      <x:c r="AA226" s="2" t="n">
        <x:v>0</x:v>
      </x:c>
      <x:c r="AB226" s="8" t="str"/>
      <x:c r="AC226" s="8" t="str"/>
      <x:c r="AD226" s="8" t="str">
        <x:v>["ko-reviewed"]</x:v>
      </x:c>
      <x:c r="AE226" s="8" t="str">
        <x:v>검토 필요</x:v>
      </x:c>
      <x:c r="AF226" s="8" t="str"/>
    </x:row>
    <x:row r="227">
      <x:c r="A227" s="10" t="n">
        <x:v>226</x:v>
      </x:c>
      <x:c r="B227" s="2" t="str">
        <x:v>1차 검토 후보</x:v>
      </x:c>
      <x:c r="C227" s="2" t="str">
        <x:v>저활용 제외 검토</x:v>
      </x:c>
      <x:c r="D227" s="2" t="str">
        <x:v>중간</x:v>
      </x:c>
      <x:c r="E227" s="2" t="str">
        <x:v>N1</x:v>
      </x:c>
      <x:c r="F227" s="10" t="n">
        <x:v>82</x:v>
      </x:c>
      <x:c r="G227" s="2" t="str">
        <x:v>w_fd385a3adcbade21</x:v>
      </x:c>
      <x:c r="H227" s="2" t="str">
        <x:v>清濁</x:v>
      </x:c>
      <x:c r="I227" s="2" t="str">
        <x:v>せいだく</x:v>
      </x:c>
      <x:c r="J227" s="8" t="str">
        <x:v>청탁, 선악</x:v>
      </x:c>
      <x:c r="K227" s="2" t="str">
        <x:v>noun</x:v>
      </x:c>
      <x:c r="L227" s="9" t="n">
        <x:v>2.2</x:v>
      </x:c>
      <x:c r="M227" s="2" t="str">
        <x:v>없음</x:v>
      </x:c>
      <x:c r="N227" s="11" t="n">
        <x:v>38</x:v>
      </x:c>
      <x:c r="O227" s="8" t="str">
        <x:v>일반 사용 빈도 낮음(Zipf ≤ 2.5); 검증된 예문 없음; JMdict 우선 어휘 표지 없음</x:v>
      </x:c>
      <x:c r="P227" s="8" t="str">
        <x:v>frequency_le_2_5,no_example,no_jmdict_priority</x:v>
      </x:c>
      <x:c r="Q227" s="2" t="str"/>
      <x:c r="R227" s="2" t="str"/>
      <x:c r="S227" s="2" t="str"/>
      <x:c r="T227" s="2" t="str"/>
      <x:c r="U227" s="2" t="str"/>
      <x:c r="V227" s="2" t="str">
        <x:v>아니오</x:v>
      </x:c>
      <x:c r="W227" s="2" t="str">
        <x:v>예</x:v>
      </x:c>
      <x:c r="X227" s="2" t="str"/>
      <x:c r="Y227" s="2" t="n">
        <x:v>0</x:v>
      </x:c>
      <x:c r="Z227" s="2" t="str"/>
      <x:c r="AA227" s="2" t="n">
        <x:v>0</x:v>
      </x:c>
      <x:c r="AB227" s="8" t="str"/>
      <x:c r="AC227" s="8" t="str"/>
      <x:c r="AD227" s="8" t="str">
        <x:v>["ko-reviewed"]</x:v>
      </x:c>
      <x:c r="AE227" s="8" t="str">
        <x:v>검토 필요</x:v>
      </x:c>
      <x:c r="AF227" s="8" t="str"/>
    </x:row>
    <x:row r="228">
      <x:c r="A228" s="10" t="n">
        <x:v>227</x:v>
      </x:c>
      <x:c r="B228" s="2" t="str">
        <x:v>1차 검토 후보</x:v>
      </x:c>
      <x:c r="C228" s="2" t="str">
        <x:v>저활용 제외 검토</x:v>
      </x:c>
      <x:c r="D228" s="2" t="str">
        <x:v>중간</x:v>
      </x:c>
      <x:c r="E228" s="2" t="str">
        <x:v>N1</x:v>
      </x:c>
      <x:c r="F228" s="10" t="n">
        <x:v>83</x:v>
      </x:c>
      <x:c r="G228" s="2" t="str">
        <x:v>w_af0b21362a37916f</x:v>
      </x:c>
      <x:c r="H228" s="2" t="str">
        <x:v>震わせる</x:v>
      </x:c>
      <x:c r="I228" s="2" t="str">
        <x:v>ふるわせる</x:v>
      </x:c>
      <x:c r="J228" s="8" t="str">
        <x:v>떨게 하다, 떨리게 하다</x:v>
      </x:c>
      <x:c r="K228" s="2" t="str">
        <x:v>verb</x:v>
      </x:c>
      <x:c r="L228" s="9" t="n">
        <x:v>2.22</x:v>
      </x:c>
      <x:c r="M228" s="2" t="str">
        <x:v>없음</x:v>
      </x:c>
      <x:c r="N228" s="11" t="n">
        <x:v>38</x:v>
      </x:c>
      <x:c r="O228" s="8" t="str">
        <x:v>일반 사용 빈도 낮음(Zipf ≤ 2.5); 검증된 예문 없음; JMdict 우선 어휘 표지 없음</x:v>
      </x:c>
      <x:c r="P228" s="8" t="str">
        <x:v>frequency_le_2_5,no_example,no_jmdict_priority</x:v>
      </x:c>
      <x:c r="Q228" s="2" t="str"/>
      <x:c r="R228" s="2" t="str"/>
      <x:c r="S228" s="2" t="str"/>
      <x:c r="T228" s="2" t="str"/>
      <x:c r="U228" s="2" t="str"/>
      <x:c r="V228" s="2" t="str">
        <x:v>아니오</x:v>
      </x:c>
      <x:c r="W228" s="2" t="str">
        <x:v>예</x:v>
      </x:c>
      <x:c r="X228" s="2" t="str"/>
      <x:c r="Y228" s="2" t="n">
        <x:v>0</x:v>
      </x:c>
      <x:c r="Z228" s="2" t="str"/>
      <x:c r="AA228" s="2" t="n">
        <x:v>0</x:v>
      </x:c>
      <x:c r="AB228" s="8" t="str"/>
      <x:c r="AC228" s="8" t="str"/>
      <x:c r="AD228" s="8" t="str">
        <x:v>["ko-reviewed"]</x:v>
      </x:c>
      <x:c r="AE228" s="8" t="str">
        <x:v>검토 필요</x:v>
      </x:c>
      <x:c r="AF228" s="8" t="str"/>
    </x:row>
    <x:row r="229">
      <x:c r="A229" s="10" t="n">
        <x:v>228</x:v>
      </x:c>
      <x:c r="B229" s="2" t="str">
        <x:v>1차 검토 후보</x:v>
      </x:c>
      <x:c r="C229" s="2" t="str">
        <x:v>저활용 제외 검토</x:v>
      </x:c>
      <x:c r="D229" s="2" t="str">
        <x:v>중간</x:v>
      </x:c>
      <x:c r="E229" s="2" t="str">
        <x:v>N2</x:v>
      </x:c>
      <x:c r="F229" s="10" t="n">
        <x:v>93</x:v>
      </x:c>
      <x:c r="G229" s="2" t="str">
        <x:v>w_e1858aa5a7439d43</x:v>
      </x:c>
      <x:c r="H229" s="2" t="str">
        <x:v>順々</x:v>
      </x:c>
      <x:c r="I229" s="2" t="str">
        <x:v>じゅんじゅん</x:v>
      </x:c>
      <x:c r="J229" s="8" t="str">
        <x:v>차례차례, 순서대로</x:v>
      </x:c>
      <x:c r="K229" s="2" t="str">
        <x:v>adverb</x:v>
      </x:c>
      <x:c r="L229" s="9" t="n">
        <x:v>2.26</x:v>
      </x:c>
      <x:c r="M229" s="2" t="str">
        <x:v>없음</x:v>
      </x:c>
      <x:c r="N229" s="11" t="n">
        <x:v>38</x:v>
      </x:c>
      <x:c r="O229" s="8" t="str">
        <x:v>일반 사용 빈도 낮음(Zipf ≤ 2.5); 검증된 예문 없음; JMdict 우선 어휘 표지 없음</x:v>
      </x:c>
      <x:c r="P229" s="8" t="str">
        <x:v>frequency_le_2_5,no_example,no_jmdict_priority</x:v>
      </x:c>
      <x:c r="Q229" s="2" t="str"/>
      <x:c r="R229" s="2" t="str"/>
      <x:c r="S229" s="2" t="str"/>
      <x:c r="T229" s="2" t="str"/>
      <x:c r="U229" s="2" t="str"/>
      <x:c r="V229" s="2" t="str">
        <x:v>아니오</x:v>
      </x:c>
      <x:c r="W229" s="2" t="str">
        <x:v>예</x:v>
      </x:c>
      <x:c r="X229" s="2" t="str"/>
      <x:c r="Y229" s="2" t="n">
        <x:v>0</x:v>
      </x:c>
      <x:c r="Z229" s="2" t="str"/>
      <x:c r="AA229" s="2" t="n">
        <x:v>0</x:v>
      </x:c>
      <x:c r="AB229" s="8" t="str"/>
      <x:c r="AC229" s="8" t="str"/>
      <x:c r="AD229" s="8" t="str">
        <x:v>["ko-reviewed"]</x:v>
      </x:c>
      <x:c r="AE229" s="8" t="str">
        <x:v>검토 필요</x:v>
      </x:c>
      <x:c r="AF229" s="8" t="str"/>
    </x:row>
    <x:row r="230">
      <x:c r="A230" s="10" t="n">
        <x:v>229</x:v>
      </x:c>
      <x:c r="B230" s="2" t="str">
        <x:v>1차 검토 후보</x:v>
      </x:c>
      <x:c r="C230" s="2" t="str">
        <x:v>저활용 제외 검토</x:v>
      </x:c>
      <x:c r="D230" s="2" t="str">
        <x:v>중간</x:v>
      </x:c>
      <x:c r="E230" s="2" t="str">
        <x:v>N1</x:v>
      </x:c>
      <x:c r="F230" s="10" t="n">
        <x:v>84</x:v>
      </x:c>
      <x:c r="G230" s="2" t="str">
        <x:v>w_311d49f34203a161</x:v>
      </x:c>
      <x:c r="H230" s="2" t="str">
        <x:v>霰</x:v>
      </x:c>
      <x:c r="I230" s="2" t="str">
        <x:v>あられ</x:v>
      </x:c>
      <x:c r="J230" s="8" t="str">
        <x:v>싸라기눈</x:v>
      </x:c>
      <x:c r="K230" s="2" t="str">
        <x:v>noun</x:v>
      </x:c>
      <x:c r="L230" s="9" t="n">
        <x:v>2.28</x:v>
      </x:c>
      <x:c r="M230" s="2" t="str">
        <x:v>없음</x:v>
      </x:c>
      <x:c r="N230" s="11" t="n">
        <x:v>38</x:v>
      </x:c>
      <x:c r="O230" s="8" t="str">
        <x:v>일반 사용 빈도 낮음(Zipf ≤ 2.5); 검증된 예문 없음; JMdict 우선 어휘 표지 없음</x:v>
      </x:c>
      <x:c r="P230" s="8" t="str">
        <x:v>frequency_le_2_5,no_example,no_jmdict_priority</x:v>
      </x:c>
      <x:c r="Q230" s="2" t="str"/>
      <x:c r="R230" s="2" t="str"/>
      <x:c r="S230" s="2" t="str"/>
      <x:c r="T230" s="2" t="str"/>
      <x:c r="U230" s="2" t="str"/>
      <x:c r="V230" s="2" t="str">
        <x:v>아니오</x:v>
      </x:c>
      <x:c r="W230" s="2" t="str">
        <x:v>예</x:v>
      </x:c>
      <x:c r="X230" s="2" t="str"/>
      <x:c r="Y230" s="2" t="n">
        <x:v>0</x:v>
      </x:c>
      <x:c r="Z230" s="2" t="str"/>
      <x:c r="AA230" s="2" t="n">
        <x:v>0</x:v>
      </x:c>
      <x:c r="AB230" s="8" t="str">
        <x:v>abbreviation | word usually written using kana alone</x:v>
      </x:c>
      <x:c r="AC230" s="8" t="str"/>
      <x:c r="AD230" s="8" t="str">
        <x:v>["ko-reviewed"]</x:v>
      </x:c>
      <x:c r="AE230" s="8" t="str">
        <x:v>검토 필요</x:v>
      </x:c>
      <x:c r="AF230" s="8" t="str"/>
    </x:row>
    <x:row r="231">
      <x:c r="A231" s="10" t="n">
        <x:v>230</x:v>
      </x:c>
      <x:c r="B231" s="2" t="str">
        <x:v>1차 검토 후보</x:v>
      </x:c>
      <x:c r="C231" s="2" t="str">
        <x:v>저활용 제외 검토</x:v>
      </x:c>
      <x:c r="D231" s="2" t="str">
        <x:v>중간</x:v>
      </x:c>
      <x:c r="E231" s="2" t="str">
        <x:v>N1</x:v>
      </x:c>
      <x:c r="F231" s="10" t="n">
        <x:v>85</x:v>
      </x:c>
      <x:c r="G231" s="2" t="str">
        <x:v>w_a4092744f57bc1a2</x:v>
      </x:c>
      <x:c r="H231" s="2" t="str">
        <x:v>かぶれる</x:v>
      </x:c>
      <x:c r="I231" s="2" t="str">
        <x:v>かぶれる</x:v>
      </x:c>
      <x:c r="J231" s="8" t="str">
        <x:v>영향을 받다, 피부가 짓무르다</x:v>
      </x:c>
      <x:c r="K231" s="2" t="str">
        <x:v>verb</x:v>
      </x:c>
      <x:c r="L231" s="9" t="n">
        <x:v>2.31</x:v>
      </x:c>
      <x:c r="M231" s="2" t="str">
        <x:v>없음</x:v>
      </x:c>
      <x:c r="N231" s="11" t="n">
        <x:v>38</x:v>
      </x:c>
      <x:c r="O231" s="8" t="str">
        <x:v>일반 사용 빈도 낮음(Zipf ≤ 2.5); 검증된 예문 없음; JMdict 우선 어휘 표지 없음</x:v>
      </x:c>
      <x:c r="P231" s="8" t="str">
        <x:v>frequency_le_2_5,no_example,no_jmdict_priority</x:v>
      </x:c>
      <x:c r="Q231" s="2" t="str"/>
      <x:c r="R231" s="2" t="str"/>
      <x:c r="S231" s="2" t="str"/>
      <x:c r="T231" s="2" t="str"/>
      <x:c r="U231" s="2" t="str"/>
      <x:c r="V231" s="2" t="str">
        <x:v>아니오</x:v>
      </x:c>
      <x:c r="W231" s="2" t="str">
        <x:v>아니오</x:v>
      </x:c>
      <x:c r="X231" s="2" t="str"/>
      <x:c r="Y231" s="2" t="n">
        <x:v>0</x:v>
      </x:c>
      <x:c r="Z231" s="2" t="str"/>
      <x:c r="AA231" s="2" t="n">
        <x:v>0</x:v>
      </x:c>
      <x:c r="AB231" s="8" t="str"/>
      <x:c r="AC231" s="8" t="str"/>
      <x:c r="AD231" s="8" t="str">
        <x:v>["ko-reviewed"]</x:v>
      </x:c>
      <x:c r="AE231" s="8" t="str">
        <x:v>검토 필요</x:v>
      </x:c>
      <x:c r="AF231" s="8" t="str"/>
    </x:row>
    <x:row r="232">
      <x:c r="A232" s="10" t="n">
        <x:v>231</x:v>
      </x:c>
      <x:c r="B232" s="2" t="str">
        <x:v>1차 검토 후보</x:v>
      </x:c>
      <x:c r="C232" s="2" t="str">
        <x:v>저활용 제외 검토</x:v>
      </x:c>
      <x:c r="D232" s="2" t="str">
        <x:v>중간</x:v>
      </x:c>
      <x:c r="E232" s="2" t="str">
        <x:v>N1</x:v>
      </x:c>
      <x:c r="F232" s="10" t="n">
        <x:v>86</x:v>
      </x:c>
      <x:c r="G232" s="2" t="str">
        <x:v>w_a5222bbb582e5063</x:v>
      </x:c>
      <x:c r="H232" s="2" t="str">
        <x:v>蒸溜</x:v>
      </x:c>
      <x:c r="I232" s="2" t="str">
        <x:v>じょうりゅう</x:v>
      </x:c>
      <x:c r="J232" s="8" t="str">
        <x:v>증류</x:v>
      </x:c>
      <x:c r="K232" s="2" t="str">
        <x:v>noun</x:v>
      </x:c>
      <x:c r="L232" s="9" t="n">
        <x:v>2.31</x:v>
      </x:c>
      <x:c r="M232" s="2" t="str">
        <x:v>없음</x:v>
      </x:c>
      <x:c r="N232" s="11" t="n">
        <x:v>38</x:v>
      </x:c>
      <x:c r="O232" s="8" t="str">
        <x:v>일반 사용 빈도 낮음(Zipf ≤ 2.5); 검증된 예문 없음; JMdict 우선 어휘 표지 없음</x:v>
      </x:c>
      <x:c r="P232" s="8" t="str">
        <x:v>frequency_le_2_5,no_example,no_jmdict_priority</x:v>
      </x:c>
      <x:c r="Q232" s="2" t="str"/>
      <x:c r="R232" s="2" t="str"/>
      <x:c r="S232" s="2" t="str"/>
      <x:c r="T232" s="2" t="str"/>
      <x:c r="U232" s="2" t="str"/>
      <x:c r="V232" s="2" t="str">
        <x:v>아니오</x:v>
      </x:c>
      <x:c r="W232" s="2" t="str">
        <x:v>예</x:v>
      </x:c>
      <x:c r="X232" s="2" t="str"/>
      <x:c r="Y232" s="2" t="n">
        <x:v>0</x:v>
      </x:c>
      <x:c r="Z232" s="2" t="str"/>
      <x:c r="AA232" s="2" t="n">
        <x:v>0</x:v>
      </x:c>
      <x:c r="AB232" s="8" t="str"/>
      <x:c r="AC232" s="8" t="str"/>
      <x:c r="AD232" s="8" t="str">
        <x:v>["ko-reviewed"]</x:v>
      </x:c>
      <x:c r="AE232" s="8" t="str">
        <x:v>검토 필요</x:v>
      </x:c>
      <x:c r="AF232" s="8" t="str"/>
    </x:row>
    <x:row r="233">
      <x:c r="A233" s="10" t="n">
        <x:v>232</x:v>
      </x:c>
      <x:c r="B233" s="2" t="str">
        <x:v>1차 검토 후보</x:v>
      </x:c>
      <x:c r="C233" s="2" t="str">
        <x:v>저활용 제외 검토</x:v>
      </x:c>
      <x:c r="D233" s="2" t="str">
        <x:v>중간</x:v>
      </x:c>
      <x:c r="E233" s="2" t="str">
        <x:v>N2</x:v>
      </x:c>
      <x:c r="F233" s="10" t="n">
        <x:v>94</x:v>
      </x:c>
      <x:c r="G233" s="2" t="str">
        <x:v>w_0437d636307ba5e5</x:v>
      </x:c>
      <x:c r="H233" s="2" t="str">
        <x:v>やむをえない</x:v>
      </x:c>
      <x:c r="I233" s="2" t="str">
        <x:v>やむをえない</x:v>
      </x:c>
      <x:c r="J233" s="8" t="str">
        <x:v>어쩔 수 없다, 불가피하다</x:v>
      </x:c>
      <x:c r="K233" s="2" t="str">
        <x:v>adjective</x:v>
      </x:c>
      <x:c r="L233" s="9" t="n">
        <x:v>2.38</x:v>
      </x:c>
      <x:c r="M233" s="2" t="str">
        <x:v>없음</x:v>
      </x:c>
      <x:c r="N233" s="11" t="n">
        <x:v>38</x:v>
      </x:c>
      <x:c r="O233" s="8" t="str">
        <x:v>일반 사용 빈도 낮음(Zipf ≤ 2.5); 검증된 예문 없음; JMdict 우선 어휘 표지 없음</x:v>
      </x:c>
      <x:c r="P233" s="8" t="str">
        <x:v>frequency_le_2_5,no_example,no_jmdict_priority</x:v>
      </x:c>
      <x:c r="Q233" s="2" t="str"/>
      <x:c r="R233" s="2" t="str"/>
      <x:c r="S233" s="2" t="str"/>
      <x:c r="T233" s="2" t="str"/>
      <x:c r="U233" s="2" t="str"/>
      <x:c r="V233" s="2" t="str">
        <x:v>아니오</x:v>
      </x:c>
      <x:c r="W233" s="2" t="str">
        <x:v>아니오</x:v>
      </x:c>
      <x:c r="X233" s="2" t="str"/>
      <x:c r="Y233" s="2" t="n">
        <x:v>0</x:v>
      </x:c>
      <x:c r="Z233" s="2" t="str"/>
      <x:c r="AA233" s="2" t="n">
        <x:v>0</x:v>
      </x:c>
      <x:c r="AB233" s="8" t="str"/>
      <x:c r="AC233" s="8" t="str"/>
      <x:c r="AD233" s="8" t="str">
        <x:v>["backfill-replacement","assistant-ko-reviewed"]</x:v>
      </x:c>
      <x:c r="AE233" s="8" t="str">
        <x:v>검토 필요</x:v>
      </x:c>
      <x:c r="AF233" s="8" t="str"/>
    </x:row>
    <x:row r="234">
      <x:c r="A234" s="10" t="n">
        <x:v>233</x:v>
      </x:c>
      <x:c r="B234" s="2" t="str">
        <x:v>1차 검토 후보</x:v>
      </x:c>
      <x:c r="C234" s="2" t="str">
        <x:v>저활용 제외 검토</x:v>
      </x:c>
      <x:c r="D234" s="2" t="str">
        <x:v>중간</x:v>
      </x:c>
      <x:c r="E234" s="2" t="str">
        <x:v>N2</x:v>
      </x:c>
      <x:c r="F234" s="10" t="n">
        <x:v>95</x:v>
      </x:c>
      <x:c r="G234" s="2" t="str">
        <x:v>w_ac9469bbfc665be5</x:v>
      </x:c>
      <x:c r="H234" s="2" t="str">
        <x:v>ひとりでに</x:v>
      </x:c>
      <x:c r="I234" s="2" t="str">
        <x:v>ひとりでに</x:v>
      </x:c>
      <x:c r="J234" s="8" t="str">
        <x:v>저절로, 자동으로</x:v>
      </x:c>
      <x:c r="K234" s="2" t="str">
        <x:v>adverb</x:v>
      </x:c>
      <x:c r="L234" s="9" t="n">
        <x:v>2.38</x:v>
      </x:c>
      <x:c r="M234" s="2" t="str">
        <x:v>없음</x:v>
      </x:c>
      <x:c r="N234" s="11" t="n">
        <x:v>38</x:v>
      </x:c>
      <x:c r="O234" s="8" t="str">
        <x:v>일반 사용 빈도 낮음(Zipf ≤ 2.5); 검증된 예문 없음; JMdict 우선 어휘 표지 없음</x:v>
      </x:c>
      <x:c r="P234" s="8" t="str">
        <x:v>frequency_le_2_5,no_example,no_jmdict_priority</x:v>
      </x:c>
      <x:c r="Q234" s="2" t="str"/>
      <x:c r="R234" s="2" t="str"/>
      <x:c r="S234" s="2" t="str"/>
      <x:c r="T234" s="2" t="str"/>
      <x:c r="U234" s="2" t="str"/>
      <x:c r="V234" s="2" t="str">
        <x:v>아니오</x:v>
      </x:c>
      <x:c r="W234" s="2" t="str">
        <x:v>아니오</x:v>
      </x:c>
      <x:c r="X234" s="2" t="str"/>
      <x:c r="Y234" s="2" t="n">
        <x:v>0</x:v>
      </x:c>
      <x:c r="Z234" s="2" t="str"/>
      <x:c r="AA234" s="2" t="n">
        <x:v>0</x:v>
      </x:c>
      <x:c r="AB234" s="8" t="str"/>
      <x:c r="AC234" s="8" t="str"/>
      <x:c r="AD234" s="8" t="str">
        <x:v>["ko-reviewed"]</x:v>
      </x:c>
      <x:c r="AE234" s="8" t="str">
        <x:v>검토 필요</x:v>
      </x:c>
      <x:c r="AF234" s="8" t="str"/>
    </x:row>
    <x:row r="235">
      <x:c r="A235" s="10" t="n">
        <x:v>234</x:v>
      </x:c>
      <x:c r="B235" s="2" t="str">
        <x:v>1차 검토 후보</x:v>
      </x:c>
      <x:c r="C235" s="2" t="str">
        <x:v>저활용 제외 검토</x:v>
      </x:c>
      <x:c r="D235" s="2" t="str">
        <x:v>중간</x:v>
      </x:c>
      <x:c r="E235" s="2" t="str">
        <x:v>N1</x:v>
      </x:c>
      <x:c r="F235" s="10" t="n">
        <x:v>87</x:v>
      </x:c>
      <x:c r="G235" s="2" t="str">
        <x:v>w_52944f5e09c396f2</x:v>
      </x:c>
      <x:c r="H235" s="2" t="str">
        <x:v>放り出す</x:v>
      </x:c>
      <x:c r="I235" s="2" t="str">
        <x:v>ほうりだす</x:v>
      </x:c>
      <x:c r="J235" s="8" t="str">
        <x:v>내던지다, 포기하다</x:v>
      </x:c>
      <x:c r="K235" s="2" t="str">
        <x:v>verb</x:v>
      </x:c>
      <x:c r="L235" s="9" t="n">
        <x:v>2.38</x:v>
      </x:c>
      <x:c r="M235" s="2" t="str">
        <x:v>없음</x:v>
      </x:c>
      <x:c r="N235" s="11" t="n">
        <x:v>38</x:v>
      </x:c>
      <x:c r="O235" s="8" t="str">
        <x:v>일반 사용 빈도 낮음(Zipf ≤ 2.5); 검증된 예문 없음; JMdict 우선 어휘 표지 없음</x:v>
      </x:c>
      <x:c r="P235" s="8" t="str">
        <x:v>frequency_le_2_5,no_example,no_jmdict_priority</x:v>
      </x:c>
      <x:c r="Q235" s="2" t="str"/>
      <x:c r="R235" s="2" t="str"/>
      <x:c r="S235" s="2" t="str"/>
      <x:c r="T235" s="2" t="str"/>
      <x:c r="U235" s="2" t="str"/>
      <x:c r="V235" s="2" t="str">
        <x:v>아니오</x:v>
      </x:c>
      <x:c r="W235" s="2" t="str">
        <x:v>예</x:v>
      </x:c>
      <x:c r="X235" s="2" t="str"/>
      <x:c r="Y235" s="2" t="n">
        <x:v>0</x:v>
      </x:c>
      <x:c r="Z235" s="2" t="str"/>
      <x:c r="AA235" s="2" t="n">
        <x:v>0</x:v>
      </x:c>
      <x:c r="AB235" s="8" t="str"/>
      <x:c r="AC235" s="8" t="str"/>
      <x:c r="AD235" s="8" t="str">
        <x:v>["ko-reviewed"]</x:v>
      </x:c>
      <x:c r="AE235" s="8" t="str">
        <x:v>검토 필요</x:v>
      </x:c>
      <x:c r="AF235" s="8" t="str"/>
    </x:row>
    <x:row r="236">
      <x:c r="A236" s="10" t="n">
        <x:v>235</x:v>
      </x:c>
      <x:c r="B236" s="2" t="str">
        <x:v>1차 검토 후보</x:v>
      </x:c>
      <x:c r="C236" s="2" t="str">
        <x:v>저활용 제외 검토</x:v>
      </x:c>
      <x:c r="D236" s="2" t="str">
        <x:v>중간</x:v>
      </x:c>
      <x:c r="E236" s="2" t="str">
        <x:v>N2</x:v>
      </x:c>
      <x:c r="F236" s="10" t="n">
        <x:v>96</x:v>
      </x:c>
      <x:c r="G236" s="2" t="str">
        <x:v>w_08ef9125d5971911</x:v>
      </x:c>
      <x:c r="H236" s="2" t="str">
        <x:v>洋品店</x:v>
      </x:c>
      <x:c r="I236" s="2" t="str">
        <x:v>ようひんてん</x:v>
      </x:c>
      <x:c r="J236" s="8" t="str">
        <x:v>양품점, 의류점</x:v>
      </x:c>
      <x:c r="K236" s="2" t="str">
        <x:v>noun</x:v>
      </x:c>
      <x:c r="L236" s="9" t="n">
        <x:v>2.39</x:v>
      </x:c>
      <x:c r="M236" s="2" t="str">
        <x:v>없음</x:v>
      </x:c>
      <x:c r="N236" s="11" t="n">
        <x:v>38</x:v>
      </x:c>
      <x:c r="O236" s="8" t="str">
        <x:v>일반 사용 빈도 낮음(Zipf ≤ 2.5); 검증된 예문 없음; JMdict 우선 어휘 표지 없음</x:v>
      </x:c>
      <x:c r="P236" s="8" t="str">
        <x:v>frequency_le_2_5,no_example,no_jmdict_priority</x:v>
      </x:c>
      <x:c r="Q236" s="2" t="str"/>
      <x:c r="R236" s="2" t="str"/>
      <x:c r="S236" s="2" t="str"/>
      <x:c r="T236" s="2" t="str"/>
      <x:c r="U236" s="2" t="str"/>
      <x:c r="V236" s="2" t="str">
        <x:v>아니오</x:v>
      </x:c>
      <x:c r="W236" s="2" t="str">
        <x:v>예</x:v>
      </x:c>
      <x:c r="X236" s="2" t="str"/>
      <x:c r="Y236" s="2" t="n">
        <x:v>0</x:v>
      </x:c>
      <x:c r="Z236" s="2" t="str"/>
      <x:c r="AA236" s="2" t="n">
        <x:v>0</x:v>
      </x:c>
      <x:c r="AB236" s="8" t="str"/>
      <x:c r="AC236" s="8" t="str"/>
      <x:c r="AD236" s="8" t="str">
        <x:v>["backfill-replacement","assistant-ko-reviewed"]</x:v>
      </x:c>
      <x:c r="AE236" s="8" t="str">
        <x:v>검토 필요</x:v>
      </x:c>
      <x:c r="AF236" s="8" t="str"/>
    </x:row>
    <x:row r="237">
      <x:c r="A237" s="10" t="n">
        <x:v>236</x:v>
      </x:c>
      <x:c r="B237" s="2" t="str">
        <x:v>1차 검토 후보</x:v>
      </x:c>
      <x:c r="C237" s="2" t="str">
        <x:v>저활용 제외 검토</x:v>
      </x:c>
      <x:c r="D237" s="2" t="str">
        <x:v>중간</x:v>
      </x:c>
      <x:c r="E237" s="2" t="str">
        <x:v>N1</x:v>
      </x:c>
      <x:c r="F237" s="10" t="n">
        <x:v>88</x:v>
      </x:c>
      <x:c r="G237" s="2" t="str">
        <x:v>w_036a3fdf64057122</x:v>
      </x:c>
      <x:c r="H237" s="2" t="str">
        <x:v>みすぼらしい</x:v>
      </x:c>
      <x:c r="I237" s="2" t="str">
        <x:v>みすぼらしい</x:v>
      </x:c>
      <x:c r="J237" s="8" t="str">
        <x:v>초라하다</x:v>
      </x:c>
      <x:c r="K237" s="2" t="str">
        <x:v>adjective</x:v>
      </x:c>
      <x:c r="L237" s="9" t="n">
        <x:v>2.4</x:v>
      </x:c>
      <x:c r="M237" s="2" t="str">
        <x:v>없음</x:v>
      </x:c>
      <x:c r="N237" s="11" t="n">
        <x:v>38</x:v>
      </x:c>
      <x:c r="O237" s="8" t="str">
        <x:v>일반 사용 빈도 낮음(Zipf ≤ 2.5); 검증된 예문 없음; JMdict 우선 어휘 표지 없음</x:v>
      </x:c>
      <x:c r="P237" s="8" t="str">
        <x:v>frequency_le_2_5,no_example,no_jmdict_priority</x:v>
      </x:c>
      <x:c r="Q237" s="2" t="str"/>
      <x:c r="R237" s="2" t="str"/>
      <x:c r="S237" s="2" t="str"/>
      <x:c r="T237" s="2" t="str"/>
      <x:c r="U237" s="2" t="str"/>
      <x:c r="V237" s="2" t="str">
        <x:v>아니오</x:v>
      </x:c>
      <x:c r="W237" s="2" t="str">
        <x:v>아니오</x:v>
      </x:c>
      <x:c r="X237" s="2" t="str"/>
      <x:c r="Y237" s="2" t="n">
        <x:v>0</x:v>
      </x:c>
      <x:c r="Z237" s="2" t="str"/>
      <x:c r="AA237" s="2" t="n">
        <x:v>0</x:v>
      </x:c>
      <x:c r="AB237" s="8" t="str"/>
      <x:c r="AC237" s="8" t="str"/>
      <x:c r="AD237" s="8" t="str">
        <x:v>["ko-reviewed"]</x:v>
      </x:c>
      <x:c r="AE237" s="8" t="str">
        <x:v>검토 필요</x:v>
      </x:c>
      <x:c r="AF237" s="8" t="str"/>
    </x:row>
    <x:row r="238">
      <x:c r="A238" s="10" t="n">
        <x:v>237</x:v>
      </x:c>
      <x:c r="B238" s="2" t="str">
        <x:v>1차 검토 후보</x:v>
      </x:c>
      <x:c r="C238" s="2" t="str">
        <x:v>저활용 제외 검토</x:v>
      </x:c>
      <x:c r="D238" s="2" t="str">
        <x:v>중간</x:v>
      </x:c>
      <x:c r="E238" s="2" t="str">
        <x:v>N1</x:v>
      </x:c>
      <x:c r="F238" s="10" t="n">
        <x:v>89</x:v>
      </x:c>
      <x:c r="G238" s="2" t="str">
        <x:v>w_c195da65cf563168</x:v>
      </x:c>
      <x:c r="H238" s="2" t="str">
        <x:v>点線</x:v>
      </x:c>
      <x:c r="I238" s="2" t="str">
        <x:v>てんせん</x:v>
      </x:c>
      <x:c r="J238" s="8" t="str">
        <x:v>점선</x:v>
      </x:c>
      <x:c r="K238" s="2" t="str">
        <x:v>noun</x:v>
      </x:c>
      <x:c r="L238" s="9" t="n">
        <x:v>2.41</x:v>
      </x:c>
      <x:c r="M238" s="2" t="str">
        <x:v>없음</x:v>
      </x:c>
      <x:c r="N238" s="11" t="n">
        <x:v>38</x:v>
      </x:c>
      <x:c r="O238" s="8" t="str">
        <x:v>일반 사용 빈도 낮음(Zipf ≤ 2.5); 검증된 예문 없음; JMdict 우선 어휘 표지 없음</x:v>
      </x:c>
      <x:c r="P238" s="8" t="str">
        <x:v>frequency_le_2_5,no_example,no_jmdict_priority</x:v>
      </x:c>
      <x:c r="Q238" s="2" t="str"/>
      <x:c r="R238" s="2" t="str"/>
      <x:c r="S238" s="2" t="str"/>
      <x:c r="T238" s="2" t="str"/>
      <x:c r="U238" s="2" t="str"/>
      <x:c r="V238" s="2" t="str">
        <x:v>아니오</x:v>
      </x:c>
      <x:c r="W238" s="2" t="str">
        <x:v>예</x:v>
      </x:c>
      <x:c r="X238" s="2" t="str"/>
      <x:c r="Y238" s="2" t="n">
        <x:v>0</x:v>
      </x:c>
      <x:c r="Z238" s="2" t="str"/>
      <x:c r="AA238" s="2" t="n">
        <x:v>0</x:v>
      </x:c>
      <x:c r="AB238" s="8" t="str"/>
      <x:c r="AC238" s="8" t="str"/>
      <x:c r="AD238" s="8" t="str">
        <x:v>["ko-reviewed"]</x:v>
      </x:c>
      <x:c r="AE238" s="8" t="str">
        <x:v>검토 필요</x:v>
      </x:c>
      <x:c r="AF238" s="8" t="str"/>
    </x:row>
    <x:row r="239">
      <x:c r="A239" s="10" t="n">
        <x:v>238</x:v>
      </x:c>
      <x:c r="B239" s="2" t="str">
        <x:v>1차 검토 후보</x:v>
      </x:c>
      <x:c r="C239" s="2" t="str">
        <x:v>저활용 제외 검토</x:v>
      </x:c>
      <x:c r="D239" s="2" t="str">
        <x:v>중간</x:v>
      </x:c>
      <x:c r="E239" s="2" t="str">
        <x:v>N1</x:v>
      </x:c>
      <x:c r="F239" s="10" t="n">
        <x:v>90</x:v>
      </x:c>
      <x:c r="G239" s="2" t="str">
        <x:v>w_72437cd0f7cb9aa0</x:v>
      </x:c>
      <x:c r="H239" s="2" t="str">
        <x:v>あくどい</x:v>
      </x:c>
      <x:c r="I239" s="2" t="str">
        <x:v>あくどい</x:v>
      </x:c>
      <x:c r="J239" s="8" t="str">
        <x:v>지나치다, 악랄하다</x:v>
      </x:c>
      <x:c r="K239" s="2" t="str">
        <x:v>adjective</x:v>
      </x:c>
      <x:c r="L239" s="9" t="n">
        <x:v>2.44</x:v>
      </x:c>
      <x:c r="M239" s="2" t="str">
        <x:v>없음</x:v>
      </x:c>
      <x:c r="N239" s="11" t="n">
        <x:v>38</x:v>
      </x:c>
      <x:c r="O239" s="8" t="str">
        <x:v>일반 사용 빈도 낮음(Zipf ≤ 2.5); 검증된 예문 없음; JMdict 우선 어휘 표지 없음</x:v>
      </x:c>
      <x:c r="P239" s="8" t="str">
        <x:v>frequency_le_2_5,no_example,no_jmdict_priority</x:v>
      </x:c>
      <x:c r="Q239" s="2" t="str"/>
      <x:c r="R239" s="2" t="str"/>
      <x:c r="S239" s="2" t="str"/>
      <x:c r="T239" s="2" t="str"/>
      <x:c r="U239" s="2" t="str"/>
      <x:c r="V239" s="2" t="str">
        <x:v>아니오</x:v>
      </x:c>
      <x:c r="W239" s="2" t="str">
        <x:v>아니오</x:v>
      </x:c>
      <x:c r="X239" s="2" t="str"/>
      <x:c r="Y239" s="2" t="n">
        <x:v>0</x:v>
      </x:c>
      <x:c r="Z239" s="2" t="str"/>
      <x:c r="AA239" s="2" t="n">
        <x:v>0</x:v>
      </x:c>
      <x:c r="AB239" s="8" t="str"/>
      <x:c r="AC239" s="8" t="str"/>
      <x:c r="AD239" s="8" t="str">
        <x:v>["ko-reviewed"]</x:v>
      </x:c>
      <x:c r="AE239" s="8" t="str">
        <x:v>검토 필요</x:v>
      </x:c>
      <x:c r="AF239" s="8" t="str"/>
    </x:row>
    <x:row r="240">
      <x:c r="A240" s="10" t="n">
        <x:v>239</x:v>
      </x:c>
      <x:c r="B240" s="2" t="str">
        <x:v>1차 검토 후보</x:v>
      </x:c>
      <x:c r="C240" s="2" t="str">
        <x:v>저활용 제외 검토</x:v>
      </x:c>
      <x:c r="D240" s="2" t="str">
        <x:v>중간</x:v>
      </x:c>
      <x:c r="E240" s="2" t="str">
        <x:v>N2</x:v>
      </x:c>
      <x:c r="F240" s="10" t="n">
        <x:v>97</x:v>
      </x:c>
      <x:c r="G240" s="2" t="str">
        <x:v>w_740c00b0639ea524</x:v>
      </x:c>
      <x:c r="H240" s="2" t="str">
        <x:v>しゃっくり</x:v>
      </x:c>
      <x:c r="I240" s="2" t="str">
        <x:v>しゃっくり</x:v>
      </x:c>
      <x:c r="J240" s="8" t="str">
        <x:v>딸꾹질</x:v>
      </x:c>
      <x:c r="K240" s="2" t="str">
        <x:v>noun</x:v>
      </x:c>
      <x:c r="L240" s="9" t="n">
        <x:v>2.45</x:v>
      </x:c>
      <x:c r="M240" s="2" t="str">
        <x:v>없음</x:v>
      </x:c>
      <x:c r="N240" s="11" t="n">
        <x:v>38</x:v>
      </x:c>
      <x:c r="O240" s="8" t="str">
        <x:v>일반 사용 빈도 낮음(Zipf ≤ 2.5); 검증된 예문 없음; JMdict 우선 어휘 표지 없음</x:v>
      </x:c>
      <x:c r="P240" s="8" t="str">
        <x:v>frequency_le_2_5,no_example,no_jmdict_priority</x:v>
      </x:c>
      <x:c r="Q240" s="2" t="str"/>
      <x:c r="R240" s="2" t="str"/>
      <x:c r="S240" s="2" t="str"/>
      <x:c r="T240" s="2" t="str"/>
      <x:c r="U240" s="2" t="str"/>
      <x:c r="V240" s="2" t="str">
        <x:v>아니오</x:v>
      </x:c>
      <x:c r="W240" s="2" t="str">
        <x:v>아니오</x:v>
      </x:c>
      <x:c r="X240" s="2" t="str"/>
      <x:c r="Y240" s="2" t="n">
        <x:v>0</x:v>
      </x:c>
      <x:c r="Z240" s="2" t="str"/>
      <x:c r="AA240" s="2" t="n">
        <x:v>0</x:v>
      </x:c>
      <x:c r="AB240" s="8" t="str"/>
      <x:c r="AC240" s="8" t="str"/>
      <x:c r="AD240" s="8" t="str">
        <x:v>["ko-reviewed"]</x:v>
      </x:c>
      <x:c r="AE240" s="8" t="str">
        <x:v>검토 필요</x:v>
      </x:c>
      <x:c r="AF240" s="8" t="str"/>
    </x:row>
    <x:row r="241">
      <x:c r="A241" s="10" t="n">
        <x:v>240</x:v>
      </x:c>
      <x:c r="B241" s="2" t="str">
        <x:v>1차 검토 후보</x:v>
      </x:c>
      <x:c r="C241" s="2" t="str">
        <x:v>저활용 제외 검토</x:v>
      </x:c>
      <x:c r="D241" s="2" t="str">
        <x:v>중간</x:v>
      </x:c>
      <x:c r="E241" s="2" t="str">
        <x:v>N2</x:v>
      </x:c>
      <x:c r="F241" s="10" t="n">
        <x:v>98</x:v>
      </x:c>
      <x:c r="G241" s="2" t="str">
        <x:v>w_cc2b86ac2830c1b9</x:v>
      </x:c>
      <x:c r="H241" s="2" t="str">
        <x:v>うなずく</x:v>
      </x:c>
      <x:c r="I241" s="2" t="str">
        <x:v>うなずく</x:v>
      </x:c>
      <x:c r="J241" s="8" t="str">
        <x:v>끄덕이다</x:v>
      </x:c>
      <x:c r="K241" s="2" t="str">
        <x:v>verb</x:v>
      </x:c>
      <x:c r="L241" s="9" t="n">
        <x:v>2.46</x:v>
      </x:c>
      <x:c r="M241" s="2" t="str">
        <x:v>없음</x:v>
      </x:c>
      <x:c r="N241" s="11" t="n">
        <x:v>38</x:v>
      </x:c>
      <x:c r="O241" s="8" t="str">
        <x:v>일반 사용 빈도 낮음(Zipf ≤ 2.5); 검증된 예문 없음; JMdict 우선 어휘 표지 없음</x:v>
      </x:c>
      <x:c r="P241" s="8" t="str">
        <x:v>frequency_le_2_5,no_example,no_jmdict_priority</x:v>
      </x:c>
      <x:c r="Q241" s="2" t="str"/>
      <x:c r="R241" s="2" t="str"/>
      <x:c r="S241" s="2" t="str"/>
      <x:c r="T241" s="2" t="str"/>
      <x:c r="U241" s="2" t="str"/>
      <x:c r="V241" s="2" t="str">
        <x:v>아니오</x:v>
      </x:c>
      <x:c r="W241" s="2" t="str">
        <x:v>아니오</x:v>
      </x:c>
      <x:c r="X241" s="2" t="str"/>
      <x:c r="Y241" s="2" t="n">
        <x:v>0</x:v>
      </x:c>
      <x:c r="Z241" s="2" t="str"/>
      <x:c r="AA241" s="2" t="n">
        <x:v>0</x:v>
      </x:c>
      <x:c r="AB241" s="8" t="str"/>
      <x:c r="AC241" s="8" t="str"/>
      <x:c r="AD241" s="8" t="str">
        <x:v>["ko-reviewed"]</x:v>
      </x:c>
      <x:c r="AE241" s="8" t="str">
        <x:v>검토 필요</x:v>
      </x:c>
      <x:c r="AF241" s="8" t="str"/>
    </x:row>
    <x:row r="242">
      <x:c r="A242" s="10" t="n">
        <x:v>241</x:v>
      </x:c>
      <x:c r="B242" s="2" t="str">
        <x:v>1차 검토 후보</x:v>
      </x:c>
      <x:c r="C242" s="2" t="str">
        <x:v>저활용 제외 검토</x:v>
      </x:c>
      <x:c r="D242" s="2" t="str">
        <x:v>중간</x:v>
      </x:c>
      <x:c r="E242" s="2" t="str">
        <x:v>N1</x:v>
      </x:c>
      <x:c r="F242" s="10" t="n">
        <x:v>91</x:v>
      </x:c>
      <x:c r="G242" s="2" t="str">
        <x:v>w_a8116b6aadf7fe18</x:v>
      </x:c>
      <x:c r="H242" s="2" t="str">
        <x:v>真ん前</x:v>
      </x:c>
      <x:c r="I242" s="2" t="str">
        <x:v>まんまえ</x:v>
      </x:c>
      <x:c r="J242" s="8" t="str">
        <x:v>바로 앞</x:v>
      </x:c>
      <x:c r="K242" s="2" t="str">
        <x:v>adjective</x:v>
      </x:c>
      <x:c r="L242" s="9" t="n">
        <x:v>2.46</x:v>
      </x:c>
      <x:c r="M242" s="2" t="str">
        <x:v>없음</x:v>
      </x:c>
      <x:c r="N242" s="11" t="n">
        <x:v>38</x:v>
      </x:c>
      <x:c r="O242" s="8" t="str">
        <x:v>일반 사용 빈도 낮음(Zipf ≤ 2.5); 검증된 예문 없음; JMdict 우선 어휘 표지 없음</x:v>
      </x:c>
      <x:c r="P242" s="8" t="str">
        <x:v>frequency_le_2_5,no_example,no_jmdict_priority</x:v>
      </x:c>
      <x:c r="Q242" s="2" t="str"/>
      <x:c r="R242" s="2" t="str"/>
      <x:c r="S242" s="2" t="str"/>
      <x:c r="T242" s="2" t="str"/>
      <x:c r="U242" s="2" t="str"/>
      <x:c r="V242" s="2" t="str">
        <x:v>아니오</x:v>
      </x:c>
      <x:c r="W242" s="2" t="str">
        <x:v>예</x:v>
      </x:c>
      <x:c r="X242" s="2" t="str"/>
      <x:c r="Y242" s="2" t="n">
        <x:v>0</x:v>
      </x:c>
      <x:c r="Z242" s="2" t="str"/>
      <x:c r="AA242" s="2" t="n">
        <x:v>0</x:v>
      </x:c>
      <x:c r="AB242" s="8" t="str"/>
      <x:c r="AC242" s="8" t="str"/>
      <x:c r="AD242" s="8" t="str">
        <x:v>["ko-reviewed"]</x:v>
      </x:c>
      <x:c r="AE242" s="8" t="str">
        <x:v>검토 필요</x:v>
      </x:c>
      <x:c r="AF242" s="8" t="str"/>
    </x:row>
    <x:row r="243">
      <x:c r="A243" s="10" t="n">
        <x:v>242</x:v>
      </x:c>
      <x:c r="B243" s="2" t="str">
        <x:v>2차 보류</x:v>
      </x:c>
      <x:c r="C243" s="2" t="str">
        <x:v>데이터 정규화 검토</x:v>
      </x:c>
      <x:c r="D243" s="2" t="str">
        <x:v>낮음</x:v>
      </x:c>
      <x:c r="E243" s="2" t="str">
        <x:v>N2</x:v>
      </x:c>
      <x:c r="F243" s="10" t="n">
        <x:v>99</x:v>
      </x:c>
      <x:c r="G243" s="2" t="str">
        <x:v>w_f9b4312dd981910b</x:v>
      </x:c>
      <x:c r="H243" s="2" t="str">
        <x:v>お待ちください</x:v>
      </x:c>
      <x:c r="I243" s="2" t="str">
        <x:v>おまちください</x:v>
      </x:c>
      <x:c r="J243" s="8" t="str">
        <x:v>부디, 제발 기다리다 순간</x:v>
      </x:c>
      <x:c r="K243" s="2" t="str">
        <x:v>noun</x:v>
      </x:c>
      <x:c r="L243" s="9" t="n">
        <x:v>4.51</x:v>
      </x:c>
      <x:c r="M243" s="2" t="str">
        <x:v>없음</x:v>
      </x:c>
      <x:c r="N243" s="11" t="n">
        <x:v>38</x:v>
      </x:c>
      <x:c r="O243" s="8" t="str">
        <x:v>현재 표기+읽기 조합을 JMdict에서 확인하지 못함; 검증된 예문 없음; JMdict 우선 어휘 표지 없음; 기존 데이터의 한국어 콘텐츠 보강 필요 태그</x:v>
      </x:c>
      <x:c r="P243" s="8" t="str">
        <x:v>jmdict_exact_pair_not_found,no_example,no_jmdict_priority,weak_legacy_content</x:v>
      </x:c>
      <x:c r="Q243" s="2" t="str"/>
      <x:c r="R243" s="2" t="str"/>
      <x:c r="S243" s="2" t="str"/>
      <x:c r="T243" s="2" t="str"/>
      <x:c r="U243" s="2" t="str"/>
      <x:c r="V243" s="2" t="str">
        <x:v>아니오</x:v>
      </x:c>
      <x:c r="W243" s="2" t="str">
        <x:v>아니오</x:v>
      </x:c>
      <x:c r="X243" s="2" t="str"/>
      <x:c r="Y243" s="2" t="n">
        <x:v>0</x:v>
      </x:c>
      <x:c r="Z243" s="2" t="str"/>
      <x:c r="AA243" s="2" t="n">
        <x:v>0</x:v>
      </x:c>
      <x:c r="AB243" s="8" t="str"/>
      <x:c r="AC243" s="8" t="str"/>
      <x:c r="AD243" s="8" t="str">
        <x:v>["draft-ko-missing"]</x:v>
      </x:c>
      <x:c r="AE243" s="8" t="str">
        <x:v>검토 필요</x:v>
      </x:c>
      <x:c r="AF243" s="8" t="str"/>
    </x:row>
    <x:row r="244">
      <x:c r="A244" s="10" t="n">
        <x:v>243</x:v>
      </x:c>
      <x:c r="B244" s="2" t="str">
        <x:v>2차 보류</x:v>
      </x:c>
      <x:c r="C244" s="2" t="str">
        <x:v>데이터 정규화 검토</x:v>
      </x:c>
      <x:c r="D244" s="2" t="str">
        <x:v>낮음</x:v>
      </x:c>
      <x:c r="E244" s="2" t="str">
        <x:v>N4</x:v>
      </x:c>
      <x:c r="F244" s="10" t="n">
        <x:v>19</x:v>
      </x:c>
      <x:c r="G244" s="2" t="str">
        <x:v>w_0a64a641e6c1f808</x:v>
      </x:c>
      <x:c r="H244" s="2" t="str">
        <x:v>招待</x:v>
      </x:c>
      <x:c r="I244" s="2" t="str">
        <x:v>しょうたいする</x:v>
      </x:c>
      <x:c r="J244" s="8" t="str">
        <x:v>초대</x:v>
      </x:c>
      <x:c r="K244" s="2" t="str">
        <x:v>noun</x:v>
      </x:c>
      <x:c r="L244" s="9" t="n">
        <x:v>4.53</x:v>
      </x:c>
      <x:c r="M244" s="2" t="str">
        <x:v>없음</x:v>
      </x:c>
      <x:c r="N244" s="11" t="n">
        <x:v>38</x:v>
      </x:c>
      <x:c r="O244" s="8" t="str">
        <x:v>현재 표기+읽기 조합을 JMdict에서 확인하지 못함; 검증된 예문 없음; JMdict 우선 어휘 표지 없음; 기존 데이터의 한국어 콘텐츠 보강 필요 태그</x:v>
      </x:c>
      <x:c r="P244" s="8" t="str">
        <x:v>jmdict_exact_pair_not_found,no_example,no_jmdict_priority,weak_legacy_content</x:v>
      </x:c>
      <x:c r="Q244" s="2" t="str"/>
      <x:c r="R244" s="2" t="str"/>
      <x:c r="S244" s="2" t="str"/>
      <x:c r="T244" s="2" t="str"/>
      <x:c r="U244" s="2" t="str"/>
      <x:c r="V244" s="2" t="str">
        <x:v>아니오</x:v>
      </x:c>
      <x:c r="W244" s="2" t="str">
        <x:v>아니오</x:v>
      </x:c>
      <x:c r="X244" s="2" t="str"/>
      <x:c r="Y244" s="2" t="n">
        <x:v>0</x:v>
      </x:c>
      <x:c r="Z244" s="2" t="str"/>
      <x:c r="AA244" s="2" t="n">
        <x:v>0</x:v>
      </x:c>
      <x:c r="AB244" s="8" t="str"/>
      <x:c r="AC244" s="8" t="str"/>
      <x:c r="AD244" s="8" t="str">
        <x:v>["draft-ko-missing"]</x:v>
      </x:c>
      <x:c r="AE244" s="8" t="str">
        <x:v>검토 필요</x:v>
      </x:c>
      <x:c r="AF244" s="8" t="str"/>
    </x:row>
    <x:row r="245">
      <x:c r="A245" s="10" t="n">
        <x:v>244</x:v>
      </x:c>
      <x:c r="B245" s="2" t="str">
        <x:v>2차 보류</x:v>
      </x:c>
      <x:c r="C245" s="2" t="str">
        <x:v>데이터 정규화 검토</x:v>
      </x:c>
      <x:c r="D245" s="2" t="str">
        <x:v>낮음</x:v>
      </x:c>
      <x:c r="E245" s="2" t="str">
        <x:v>N4</x:v>
      </x:c>
      <x:c r="F245" s="10" t="n">
        <x:v>20</x:v>
      </x:c>
      <x:c r="G245" s="2" t="str">
        <x:v>w_dab77e023df9eeb0</x:v>
      </x:c>
      <x:c r="H245" s="2" t="str">
        <x:v>挨拶</x:v>
      </x:c>
      <x:c r="I245" s="2" t="str">
        <x:v>あいさつする</x:v>
      </x:c>
      <x:c r="J245" s="8" t="str">
        <x:v>인사하다</x:v>
      </x:c>
      <x:c r="K245" s="2" t="str">
        <x:v>verb</x:v>
      </x:c>
      <x:c r="L245" s="9" t="n">
        <x:v>4.55</x:v>
      </x:c>
      <x:c r="M245" s="2" t="str">
        <x:v>없음</x:v>
      </x:c>
      <x:c r="N245" s="11" t="n">
        <x:v>38</x:v>
      </x:c>
      <x:c r="O245" s="8" t="str">
        <x:v>현재 표기+읽기 조합을 JMdict에서 확인하지 못함; 검증된 예문 없음; JMdict 우선 어휘 표지 없음; 기존 데이터의 한국어 콘텐츠 보강 필요 태그</x:v>
      </x:c>
      <x:c r="P245" s="8" t="str">
        <x:v>jmdict_exact_pair_not_found,no_example,no_jmdict_priority,weak_legacy_content</x:v>
      </x:c>
      <x:c r="Q245" s="2" t="str"/>
      <x:c r="R245" s="2" t="str"/>
      <x:c r="S245" s="2" t="str"/>
      <x:c r="T245" s="2" t="str"/>
      <x:c r="U245" s="2" t="str"/>
      <x:c r="V245" s="2" t="str">
        <x:v>아니오</x:v>
      </x:c>
      <x:c r="W245" s="2" t="str">
        <x:v>아니오</x:v>
      </x:c>
      <x:c r="X245" s="2" t="str"/>
      <x:c r="Y245" s="2" t="n">
        <x:v>0</x:v>
      </x:c>
      <x:c r="Z245" s="2" t="str"/>
      <x:c r="AA245" s="2" t="n">
        <x:v>0</x:v>
      </x:c>
      <x:c r="AB245" s="8" t="str"/>
      <x:c r="AC245" s="8" t="str"/>
      <x:c r="AD245" s="8" t="str">
        <x:v>["draft-ko-missing"]</x:v>
      </x:c>
      <x:c r="AE245" s="8" t="str">
        <x:v>검토 필요</x:v>
      </x:c>
      <x:c r="AF245" s="8" t="str"/>
    </x:row>
    <x:row r="246">
      <x:c r="A246" s="10" t="n">
        <x:v>245</x:v>
      </x:c>
      <x:c r="B246" s="2" t="str">
        <x:v>2차 보류</x:v>
      </x:c>
      <x:c r="C246" s="2" t="str">
        <x:v>데이터 정규화 검토</x:v>
      </x:c>
      <x:c r="D246" s="2" t="str">
        <x:v>낮음</x:v>
      </x:c>
      <x:c r="E246" s="2" t="str">
        <x:v>N4</x:v>
      </x:c>
      <x:c r="F246" s="10" t="n">
        <x:v>21</x:v>
      </x:c>
      <x:c r="G246" s="2" t="str">
        <x:v>w_56ce9e488a887884</x:v>
      </x:c>
      <x:c r="H246" s="2" t="str">
        <x:v>案内</x:v>
      </x:c>
      <x:c r="I246" s="2" t="str">
        <x:v>あんないする</x:v>
      </x:c>
      <x:c r="J246" s="8" t="str">
        <x:v>안내</x:v>
      </x:c>
      <x:c r="K246" s="2" t="str">
        <x:v>noun</x:v>
      </x:c>
      <x:c r="L246" s="9" t="n">
        <x:v>4.71</x:v>
      </x:c>
      <x:c r="M246" s="2" t="str">
        <x:v>없음</x:v>
      </x:c>
      <x:c r="N246" s="11" t="n">
        <x:v>38</x:v>
      </x:c>
      <x:c r="O246" s="8" t="str">
        <x:v>현재 표기+읽기 조합을 JMdict에서 확인하지 못함; 검증된 예문 없음; JMdict 우선 어휘 표지 없음; 기존 데이터의 한국어 콘텐츠 보강 필요 태그</x:v>
      </x:c>
      <x:c r="P246" s="8" t="str">
        <x:v>jmdict_exact_pair_not_found,no_example,no_jmdict_priority,weak_legacy_content</x:v>
      </x:c>
      <x:c r="Q246" s="2" t="str"/>
      <x:c r="R246" s="2" t="str"/>
      <x:c r="S246" s="2" t="str"/>
      <x:c r="T246" s="2" t="str"/>
      <x:c r="U246" s="2" t="str"/>
      <x:c r="V246" s="2" t="str">
        <x:v>아니오</x:v>
      </x:c>
      <x:c r="W246" s="2" t="str">
        <x:v>아니오</x:v>
      </x:c>
      <x:c r="X246" s="2" t="str"/>
      <x:c r="Y246" s="2" t="n">
        <x:v>0</x:v>
      </x:c>
      <x:c r="Z246" s="2" t="str"/>
      <x:c r="AA246" s="2" t="n">
        <x:v>0</x:v>
      </x:c>
      <x:c r="AB246" s="8" t="str"/>
      <x:c r="AC246" s="8" t="str"/>
      <x:c r="AD246" s="8" t="str">
        <x:v>["draft-ko-missing"]</x:v>
      </x:c>
      <x:c r="AE246" s="8" t="str">
        <x:v>검토 필요</x:v>
      </x:c>
      <x:c r="AF246" s="8" t="str"/>
    </x:row>
    <x:row r="247">
      <x:c r="A247" s="10" t="n">
        <x:v>246</x:v>
      </x:c>
      <x:c r="B247" s="2" t="str">
        <x:v>2차 보류</x:v>
      </x:c>
      <x:c r="C247" s="2" t="str">
        <x:v>데이터 정규화 검토</x:v>
      </x:c>
      <x:c r="D247" s="2" t="str">
        <x:v>낮음</x:v>
      </x:c>
      <x:c r="E247" s="2" t="str">
        <x:v>N4</x:v>
      </x:c>
      <x:c r="F247" s="10" t="n">
        <x:v>22</x:v>
      </x:c>
      <x:c r="G247" s="2" t="str">
        <x:v>w_ca064e356e1344c4</x:v>
      </x:c>
      <x:c r="H247" s="2" t="str">
        <x:v>生産</x:v>
      </x:c>
      <x:c r="I247" s="2" t="str">
        <x:v>せいさんする</x:v>
      </x:c>
      <x:c r="J247" s="8" t="str">
        <x:v>생산, 생산하다</x:v>
      </x:c>
      <x:c r="K247" s="2" t="str">
        <x:v>noun</x:v>
      </x:c>
      <x:c r="L247" s="9" t="n">
        <x:v>4.9</x:v>
      </x:c>
      <x:c r="M247" s="2" t="str">
        <x:v>없음</x:v>
      </x:c>
      <x:c r="N247" s="11" t="n">
        <x:v>38</x:v>
      </x:c>
      <x:c r="O247" s="8" t="str">
        <x:v>현재 표기+읽기 조합을 JMdict에서 확인하지 못함; 검증된 예문 없음; JMdict 우선 어휘 표지 없음; 기존 데이터의 한국어 콘텐츠 보강 필요 태그</x:v>
      </x:c>
      <x:c r="P247" s="8" t="str">
        <x:v>jmdict_exact_pair_not_found,no_example,no_jmdict_priority,weak_legacy_content</x:v>
      </x:c>
      <x:c r="Q247" s="2" t="str"/>
      <x:c r="R247" s="2" t="str"/>
      <x:c r="S247" s="2" t="str"/>
      <x:c r="T247" s="2" t="str"/>
      <x:c r="U247" s="2" t="str"/>
      <x:c r="V247" s="2" t="str">
        <x:v>아니오</x:v>
      </x:c>
      <x:c r="W247" s="2" t="str">
        <x:v>아니오</x:v>
      </x:c>
      <x:c r="X247" s="2" t="str"/>
      <x:c r="Y247" s="2" t="n">
        <x:v>0</x:v>
      </x:c>
      <x:c r="Z247" s="2" t="str"/>
      <x:c r="AA247" s="2" t="n">
        <x:v>0</x:v>
      </x:c>
      <x:c r="AB247" s="8" t="str"/>
      <x:c r="AC247" s="8" t="str"/>
      <x:c r="AD247" s="8" t="str">
        <x:v>["draft-ko-missing"]</x:v>
      </x:c>
      <x:c r="AE247" s="8" t="str">
        <x:v>검토 필요</x:v>
      </x:c>
      <x:c r="AF247" s="8" t="str"/>
    </x:row>
    <x:row r="248">
      <x:c r="A248" s="10" t="n">
        <x:v>247</x:v>
      </x:c>
      <x:c r="B248" s="2" t="str">
        <x:v>2차 보류</x:v>
      </x:c>
      <x:c r="C248" s="2" t="str">
        <x:v>데이터 정규화 검토</x:v>
      </x:c>
      <x:c r="D248" s="2" t="str">
        <x:v>낮음</x:v>
      </x:c>
      <x:c r="E248" s="2" t="str">
        <x:v>N4</x:v>
      </x:c>
      <x:c r="F248" s="10" t="n">
        <x:v>23</x:v>
      </x:c>
      <x:c r="G248" s="2" t="str">
        <x:v>w_47bd9d7b1a5057c4</x:v>
      </x:c>
      <x:c r="H248" s="2" t="str">
        <x:v>経験</x:v>
      </x:c>
      <x:c r="I248" s="2" t="str">
        <x:v>けいけんする</x:v>
      </x:c>
      <x:c r="J248" s="8" t="str">
        <x:v>경험</x:v>
      </x:c>
      <x:c r="K248" s="2" t="str">
        <x:v>noun</x:v>
      </x:c>
      <x:c r="L248" s="9" t="n">
        <x:v>5.05</x:v>
      </x:c>
      <x:c r="M248" s="2" t="str">
        <x:v>없음</x:v>
      </x:c>
      <x:c r="N248" s="11" t="n">
        <x:v>38</x:v>
      </x:c>
      <x:c r="O248" s="8" t="str">
        <x:v>현재 표기+읽기 조합을 JMdict에서 확인하지 못함; 검증된 예문 없음; JMdict 우선 어휘 표지 없음; 기존 데이터의 한국어 콘텐츠 보강 필요 태그</x:v>
      </x:c>
      <x:c r="P248" s="8" t="str">
        <x:v>jmdict_exact_pair_not_found,no_example,no_jmdict_priority,weak_legacy_content</x:v>
      </x:c>
      <x:c r="Q248" s="2" t="str"/>
      <x:c r="R248" s="2" t="str"/>
      <x:c r="S248" s="2" t="str"/>
      <x:c r="T248" s="2" t="str"/>
      <x:c r="U248" s="2" t="str"/>
      <x:c r="V248" s="2" t="str">
        <x:v>아니오</x:v>
      </x:c>
      <x:c r="W248" s="2" t="str">
        <x:v>아니오</x:v>
      </x:c>
      <x:c r="X248" s="2" t="str"/>
      <x:c r="Y248" s="2" t="n">
        <x:v>0</x:v>
      </x:c>
      <x:c r="Z248" s="2" t="str"/>
      <x:c r="AA248" s="2" t="n">
        <x:v>0</x:v>
      </x:c>
      <x:c r="AB248" s="8" t="str"/>
      <x:c r="AC248" s="8" t="str"/>
      <x:c r="AD248" s="8" t="str">
        <x:v>["draft-ko-missing"]</x:v>
      </x:c>
      <x:c r="AE248" s="8" t="str">
        <x:v>검토 필요</x:v>
      </x:c>
      <x:c r="AF248" s="8" t="str"/>
    </x:row>
    <x:row r="249">
      <x:c r="A249" s="10" t="n">
        <x:v>248</x:v>
      </x:c>
      <x:c r="B249" s="2" t="str">
        <x:v>2차 보류</x:v>
      </x:c>
      <x:c r="C249" s="2" t="str">
        <x:v>데이터 정규화 검토</x:v>
      </x:c>
      <x:c r="D249" s="2" t="str">
        <x:v>낮음</x:v>
      </x:c>
      <x:c r="E249" s="2" t="str">
        <x:v>N4</x:v>
      </x:c>
      <x:c r="F249" s="10" t="n">
        <x:v>24</x:v>
      </x:c>
      <x:c r="G249" s="2" t="str">
        <x:v>w_c9497245827a9282</x:v>
      </x:c>
      <x:c r="H249" s="2" t="str">
        <x:v>計画</x:v>
      </x:c>
      <x:c r="I249" s="2" t="str">
        <x:v>けいかくする</x:v>
      </x:c>
      <x:c r="J249" s="8" t="str">
        <x:v>계획, 프로젝트, 일정</x:v>
      </x:c>
      <x:c r="K249" s="2" t="str">
        <x:v>noun</x:v>
      </x:c>
      <x:c r="L249" s="9" t="n">
        <x:v>5.19</x:v>
      </x:c>
      <x:c r="M249" s="2" t="str">
        <x:v>없음</x:v>
      </x:c>
      <x:c r="N249" s="11" t="n">
        <x:v>38</x:v>
      </x:c>
      <x:c r="O249" s="8" t="str">
        <x:v>현재 표기+읽기 조합을 JMdict에서 확인하지 못함; 검증된 예문 없음; JMdict 우선 어휘 표지 없음; 기존 데이터의 한국어 콘텐츠 보강 필요 태그</x:v>
      </x:c>
      <x:c r="P249" s="8" t="str">
        <x:v>jmdict_exact_pair_not_found,no_example,no_jmdict_priority,weak_legacy_content</x:v>
      </x:c>
      <x:c r="Q249" s="2" t="str"/>
      <x:c r="R249" s="2" t="str"/>
      <x:c r="S249" s="2" t="str"/>
      <x:c r="T249" s="2" t="str"/>
      <x:c r="U249" s="2" t="str"/>
      <x:c r="V249" s="2" t="str">
        <x:v>아니오</x:v>
      </x:c>
      <x:c r="W249" s="2" t="str">
        <x:v>아니오</x:v>
      </x:c>
      <x:c r="X249" s="2" t="str"/>
      <x:c r="Y249" s="2" t="n">
        <x:v>0</x:v>
      </x:c>
      <x:c r="Z249" s="2" t="str"/>
      <x:c r="AA249" s="2" t="n">
        <x:v>0</x:v>
      </x:c>
      <x:c r="AB249" s="8" t="str"/>
      <x:c r="AC249" s="8" t="str"/>
      <x:c r="AD249" s="8" t="str">
        <x:v>["draft-ko-missing"]</x:v>
      </x:c>
      <x:c r="AE249" s="8" t="str">
        <x:v>검토 필요</x:v>
      </x:c>
      <x:c r="AF249" s="8" t="str"/>
    </x:row>
    <x:row r="250">
      <x:c r="A250" s="10" t="n">
        <x:v>249</x:v>
      </x:c>
      <x:c r="B250" s="2" t="str">
        <x:v>2차 보류</x:v>
      </x:c>
      <x:c r="C250" s="2" t="str">
        <x:v>데이터 정규화 검토</x:v>
      </x:c>
      <x:c r="D250" s="2" t="str">
        <x:v>낮음</x:v>
      </x:c>
      <x:c r="E250" s="2" t="str">
        <x:v>N4</x:v>
      </x:c>
      <x:c r="F250" s="10" t="n">
        <x:v>25</x:v>
      </x:c>
      <x:c r="G250" s="2" t="str">
        <x:v>w_043cc3d8240723e8</x:v>
      </x:c>
      <x:c r="H250" s="2" t="str">
        <x:v>放送</x:v>
      </x:c>
      <x:c r="I250" s="2" t="str">
        <x:v>ほうそうする</x:v>
      </x:c>
      <x:c r="J250" s="8" t="str">
        <x:v>방송</x:v>
      </x:c>
      <x:c r="K250" s="2" t="str">
        <x:v>verb</x:v>
      </x:c>
      <x:c r="L250" s="9" t="n">
        <x:v>5.24</x:v>
      </x:c>
      <x:c r="M250" s="2" t="str">
        <x:v>없음</x:v>
      </x:c>
      <x:c r="N250" s="11" t="n">
        <x:v>38</x:v>
      </x:c>
      <x:c r="O250" s="8" t="str">
        <x:v>현재 표기+읽기 조합을 JMdict에서 확인하지 못함; 검증된 예문 없음; JMdict 우선 어휘 표지 없음; 기존 데이터의 한국어 콘텐츠 보강 필요 태그</x:v>
      </x:c>
      <x:c r="P250" s="8" t="str">
        <x:v>jmdict_exact_pair_not_found,no_example,no_jmdict_priority,weak_legacy_content</x:v>
      </x:c>
      <x:c r="Q250" s="2" t="str"/>
      <x:c r="R250" s="2" t="str"/>
      <x:c r="S250" s="2" t="str"/>
      <x:c r="T250" s="2" t="str"/>
      <x:c r="U250" s="2" t="str"/>
      <x:c r="V250" s="2" t="str">
        <x:v>아니오</x:v>
      </x:c>
      <x:c r="W250" s="2" t="str">
        <x:v>아니오</x:v>
      </x:c>
      <x:c r="X250" s="2" t="str"/>
      <x:c r="Y250" s="2" t="n">
        <x:v>0</x:v>
      </x:c>
      <x:c r="Z250" s="2" t="str"/>
      <x:c r="AA250" s="2" t="n">
        <x:v>0</x:v>
      </x:c>
      <x:c r="AB250" s="8" t="str"/>
      <x:c r="AC250" s="8" t="str"/>
      <x:c r="AD250" s="8" t="str">
        <x:v>["draft-ko-missing"]</x:v>
      </x:c>
      <x:c r="AE250" s="8" t="str">
        <x:v>검토 필요</x:v>
      </x:c>
      <x:c r="AF250" s="8" t="str"/>
    </x:row>
    <x:row r="251">
      <x:c r="A251" s="10" t="n">
        <x:v>250</x:v>
      </x:c>
      <x:c r="B251" s="2" t="str">
        <x:v>1차 검토 후보</x:v>
      </x:c>
      <x:c r="C251" s="2" t="str">
        <x:v>표기 교정·교체 검토</x:v>
      </x:c>
      <x:c r="D251" s="2" t="str">
        <x:v>중간</x:v>
      </x:c>
      <x:c r="E251" s="2" t="str">
        <x:v>N1</x:v>
      </x:c>
      <x:c r="F251" s="10" t="n">
        <x:v>92</x:v>
      </x:c>
      <x:c r="G251" s="2" t="str">
        <x:v>w_6707492979ff8a45</x:v>
      </x:c>
      <x:c r="H251" s="2" t="str">
        <x:v>嘗める</x:v>
      </x:c>
      <x:c r="I251" s="2" t="str">
        <x:v>なめる</x:v>
      </x:c>
      <x:c r="J251" s="8" t="str">
        <x:v>핥다; 깔보다</x:v>
      </x:c>
      <x:c r="K251" s="2" t="str">
        <x:v>verb</x:v>
      </x:c>
      <x:c r="L251" s="9" t="n">
        <x:v>1.4</x:v>
      </x:c>
      <x:c r="M251" s="2" t="str">
        <x:v>있음</x:v>
      </x:c>
      <x:c r="N251" s="11" t="n">
        <x:v>37</x:v>
      </x:c>
      <x:c r="O251" s="8" t="str">
        <x:v>일반 사용 빈도 매우 낮음(Zipf ≤ 1.5); JMdict에서 희귀·비표준 표기로 표시; 기존 데이터의 한국어 콘텐츠 보강 필요 태그</x:v>
      </x:c>
      <x:c r="P251" s="8" t="str">
        <x:v>frequency_le_1_5,jmdict_uncommon_or_irregular,weak_legacy_content</x:v>
      </x:c>
      <x:c r="Q251" s="2" t="str"/>
      <x:c r="R251" s="2" t="str"/>
      <x:c r="S251" s="2" t="str"/>
      <x:c r="T251" s="2" t="str"/>
      <x:c r="U251" s="2" t="str"/>
      <x:c r="V251" s="2" t="str">
        <x:v>아니오</x:v>
      </x:c>
      <x:c r="W251" s="2" t="str">
        <x:v>예</x:v>
      </x:c>
      <x:c r="X251" s="2" t="str">
        <x:v>ichi1</x:v>
      </x:c>
      <x:c r="Y251" s="2" t="n">
        <x:v>100</x:v>
      </x:c>
      <x:c r="Z251" s="2" t="str"/>
      <x:c r="AA251" s="2" t="n">
        <x:v>0</x:v>
      </x:c>
      <x:c r="AB251" s="8" t="str">
        <x:v>also written as ナメる and 無礼る | rarely used kanji form | word usually written using kana alone</x:v>
      </x:c>
      <x:c r="AC251" s="8" t="str"/>
      <x:c r="AD251" s="8" t="str">
        <x:v>["draft-ko-missing"]</x:v>
      </x:c>
      <x:c r="AE251" s="8" t="str">
        <x:v>검토 필요</x:v>
      </x:c>
      <x:c r="AF251" s="8" t="str"/>
    </x:row>
    <x:row r="252">
      <x:c r="A252" s="10" t="n">
        <x:v>251</x:v>
      </x:c>
      <x:c r="B252" s="2" t="str">
        <x:v>1차 검토 후보</x:v>
      </x:c>
      <x:c r="C252" s="2" t="str">
        <x:v>표기 교정·교체 검토</x:v>
      </x:c>
      <x:c r="D252" s="2" t="str">
        <x:v>중간</x:v>
      </x:c>
      <x:c r="E252" s="2" t="str">
        <x:v>N1</x:v>
      </x:c>
      <x:c r="F252" s="10" t="n">
        <x:v>93</x:v>
      </x:c>
      <x:c r="G252" s="2" t="str">
        <x:v>w_c3b45aa8963813d2</x:v>
      </x:c>
      <x:c r="H252" s="2" t="str">
        <x:v>御世辞</x:v>
      </x:c>
      <x:c r="I252" s="2" t="str">
        <x:v>おせじ</x:v>
      </x:c>
      <x:c r="J252" s="8" t="str">
        <x:v>아첨, 입에 발린 말</x:v>
      </x:c>
      <x:c r="K252" s="2" t="str">
        <x:v>noun</x:v>
      </x:c>
      <x:c r="L252" s="9" t="n">
        <x:v>3.44</x:v>
      </x:c>
      <x:c r="M252" s="2" t="str">
        <x:v>없음</x:v>
      </x:c>
      <x:c r="N252" s="11" t="n">
        <x:v>37</x:v>
      </x:c>
      <x:c r="O252" s="8" t="str">
        <x:v>일반 사용 빈도 보통 이하(Zipf ≤ 3.5); JMdict에서 희귀·비표준 표기로 표시; 검증된 예문 없음</x:v>
      </x:c>
      <x:c r="P252" s="8" t="str">
        <x:v>frequency_le_3_5,jmdict_uncommon_or_irregular,no_example</x:v>
      </x:c>
      <x:c r="Q252" s="2" t="str"/>
      <x:c r="R252" s="2" t="str"/>
      <x:c r="S252" s="2" t="str"/>
      <x:c r="T252" s="2" t="str"/>
      <x:c r="U252" s="2" t="str"/>
      <x:c r="V252" s="2" t="str">
        <x:v>아니오</x:v>
      </x:c>
      <x:c r="W252" s="2" t="str">
        <x:v>예</x:v>
      </x:c>
      <x:c r="X252" s="2" t="str">
        <x:v>ichi1,news2,nf32</x:v>
      </x:c>
      <x:c r="Y252" s="2" t="n">
        <x:v>100</x:v>
      </x:c>
      <x:c r="Z252" s="2" t="str"/>
      <x:c r="AA252" s="2" t="n">
        <x:v>0</x:v>
      </x:c>
      <x:c r="AB252" s="8" t="str">
        <x:v>search-only kanji form</x:v>
      </x:c>
      <x:c r="AC252" s="8" t="str"/>
      <x:c r="AD252" s="8" t="str">
        <x:v>["ko-reviewed"]</x:v>
      </x:c>
      <x:c r="AE252" s="8" t="str">
        <x:v>검토 필요</x:v>
      </x:c>
      <x:c r="AF252" s="8" t="str"/>
    </x:row>
    <x:row r="253">
      <x:c r="A253" s="10" t="n">
        <x:v>252</x:v>
      </x:c>
      <x:c r="B253" s="2" t="str">
        <x:v>1차 검토 후보</x:v>
      </x:c>
      <x:c r="C253" s="2" t="str">
        <x:v>표기 교정·교체 검토</x:v>
      </x:c>
      <x:c r="D253" s="2" t="str">
        <x:v>중간</x:v>
      </x:c>
      <x:c r="E253" s="2" t="str">
        <x:v>N4</x:v>
      </x:c>
      <x:c r="F253" s="10" t="n">
        <x:v>26</x:v>
      </x:c>
      <x:c r="G253" s="2" t="str">
        <x:v>w_8af924917469c9f0</x:v>
      </x:c>
      <x:c r="H253" s="2" t="str">
        <x:v>楽む</x:v>
      </x:c>
      <x:c r="I253" s="2" t="str">
        <x:v>たのしむ</x:v>
      </x:c>
      <x:c r="J253" s="8" t="str">
        <x:v>즐기다</x:v>
      </x:c>
      <x:c r="K253" s="2" t="str">
        <x:v>verb</x:v>
      </x:c>
      <x:c r="L253" s="9" t="n">
        <x:v>4.06</x:v>
      </x:c>
      <x:c r="M253" s="2" t="str">
        <x:v>없음</x:v>
      </x:c>
      <x:c r="N253" s="11" t="n">
        <x:v>36</x:v>
      </x:c>
      <x:c r="O253" s="8" t="str">
        <x:v>JMdict에서 희귀·비표준 표기로 표시; 검증된 예문 없음; 기존 데이터의 한국어 콘텐츠 보강 필요 태그</x:v>
      </x:c>
      <x:c r="P253" s="8" t="str">
        <x:v>jmdict_uncommon_or_irregular,no_example,weak_legacy_content</x:v>
      </x:c>
      <x:c r="Q253" s="2" t="str"/>
      <x:c r="R253" s="2" t="str"/>
      <x:c r="S253" s="2" t="str"/>
      <x:c r="T253" s="2" t="str"/>
      <x:c r="U253" s="2" t="str"/>
      <x:c r="V253" s="2" t="str">
        <x:v>아니오</x:v>
      </x:c>
      <x:c r="W253" s="2" t="str">
        <x:v>예</x:v>
      </x:c>
      <x:c r="X253" s="2" t="str">
        <x:v>ichi1,news1,nf16</x:v>
      </x:c>
      <x:c r="Y253" s="2" t="n">
        <x:v>100</x:v>
      </x:c>
      <x:c r="Z253" s="2" t="str"/>
      <x:c r="AA253" s="2" t="n">
        <x:v>0</x:v>
      </x:c>
      <x:c r="AB253" s="8" t="str">
        <x:v>dated term | search-only kanji form</x:v>
      </x:c>
      <x:c r="AC253" s="8" t="str"/>
      <x:c r="AD253" s="8" t="str">
        <x:v>["draft-ko-missing"]</x:v>
      </x:c>
      <x:c r="AE253" s="8" t="str">
        <x:v>검토 필요</x:v>
      </x:c>
      <x:c r="AF253" s="8" t="str"/>
    </x:row>
    <x:row r="254">
      <x:c r="A254" s="10" t="n">
        <x:v>253</x:v>
      </x:c>
      <x:c r="B254" s="2" t="str">
        <x:v>1차 검토 후보</x:v>
      </x:c>
      <x:c r="C254" s="2" t="str">
        <x:v>표기 교정·교체 검토</x:v>
      </x:c>
      <x:c r="D254" s="2" t="str">
        <x:v>중간</x:v>
      </x:c>
      <x:c r="E254" s="2" t="str">
        <x:v>N1</x:v>
      </x:c>
      <x:c r="F254" s="10" t="n">
        <x:v>94</x:v>
      </x:c>
      <x:c r="G254" s="2" t="str">
        <x:v>w_073756c8c779b58c</x:v>
      </x:c>
      <x:c r="H254" s="2" t="str">
        <x:v>損う</x:v>
      </x:c>
      <x:c r="I254" s="2" t="str">
        <x:v>そこなう</x:v>
      </x:c>
      <x:c r="J254" s="8" t="str">
        <x:v>해치다, 손상시키다</x:v>
      </x:c>
      <x:c r="K254" s="2" t="str">
        <x:v>verb</x:v>
      </x:c>
      <x:c r="L254" s="9" t="n">
        <x:v>4.34</x:v>
      </x:c>
      <x:c r="M254" s="2" t="str">
        <x:v>없음</x:v>
      </x:c>
      <x:c r="N254" s="11" t="n">
        <x:v>36</x:v>
      </x:c>
      <x:c r="O254" s="8" t="str">
        <x:v>JMdict에서 희귀·비표준 표기로 표시; 검증된 예문 없음; 기존 데이터의 한국어 콘텐츠 보강 필요 태그</x:v>
      </x:c>
      <x:c r="P254" s="8" t="str">
        <x:v>jmdict_uncommon_or_irregular,no_example,weak_legacy_content</x:v>
      </x:c>
      <x:c r="Q254" s="2" t="str"/>
      <x:c r="R254" s="2" t="str"/>
      <x:c r="S254" s="2" t="str"/>
      <x:c r="T254" s="2" t="str"/>
      <x:c r="U254" s="2" t="str"/>
      <x:c r="V254" s="2" t="str">
        <x:v>아니오</x:v>
      </x:c>
      <x:c r="W254" s="2" t="str">
        <x:v>예</x:v>
      </x:c>
      <x:c r="X254" s="2" t="str">
        <x:v>ichi1,news1,nf16</x:v>
      </x:c>
      <x:c r="Y254" s="2" t="n">
        <x:v>100</x:v>
      </x:c>
      <x:c r="Z254" s="2" t="str"/>
      <x:c r="AA254" s="2" t="n">
        <x:v>0</x:v>
      </x:c>
      <x:c r="AB254" s="8" t="str">
        <x:v>after the -masu stem of a verb | irregular okurigana usage</x:v>
      </x:c>
      <x:c r="AC254" s="8" t="str"/>
      <x:c r="AD254" s="8" t="str">
        <x:v>["draft-ko-missing"]</x:v>
      </x:c>
      <x:c r="AE254" s="8" t="str">
        <x:v>검토 필요</x:v>
      </x:c>
      <x:c r="AF254" s="8" t="str"/>
    </x:row>
    <x:row r="255">
      <x:c r="A255" s="10" t="n">
        <x:v>254</x:v>
      </x:c>
      <x:c r="B255" s="2" t="str">
        <x:v>1차 검토 후보</x:v>
      </x:c>
      <x:c r="C255" s="2" t="str">
        <x:v>표기 교정·교체 검토</x:v>
      </x:c>
      <x:c r="D255" s="2" t="str">
        <x:v>중간</x:v>
      </x:c>
      <x:c r="E255" s="2" t="str">
        <x:v>N5</x:v>
      </x:c>
      <x:c r="F255" s="10" t="n">
        <x:v>3</x:v>
      </x:c>
      <x:c r="G255" s="2" t="str">
        <x:v>w_8a81993924cacac2</x:v>
      </x:c>
      <x:c r="H255" s="2" t="str">
        <x:v>さ来年</x:v>
      </x:c>
      <x:c r="I255" s="2" t="str">
        <x:v>さらいねん</x:v>
      </x:c>
      <x:c r="J255" s="8" t="str">
        <x:v>내후년</x:v>
      </x:c>
      <x:c r="K255" s="2" t="str">
        <x:v>noun</x:v>
      </x:c>
      <x:c r="L255" s="9" t="n">
        <x:v>4.48</x:v>
      </x:c>
      <x:c r="M255" s="2" t="str">
        <x:v>없음</x:v>
      </x:c>
      <x:c r="N255" s="11" t="n">
        <x:v>36</x:v>
      </x:c>
      <x:c r="O255" s="8" t="str">
        <x:v>JMdict에서 희귀·비표준 표기로 표시; 검증된 예문 없음; 기존 데이터의 한국어 콘텐츠 보강 필요 태그</x:v>
      </x:c>
      <x:c r="P255" s="8" t="str">
        <x:v>jmdict_uncommon_or_irregular,no_example,weak_legacy_content</x:v>
      </x:c>
      <x:c r="Q255" s="2" t="str"/>
      <x:c r="R255" s="2" t="str"/>
      <x:c r="S255" s="2" t="str"/>
      <x:c r="T255" s="2" t="str"/>
      <x:c r="U255" s="2" t="str"/>
      <x:c r="V255" s="2" t="str">
        <x:v>아니오</x:v>
      </x:c>
      <x:c r="W255" s="2" t="str">
        <x:v>예</x:v>
      </x:c>
      <x:c r="X255" s="2" t="str">
        <x:v>ichi1,news2,nf26</x:v>
      </x:c>
      <x:c r="Y255" s="2" t="n">
        <x:v>100</x:v>
      </x:c>
      <x:c r="Z255" s="2" t="str"/>
      <x:c r="AA255" s="2" t="n">
        <x:v>0</x:v>
      </x:c>
      <x:c r="AB255" s="8" t="str">
        <x:v>search-only kanji form</x:v>
      </x:c>
      <x:c r="AC255" s="8" t="str"/>
      <x:c r="AD255" s="8" t="str">
        <x:v>["draft-ko-missing"]</x:v>
      </x:c>
      <x:c r="AE255" s="8" t="str">
        <x:v>검토 필요</x:v>
      </x:c>
      <x:c r="AF255" s="8" t="str"/>
    </x:row>
    <x:row r="256">
      <x:c r="A256" s="10" t="n">
        <x:v>255</x:v>
      </x:c>
      <x:c r="B256" s="2" t="str">
        <x:v>2차 보류</x:v>
      </x:c>
      <x:c r="C256" s="2" t="str">
        <x:v>2차 보류</x:v>
      </x:c>
      <x:c r="D256" s="2" t="str">
        <x:v>낮음</x:v>
      </x:c>
      <x:c r="E256" s="2" t="str">
        <x:v>N1</x:v>
      </x:c>
      <x:c r="F256" s="10" t="n">
        <x:v>95</x:v>
      </x:c>
      <x:c r="G256" s="2" t="str">
        <x:v>w_4ad8e13530a54ae1</x:v>
      </x:c>
      <x:c r="H256" s="2" t="str">
        <x:v>転ずる</x:v>
      </x:c>
      <x:c r="I256" s="2" t="str">
        <x:v>てんずる</x:v>
      </x:c>
      <x:c r="J256" s="8" t="str">
        <x:v>(방향·화제를) 돌리다, 바뀌다</x:v>
      </x:c>
      <x:c r="K256" s="2" t="str">
        <x:v>verb</x:v>
      </x:c>
      <x:c r="L256" s="9" t="n">
        <x:v>1.95</x:v>
      </x:c>
      <x:c r="M256" s="2" t="str">
        <x:v>없음</x:v>
      </x:c>
      <x:c r="N256" s="11" t="n">
        <x:v>35</x:v>
      </x:c>
      <x:c r="O256" s="8" t="str">
        <x:v>일반 사용 빈도 매우 낮음(Zipf ≤ 2.0); 기존 한국어 뜻 품질 감사 대상; 검증된 예문 없음; 기존 데이터의 한국어 콘텐츠 보강 필요 태그</x:v>
      </x:c>
      <x:c r="P256" s="8" t="str">
        <x:v>frequency_le_2_0,legacy_gloss_audit:mt_noise_token,no_example,weak_legacy_content</x:v>
      </x:c>
      <x:c r="Q256" s="2" t="str"/>
      <x:c r="R256" s="2" t="str"/>
      <x:c r="S256" s="2" t="str"/>
      <x:c r="T256" s="2" t="str"/>
      <x:c r="U256" s="2" t="str"/>
      <x:c r="V256" s="2" t="str">
        <x:v>아니오</x:v>
      </x:c>
      <x:c r="W256" s="2" t="str">
        <x:v>예</x:v>
      </x:c>
      <x:c r="X256" s="2" t="str">
        <x:v>news2,nf27</x:v>
      </x:c>
      <x:c r="Y256" s="2" t="n">
        <x:v>70</x:v>
      </x:c>
      <x:c r="Z256" s="2" t="str">
        <x:v>news2,nf27</x:v>
      </x:c>
      <x:c r="AA256" s="2" t="n">
        <x:v>70</x:v>
      </x:c>
      <x:c r="AB256" s="8" t="str"/>
      <x:c r="AC256" s="8" t="str">
        <x:v>mt_noise_token</x:v>
      </x:c>
      <x:c r="AD256" s="8" t="str">
        <x:v>["draft-ko-missing"]</x:v>
      </x:c>
      <x:c r="AE256" s="8" t="str">
        <x:v>검토 필요</x:v>
      </x:c>
      <x:c r="AF256" s="8" t="str"/>
    </x:row>
    <x:row r="257">
      <x:c r="A257" s="10" t="n">
        <x:v>256</x:v>
      </x:c>
      <x:c r="B257" s="2" t="str">
        <x:v>2차 보류</x:v>
      </x:c>
      <x:c r="C257" s="2" t="str">
        <x:v>2차 보류</x:v>
      </x:c>
      <x:c r="D257" s="2" t="str">
        <x:v>낮음</x:v>
      </x:c>
      <x:c r="E257" s="2" t="str">
        <x:v>N1</x:v>
      </x:c>
      <x:c r="F257" s="10" t="n">
        <x:v>96</x:v>
      </x:c>
      <x:c r="G257" s="2" t="str">
        <x:v>w_8675f76dd0251f4a</x:v>
      </x:c>
      <x:c r="H257" s="2" t="str">
        <x:v>給う</x:v>
      </x:c>
      <x:c r="I257" s="2" t="str">
        <x:v>たまう</x:v>
      </x:c>
      <x:c r="J257" s="8" t="str">
        <x:v>받다, 허가하다, 주다</x:v>
      </x:c>
      <x:c r="K257" s="2" t="str">
        <x:v>verb</x:v>
      </x:c>
      <x:c r="L257" s="9" t="n">
        <x:v>2.56</x:v>
      </x:c>
      <x:c r="M257" s="2" t="str">
        <x:v>없음</x:v>
      </x:c>
      <x:c r="N257" s="11" t="n">
        <x:v>35</x:v>
      </x:c>
      <x:c r="O257" s="8" t="str">
        <x:v>일반 사용 빈도 낮은 편(Zipf ≤ 3.0); 검증된 예문 없음; JMdict 우선 어휘 표지 없음; 기존 데이터의 한국어 콘텐츠 보강 필요 태그</x:v>
      </x:c>
      <x:c r="P257" s="8" t="str">
        <x:v>frequency_le_3_0,no_example,no_jmdict_priority,weak_legacy_content</x:v>
      </x:c>
      <x:c r="Q257" s="2" t="str"/>
      <x:c r="R257" s="2" t="str"/>
      <x:c r="S257" s="2" t="str"/>
      <x:c r="T257" s="2" t="str"/>
      <x:c r="U257" s="2" t="str"/>
      <x:c r="V257" s="2" t="str">
        <x:v>아니오</x:v>
      </x:c>
      <x:c r="W257" s="2" t="str">
        <x:v>예</x:v>
      </x:c>
      <x:c r="X257" s="2" t="str"/>
      <x:c r="Y257" s="2" t="n">
        <x:v>0</x:v>
      </x:c>
      <x:c r="Z257" s="2" t="str"/>
      <x:c r="AA257" s="2" t="n">
        <x:v>0</x:v>
      </x:c>
      <x:c r="AB257" s="8" t="str">
        <x:v>after the -masu stem of a verb | honorific or respectful (sonkeigo) language</x:v>
      </x:c>
      <x:c r="AC257" s="8" t="str"/>
      <x:c r="AD257" s="8" t="str">
        <x:v>["draft-ko-missing"]</x:v>
      </x:c>
      <x:c r="AE257" s="8" t="str">
        <x:v>검토 필요</x:v>
      </x:c>
      <x:c r="AF257" s="8" t="str"/>
    </x:row>
    <x:row r="258">
      <x:c r="A258" s="10" t="n">
        <x:v>257</x:v>
      </x:c>
      <x:c r="B258" s="2" t="str">
        <x:v>2차 보류</x:v>
      </x:c>
      <x:c r="C258" s="2" t="str">
        <x:v>2차 보류</x:v>
      </x:c>
      <x:c r="D258" s="2" t="str">
        <x:v>낮음</x:v>
      </x:c>
      <x:c r="E258" s="2" t="str">
        <x:v>N1</x:v>
      </x:c>
      <x:c r="F258" s="10" t="n">
        <x:v>97</x:v>
      </x:c>
      <x:c r="G258" s="2" t="str">
        <x:v>w_d7fc9eeb3fe93eec</x:v>
      </x:c>
      <x:c r="H258" s="2" t="str">
        <x:v>きらびやか</x:v>
      </x:c>
      <x:c r="I258" s="2" t="str">
        <x:v>きらびやか</x:v>
      </x:c>
      <x:c r="J258" s="8" t="str">
        <x:v>화려한, 야한</x:v>
      </x:c>
      <x:c r="K258" s="2" t="str">
        <x:v>adjective</x:v>
      </x:c>
      <x:c r="L258" s="9" t="n">
        <x:v>2.56</x:v>
      </x:c>
      <x:c r="M258" s="2" t="str">
        <x:v>없음</x:v>
      </x:c>
      <x:c r="N258" s="11" t="n">
        <x:v>35</x:v>
      </x:c>
      <x:c r="O258" s="8" t="str">
        <x:v>일반 사용 빈도 낮은 편(Zipf ≤ 3.0); 검증된 예문 없음; JMdict 우선 어휘 표지 없음; 기존 데이터의 한국어 콘텐츠 보강 필요 태그</x:v>
      </x:c>
      <x:c r="P258" s="8" t="str">
        <x:v>frequency_le_3_0,no_example,no_jmdict_priority,weak_legacy_content</x:v>
      </x:c>
      <x:c r="Q258" s="2" t="str"/>
      <x:c r="R258" s="2" t="str"/>
      <x:c r="S258" s="2" t="str"/>
      <x:c r="T258" s="2" t="str"/>
      <x:c r="U258" s="2" t="str"/>
      <x:c r="V258" s="2" t="str">
        <x:v>아니오</x:v>
      </x:c>
      <x:c r="W258" s="2" t="str">
        <x:v>아니오</x:v>
      </x:c>
      <x:c r="X258" s="2" t="str"/>
      <x:c r="Y258" s="2" t="n">
        <x:v>0</x:v>
      </x:c>
      <x:c r="Z258" s="2" t="str"/>
      <x:c r="AA258" s="2" t="n">
        <x:v>0</x:v>
      </x:c>
      <x:c r="AB258" s="8" t="str"/>
      <x:c r="AC258" s="8" t="str"/>
      <x:c r="AD258" s="8" t="str">
        <x:v>["draft-ko-missing"]</x:v>
      </x:c>
      <x:c r="AE258" s="8" t="str">
        <x:v>검토 필요</x:v>
      </x:c>
      <x:c r="AF258" s="8" t="str"/>
    </x:row>
    <x:row r="259">
      <x:c r="A259" s="10" t="n">
        <x:v>258</x:v>
      </x:c>
      <x:c r="B259" s="2" t="str">
        <x:v>2차 보류</x:v>
      </x:c>
      <x:c r="C259" s="2" t="str">
        <x:v>2차 보류</x:v>
      </x:c>
      <x:c r="D259" s="2" t="str">
        <x:v>낮음</x:v>
      </x:c>
      <x:c r="E259" s="2" t="str">
        <x:v>N1</x:v>
      </x:c>
      <x:c r="F259" s="10" t="n">
        <x:v>98</x:v>
      </x:c>
      <x:c r="G259" s="2" t="str">
        <x:v>w_5abb4d30abcb003d</x:v>
      </x:c>
      <x:c r="H259" s="2" t="str">
        <x:v>ばかばかしい</x:v>
      </x:c>
      <x:c r="I259" s="2" t="str">
        <x:v>ばかばかしい</x:v>
      </x:c>
      <x:c r="J259" s="8" t="str">
        <x:v>어리석은</x:v>
      </x:c>
      <x:c r="K259" s="2" t="str">
        <x:v>adjective</x:v>
      </x:c>
      <x:c r="L259" s="9" t="n">
        <x:v>2.58</x:v>
      </x:c>
      <x:c r="M259" s="2" t="str">
        <x:v>없음</x:v>
      </x:c>
      <x:c r="N259" s="11" t="n">
        <x:v>35</x:v>
      </x:c>
      <x:c r="O259" s="8" t="str">
        <x:v>일반 사용 빈도 낮은 편(Zipf ≤ 3.0); 검증된 예문 없음; JMdict 우선 어휘 표지 없음; 기존 데이터의 한국어 콘텐츠 보강 필요 태그</x:v>
      </x:c>
      <x:c r="P259" s="8" t="str">
        <x:v>frequency_le_3_0,no_example,no_jmdict_priority,weak_legacy_content</x:v>
      </x:c>
      <x:c r="Q259" s="2" t="str"/>
      <x:c r="R259" s="2" t="str"/>
      <x:c r="S259" s="2" t="str"/>
      <x:c r="T259" s="2" t="str"/>
      <x:c r="U259" s="2" t="str"/>
      <x:c r="V259" s="2" t="str">
        <x:v>아니오</x:v>
      </x:c>
      <x:c r="W259" s="2" t="str">
        <x:v>아니오</x:v>
      </x:c>
      <x:c r="X259" s="2" t="str"/>
      <x:c r="Y259" s="2" t="n">
        <x:v>0</x:v>
      </x:c>
      <x:c r="Z259" s="2" t="str"/>
      <x:c r="AA259" s="2" t="n">
        <x:v>0</x:v>
      </x:c>
      <x:c r="AB259" s="8" t="str"/>
      <x:c r="AC259" s="8" t="str"/>
      <x:c r="AD259" s="8" t="str">
        <x:v>["draft-ko-missing"]</x:v>
      </x:c>
      <x:c r="AE259" s="8" t="str">
        <x:v>검토 필요</x:v>
      </x:c>
      <x:c r="AF259" s="8" t="str"/>
    </x:row>
    <x:row r="260">
      <x:c r="A260" s="10" t="n">
        <x:v>259</x:v>
      </x:c>
      <x:c r="B260" s="2" t="str">
        <x:v>2차 보류</x:v>
      </x:c>
      <x:c r="C260" s="2" t="str">
        <x:v>2차 보류</x:v>
      </x:c>
      <x:c r="D260" s="2" t="str">
        <x:v>낮음</x:v>
      </x:c>
      <x:c r="E260" s="2" t="str">
        <x:v>N1</x:v>
      </x:c>
      <x:c r="F260" s="10" t="n">
        <x:v>99</x:v>
      </x:c>
      <x:c r="G260" s="2" t="str">
        <x:v>w_7bb2d7c84066075a</x:v>
      </x:c>
      <x:c r="H260" s="2" t="str">
        <x:v>きっかり</x:v>
      </x:c>
      <x:c r="I260" s="2" t="str">
        <x:v>きっかり</x:v>
      </x:c>
      <x:c r="J260" s="8" t="str">
        <x:v>정확히</x:v>
      </x:c>
      <x:c r="K260" s="2" t="str">
        <x:v>adverb</x:v>
      </x:c>
      <x:c r="L260" s="9" t="n">
        <x:v>2.6</x:v>
      </x:c>
      <x:c r="M260" s="2" t="str">
        <x:v>없음</x:v>
      </x:c>
      <x:c r="N260" s="11" t="n">
        <x:v>35</x:v>
      </x:c>
      <x:c r="O260" s="8" t="str">
        <x:v>일반 사용 빈도 낮은 편(Zipf ≤ 3.0); 검증된 예문 없음; JMdict 우선 어휘 표지 없음; 기존 데이터의 한국어 콘텐츠 보강 필요 태그</x:v>
      </x:c>
      <x:c r="P260" s="8" t="str">
        <x:v>frequency_le_3_0,no_example,no_jmdict_priority,weak_legacy_content</x:v>
      </x:c>
      <x:c r="Q260" s="2" t="str"/>
      <x:c r="R260" s="2" t="str"/>
      <x:c r="S260" s="2" t="str"/>
      <x:c r="T260" s="2" t="str"/>
      <x:c r="U260" s="2" t="str"/>
      <x:c r="V260" s="2" t="str">
        <x:v>아니오</x:v>
      </x:c>
      <x:c r="W260" s="2" t="str">
        <x:v>예</x:v>
      </x:c>
      <x:c r="X260" s="2" t="str"/>
      <x:c r="Y260" s="2" t="n">
        <x:v>0</x:v>
      </x:c>
      <x:c r="Z260" s="2" t="str"/>
      <x:c r="AA260" s="2" t="n">
        <x:v>0</x:v>
      </x:c>
      <x:c r="AB260" s="8" t="str">
        <x:v>onomatopoeic or mimetic word</x:v>
      </x:c>
      <x:c r="AC260" s="8" t="str"/>
      <x:c r="AD260" s="8" t="str">
        <x:v>["draft-ko-missing"]</x:v>
      </x:c>
      <x:c r="AE260" s="8" t="str">
        <x:v>검토 필요</x:v>
      </x:c>
      <x:c r="AF260" s="8" t="str"/>
    </x:row>
    <x:row r="261">
      <x:c r="A261" s="10" t="n">
        <x:v>260</x:v>
      </x:c>
      <x:c r="B261" s="2" t="str">
        <x:v>2차 보류</x:v>
      </x:c>
      <x:c r="C261" s="2" t="str">
        <x:v>2차 보류</x:v>
      </x:c>
      <x:c r="D261" s="2" t="str">
        <x:v>낮음</x:v>
      </x:c>
      <x:c r="E261" s="2" t="str">
        <x:v>N1</x:v>
      </x:c>
      <x:c r="F261" s="10" t="n">
        <x:v>100</x:v>
      </x:c>
      <x:c r="G261" s="2" t="str">
        <x:v>w_700bb2d4d1171501</x:v>
      </x:c>
      <x:c r="H261" s="2" t="str">
        <x:v>手回し</x:v>
      </x:c>
      <x:c r="I261" s="2" t="str">
        <x:v>てまわし</x:v>
      </x:c>
      <x:c r="J261" s="8" t="str">
        <x:v>준비, 채비; 손으로 돌림</x:v>
      </x:c>
      <x:c r="K261" s="2" t="str">
        <x:v>noun</x:v>
      </x:c>
      <x:c r="L261" s="9" t="n">
        <x:v>2.7</x:v>
      </x:c>
      <x:c r="M261" s="2" t="str">
        <x:v>없음</x:v>
      </x:c>
      <x:c r="N261" s="11" t="n">
        <x:v>35</x:v>
      </x:c>
      <x:c r="O261" s="8" t="str">
        <x:v>일반 사용 빈도 낮은 편(Zipf ≤ 3.0); 검증된 예문 없음; JMdict 우선 어휘 표지 없음; 기존 데이터의 한국어 콘텐츠 보강 필요 태그</x:v>
      </x:c>
      <x:c r="P261" s="8" t="str">
        <x:v>frequency_le_3_0,no_example,no_jmdict_priority,weak_legacy_content</x:v>
      </x:c>
      <x:c r="Q261" s="2" t="str"/>
      <x:c r="R261" s="2" t="str"/>
      <x:c r="S261" s="2" t="str"/>
      <x:c r="T261" s="2" t="str"/>
      <x:c r="U261" s="2" t="str"/>
      <x:c r="V261" s="2" t="str">
        <x:v>아니오</x:v>
      </x:c>
      <x:c r="W261" s="2" t="str">
        <x:v>예</x:v>
      </x:c>
      <x:c r="X261" s="2" t="str"/>
      <x:c r="Y261" s="2" t="n">
        <x:v>0</x:v>
      </x:c>
      <x:c r="Z261" s="2" t="str"/>
      <x:c r="AA261" s="2" t="n">
        <x:v>0</x:v>
      </x:c>
      <x:c r="AB261" s="8" t="str"/>
      <x:c r="AC261" s="8" t="str"/>
      <x:c r="AD261" s="8" t="str">
        <x:v>["draft-ko-missing"]</x:v>
      </x:c>
      <x:c r="AE261" s="8" t="str">
        <x:v>검토 필요</x:v>
      </x:c>
      <x:c r="AF261" s="8" t="str"/>
    </x:row>
    <x:row r="262">
      <x:c r="A262" s="10" t="n">
        <x:v>261</x:v>
      </x:c>
      <x:c r="B262" s="2" t="str">
        <x:v>2차 보류</x:v>
      </x:c>
      <x:c r="C262" s="2" t="str">
        <x:v>2차 보류</x:v>
      </x:c>
      <x:c r="D262" s="2" t="str">
        <x:v>낮음</x:v>
      </x:c>
      <x:c r="E262" s="2" t="str">
        <x:v>N1</x:v>
      </x:c>
      <x:c r="F262" s="10" t="n">
        <x:v>101</x:v>
      </x:c>
      <x:c r="G262" s="2" t="str">
        <x:v>w_b2215a279fa897de</x:v>
      </x:c>
      <x:c r="H262" s="2" t="str">
        <x:v>もろに</x:v>
      </x:c>
      <x:c r="I262" s="2" t="str">
        <x:v>もろに</x:v>
      </x:c>
      <x:c r="J262" s="8" t="str">
        <x:v>완전히</x:v>
      </x:c>
      <x:c r="K262" s="2" t="str">
        <x:v>adverb</x:v>
      </x:c>
      <x:c r="L262" s="9" t="n">
        <x:v>2.7</x:v>
      </x:c>
      <x:c r="M262" s="2" t="str">
        <x:v>없음</x:v>
      </x:c>
      <x:c r="N262" s="11" t="n">
        <x:v>35</x:v>
      </x:c>
      <x:c r="O262" s="8" t="str">
        <x:v>일반 사용 빈도 낮은 편(Zipf ≤ 3.0); 검증된 예문 없음; JMdict 우선 어휘 표지 없음; 기존 데이터의 한국어 콘텐츠 보강 필요 태그</x:v>
      </x:c>
      <x:c r="P262" s="8" t="str">
        <x:v>frequency_le_3_0,no_example,no_jmdict_priority,weak_legacy_content</x:v>
      </x:c>
      <x:c r="Q262" s="2" t="str"/>
      <x:c r="R262" s="2" t="str"/>
      <x:c r="S262" s="2" t="str"/>
      <x:c r="T262" s="2" t="str"/>
      <x:c r="U262" s="2" t="str"/>
      <x:c r="V262" s="2" t="str">
        <x:v>아니오</x:v>
      </x:c>
      <x:c r="W262" s="2" t="str">
        <x:v>아니오</x:v>
      </x:c>
      <x:c r="X262" s="2" t="str"/>
      <x:c r="Y262" s="2" t="n">
        <x:v>0</x:v>
      </x:c>
      <x:c r="Z262" s="2" t="str"/>
      <x:c r="AA262" s="2" t="n">
        <x:v>0</x:v>
      </x:c>
      <x:c r="AB262" s="8" t="str"/>
      <x:c r="AC262" s="8" t="str"/>
      <x:c r="AD262" s="8" t="str">
        <x:v>["draft-ko-missing"]</x:v>
      </x:c>
      <x:c r="AE262" s="8" t="str">
        <x:v>검토 필요</x:v>
      </x:c>
      <x:c r="AF262" s="8" t="str"/>
    </x:row>
    <x:row r="263">
      <x:c r="A263" s="10" t="n">
        <x:v>262</x:v>
      </x:c>
      <x:c r="B263" s="2" t="str">
        <x:v>2차 보류</x:v>
      </x:c>
      <x:c r="C263" s="2" t="str">
        <x:v>2차 보류</x:v>
      </x:c>
      <x:c r="D263" s="2" t="str">
        <x:v>낮음</x:v>
      </x:c>
      <x:c r="E263" s="2" t="str">
        <x:v>N2</x:v>
      </x:c>
      <x:c r="F263" s="10" t="n">
        <x:v>100</x:v>
      </x:c>
      <x:c r="G263" s="2" t="str">
        <x:v>w_6e15592e0d3218f4</x:v>
      </x:c>
      <x:c r="H263" s="2" t="str">
        <x:v>またぐ</x:v>
      </x:c>
      <x:c r="I263" s="2" t="str">
        <x:v>またぐ</x:v>
      </x:c>
      <x:c r="J263" s="8" t="str">
        <x:v>걸터앉다</x:v>
      </x:c>
      <x:c r="K263" s="2" t="str">
        <x:v>verb</x:v>
      </x:c>
      <x:c r="L263" s="9" t="n">
        <x:v>2.72</x:v>
      </x:c>
      <x:c r="M263" s="2" t="str">
        <x:v>없음</x:v>
      </x:c>
      <x:c r="N263" s="11" t="n">
        <x:v>35</x:v>
      </x:c>
      <x:c r="O263" s="8" t="str">
        <x:v>일반 사용 빈도 낮은 편(Zipf ≤ 3.0); 검증된 예문 없음; JMdict 우선 어휘 표지 없음; 기존 데이터의 한국어 콘텐츠 보강 필요 태그</x:v>
      </x:c>
      <x:c r="P263" s="8" t="str">
        <x:v>frequency_le_3_0,no_example,no_jmdict_priority,weak_legacy_content</x:v>
      </x:c>
      <x:c r="Q263" s="2" t="str"/>
      <x:c r="R263" s="2" t="str"/>
      <x:c r="S263" s="2" t="str"/>
      <x:c r="T263" s="2" t="str"/>
      <x:c r="U263" s="2" t="str"/>
      <x:c r="V263" s="2" t="str">
        <x:v>아니오</x:v>
      </x:c>
      <x:c r="W263" s="2" t="str">
        <x:v>아니오</x:v>
      </x:c>
      <x:c r="X263" s="2" t="str"/>
      <x:c r="Y263" s="2" t="n">
        <x:v>0</x:v>
      </x:c>
      <x:c r="Z263" s="2" t="str"/>
      <x:c r="AA263" s="2" t="n">
        <x:v>0</x:v>
      </x:c>
      <x:c r="AB263" s="8" t="str"/>
      <x:c r="AC263" s="8" t="str"/>
      <x:c r="AD263" s="8" t="str">
        <x:v>["draft-ko-missing"]</x:v>
      </x:c>
      <x:c r="AE263" s="8" t="str">
        <x:v>검토 필요</x:v>
      </x:c>
      <x:c r="AF263" s="8" t="str"/>
    </x:row>
    <x:row r="264">
      <x:c r="A264" s="10" t="n">
        <x:v>263</x:v>
      </x:c>
      <x:c r="B264" s="2" t="str">
        <x:v>2차 보류</x:v>
      </x:c>
      <x:c r="C264" s="2" t="str">
        <x:v>2차 보류</x:v>
      </x:c>
      <x:c r="D264" s="2" t="str">
        <x:v>낮음</x:v>
      </x:c>
      <x:c r="E264" s="2" t="str">
        <x:v>N1</x:v>
      </x:c>
      <x:c r="F264" s="10" t="n">
        <x:v>102</x:v>
      </x:c>
      <x:c r="G264" s="2" t="str">
        <x:v>w_3a0ead40a10ebf64</x:v>
      </x:c>
      <x:c r="H264" s="2" t="str">
        <x:v>つぶら</x:v>
      </x:c>
      <x:c r="I264" s="2" t="str">
        <x:v>つぶら</x:v>
      </x:c>
      <x:c r="J264" s="8" t="str">
        <x:v>동그람, 또렷함</x:v>
      </x:c>
      <x:c r="K264" s="2" t="str">
        <x:v>adjective</x:v>
      </x:c>
      <x:c r="L264" s="9" t="n">
        <x:v>2.73</x:v>
      </x:c>
      <x:c r="M264" s="2" t="str">
        <x:v>없음</x:v>
      </x:c>
      <x:c r="N264" s="11" t="n">
        <x:v>35</x:v>
      </x:c>
      <x:c r="O264" s="8" t="str">
        <x:v>일반 사용 빈도 낮은 편(Zipf ≤ 3.0); 검증된 예문 없음; JMdict 우선 어휘 표지 없음; 기존 데이터의 한국어 콘텐츠 보강 필요 태그</x:v>
      </x:c>
      <x:c r="P264" s="8" t="str">
        <x:v>frequency_le_3_0,no_example,no_jmdict_priority,weak_legacy_content</x:v>
      </x:c>
      <x:c r="Q264" s="2" t="str"/>
      <x:c r="R264" s="2" t="str"/>
      <x:c r="S264" s="2" t="str"/>
      <x:c r="T264" s="2" t="str"/>
      <x:c r="U264" s="2" t="str"/>
      <x:c r="V264" s="2" t="str">
        <x:v>아니오</x:v>
      </x:c>
      <x:c r="W264" s="2" t="str">
        <x:v>아니오</x:v>
      </x:c>
      <x:c r="X264" s="2" t="str"/>
      <x:c r="Y264" s="2" t="n">
        <x:v>0</x:v>
      </x:c>
      <x:c r="Z264" s="2" t="str"/>
      <x:c r="AA264" s="2" t="n">
        <x:v>0</x:v>
      </x:c>
      <x:c r="AB264" s="8" t="str"/>
      <x:c r="AC264" s="8" t="str"/>
      <x:c r="AD264" s="8" t="str">
        <x:v>["draft-ko-missing"]</x:v>
      </x:c>
      <x:c r="AE264" s="8" t="str">
        <x:v>검토 필요</x:v>
      </x:c>
      <x:c r="AF264" s="8" t="str"/>
    </x:row>
    <x:row r="265">
      <x:c r="A265" s="10" t="n">
        <x:v>264</x:v>
      </x:c>
      <x:c r="B265" s="2" t="str">
        <x:v>2차 보류</x:v>
      </x:c>
      <x:c r="C265" s="2" t="str">
        <x:v>2차 보류</x:v>
      </x:c>
      <x:c r="D265" s="2" t="str">
        <x:v>낮음</x:v>
      </x:c>
      <x:c r="E265" s="2" t="str">
        <x:v>N2</x:v>
      </x:c>
      <x:c r="F265" s="10" t="n">
        <x:v>101</x:v>
      </x:c>
      <x:c r="G265" s="2" t="str">
        <x:v>w_24d33f85a5c110ea</x:v>
      </x:c>
      <x:c r="H265" s="2" t="str">
        <x:v>くっつける</x:v>
      </x:c>
      <x:c r="I265" s="2" t="str">
        <x:v>くっつける</x:v>
      </x:c>
      <x:c r="J265" s="8" t="str">
        <x:v>붙이다, 첨부하다</x:v>
      </x:c>
      <x:c r="K265" s="2" t="str">
        <x:v>verb</x:v>
      </x:c>
      <x:c r="L265" s="9" t="n">
        <x:v>2.75</x:v>
      </x:c>
      <x:c r="M265" s="2" t="str">
        <x:v>없음</x:v>
      </x:c>
      <x:c r="N265" s="11" t="n">
        <x:v>35</x:v>
      </x:c>
      <x:c r="O265" s="8" t="str">
        <x:v>일반 사용 빈도 낮은 편(Zipf ≤ 3.0); 검증된 예문 없음; JMdict 우선 어휘 표지 없음; 기존 데이터의 한국어 콘텐츠 보강 필요 태그</x:v>
      </x:c>
      <x:c r="P265" s="8" t="str">
        <x:v>frequency_le_3_0,no_example,no_jmdict_priority,weak_legacy_content</x:v>
      </x:c>
      <x:c r="Q265" s="2" t="str"/>
      <x:c r="R265" s="2" t="str"/>
      <x:c r="S265" s="2" t="str"/>
      <x:c r="T265" s="2" t="str"/>
      <x:c r="U265" s="2" t="str"/>
      <x:c r="V265" s="2" t="str">
        <x:v>아니오</x:v>
      </x:c>
      <x:c r="W265" s="2" t="str">
        <x:v>아니오</x:v>
      </x:c>
      <x:c r="X265" s="2" t="str"/>
      <x:c r="Y265" s="2" t="n">
        <x:v>0</x:v>
      </x:c>
      <x:c r="Z265" s="2" t="str"/>
      <x:c r="AA265" s="2" t="n">
        <x:v>0</x:v>
      </x:c>
      <x:c r="AB265" s="8" t="str"/>
      <x:c r="AC265" s="8" t="str"/>
      <x:c r="AD265" s="8" t="str">
        <x:v>["draft-ko-missing"]</x:v>
      </x:c>
      <x:c r="AE265" s="8" t="str">
        <x:v>검토 필요</x:v>
      </x:c>
      <x:c r="AF265" s="8" t="str"/>
    </x:row>
    <x:row r="266">
      <x:c r="A266" s="10" t="n">
        <x:v>265</x:v>
      </x:c>
      <x:c r="B266" s="2" t="str">
        <x:v>2차 보류</x:v>
      </x:c>
      <x:c r="C266" s="2" t="str">
        <x:v>2차 보류</x:v>
      </x:c>
      <x:c r="D266" s="2" t="str">
        <x:v>낮음</x:v>
      </x:c>
      <x:c r="E266" s="2" t="str">
        <x:v>N3</x:v>
      </x:c>
      <x:c r="F266" s="10" t="n">
        <x:v>33</x:v>
      </x:c>
      <x:c r="G266" s="2" t="str">
        <x:v>w_b9199f61ca833a65</x:v>
      </x:c>
      <x:c r="H266" s="2" t="str">
        <x:v>挿す</x:v>
      </x:c>
      <x:c r="I266" s="2" t="str">
        <x:v>さす</x:v>
      </x:c>
      <x:c r="J266" s="8" t="str">
        <x:v>삽입하다, 넣다</x:v>
      </x:c>
      <x:c r="K266" s="2" t="str">
        <x:v>verb</x:v>
      </x:c>
      <x:c r="L266" s="9" t="n">
        <x:v>2.78</x:v>
      </x:c>
      <x:c r="M266" s="2" t="str">
        <x:v>없음</x:v>
      </x:c>
      <x:c r="N266" s="11" t="n">
        <x:v>35</x:v>
      </x:c>
      <x:c r="O266" s="8" t="str">
        <x:v>일반 사용 빈도 낮은 편(Zipf ≤ 3.0); 검증된 예문 없음; JMdict 우선 어휘 표지 없음; 기존 데이터의 한국어 콘텐츠 보강 필요 태그</x:v>
      </x:c>
      <x:c r="P266" s="8" t="str">
        <x:v>frequency_le_3_0,no_example,no_jmdict_priority,weak_legacy_content</x:v>
      </x:c>
      <x:c r="Q266" s="2" t="str"/>
      <x:c r="R266" s="2" t="str"/>
      <x:c r="S266" s="2" t="str"/>
      <x:c r="T266" s="2" t="str"/>
      <x:c r="U266" s="2" t="str"/>
      <x:c r="V266" s="2" t="str">
        <x:v>아니오</x:v>
      </x:c>
      <x:c r="W266" s="2" t="str">
        <x:v>예</x:v>
      </x:c>
      <x:c r="X266" s="2" t="str"/>
      <x:c r="Y266" s="2" t="n">
        <x:v>0</x:v>
      </x:c>
      <x:c r="Z266" s="2" t="str"/>
      <x:c r="AA266" s="2" t="n">
        <x:v>0</x:v>
      </x:c>
      <x:c r="AB266" s="8" t="str"/>
      <x:c r="AC266" s="8" t="str"/>
      <x:c r="AD266" s="8" t="str">
        <x:v>["draft-ko-missing"]</x:v>
      </x:c>
      <x:c r="AE266" s="8" t="str">
        <x:v>검토 필요</x:v>
      </x:c>
      <x:c r="AF266" s="8" t="str"/>
    </x:row>
    <x:row r="267">
      <x:c r="A267" s="10" t="n">
        <x:v>266</x:v>
      </x:c>
      <x:c r="B267" s="2" t="str">
        <x:v>2차 보류</x:v>
      </x:c>
      <x:c r="C267" s="2" t="str">
        <x:v>2차 보류</x:v>
      </x:c>
      <x:c r="D267" s="2" t="str">
        <x:v>낮음</x:v>
      </x:c>
      <x:c r="E267" s="2" t="str">
        <x:v>N1</x:v>
      </x:c>
      <x:c r="F267" s="10" t="n">
        <x:v>103</x:v>
      </x:c>
      <x:c r="G267" s="2" t="str">
        <x:v>w_cd0c435eb0da8b6c</x:v>
      </x:c>
      <x:c r="H267" s="2" t="str">
        <x:v>ちやほや</x:v>
      </x:c>
      <x:c r="I267" s="2" t="str">
        <x:v>ちやほや</x:v>
      </x:c>
      <x:c r="J267" s="8" t="str">
        <x:v>치켜세움, 떠받듦</x:v>
      </x:c>
      <x:c r="K267" s="2" t="str">
        <x:v>verb</x:v>
      </x:c>
      <x:c r="L267" s="9" t="n">
        <x:v>2.78</x:v>
      </x:c>
      <x:c r="M267" s="2" t="str">
        <x:v>없음</x:v>
      </x:c>
      <x:c r="N267" s="11" t="n">
        <x:v>35</x:v>
      </x:c>
      <x:c r="O267" s="8" t="str">
        <x:v>일반 사용 빈도 낮은 편(Zipf ≤ 3.0); 검증된 예문 없음; JMdict 우선 어휘 표지 없음; 기존 데이터의 한국어 콘텐츠 보강 필요 태그</x:v>
      </x:c>
      <x:c r="P267" s="8" t="str">
        <x:v>frequency_le_3_0,no_example,no_jmdict_priority,weak_legacy_content</x:v>
      </x:c>
      <x:c r="Q267" s="2" t="str"/>
      <x:c r="R267" s="2" t="str"/>
      <x:c r="S267" s="2" t="str"/>
      <x:c r="T267" s="2" t="str"/>
      <x:c r="U267" s="2" t="str"/>
      <x:c r="V267" s="2" t="str">
        <x:v>아니오</x:v>
      </x:c>
      <x:c r="W267" s="2" t="str">
        <x:v>예</x:v>
      </x:c>
      <x:c r="X267" s="2" t="str"/>
      <x:c r="Y267" s="2" t="n">
        <x:v>0</x:v>
      </x:c>
      <x:c r="Z267" s="2" t="str"/>
      <x:c r="AA267" s="2" t="n">
        <x:v>0</x:v>
      </x:c>
      <x:c r="AB267" s="8" t="str">
        <x:v>onomatopoeic or mimetic word</x:v>
      </x:c>
      <x:c r="AC267" s="8" t="str"/>
      <x:c r="AD267" s="8" t="str">
        <x:v>["draft-ko-missing"]</x:v>
      </x:c>
      <x:c r="AE267" s="8" t="str">
        <x:v>검토 필요</x:v>
      </x:c>
      <x:c r="AF267" s="8" t="str"/>
    </x:row>
    <x:row r="268">
      <x:c r="A268" s="10" t="n">
        <x:v>267</x:v>
      </x:c>
      <x:c r="B268" s="2" t="str">
        <x:v>2차 보류</x:v>
      </x:c>
      <x:c r="C268" s="2" t="str">
        <x:v>2차 보류</x:v>
      </x:c>
      <x:c r="D268" s="2" t="str">
        <x:v>낮음</x:v>
      </x:c>
      <x:c r="E268" s="2" t="str">
        <x:v>N3</x:v>
      </x:c>
      <x:c r="F268" s="10" t="n">
        <x:v>34</x:v>
      </x:c>
      <x:c r="G268" s="2" t="str">
        <x:v>w_5c3644e2a27ea165</x:v>
      </x:c>
      <x:c r="H268" s="2" t="str">
        <x:v>すっぱい</x:v>
      </x:c>
      <x:c r="I268" s="2" t="str">
        <x:v>すっぱい</x:v>
      </x:c>
      <x:c r="J268" s="8" t="str">
        <x:v>신, 산, 신맛의</x:v>
      </x:c>
      <x:c r="K268" s="2" t="str">
        <x:v>adjective</x:v>
      </x:c>
      <x:c r="L268" s="9" t="n">
        <x:v>2.79</x:v>
      </x:c>
      <x:c r="M268" s="2" t="str">
        <x:v>없음</x:v>
      </x:c>
      <x:c r="N268" s="11" t="n">
        <x:v>35</x:v>
      </x:c>
      <x:c r="O268" s="8" t="str">
        <x:v>일반 사용 빈도 낮은 편(Zipf ≤ 3.0); 검증된 예문 없음; JMdict 우선 어휘 표지 없음; 기존 데이터의 한국어 콘텐츠 보강 필요 태그</x:v>
      </x:c>
      <x:c r="P268" s="8" t="str">
        <x:v>frequency_le_3_0,no_example,no_jmdict_priority,weak_legacy_content</x:v>
      </x:c>
      <x:c r="Q268" s="2" t="str"/>
      <x:c r="R268" s="2" t="str"/>
      <x:c r="S268" s="2" t="str"/>
      <x:c r="T268" s="2" t="str"/>
      <x:c r="U268" s="2" t="str"/>
      <x:c r="V268" s="2" t="str">
        <x:v>아니오</x:v>
      </x:c>
      <x:c r="W268" s="2" t="str">
        <x:v>아니오</x:v>
      </x:c>
      <x:c r="X268" s="2" t="str"/>
      <x:c r="Y268" s="2" t="n">
        <x:v>0</x:v>
      </x:c>
      <x:c r="Z268" s="2" t="str"/>
      <x:c r="AA268" s="2" t="n">
        <x:v>0</x:v>
      </x:c>
      <x:c r="AB268" s="8" t="str"/>
      <x:c r="AC268" s="8" t="str"/>
      <x:c r="AD268" s="8" t="str">
        <x:v>["draft-ko-missing"]</x:v>
      </x:c>
      <x:c r="AE268" s="8" t="str">
        <x:v>검토 필요</x:v>
      </x:c>
      <x:c r="AF268" s="8" t="str"/>
    </x:row>
    <x:row r="269">
      <x:c r="A269" s="10" t="n">
        <x:v>268</x:v>
      </x:c>
      <x:c r="B269" s="2" t="str">
        <x:v>2차 보류</x:v>
      </x:c>
      <x:c r="C269" s="2" t="str">
        <x:v>2차 보류</x:v>
      </x:c>
      <x:c r="D269" s="2" t="str">
        <x:v>낮음</x:v>
      </x:c>
      <x:c r="E269" s="2" t="str">
        <x:v>N1</x:v>
      </x:c>
      <x:c r="F269" s="10" t="n">
        <x:v>104</x:v>
      </x:c>
      <x:c r="G269" s="2" t="str">
        <x:v>w_9bf537e363a396a0</x:v>
      </x:c>
      <x:c r="H269" s="2" t="str">
        <x:v>沈殿</x:v>
      </x:c>
      <x:c r="I269" s="2" t="str">
        <x:v>ちんでん</x:v>
      </x:c>
      <x:c r="J269" s="8" t="str">
        <x:v>침전</x:v>
      </x:c>
      <x:c r="K269" s="2" t="str">
        <x:v>noun</x:v>
      </x:c>
      <x:c r="L269" s="9" t="n">
        <x:v>2.81</x:v>
      </x:c>
      <x:c r="M269" s="2" t="str">
        <x:v>없음</x:v>
      </x:c>
      <x:c r="N269" s="11" t="n">
        <x:v>35</x:v>
      </x:c>
      <x:c r="O269" s="8" t="str">
        <x:v>일반 사용 빈도 낮은 편(Zipf ≤ 3.0); 검증된 예문 없음; JMdict 우선 어휘 표지 없음; 기존 데이터의 한국어 콘텐츠 보강 필요 태그</x:v>
      </x:c>
      <x:c r="P269" s="8" t="str">
        <x:v>frequency_le_3_0,no_example,no_jmdict_priority,weak_legacy_content</x:v>
      </x:c>
      <x:c r="Q269" s="2" t="str"/>
      <x:c r="R269" s="2" t="str"/>
      <x:c r="S269" s="2" t="str"/>
      <x:c r="T269" s="2" t="str"/>
      <x:c r="U269" s="2" t="str"/>
      <x:c r="V269" s="2" t="str">
        <x:v>아니오</x:v>
      </x:c>
      <x:c r="W269" s="2" t="str">
        <x:v>예</x:v>
      </x:c>
      <x:c r="X269" s="2" t="str"/>
      <x:c r="Y269" s="2" t="n">
        <x:v>0</x:v>
      </x:c>
      <x:c r="Z269" s="2" t="str"/>
      <x:c r="AA269" s="2" t="n">
        <x:v>0</x:v>
      </x:c>
      <x:c r="AB269" s="8" t="str"/>
      <x:c r="AC269" s="8" t="str"/>
      <x:c r="AD269" s="8" t="str">
        <x:v>["draft-ko-missing"]</x:v>
      </x:c>
      <x:c r="AE269" s="8" t="str">
        <x:v>검토 필요</x:v>
      </x:c>
      <x:c r="AF269" s="8" t="str"/>
    </x:row>
    <x:row r="270">
      <x:c r="A270" s="10" t="n">
        <x:v>269</x:v>
      </x:c>
      <x:c r="B270" s="2" t="str">
        <x:v>2차 보류</x:v>
      </x:c>
      <x:c r="C270" s="2" t="str">
        <x:v>2차 보류</x:v>
      </x:c>
      <x:c r="D270" s="2" t="str">
        <x:v>낮음</x:v>
      </x:c>
      <x:c r="E270" s="2" t="str">
        <x:v>N5</x:v>
      </x:c>
      <x:c r="F270" s="10" t="n">
        <x:v>4</x:v>
      </x:c>
      <x:c r="G270" s="2" t="str">
        <x:v>w_2130a9162a1ba310</x:v>
      </x:c>
      <x:c r="H270" s="2" t="str">
        <x:v>叔母さん</x:v>
      </x:c>
      <x:c r="I270" s="2" t="str">
        <x:v>おばさん</x:v>
      </x:c>
      <x:c r="J270" s="8" t="str">
        <x:v>이모/고모/숙모, 아주머니</x:v>
      </x:c>
      <x:c r="K270" s="2" t="str">
        <x:v>noun</x:v>
      </x:c>
      <x:c r="L270" s="9" t="n">
        <x:v>2.83</x:v>
      </x:c>
      <x:c r="M270" s="2" t="str">
        <x:v>없음</x:v>
      </x:c>
      <x:c r="N270" s="11" t="n">
        <x:v>35</x:v>
      </x:c>
      <x:c r="O270" s="8" t="str">
        <x:v>일반 사용 빈도 낮은 편(Zipf ≤ 3.0); 검증된 예문 없음; JMdict 우선 어휘 표지 없음; 기존 데이터의 한국어 콘텐츠 보강 필요 태그</x:v>
      </x:c>
      <x:c r="P270" s="8" t="str">
        <x:v>frequency_le_3_0,no_example,no_jmdict_priority,weak_legacy_content</x:v>
      </x:c>
      <x:c r="Q270" s="2" t="str"/>
      <x:c r="R270" s="2" t="str"/>
      <x:c r="S270" s="2" t="str"/>
      <x:c r="T270" s="2" t="str"/>
      <x:c r="U270" s="2" t="str"/>
      <x:c r="V270" s="2" t="str">
        <x:v>아니오</x:v>
      </x:c>
      <x:c r="W270" s="2" t="str">
        <x:v>예</x:v>
      </x:c>
      <x:c r="X270" s="2" t="str"/>
      <x:c r="Y270" s="2" t="n">
        <x:v>0</x:v>
      </x:c>
      <x:c r="Z270" s="2" t="str"/>
      <x:c r="AA270" s="2" t="n">
        <x:v>0</x:v>
      </x:c>
      <x:c r="AB270" s="8" t="str">
        <x:v>familiar language | honorific or respectful (sonkeigo) language | word usually written using kana alone | 伯母さん is older than one's parent and 叔母さん is younger</x:v>
      </x:c>
      <x:c r="AC270" s="8" t="str"/>
      <x:c r="AD270" s="8" t="str">
        <x:v>["draft-ko-missing"]</x:v>
      </x:c>
      <x:c r="AE270" s="8" t="str">
        <x:v>검토 필요</x:v>
      </x:c>
      <x:c r="AF270" s="8" t="str"/>
    </x:row>
    <x:row r="271">
      <x:c r="A271" s="10" t="n">
        <x:v>270</x:v>
      </x:c>
      <x:c r="B271" s="2" t="str">
        <x:v>2차 보류</x:v>
      </x:c>
      <x:c r="C271" s="2" t="str">
        <x:v>2차 보류</x:v>
      </x:c>
      <x:c r="D271" s="2" t="str">
        <x:v>낮음</x:v>
      </x:c>
      <x:c r="E271" s="2" t="str">
        <x:v>N1</x:v>
      </x:c>
      <x:c r="F271" s="10" t="n">
        <x:v>105</x:v>
      </x:c>
      <x:c r="G271" s="2" t="str">
        <x:v>w_7555d08859aa3cb6</x:v>
      </x:c>
      <x:c r="H271" s="2" t="str">
        <x:v>擦る</x:v>
      </x:c>
      <x:c r="I271" s="2" t="str">
        <x:v>かする</x:v>
      </x:c>
      <x:c r="J271" s="8" t="str">
        <x:v>문지르다, 쓸리다</x:v>
      </x:c>
      <x:c r="K271" s="2" t="str">
        <x:v>verb</x:v>
      </x:c>
      <x:c r="L271" s="9" t="n">
        <x:v>2.84</x:v>
      </x:c>
      <x:c r="M271" s="2" t="str">
        <x:v>없음</x:v>
      </x:c>
      <x:c r="N271" s="11" t="n">
        <x:v>35</x:v>
      </x:c>
      <x:c r="O271" s="8" t="str">
        <x:v>일반 사용 빈도 낮은 편(Zipf ≤ 3.0); 검증된 예문 없음; JMdict 우선 어휘 표지 없음; 기존 데이터의 한국어 콘텐츠 보강 필요 태그</x:v>
      </x:c>
      <x:c r="P271" s="8" t="str">
        <x:v>frequency_le_3_0,no_example,no_jmdict_priority,weak_legacy_content</x:v>
      </x:c>
      <x:c r="Q271" s="2" t="str"/>
      <x:c r="R271" s="2" t="str"/>
      <x:c r="S271" s="2" t="str"/>
      <x:c r="T271" s="2" t="str"/>
      <x:c r="U271" s="2" t="str"/>
      <x:c r="V271" s="2" t="str">
        <x:v>아니오</x:v>
      </x:c>
      <x:c r="W271" s="2" t="str">
        <x:v>예</x:v>
      </x:c>
      <x:c r="X271" s="2" t="str"/>
      <x:c r="Y271" s="2" t="n">
        <x:v>0</x:v>
      </x:c>
      <x:c r="Z271" s="2" t="str"/>
      <x:c r="AA271" s="2" t="n">
        <x:v>0</x:v>
      </x:c>
      <x:c r="AB271" s="8" t="str">
        <x:v>word usually written using kana alone</x:v>
      </x:c>
      <x:c r="AC271" s="8" t="str"/>
      <x:c r="AD271" s="8" t="str">
        <x:v>["draft-ko-missing"]</x:v>
      </x:c>
      <x:c r="AE271" s="8" t="str">
        <x:v>검토 필요</x:v>
      </x:c>
      <x:c r="AF271" s="8" t="str"/>
    </x:row>
    <x:row r="272">
      <x:c r="A272" s="10" t="n">
        <x:v>271</x:v>
      </x:c>
      <x:c r="B272" s="2" t="str">
        <x:v>2차 보류</x:v>
      </x:c>
      <x:c r="C272" s="2" t="str">
        <x:v>2차 보류</x:v>
      </x:c>
      <x:c r="D272" s="2" t="str">
        <x:v>낮음</x:v>
      </x:c>
      <x:c r="E272" s="2" t="str">
        <x:v>N5</x:v>
      </x:c>
      <x:c r="F272" s="10" t="n">
        <x:v>5</x:v>
      </x:c>
      <x:c r="G272" s="2" t="str">
        <x:v>w_9e941e422d0eaa6d</x:v>
      </x:c>
      <x:c r="H272" s="2" t="str">
        <x:v>キログラム</x:v>
      </x:c>
      <x:c r="I272" s="2" t="str">
        <x:v>キログラム</x:v>
      </x:c>
      <x:c r="J272" s="8" t="str">
        <x:v>킬로(약어, 킬로그램)</x:v>
      </x:c>
      <x:c r="K272" s="2" t="str">
        <x:v>noun</x:v>
      </x:c>
      <x:c r="L272" s="9" t="n">
        <x:v>2.85</x:v>
      </x:c>
      <x:c r="M272" s="2" t="str">
        <x:v>없음</x:v>
      </x:c>
      <x:c r="N272" s="11" t="n">
        <x:v>35</x:v>
      </x:c>
      <x:c r="O272" s="8" t="str">
        <x:v>일반 사용 빈도 낮은 편(Zipf ≤ 3.0); 검증된 예문 없음; JMdict 우선 어휘 표지 없음; 기존 데이터의 한국어 콘텐츠 보강 필요 태그</x:v>
      </x:c>
      <x:c r="P272" s="8" t="str">
        <x:v>frequency_le_3_0,no_example,no_jmdict_priority,weak_legacy_content</x:v>
      </x:c>
      <x:c r="Q272" s="2" t="str"/>
      <x:c r="R272" s="2" t="str"/>
      <x:c r="S272" s="2" t="str"/>
      <x:c r="T272" s="2" t="str"/>
      <x:c r="U272" s="2" t="str"/>
      <x:c r="V272" s="2" t="str">
        <x:v>아니오</x:v>
      </x:c>
      <x:c r="W272" s="2" t="str">
        <x:v>아니오</x:v>
      </x:c>
      <x:c r="X272" s="2" t="str"/>
      <x:c r="Y272" s="2" t="n">
        <x:v>0</x:v>
      </x:c>
      <x:c r="Z272" s="2" t="str"/>
      <x:c r="AA272" s="2" t="n">
        <x:v>0</x:v>
      </x:c>
      <x:c r="AB272" s="8" t="str"/>
      <x:c r="AC272" s="8" t="str"/>
      <x:c r="AD272" s="8" t="str">
        <x:v>["draft-ko-missing"]</x:v>
      </x:c>
      <x:c r="AE272" s="8" t="str">
        <x:v>검토 필요</x:v>
      </x:c>
      <x:c r="AF272" s="8" t="str"/>
    </x:row>
    <x:row r="273">
      <x:c r="A273" s="10" t="n">
        <x:v>272</x:v>
      </x:c>
      <x:c r="B273" s="2" t="str">
        <x:v>2차 보류</x:v>
      </x:c>
      <x:c r="C273" s="2" t="str">
        <x:v>2차 보류</x:v>
      </x:c>
      <x:c r="D273" s="2" t="str">
        <x:v>낮음</x:v>
      </x:c>
      <x:c r="E273" s="2" t="str">
        <x:v>N3</x:v>
      </x:c>
      <x:c r="F273" s="10" t="n">
        <x:v>35</x:v>
      </x:c>
      <x:c r="G273" s="2" t="str">
        <x:v>w_3170db651484c889</x:v>
      </x:c>
      <x:c r="H273" s="2" t="str">
        <x:v>こぼれる</x:v>
      </x:c>
      <x:c r="I273" s="2" t="str">
        <x:v>こぼれる</x:v>
      </x:c>
      <x:c r="J273" s="8" t="str">
        <x:v>넘치다, 흘리다</x:v>
      </x:c>
      <x:c r="K273" s="2" t="str">
        <x:v>verb</x:v>
      </x:c>
      <x:c r="L273" s="9" t="n">
        <x:v>2.85</x:v>
      </x:c>
      <x:c r="M273" s="2" t="str">
        <x:v>없음</x:v>
      </x:c>
      <x:c r="N273" s="11" t="n">
        <x:v>35</x:v>
      </x:c>
      <x:c r="O273" s="8" t="str">
        <x:v>일반 사용 빈도 낮은 편(Zipf ≤ 3.0); 검증된 예문 없음; JMdict 우선 어휘 표지 없음; 기존 데이터의 한국어 콘텐츠 보강 필요 태그</x:v>
      </x:c>
      <x:c r="P273" s="8" t="str">
        <x:v>frequency_le_3_0,no_example,no_jmdict_priority,weak_legacy_content</x:v>
      </x:c>
      <x:c r="Q273" s="2" t="str"/>
      <x:c r="R273" s="2" t="str"/>
      <x:c r="S273" s="2" t="str"/>
      <x:c r="T273" s="2" t="str"/>
      <x:c r="U273" s="2" t="str"/>
      <x:c r="V273" s="2" t="str">
        <x:v>아니오</x:v>
      </x:c>
      <x:c r="W273" s="2" t="str">
        <x:v>아니오</x:v>
      </x:c>
      <x:c r="X273" s="2" t="str"/>
      <x:c r="Y273" s="2" t="n">
        <x:v>0</x:v>
      </x:c>
      <x:c r="Z273" s="2" t="str"/>
      <x:c r="AA273" s="2" t="n">
        <x:v>0</x:v>
      </x:c>
      <x:c r="AB273" s="8" t="str"/>
      <x:c r="AC273" s="8" t="str"/>
      <x:c r="AD273" s="8" t="str">
        <x:v>["draft-ko-missing"]</x:v>
      </x:c>
      <x:c r="AE273" s="8" t="str">
        <x:v>검토 필요</x:v>
      </x:c>
      <x:c r="AF273" s="8" t="str"/>
    </x:row>
    <x:row r="274">
      <x:c r="A274" s="10" t="n">
        <x:v>273</x:v>
      </x:c>
      <x:c r="B274" s="2" t="str">
        <x:v>2차 보류</x:v>
      </x:c>
      <x:c r="C274" s="2" t="str">
        <x:v>2차 보류</x:v>
      </x:c>
      <x:c r="D274" s="2" t="str">
        <x:v>낮음</x:v>
      </x:c>
      <x:c r="E274" s="2" t="str">
        <x:v>N2</x:v>
      </x:c>
      <x:c r="F274" s="10" t="n">
        <x:v>102</x:v>
      </x:c>
      <x:c r="G274" s="2" t="str">
        <x:v>w_67b28b63ac4251b5</x:v>
      </x:c>
      <x:c r="H274" s="2" t="str">
        <x:v>かじる</x:v>
      </x:c>
      <x:c r="I274" s="2" t="str">
        <x:v>かじる</x:v>
      </x:c>
      <x:c r="J274" s="8" t="str">
        <x:v>씹다, 물다(에서)</x:v>
      </x:c>
      <x:c r="K274" s="2" t="str">
        <x:v>verb</x:v>
      </x:c>
      <x:c r="L274" s="9" t="n">
        <x:v>2.85</x:v>
      </x:c>
      <x:c r="M274" s="2" t="str">
        <x:v>없음</x:v>
      </x:c>
      <x:c r="N274" s="11" t="n">
        <x:v>35</x:v>
      </x:c>
      <x:c r="O274" s="8" t="str">
        <x:v>일반 사용 빈도 낮은 편(Zipf ≤ 3.0); 검증된 예문 없음; JMdict 우선 어휘 표지 없음; 기존 데이터의 한국어 콘텐츠 보강 필요 태그</x:v>
      </x:c>
      <x:c r="P274" s="8" t="str">
        <x:v>frequency_le_3_0,no_example,no_jmdict_priority,weak_legacy_content</x:v>
      </x:c>
      <x:c r="Q274" s="2" t="str"/>
      <x:c r="R274" s="2" t="str"/>
      <x:c r="S274" s="2" t="str"/>
      <x:c r="T274" s="2" t="str"/>
      <x:c r="U274" s="2" t="str"/>
      <x:c r="V274" s="2" t="str">
        <x:v>아니오</x:v>
      </x:c>
      <x:c r="W274" s="2" t="str">
        <x:v>아니오</x:v>
      </x:c>
      <x:c r="X274" s="2" t="str"/>
      <x:c r="Y274" s="2" t="n">
        <x:v>0</x:v>
      </x:c>
      <x:c r="Z274" s="2" t="str"/>
      <x:c r="AA274" s="2" t="n">
        <x:v>0</x:v>
      </x:c>
      <x:c r="AB274" s="8" t="str"/>
      <x:c r="AC274" s="8" t="str"/>
      <x:c r="AD274" s="8" t="str">
        <x:v>["draft-ko-missing"]</x:v>
      </x:c>
      <x:c r="AE274" s="8" t="str">
        <x:v>검토 필요</x:v>
      </x:c>
      <x:c r="AF274" s="8" t="str"/>
    </x:row>
    <x:row r="275">
      <x:c r="A275" s="10" t="n">
        <x:v>274</x:v>
      </x:c>
      <x:c r="B275" s="2" t="str">
        <x:v>2차 보류</x:v>
      </x:c>
      <x:c r="C275" s="2" t="str">
        <x:v>2차 보류</x:v>
      </x:c>
      <x:c r="D275" s="2" t="str">
        <x:v>낮음</x:v>
      </x:c>
      <x:c r="E275" s="2" t="str">
        <x:v>N1</x:v>
      </x:c>
      <x:c r="F275" s="10" t="n">
        <x:v>106</x:v>
      </x:c>
      <x:c r="G275" s="2" t="str">
        <x:v>w_f5eb2732357074b8</x:v>
      </x:c>
      <x:c r="H275" s="2" t="str">
        <x:v>くぐる</x:v>
      </x:c>
      <x:c r="I275" s="2" t="str">
        <x:v>くぐる</x:v>
      </x:c>
      <x:c r="J275" s="8" t="str">
        <x:v>빠져나가다, (밑을) 지나다</x:v>
      </x:c>
      <x:c r="K275" s="2" t="str">
        <x:v>verb</x:v>
      </x:c>
      <x:c r="L275" s="9" t="n">
        <x:v>2.85</x:v>
      </x:c>
      <x:c r="M275" s="2" t="str">
        <x:v>없음</x:v>
      </x:c>
      <x:c r="N275" s="11" t="n">
        <x:v>35</x:v>
      </x:c>
      <x:c r="O275" s="8" t="str">
        <x:v>일반 사용 빈도 낮은 편(Zipf ≤ 3.0); 검증된 예문 없음; JMdict 우선 어휘 표지 없음; 기존 데이터의 한국어 콘텐츠 보강 필요 태그</x:v>
      </x:c>
      <x:c r="P275" s="8" t="str">
        <x:v>frequency_le_3_0,no_example,no_jmdict_priority,weak_legacy_content</x:v>
      </x:c>
      <x:c r="Q275" s="2" t="str"/>
      <x:c r="R275" s="2" t="str"/>
      <x:c r="S275" s="2" t="str"/>
      <x:c r="T275" s="2" t="str"/>
      <x:c r="U275" s="2" t="str"/>
      <x:c r="V275" s="2" t="str">
        <x:v>아니오</x:v>
      </x:c>
      <x:c r="W275" s="2" t="str">
        <x:v>아니오</x:v>
      </x:c>
      <x:c r="X275" s="2" t="str"/>
      <x:c r="Y275" s="2" t="n">
        <x:v>0</x:v>
      </x:c>
      <x:c r="Z275" s="2" t="str"/>
      <x:c r="AA275" s="2" t="n">
        <x:v>0</x:v>
      </x:c>
      <x:c r="AB275" s="8" t="str"/>
      <x:c r="AC275" s="8" t="str"/>
      <x:c r="AD275" s="8" t="str">
        <x:v>["draft-ko-missing"]</x:v>
      </x:c>
      <x:c r="AE275" s="8" t="str">
        <x:v>검토 필요</x:v>
      </x:c>
      <x:c r="AF275" s="8" t="str"/>
    </x:row>
    <x:row r="276">
      <x:c r="A276" s="10" t="n">
        <x:v>275</x:v>
      </x:c>
      <x:c r="B276" s="2" t="str">
        <x:v>2차 보류</x:v>
      </x:c>
      <x:c r="C276" s="2" t="str">
        <x:v>2차 보류</x:v>
      </x:c>
      <x:c r="D276" s="2" t="str">
        <x:v>낮음</x:v>
      </x:c>
      <x:c r="E276" s="2" t="str">
        <x:v>N1</x:v>
      </x:c>
      <x:c r="F276" s="10" t="n">
        <x:v>107</x:v>
      </x:c>
      <x:c r="G276" s="2" t="str">
        <x:v>w_dcf8adb8149357af</x:v>
      </x:c>
      <x:c r="H276" s="2" t="str">
        <x:v>もてなす</x:v>
      </x:c>
      <x:c r="I276" s="2" t="str">
        <x:v>もてなす</x:v>
      </x:c>
      <x:c r="J276" s="8" t="str">
        <x:v>만들다 환영</x:v>
      </x:c>
      <x:c r="K276" s="2" t="str">
        <x:v>verb</x:v>
      </x:c>
      <x:c r="L276" s="9" t="n">
        <x:v>2.86</x:v>
      </x:c>
      <x:c r="M276" s="2" t="str">
        <x:v>없음</x:v>
      </x:c>
      <x:c r="N276" s="11" t="n">
        <x:v>35</x:v>
      </x:c>
      <x:c r="O276" s="8" t="str">
        <x:v>일반 사용 빈도 낮은 편(Zipf ≤ 3.0); 검증된 예문 없음; JMdict 우선 어휘 표지 없음; 기존 데이터의 한국어 콘텐츠 보강 필요 태그</x:v>
      </x:c>
      <x:c r="P276" s="8" t="str">
        <x:v>frequency_le_3_0,no_example,no_jmdict_priority,weak_legacy_content</x:v>
      </x:c>
      <x:c r="Q276" s="2" t="str"/>
      <x:c r="R276" s="2" t="str"/>
      <x:c r="S276" s="2" t="str"/>
      <x:c r="T276" s="2" t="str"/>
      <x:c r="U276" s="2" t="str"/>
      <x:c r="V276" s="2" t="str">
        <x:v>아니오</x:v>
      </x:c>
      <x:c r="W276" s="2" t="str">
        <x:v>아니오</x:v>
      </x:c>
      <x:c r="X276" s="2" t="str"/>
      <x:c r="Y276" s="2" t="n">
        <x:v>0</x:v>
      </x:c>
      <x:c r="Z276" s="2" t="str"/>
      <x:c r="AA276" s="2" t="n">
        <x:v>0</x:v>
      </x:c>
      <x:c r="AB276" s="8" t="str"/>
      <x:c r="AC276" s="8" t="str"/>
      <x:c r="AD276" s="8" t="str">
        <x:v>["draft-ko-missing"]</x:v>
      </x:c>
      <x:c r="AE276" s="8" t="str">
        <x:v>검토 필요</x:v>
      </x:c>
      <x:c r="AF276" s="8" t="str"/>
    </x:row>
    <x:row r="277">
      <x:c r="A277" s="10" t="n">
        <x:v>276</x:v>
      </x:c>
      <x:c r="B277" s="2" t="str">
        <x:v>2차 보류</x:v>
      </x:c>
      <x:c r="C277" s="2" t="str">
        <x:v>2차 보류</x:v>
      </x:c>
      <x:c r="D277" s="2" t="str">
        <x:v>낮음</x:v>
      </x:c>
      <x:c r="E277" s="2" t="str">
        <x:v>N2</x:v>
      </x:c>
      <x:c r="F277" s="10" t="n">
        <x:v>103</x:v>
      </x:c>
      <x:c r="G277" s="2" t="str">
        <x:v>w_a5ad65880b0acc9d</x:v>
      </x:c>
      <x:c r="H277" s="2" t="str">
        <x:v>ばつ</x:v>
      </x:c>
      <x:c r="I277" s="2" t="str">
        <x:v>ばつ</x:v>
      </x:c>
      <x:c r="J277" s="8" t="str">
        <x:v>가위표, 틀림 표시(✗)</x:v>
      </x:c>
      <x:c r="K277" s="2" t="str">
        <x:v>noun</x:v>
      </x:c>
      <x:c r="L277" s="9" t="n">
        <x:v>2.87</x:v>
      </x:c>
      <x:c r="M277" s="2" t="str">
        <x:v>없음</x:v>
      </x:c>
      <x:c r="N277" s="11" t="n">
        <x:v>35</x:v>
      </x:c>
      <x:c r="O277" s="8" t="str">
        <x:v>일반 사용 빈도 낮은 편(Zipf ≤ 3.0); 검증된 예문 없음; JMdict 우선 어휘 표지 없음; 기존 데이터의 한국어 콘텐츠 보강 필요 태그</x:v>
      </x:c>
      <x:c r="P277" s="8" t="str">
        <x:v>frequency_le_3_0,no_example,no_jmdict_priority,weak_legacy_content</x:v>
      </x:c>
      <x:c r="Q277" s="2" t="str"/>
      <x:c r="R277" s="2" t="str"/>
      <x:c r="S277" s="2" t="str"/>
      <x:c r="T277" s="2" t="str"/>
      <x:c r="U277" s="2" t="str"/>
      <x:c r="V277" s="2" t="str">
        <x:v>아니오</x:v>
      </x:c>
      <x:c r="W277" s="2" t="str">
        <x:v>예</x:v>
      </x:c>
      <x:c r="X277" s="2" t="str"/>
      <x:c r="Y277" s="2" t="n">
        <x:v>0</x:v>
      </x:c>
      <x:c r="Z277" s="2" t="str"/>
      <x:c r="AA277" s="2" t="n">
        <x:v>0</x:v>
      </x:c>
      <x:c r="AB277" s="8" t="str"/>
      <x:c r="AC277" s="8" t="str"/>
      <x:c r="AD277" s="8" t="str">
        <x:v>["draft-ko-missing"]</x:v>
      </x:c>
      <x:c r="AE277" s="8" t="str">
        <x:v>검토 필요</x:v>
      </x:c>
      <x:c r="AF277" s="8" t="str"/>
    </x:row>
    <x:row r="278">
      <x:c r="A278" s="10" t="n">
        <x:v>277</x:v>
      </x:c>
      <x:c r="B278" s="2" t="str">
        <x:v>2차 보류</x:v>
      </x:c>
      <x:c r="C278" s="2" t="str">
        <x:v>2차 보류</x:v>
      </x:c>
      <x:c r="D278" s="2" t="str">
        <x:v>낮음</x:v>
      </x:c>
      <x:c r="E278" s="2" t="str">
        <x:v>N2</x:v>
      </x:c>
      <x:c r="F278" s="10" t="n">
        <x:v>104</x:v>
      </x:c>
      <x:c r="G278" s="2" t="str">
        <x:v>w_db53efb60310ae4f</x:v>
      </x:c>
      <x:c r="H278" s="2" t="str">
        <x:v>くどい</x:v>
      </x:c>
      <x:c r="I278" s="2" t="str">
        <x:v>くどい</x:v>
      </x:c>
      <x:c r="J278" s="8" t="str">
        <x:v>장황하다; (맛이) 진하다</x:v>
      </x:c>
      <x:c r="K278" s="2" t="str">
        <x:v>adjective</x:v>
      </x:c>
      <x:c r="L278" s="9" t="n">
        <x:v>2.87</x:v>
      </x:c>
      <x:c r="M278" s="2" t="str">
        <x:v>없음</x:v>
      </x:c>
      <x:c r="N278" s="11" t="n">
        <x:v>35</x:v>
      </x:c>
      <x:c r="O278" s="8" t="str">
        <x:v>일반 사용 빈도 낮은 편(Zipf ≤ 3.0); 검증된 예문 없음; JMdict 우선 어휘 표지 없음; 기존 데이터의 한국어 콘텐츠 보강 필요 태그</x:v>
      </x:c>
      <x:c r="P278" s="8" t="str">
        <x:v>frequency_le_3_0,no_example,no_jmdict_priority,weak_legacy_content</x:v>
      </x:c>
      <x:c r="Q278" s="2" t="str"/>
      <x:c r="R278" s="2" t="str"/>
      <x:c r="S278" s="2" t="str"/>
      <x:c r="T278" s="2" t="str"/>
      <x:c r="U278" s="2" t="str"/>
      <x:c r="V278" s="2" t="str">
        <x:v>아니오</x:v>
      </x:c>
      <x:c r="W278" s="2" t="str">
        <x:v>아니오</x:v>
      </x:c>
      <x:c r="X278" s="2" t="str"/>
      <x:c r="Y278" s="2" t="n">
        <x:v>0</x:v>
      </x:c>
      <x:c r="Z278" s="2" t="str"/>
      <x:c r="AA278" s="2" t="n">
        <x:v>0</x:v>
      </x:c>
      <x:c r="AB278" s="8" t="str"/>
      <x:c r="AC278" s="8" t="str"/>
      <x:c r="AD278" s="8" t="str">
        <x:v>["draft-ko-missing"]</x:v>
      </x:c>
      <x:c r="AE278" s="8" t="str">
        <x:v>검토 필요</x:v>
      </x:c>
      <x:c r="AF278" s="8" t="str"/>
    </x:row>
    <x:row r="279">
      <x:c r="A279" s="10" t="n">
        <x:v>278</x:v>
      </x:c>
      <x:c r="B279" s="2" t="str">
        <x:v>2차 보류</x:v>
      </x:c>
      <x:c r="C279" s="2" t="str">
        <x:v>2차 보류</x:v>
      </x:c>
      <x:c r="D279" s="2" t="str">
        <x:v>낮음</x:v>
      </x:c>
      <x:c r="E279" s="2" t="str">
        <x:v>N1</x:v>
      </x:c>
      <x:c r="F279" s="10" t="n">
        <x:v>108</x:v>
      </x:c>
      <x:c r="G279" s="2" t="str">
        <x:v>w_a4442edf133878ec</x:v>
      </x:c>
      <x:c r="H279" s="2" t="str">
        <x:v>生真面目</x:v>
      </x:c>
      <x:c r="I279" s="2" t="str">
        <x:v>きまじめ</x:v>
      </x:c>
      <x:c r="J279" s="8" t="str">
        <x:v>고지식함, 외곬</x:v>
      </x:c>
      <x:c r="K279" s="2" t="str">
        <x:v>adjective</x:v>
      </x:c>
      <x:c r="L279" s="9" t="n">
        <x:v>2.88</x:v>
      </x:c>
      <x:c r="M279" s="2" t="str">
        <x:v>없음</x:v>
      </x:c>
      <x:c r="N279" s="11" t="n">
        <x:v>35</x:v>
      </x:c>
      <x:c r="O279" s="8" t="str">
        <x:v>일반 사용 빈도 낮은 편(Zipf ≤ 3.0); 검증된 예문 없음; JMdict 우선 어휘 표지 없음; 기존 데이터의 한국어 콘텐츠 보강 필요 태그</x:v>
      </x:c>
      <x:c r="P279" s="8" t="str">
        <x:v>frequency_le_3_0,no_example,no_jmdict_priority,weak_legacy_content</x:v>
      </x:c>
      <x:c r="Q279" s="2" t="str"/>
      <x:c r="R279" s="2" t="str"/>
      <x:c r="S279" s="2" t="str"/>
      <x:c r="T279" s="2" t="str"/>
      <x:c r="U279" s="2" t="str"/>
      <x:c r="V279" s="2" t="str">
        <x:v>아니오</x:v>
      </x:c>
      <x:c r="W279" s="2" t="str">
        <x:v>예</x:v>
      </x:c>
      <x:c r="X279" s="2" t="str"/>
      <x:c r="Y279" s="2" t="n">
        <x:v>0</x:v>
      </x:c>
      <x:c r="Z279" s="2" t="str"/>
      <x:c r="AA279" s="2" t="n">
        <x:v>0</x:v>
      </x:c>
      <x:c r="AB279" s="8" t="str"/>
      <x:c r="AC279" s="8" t="str"/>
      <x:c r="AD279" s="8" t="str">
        <x:v>["draft-ko-missing"]</x:v>
      </x:c>
      <x:c r="AE279" s="8" t="str">
        <x:v>검토 필요</x:v>
      </x:c>
      <x:c r="AF279" s="8" t="str"/>
    </x:row>
    <x:row r="280">
      <x:c r="A280" s="10" t="n">
        <x:v>279</x:v>
      </x:c>
      <x:c r="B280" s="2" t="str">
        <x:v>2차 보류</x:v>
      </x:c>
      <x:c r="C280" s="2" t="str">
        <x:v>2차 보류</x:v>
      </x:c>
      <x:c r="D280" s="2" t="str">
        <x:v>낮음</x:v>
      </x:c>
      <x:c r="E280" s="2" t="str">
        <x:v>N1</x:v>
      </x:c>
      <x:c r="F280" s="10" t="n">
        <x:v>109</x:v>
      </x:c>
      <x:c r="G280" s="2" t="str">
        <x:v>w_36b21a5dbe8c5ca1</x:v>
      </x:c>
      <x:c r="H280" s="2" t="str">
        <x:v>放り込む</x:v>
      </x:c>
      <x:c r="I280" s="2" t="str">
        <x:v>ほうりこむ</x:v>
      </x:c>
      <x:c r="J280" s="8" t="str">
        <x:v>던지다 안으로</x:v>
      </x:c>
      <x:c r="K280" s="2" t="str">
        <x:v>verb</x:v>
      </x:c>
      <x:c r="L280" s="9" t="n">
        <x:v>2.89</x:v>
      </x:c>
      <x:c r="M280" s="2" t="str">
        <x:v>없음</x:v>
      </x:c>
      <x:c r="N280" s="11" t="n">
        <x:v>35</x:v>
      </x:c>
      <x:c r="O280" s="8" t="str">
        <x:v>일반 사용 빈도 낮은 편(Zipf ≤ 3.0); 검증된 예문 없음; JMdict 우선 어휘 표지 없음; 기존 데이터의 한국어 콘텐츠 보강 필요 태그</x:v>
      </x:c>
      <x:c r="P280" s="8" t="str">
        <x:v>frequency_le_3_0,no_example,no_jmdict_priority,weak_legacy_content</x:v>
      </x:c>
      <x:c r="Q280" s="2" t="str"/>
      <x:c r="R280" s="2" t="str"/>
      <x:c r="S280" s="2" t="str"/>
      <x:c r="T280" s="2" t="str"/>
      <x:c r="U280" s="2" t="str"/>
      <x:c r="V280" s="2" t="str">
        <x:v>아니오</x:v>
      </x:c>
      <x:c r="W280" s="2" t="str">
        <x:v>예</x:v>
      </x:c>
      <x:c r="X280" s="2" t="str"/>
      <x:c r="Y280" s="2" t="n">
        <x:v>0</x:v>
      </x:c>
      <x:c r="Z280" s="2" t="str"/>
      <x:c r="AA280" s="2" t="n">
        <x:v>0</x:v>
      </x:c>
      <x:c r="AB280" s="8" t="str">
        <x:v>usu. ホウリコむ | word usually written using kana alone</x:v>
      </x:c>
      <x:c r="AC280" s="8" t="str"/>
      <x:c r="AD280" s="8" t="str">
        <x:v>["draft-ko-missing"]</x:v>
      </x:c>
      <x:c r="AE280" s="8" t="str">
        <x:v>검토 필요</x:v>
      </x:c>
      <x:c r="AF280" s="8" t="str"/>
    </x:row>
    <x:row r="281">
      <x:c r="A281" s="10" t="n">
        <x:v>280</x:v>
      </x:c>
      <x:c r="B281" s="2" t="str">
        <x:v>2차 보류</x:v>
      </x:c>
      <x:c r="C281" s="2" t="str">
        <x:v>2차 보류</x:v>
      </x:c>
      <x:c r="D281" s="2" t="str">
        <x:v>낮음</x:v>
      </x:c>
      <x:c r="E281" s="2" t="str">
        <x:v>N2</x:v>
      </x:c>
      <x:c r="F281" s="10" t="n">
        <x:v>105</x:v>
      </x:c>
      <x:c r="G281" s="2" t="str">
        <x:v>w_d9d2afb2697839ee</x:v>
      </x:c>
      <x:c r="H281" s="2" t="str">
        <x:v>しゃぶる</x:v>
      </x:c>
      <x:c r="I281" s="2" t="str">
        <x:v>しゃぶる</x:v>
      </x:c>
      <x:c r="J281" s="8" t="str">
        <x:v>빨다</x:v>
      </x:c>
      <x:c r="K281" s="2" t="str">
        <x:v>verb</x:v>
      </x:c>
      <x:c r="L281" s="9" t="n">
        <x:v>2.91</x:v>
      </x:c>
      <x:c r="M281" s="2" t="str">
        <x:v>없음</x:v>
      </x:c>
      <x:c r="N281" s="11" t="n">
        <x:v>35</x:v>
      </x:c>
      <x:c r="O281" s="8" t="str">
        <x:v>일반 사용 빈도 낮은 편(Zipf ≤ 3.0); 검증된 예문 없음; JMdict 우선 어휘 표지 없음; 기존 데이터의 한국어 콘텐츠 보강 필요 태그</x:v>
      </x:c>
      <x:c r="P281" s="8" t="str">
        <x:v>frequency_le_3_0,no_example,no_jmdict_priority,weak_legacy_content</x:v>
      </x:c>
      <x:c r="Q281" s="2" t="str"/>
      <x:c r="R281" s="2" t="str"/>
      <x:c r="S281" s="2" t="str"/>
      <x:c r="T281" s="2" t="str"/>
      <x:c r="U281" s="2" t="str"/>
      <x:c r="V281" s="2" t="str">
        <x:v>아니오</x:v>
      </x:c>
      <x:c r="W281" s="2" t="str">
        <x:v>예</x:v>
      </x:c>
      <x:c r="X281" s="2" t="str"/>
      <x:c r="Y281" s="2" t="n">
        <x:v>0</x:v>
      </x:c>
      <x:c r="Z281" s="2" t="str"/>
      <x:c r="AA281" s="2" t="n">
        <x:v>0</x:v>
      </x:c>
      <x:c r="AB281" s="8" t="str"/>
      <x:c r="AC281" s="8" t="str"/>
      <x:c r="AD281" s="8" t="str">
        <x:v>["draft-ko-missing"]</x:v>
      </x:c>
      <x:c r="AE281" s="8" t="str">
        <x:v>검토 필요</x:v>
      </x:c>
      <x:c r="AF281" s="8" t="str"/>
    </x:row>
    <x:row r="282">
      <x:c r="A282" s="10" t="n">
        <x:v>281</x:v>
      </x:c>
      <x:c r="B282" s="2" t="str">
        <x:v>2차 보류</x:v>
      </x:c>
      <x:c r="C282" s="2" t="str">
        <x:v>2차 보류</x:v>
      </x:c>
      <x:c r="D282" s="2" t="str">
        <x:v>낮음</x:v>
      </x:c>
      <x:c r="E282" s="2" t="str">
        <x:v>N2</x:v>
      </x:c>
      <x:c r="F282" s="10" t="n">
        <x:v>106</x:v>
      </x:c>
      <x:c r="G282" s="2" t="str">
        <x:v>w_ffa149f764e4030f</x:v>
      </x:c>
      <x:c r="H282" s="2" t="str">
        <x:v>はめる</x:v>
      </x:c>
      <x:c r="I282" s="2" t="str">
        <x:v>はめる</x:v>
      </x:c>
      <x:c r="J282" s="8" t="str">
        <x:v>들어가다(구어), 삽입하다, 입다, 착용하다</x:v>
      </x:c>
      <x:c r="K282" s="2" t="str">
        <x:v>verb</x:v>
      </x:c>
      <x:c r="L282" s="9" t="n">
        <x:v>2.91</x:v>
      </x:c>
      <x:c r="M282" s="2" t="str">
        <x:v>없음</x:v>
      </x:c>
      <x:c r="N282" s="11" t="n">
        <x:v>35</x:v>
      </x:c>
      <x:c r="O282" s="8" t="str">
        <x:v>일반 사용 빈도 낮은 편(Zipf ≤ 3.0); 검증된 예문 없음; JMdict 우선 어휘 표지 없음; 기존 데이터의 한국어 콘텐츠 보강 필요 태그</x:v>
      </x:c>
      <x:c r="P282" s="8" t="str">
        <x:v>frequency_le_3_0,no_example,no_jmdict_priority,weak_legacy_content</x:v>
      </x:c>
      <x:c r="Q282" s="2" t="str"/>
      <x:c r="R282" s="2" t="str"/>
      <x:c r="S282" s="2" t="str"/>
      <x:c r="T282" s="2" t="str"/>
      <x:c r="U282" s="2" t="str"/>
      <x:c r="V282" s="2" t="str">
        <x:v>아니오</x:v>
      </x:c>
      <x:c r="W282" s="2" t="str">
        <x:v>아니오</x:v>
      </x:c>
      <x:c r="X282" s="2" t="str"/>
      <x:c r="Y282" s="2" t="n">
        <x:v>0</x:v>
      </x:c>
      <x:c r="Z282" s="2" t="str"/>
      <x:c r="AA282" s="2" t="n">
        <x:v>0</x:v>
      </x:c>
      <x:c r="AB282" s="8" t="str"/>
      <x:c r="AC282" s="8" t="str"/>
      <x:c r="AD282" s="8" t="str">
        <x:v>["draft-ko-missing"]</x:v>
      </x:c>
      <x:c r="AE282" s="8" t="str">
        <x:v>검토 필요</x:v>
      </x:c>
      <x:c r="AF282" s="8" t="str"/>
    </x:row>
    <x:row r="283">
      <x:c r="A283" s="10" t="n">
        <x:v>282</x:v>
      </x:c>
      <x:c r="B283" s="2" t="str">
        <x:v>2차 보류</x:v>
      </x:c>
      <x:c r="C283" s="2" t="str">
        <x:v>2차 보류</x:v>
      </x:c>
      <x:c r="D283" s="2" t="str">
        <x:v>낮음</x:v>
      </x:c>
      <x:c r="E283" s="2" t="str">
        <x:v>N2</x:v>
      </x:c>
      <x:c r="F283" s="10" t="n">
        <x:v>107</x:v>
      </x:c>
      <x:c r="G283" s="2" t="str">
        <x:v>w_4143623f19c6c08f</x:v>
      </x:c>
      <x:c r="H283" s="2" t="str">
        <x:v>あらわす</x:v>
      </x:c>
      <x:c r="I283" s="2" t="str">
        <x:v>あらわす</x:v>
      </x:c>
      <x:c r="J283" s="8" t="str">
        <x:v>(책을) 쓰다, 저술하다</x:v>
      </x:c>
      <x:c r="K283" s="2" t="str">
        <x:v>verb</x:v>
      </x:c>
      <x:c r="L283" s="9" t="n">
        <x:v>2.94</x:v>
      </x:c>
      <x:c r="M283" s="2" t="str">
        <x:v>없음</x:v>
      </x:c>
      <x:c r="N283" s="11" t="n">
        <x:v>35</x:v>
      </x:c>
      <x:c r="O283" s="8" t="str">
        <x:v>일반 사용 빈도 낮은 편(Zipf ≤ 3.0); 검증된 예문 없음; JMdict 우선 어휘 표지 없음; 기존 데이터의 한국어 콘텐츠 보강 필요 태그</x:v>
      </x:c>
      <x:c r="P283" s="8" t="str">
        <x:v>frequency_le_3_0,no_example,no_jmdict_priority,weak_legacy_content</x:v>
      </x:c>
      <x:c r="Q283" s="2" t="str"/>
      <x:c r="R283" s="2" t="str"/>
      <x:c r="S283" s="2" t="str"/>
      <x:c r="T283" s="2" t="str"/>
      <x:c r="U283" s="2" t="str"/>
      <x:c r="V283" s="2" t="str">
        <x:v>아니오</x:v>
      </x:c>
      <x:c r="W283" s="2" t="str">
        <x:v>아니오</x:v>
      </x:c>
      <x:c r="X283" s="2" t="str"/>
      <x:c r="Y283" s="2" t="n">
        <x:v>0</x:v>
      </x:c>
      <x:c r="Z283" s="2" t="str"/>
      <x:c r="AA283" s="2" t="n">
        <x:v>0</x:v>
      </x:c>
      <x:c r="AB283" s="8" t="str"/>
      <x:c r="AC283" s="8" t="str"/>
      <x:c r="AD283" s="8" t="str">
        <x:v>["draft-ko-missing"]</x:v>
      </x:c>
      <x:c r="AE283" s="8" t="str">
        <x:v>검토 필요</x:v>
      </x:c>
      <x:c r="AF283" s="8" t="str"/>
    </x:row>
    <x:row r="284">
      <x:c r="A284" s="10" t="n">
        <x:v>283</x:v>
      </x:c>
      <x:c r="B284" s="2" t="str">
        <x:v>2차 보류</x:v>
      </x:c>
      <x:c r="C284" s="2" t="str">
        <x:v>2차 보류</x:v>
      </x:c>
      <x:c r="D284" s="2" t="str">
        <x:v>낮음</x:v>
      </x:c>
      <x:c r="E284" s="2" t="str">
        <x:v>N2</x:v>
      </x:c>
      <x:c r="F284" s="10" t="n">
        <x:v>108</x:v>
      </x:c>
      <x:c r="G284" s="2" t="str">
        <x:v>w_3f7be39781ba3513</x:v>
      </x:c>
      <x:c r="H284" s="2" t="str">
        <x:v>通ずる</x:v>
      </x:c>
      <x:c r="I284" s="2" t="str">
        <x:v>つうずる</x:v>
      </x:c>
      <x:c r="J284" s="8" t="str">
        <x:v>통하다, 이어지다</x:v>
      </x:c>
      <x:c r="K284" s="2" t="str">
        <x:v>verb</x:v>
      </x:c>
      <x:c r="L284" s="9" t="n">
        <x:v>3</x:v>
      </x:c>
      <x:c r="M284" s="2" t="str">
        <x:v>없음</x:v>
      </x:c>
      <x:c r="N284" s="11" t="n">
        <x:v>35</x:v>
      </x:c>
      <x:c r="O284" s="8" t="str">
        <x:v>일반 사용 빈도 낮은 편(Zipf ≤ 3.0); 검증된 예문 없음; JMdict 우선 어휘 표지 없음; 기존 데이터의 한국어 콘텐츠 보강 필요 태그</x:v>
      </x:c>
      <x:c r="P284" s="8" t="str">
        <x:v>frequency_le_3_0,no_example,no_jmdict_priority,weak_legacy_content</x:v>
      </x:c>
      <x:c r="Q284" s="2" t="str"/>
      <x:c r="R284" s="2" t="str"/>
      <x:c r="S284" s="2" t="str"/>
      <x:c r="T284" s="2" t="str"/>
      <x:c r="U284" s="2" t="str"/>
      <x:c r="V284" s="2" t="str">
        <x:v>아니오</x:v>
      </x:c>
      <x:c r="W284" s="2" t="str">
        <x:v>예</x:v>
      </x:c>
      <x:c r="X284" s="2" t="str"/>
      <x:c r="Y284" s="2" t="n">
        <x:v>0</x:v>
      </x:c>
      <x:c r="Z284" s="2" t="str"/>
      <x:c r="AA284" s="2" t="n">
        <x:v>0</x:v>
      </x:c>
      <x:c r="AB284" s="8" t="str"/>
      <x:c r="AC284" s="8" t="str"/>
      <x:c r="AD284" s="8" t="str">
        <x:v>["draft-ko-missing"]</x:v>
      </x:c>
      <x:c r="AE284" s="8" t="str">
        <x:v>검토 필요</x:v>
      </x:c>
      <x:c r="AF284" s="8" t="str"/>
    </x:row>
    <x:row r="285">
      <x:c r="A285" s="10" t="n">
        <x:v>284</x:v>
      </x:c>
      <x:c r="B285" s="2" t="str">
        <x:v>2차 보류</x:v>
      </x:c>
      <x:c r="C285" s="2" t="str">
        <x:v>2차 보류</x:v>
      </x:c>
      <x:c r="D285" s="2" t="str">
        <x:v>낮음</x:v>
      </x:c>
      <x:c r="E285" s="2" t="str">
        <x:v>N1</x:v>
      </x:c>
      <x:c r="F285" s="10" t="n">
        <x:v>110</x:v>
      </x:c>
      <x:c r="G285" s="2" t="str">
        <x:v>w_4dad2a91fc9be651</x:v>
      </x:c>
      <x:c r="H285" s="2" t="str">
        <x:v>まるっきり</x:v>
      </x:c>
      <x:c r="I285" s="2" t="str">
        <x:v>まるっきり</x:v>
      </x:c>
      <x:c r="J285" s="8" t="str">
        <x:v>완전히, 그저, 바로 로서 만약</x:v>
      </x:c>
      <x:c r="K285" s="2" t="str">
        <x:v>adverb</x:v>
      </x:c>
      <x:c r="L285" s="9" t="n">
        <x:v>3</x:v>
      </x:c>
      <x:c r="M285" s="2" t="str">
        <x:v>없음</x:v>
      </x:c>
      <x:c r="N285" s="11" t="n">
        <x:v>35</x:v>
      </x:c>
      <x:c r="O285" s="8" t="str">
        <x:v>일반 사용 빈도 낮은 편(Zipf ≤ 3.0); 검증된 예문 없음; JMdict 우선 어휘 표지 없음; 기존 데이터의 한국어 콘텐츠 보강 필요 태그</x:v>
      </x:c>
      <x:c r="P285" s="8" t="str">
        <x:v>frequency_le_3_0,no_example,no_jmdict_priority,weak_legacy_content</x:v>
      </x:c>
      <x:c r="Q285" s="2" t="str"/>
      <x:c r="R285" s="2" t="str"/>
      <x:c r="S285" s="2" t="str"/>
      <x:c r="T285" s="2" t="str"/>
      <x:c r="U285" s="2" t="str"/>
      <x:c r="V285" s="2" t="str">
        <x:v>아니오</x:v>
      </x:c>
      <x:c r="W285" s="2" t="str">
        <x:v>아니오</x:v>
      </x:c>
      <x:c r="X285" s="2" t="str"/>
      <x:c r="Y285" s="2" t="n">
        <x:v>0</x:v>
      </x:c>
      <x:c r="Z285" s="2" t="str"/>
      <x:c r="AA285" s="2" t="n">
        <x:v>0</x:v>
      </x:c>
      <x:c r="AB285" s="8" t="str"/>
      <x:c r="AC285" s="8" t="str"/>
      <x:c r="AD285" s="8" t="str">
        <x:v>["draft-ko-missing"]</x:v>
      </x:c>
      <x:c r="AE285" s="8" t="str">
        <x:v>검토 필요</x:v>
      </x:c>
      <x:c r="AF285" s="8" t="str"/>
    </x:row>
    <x:row r="286">
      <x:c r="A286" s="10" t="n">
        <x:v>285</x:v>
      </x:c>
      <x:c r="B286" s="2" t="str">
        <x:v>2차 보류</x:v>
      </x:c>
      <x:c r="C286" s="2" t="str">
        <x:v>2차 보류</x:v>
      </x:c>
      <x:c r="D286" s="2" t="str">
        <x:v>낮음</x:v>
      </x:c>
      <x:c r="E286" s="2" t="str">
        <x:v>N1</x:v>
      </x:c>
      <x:c r="F286" s="10" t="n">
        <x:v>111</x:v>
      </x:c>
      <x:c r="G286" s="2" t="str">
        <x:v>w_b8eb6b0960f13aa3</x:v>
      </x:c>
      <x:c r="H286" s="2" t="str">
        <x:v>隔たる</x:v>
      </x:c>
      <x:c r="I286" s="2" t="str">
        <x:v>へだたる</x:v>
      </x:c>
      <x:c r="J286" s="8" t="str">
        <x:v>떨어지다, 거리가 있다</x:v>
      </x:c>
      <x:c r="K286" s="2" t="str">
        <x:v>verb</x:v>
      </x:c>
      <x:c r="L286" s="9" t="n">
        <x:v>0</x:v>
      </x:c>
      <x:c r="M286" s="2" t="str">
        <x:v>없음</x:v>
      </x:c>
      <x:c r="N286" s="11" t="n">
        <x:v>34</x:v>
      </x:c>
      <x:c r="O286" s="8" t="str">
        <x:v>일반 사용 빈도가 없거나 0; 검증된 예문 없음</x:v>
      </x:c>
      <x:c r="P286" s="8" t="str">
        <x:v>frequency_missing_or_zero,no_example</x:v>
      </x:c>
      <x:c r="Q286" s="2" t="str"/>
      <x:c r="R286" s="2" t="str"/>
      <x:c r="S286" s="2" t="str"/>
      <x:c r="T286" s="2" t="str"/>
      <x:c r="U286" s="2" t="str"/>
      <x:c r="V286" s="2" t="str">
        <x:v>아니오</x:v>
      </x:c>
      <x:c r="W286" s="2" t="str">
        <x:v>예</x:v>
      </x:c>
      <x:c r="X286" s="2" t="str">
        <x:v>news2,nf35,spec2</x:v>
      </x:c>
      <x:c r="Y286" s="2" t="n">
        <x:v>70</x:v>
      </x:c>
      <x:c r="Z286" s="2" t="str">
        <x:v>news2,nf35,spec2</x:v>
      </x:c>
      <x:c r="AA286" s="2" t="n">
        <x:v>70</x:v>
      </x:c>
      <x:c r="AB286" s="8" t="str"/>
      <x:c r="AC286" s="8" t="str"/>
      <x:c r="AD286" s="8" t="str">
        <x:v>["ko-reviewed"]</x:v>
      </x:c>
      <x:c r="AE286" s="8" t="str">
        <x:v>검토 필요</x:v>
      </x:c>
      <x:c r="AF286" s="8" t="str"/>
    </x:row>
    <x:row r="287">
      <x:c r="A287" s="10" t="n">
        <x:v>286</x:v>
      </x:c>
      <x:c r="B287" s="2" t="str">
        <x:v>2차 보류</x:v>
      </x:c>
      <x:c r="C287" s="2" t="str">
        <x:v>2차 보류</x:v>
      </x:c>
      <x:c r="D287" s="2" t="str">
        <x:v>낮음</x:v>
      </x:c>
      <x:c r="E287" s="2" t="str">
        <x:v>N1</x:v>
      </x:c>
      <x:c r="F287" s="10" t="n">
        <x:v>112</x:v>
      </x:c>
      <x:c r="G287" s="2" t="str">
        <x:v>w_012a3956391c7abf</x:v>
      </x:c>
      <x:c r="H287" s="2" t="str">
        <x:v>揃い</x:v>
      </x:c>
      <x:c r="I287" s="2" t="str">
        <x:v>そろい</x:v>
      </x:c>
      <x:c r="J287" s="8" t="str">
        <x:v>갖춰짐, 한 벌</x:v>
      </x:c>
      <x:c r="K287" s="2" t="str">
        <x:v>noun</x:v>
      </x:c>
      <x:c r="L287" s="9" t="n">
        <x:v>3.9</x:v>
      </x:c>
      <x:c r="M287" s="2" t="str">
        <x:v>없음</x:v>
      </x:c>
      <x:c r="N287" s="11" t="n">
        <x:v>33</x:v>
      </x:c>
      <x:c r="O287" s="8" t="str">
        <x:v>기존 한국어 뜻 품질 감사 대상; 검증된 예문 없음; JMdict 우선 어휘 표지 없음; 기존 데이터의 한국어 콘텐츠 보강 필요 태그</x:v>
      </x:c>
      <x:c r="P287" s="8" t="str">
        <x:v>legacy_gloss_audit:senses_5_6,no_example,no_jmdict_priority,weak_legacy_content</x:v>
      </x:c>
      <x:c r="Q287" s="2" t="str"/>
      <x:c r="R287" s="2" t="str"/>
      <x:c r="S287" s="2" t="str"/>
      <x:c r="T287" s="2" t="str"/>
      <x:c r="U287" s="2" t="str"/>
      <x:c r="V287" s="2" t="str">
        <x:v>아니오</x:v>
      </x:c>
      <x:c r="W287" s="2" t="str">
        <x:v>예</x:v>
      </x:c>
      <x:c r="X287" s="2" t="str"/>
      <x:c r="Y287" s="2" t="n">
        <x:v>0</x:v>
      </x:c>
      <x:c r="Z287" s="2" t="str"/>
      <x:c r="AA287" s="2" t="n">
        <x:v>0</x:v>
      </x:c>
      <x:c r="AB287" s="8" t="str">
        <x:v>Often as ぞろい</x:v>
      </x:c>
      <x:c r="AC287" s="8" t="str">
        <x:v>senses_5_6</x:v>
      </x:c>
      <x:c r="AD287" s="8" t="str">
        <x:v>["draft-ko-missing"]</x:v>
      </x:c>
      <x:c r="AE287" s="8" t="str">
        <x:v>검토 필요</x:v>
      </x:c>
      <x:c r="AF287" s="8" t="str"/>
    </x:row>
    <x:row r="288">
      <x:c r="A288" s="10" t="n">
        <x:v>287</x:v>
      </x:c>
      <x:c r="B288" s="2" t="str">
        <x:v>2차 보류</x:v>
      </x:c>
      <x:c r="C288" s="2" t="str">
        <x:v>2차 보류</x:v>
      </x:c>
      <x:c r="D288" s="2" t="str">
        <x:v>낮음</x:v>
      </x:c>
      <x:c r="E288" s="2" t="str">
        <x:v>N2</x:v>
      </x:c>
      <x:c r="F288" s="10" t="n">
        <x:v>109</x:v>
      </x:c>
      <x:c r="G288" s="2" t="str">
        <x:v>w_0d43e738d7130b50</x:v>
      </x:c>
      <x:c r="H288" s="2" t="str">
        <x:v>はじめまして</x:v>
      </x:c>
      <x:c r="I288" s="2" t="str">
        <x:v>はじめまして</x:v>
      </x:c>
      <x:c r="J288" s="8" t="str">
        <x:v>처음 뵙겠습니다</x:v>
      </x:c>
      <x:c r="K288" s="2" t="str">
        <x:v>expression</x:v>
      </x:c>
      <x:c r="L288" s="9" t="n">
        <x:v>3.97</x:v>
      </x:c>
      <x:c r="M288" s="2" t="str">
        <x:v>없음</x:v>
      </x:c>
      <x:c r="N288" s="11" t="n">
        <x:v>33</x:v>
      </x:c>
      <x:c r="O288" s="8" t="str">
        <x:v>기존 한국어 뜻 품질 감사 대상; 검증된 예문 없음; JMdict 우선 어휘 표지 없음; 기존 데이터의 한국어 콘텐츠 보강 필요 태그</x:v>
      </x:c>
      <x:c r="P288" s="8" t="str">
        <x:v>legacy_gloss_audit:senses_5_6,no_example,no_jmdict_priority,weak_legacy_content</x:v>
      </x:c>
      <x:c r="Q288" s="2" t="str"/>
      <x:c r="R288" s="2" t="str"/>
      <x:c r="S288" s="2" t="str"/>
      <x:c r="T288" s="2" t="str"/>
      <x:c r="U288" s="2" t="str"/>
      <x:c r="V288" s="2" t="str">
        <x:v>아니오</x:v>
      </x:c>
      <x:c r="W288" s="2" t="str">
        <x:v>아니오</x:v>
      </x:c>
      <x:c r="X288" s="2" t="str"/>
      <x:c r="Y288" s="2" t="n">
        <x:v>0</x:v>
      </x:c>
      <x:c r="Z288" s="2" t="str"/>
      <x:c r="AA288" s="2" t="n">
        <x:v>0</x:v>
      </x:c>
      <x:c r="AB288" s="8" t="str"/>
      <x:c r="AC288" s="8" t="str">
        <x:v>senses_5_6</x:v>
      </x:c>
      <x:c r="AD288" s="8" t="str">
        <x:v>["draft-ko-missing"]</x:v>
      </x:c>
      <x:c r="AE288" s="8" t="str">
        <x:v>검토 필요</x:v>
      </x:c>
      <x:c r="AF288" s="8" t="str"/>
    </x:row>
    <x:row r="289">
      <x:c r="A289" s="10" t="n">
        <x:v>288</x:v>
      </x:c>
      <x:c r="B289" s="2" t="str">
        <x:v>2차 보류</x:v>
      </x:c>
      <x:c r="C289" s="2" t="str">
        <x:v>2차 보류</x:v>
      </x:c>
      <x:c r="D289" s="2" t="str">
        <x:v>낮음</x:v>
      </x:c>
      <x:c r="E289" s="2" t="str">
        <x:v>N1</x:v>
      </x:c>
      <x:c r="F289" s="10" t="n">
        <x:v>113</x:v>
      </x:c>
      <x:c r="G289" s="2" t="str">
        <x:v>w_0414a344b518ddab</x:v>
      </x:c>
      <x:c r="H289" s="2" t="str">
        <x:v>叩く</x:v>
      </x:c>
      <x:c r="I289" s="2" t="str">
        <x:v>はたく</x:v>
      </x:c>
      <x:c r="J289" s="8" t="str">
        <x:v>두드리다, 털다</x:v>
      </x:c>
      <x:c r="K289" s="2" t="str">
        <x:v>verb</x:v>
      </x:c>
      <x:c r="L289" s="9" t="n">
        <x:v>4.05</x:v>
      </x:c>
      <x:c r="M289" s="2" t="str">
        <x:v>없음</x:v>
      </x:c>
      <x:c r="N289" s="11" t="n">
        <x:v>33</x:v>
      </x:c>
      <x:c r="O289" s="8" t="str">
        <x:v>기존 한국어 뜻 품질 감사 대상; 검증된 예문 없음; JMdict 우선 어휘 표지 없음; 기존 데이터의 한국어 콘텐츠 보강 필요 태그</x:v>
      </x:c>
      <x:c r="P289" s="8" t="str">
        <x:v>legacy_gloss_audit:mt_noise_token,no_example,no_jmdict_priority,weak_legacy_content</x:v>
      </x:c>
      <x:c r="Q289" s="2" t="str"/>
      <x:c r="R289" s="2" t="str"/>
      <x:c r="S289" s="2" t="str"/>
      <x:c r="T289" s="2" t="str"/>
      <x:c r="U289" s="2" t="str"/>
      <x:c r="V289" s="2" t="str">
        <x:v>아니오</x:v>
      </x:c>
      <x:c r="W289" s="2" t="str">
        <x:v>예</x:v>
      </x:c>
      <x:c r="X289" s="2" t="str"/>
      <x:c r="Y289" s="2" t="n">
        <x:v>0</x:v>
      </x:c>
      <x:c r="Z289" s="2" t="str"/>
      <x:c r="AA289" s="2" t="n">
        <x:v>0</x:v>
      </x:c>
      <x:c r="AB289" s="8" t="str">
        <x:v>word usually written using kana alone</x:v>
      </x:c>
      <x:c r="AC289" s="8" t="str">
        <x:v>mt_noise_token</x:v>
      </x:c>
      <x:c r="AD289" s="8" t="str">
        <x:v>["draft-ko-missing"]</x:v>
      </x:c>
      <x:c r="AE289" s="8" t="str">
        <x:v>검토 필요</x:v>
      </x:c>
      <x:c r="AF289" s="8" t="str"/>
    </x:row>
    <x:row r="290">
      <x:c r="A290" s="10" t="n">
        <x:v>289</x:v>
      </x:c>
      <x:c r="B290" s="2" t="str">
        <x:v>2차 보류</x:v>
      </x:c>
      <x:c r="C290" s="2" t="str">
        <x:v>데이터 정규화 검토</x:v>
      </x:c>
      <x:c r="D290" s="2" t="str">
        <x:v>낮음</x:v>
      </x:c>
      <x:c r="E290" s="2" t="str">
        <x:v>N4</x:v>
      </x:c>
      <x:c r="F290" s="10" t="n">
        <x:v>27</x:v>
      </x:c>
      <x:c r="G290" s="2" t="str">
        <x:v>w_070b9ac6c91d1857</x:v>
      </x:c>
      <x:c r="H290" s="2" t="str">
        <x:v>相談</x:v>
      </x:c>
      <x:c r="I290" s="2" t="str">
        <x:v>そうだんする</x:v>
      </x:c>
      <x:c r="J290" s="8" t="str">
        <x:v>상담, 의논</x:v>
      </x:c>
      <x:c r="K290" s="2" t="str">
        <x:v>noun</x:v>
      </x:c>
      <x:c r="L290" s="9" t="n">
        <x:v>4.78</x:v>
      </x:c>
      <x:c r="M290" s="2" t="str">
        <x:v>없음</x:v>
      </x:c>
      <x:c r="N290" s="11" t="n">
        <x:v>33</x:v>
      </x:c>
      <x:c r="O290" s="8" t="str">
        <x:v>현재 표기+읽기 조합을 JMdict에서 확인하지 못함; 검증된 예문 없음; JMdict 우선 어휘 표지 없음</x:v>
      </x:c>
      <x:c r="P290" s="8" t="str">
        <x:v>jmdict_exact_pair_not_found,no_example,no_jmdict_priority</x:v>
      </x:c>
      <x:c r="Q290" s="2" t="str"/>
      <x:c r="R290" s="2" t="str"/>
      <x:c r="S290" s="2" t="str"/>
      <x:c r="T290" s="2" t="str"/>
      <x:c r="U290" s="2" t="str"/>
      <x:c r="V290" s="2" t="str">
        <x:v>아니오</x:v>
      </x:c>
      <x:c r="W290" s="2" t="str">
        <x:v>아니오</x:v>
      </x:c>
      <x:c r="X290" s="2" t="str"/>
      <x:c r="Y290" s="2" t="n">
        <x:v>0</x:v>
      </x:c>
      <x:c r="Z290" s="2" t="str"/>
      <x:c r="AA290" s="2" t="n">
        <x:v>0</x:v>
      </x:c>
      <x:c r="AB290" s="8" t="str"/>
      <x:c r="AC290" s="8" t="str"/>
      <x:c r="AD290" s="8" t="str">
        <x:v>["backfill-replacement","assistant-ko-reviewed"]</x:v>
      </x:c>
      <x:c r="AE290" s="8" t="str">
        <x:v>검토 필요</x:v>
      </x:c>
      <x:c r="AF290" s="8" t="str"/>
    </x:row>
    <x:row r="291">
      <x:c r="A291" s="10" t="n">
        <x:v>290</x:v>
      </x:c>
      <x:c r="B291" s="2" t="str">
        <x:v>2차 보류</x:v>
      </x:c>
      <x:c r="C291" s="2" t="str">
        <x:v>데이터 정규화 검토</x:v>
      </x:c>
      <x:c r="D291" s="2" t="str">
        <x:v>낮음</x:v>
      </x:c>
      <x:c r="E291" s="2" t="str">
        <x:v>N2</x:v>
      </x:c>
      <x:c r="F291" s="10" t="n">
        <x:v>110</x:v>
      </x:c>
      <x:c r="G291" s="2" t="str">
        <x:v>w_31daf16452e196e0</x:v>
      </x:c>
      <x:c r="H291" s="2" t="str">
        <x:v>お元気で</x:v>
      </x:c>
      <x:c r="I291" s="2" t="str">
        <x:v>おげんきで</x:v>
      </x:c>
      <x:c r="J291" s="8" t="str">
        <x:v>건강히 지내세요</x:v>
      </x:c>
      <x:c r="K291" s="2" t="str">
        <x:v>noun</x:v>
      </x:c>
      <x:c r="L291" s="9" t="n">
        <x:v>5.02</x:v>
      </x:c>
      <x:c r="M291" s="2" t="str">
        <x:v>없음</x:v>
      </x:c>
      <x:c r="N291" s="11" t="n">
        <x:v>33</x:v>
      </x:c>
      <x:c r="O291" s="8" t="str">
        <x:v>현재 표기+읽기 조합을 JMdict에서 확인하지 못함; 검증된 예문 없음; JMdict 우선 어휘 표지 없음</x:v>
      </x:c>
      <x:c r="P291" s="8" t="str">
        <x:v>jmdict_exact_pair_not_found,no_example,no_jmdict_priority</x:v>
      </x:c>
      <x:c r="Q291" s="2" t="str"/>
      <x:c r="R291" s="2" t="str"/>
      <x:c r="S291" s="2" t="str"/>
      <x:c r="T291" s="2" t="str"/>
      <x:c r="U291" s="2" t="str"/>
      <x:c r="V291" s="2" t="str">
        <x:v>아니오</x:v>
      </x:c>
      <x:c r="W291" s="2" t="str">
        <x:v>아니오</x:v>
      </x:c>
      <x:c r="X291" s="2" t="str"/>
      <x:c r="Y291" s="2" t="n">
        <x:v>0</x:v>
      </x:c>
      <x:c r="Z291" s="2" t="str"/>
      <x:c r="AA291" s="2" t="n">
        <x:v>0</x:v>
      </x:c>
      <x:c r="AB291" s="8" t="str"/>
      <x:c r="AC291" s="8" t="str"/>
      <x:c r="AD291" s="8" t="str">
        <x:v>["ko-reviewed"]</x:v>
      </x:c>
      <x:c r="AE291" s="8" t="str">
        <x:v>검토 필요</x:v>
      </x:c>
      <x:c r="AF291" s="8" t="str"/>
    </x:row>
    <x:row r="292">
      <x:c r="A292" s="10" t="n">
        <x:v>291</x:v>
      </x:c>
      <x:c r="B292" s="2" t="str">
        <x:v>2차 보류</x:v>
      </x:c>
      <x:c r="C292" s="2" t="str">
        <x:v>2차 보류</x:v>
      </x:c>
      <x:c r="D292" s="2" t="str">
        <x:v>낮음</x:v>
      </x:c>
      <x:c r="E292" s="2" t="str">
        <x:v>N1</x:v>
      </x:c>
      <x:c r="F292" s="10" t="n">
        <x:v>114</x:v>
      </x:c>
      <x:c r="G292" s="2" t="str">
        <x:v>w_191dfbbe75110b87</x:v>
      </x:c>
      <x:c r="H292" s="2" t="str">
        <x:v>取り混ぜる</x:v>
      </x:c>
      <x:c r="I292" s="2" t="str">
        <x:v>とりまぜる</x:v>
      </x:c>
      <x:c r="J292" s="8" t="str">
        <x:v>뒤섞다</x:v>
      </x:c>
      <x:c r="K292" s="2" t="str">
        <x:v>verb</x:v>
      </x:c>
      <x:c r="L292" s="9" t="n">
        <x:v>0</x:v>
      </x:c>
      <x:c r="M292" s="2" t="str">
        <x:v>있음</x:v>
      </x:c>
      <x:c r="N292" s="11" t="n">
        <x:v>32</x:v>
      </x:c>
      <x:c r="O292" s="8" t="str">
        <x:v>일반 사용 빈도가 없거나 0; JMdict 우선 어휘 표지 없음; 기존 데이터의 한국어 콘텐츠 보강 필요 태그</x:v>
      </x:c>
      <x:c r="P292" s="8" t="str">
        <x:v>frequency_missing_or_zero,no_jmdict_priority,weak_legacy_content</x:v>
      </x:c>
      <x:c r="Q292" s="2" t="str"/>
      <x:c r="R292" s="2" t="str"/>
      <x:c r="S292" s="2" t="str"/>
      <x:c r="T292" s="2" t="str"/>
      <x:c r="U292" s="2" t="str"/>
      <x:c r="V292" s="2" t="str">
        <x:v>아니오</x:v>
      </x:c>
      <x:c r="W292" s="2" t="str">
        <x:v>예</x:v>
      </x:c>
      <x:c r="X292" s="2" t="str"/>
      <x:c r="Y292" s="2" t="n">
        <x:v>0</x:v>
      </x:c>
      <x:c r="Z292" s="2" t="str"/>
      <x:c r="AA292" s="2" t="n">
        <x:v>0</x:v>
      </x:c>
      <x:c r="AB292" s="8" t="str"/>
      <x:c r="AC292" s="8" t="str"/>
      <x:c r="AD292" s="8" t="str">
        <x:v>["draft-ko-missing"]</x:v>
      </x:c>
      <x:c r="AE292" s="8" t="str">
        <x:v>검토 필요</x:v>
      </x:c>
      <x:c r="AF292" s="8" t="str"/>
    </x:row>
    <x:row r="293">
      <x:c r="A293" s="10" t="n">
        <x:v>292</x:v>
      </x:c>
      <x:c r="B293" s="2" t="str">
        <x:v>2차 보류</x:v>
      </x:c>
      <x:c r="C293" s="2" t="str">
        <x:v>2차 보류</x:v>
      </x:c>
      <x:c r="D293" s="2" t="str">
        <x:v>낮음</x:v>
      </x:c>
      <x:c r="E293" s="2" t="str">
        <x:v>N1</x:v>
      </x:c>
      <x:c r="F293" s="10" t="n">
        <x:v>115</x:v>
      </x:c>
      <x:c r="G293" s="2" t="str">
        <x:v>w_286833dcf3d0df18</x:v>
      </x:c>
      <x:c r="H293" s="2" t="str">
        <x:v>据え付ける</x:v>
      </x:c>
      <x:c r="I293" s="2" t="str">
        <x:v>すえつける</x:v>
      </x:c>
      <x:c r="J293" s="8" t="str">
        <x:v>설치하다</x:v>
      </x:c>
      <x:c r="K293" s="2" t="str">
        <x:v>verb</x:v>
      </x:c>
      <x:c r="L293" s="9" t="n">
        <x:v>1.25</x:v>
      </x:c>
      <x:c r="M293" s="2" t="str">
        <x:v>없음</x:v>
      </x:c>
      <x:c r="N293" s="11" t="n">
        <x:v>31</x:v>
      </x:c>
      <x:c r="O293" s="8" t="str">
        <x:v>일반 사용 빈도 매우 낮음(Zipf ≤ 1.5); 검증된 예문 없음; 기존 데이터의 한국어 콘텐츠 보강 필요 태그</x:v>
      </x:c>
      <x:c r="P293" s="8" t="str">
        <x:v>frequency_le_1_5,no_example,weak_legacy_content</x:v>
      </x:c>
      <x:c r="Q293" s="2" t="str"/>
      <x:c r="R293" s="2" t="str"/>
      <x:c r="S293" s="2" t="str"/>
      <x:c r="T293" s="2" t="str"/>
      <x:c r="U293" s="2" t="str"/>
      <x:c r="V293" s="2" t="str">
        <x:v>아니오</x:v>
      </x:c>
      <x:c r="W293" s="2" t="str">
        <x:v>예</x:v>
      </x:c>
      <x:c r="X293" s="2" t="str">
        <x:v>news2,nf45,spec2</x:v>
      </x:c>
      <x:c r="Y293" s="2" t="n">
        <x:v>70</x:v>
      </x:c>
      <x:c r="Z293" s="2" t="str">
        <x:v>news2,nf45,spec2</x:v>
      </x:c>
      <x:c r="AA293" s="2" t="n">
        <x:v>70</x:v>
      </x:c>
      <x:c r="AB293" s="8" t="str"/>
      <x:c r="AC293" s="8" t="str"/>
      <x:c r="AD293" s="8" t="str">
        <x:v>["draft-ko-missing"]</x:v>
      </x:c>
      <x:c r="AE293" s="8" t="str">
        <x:v>검토 필요</x:v>
      </x:c>
      <x:c r="AF293" s="8" t="str"/>
    </x:row>
    <x:row r="294">
      <x:c r="A294" s="10" t="n">
        <x:v>293</x:v>
      </x:c>
      <x:c r="B294" s="2" t="str">
        <x:v>1차 검토 후보</x:v>
      </x:c>
      <x:c r="C294" s="2" t="str">
        <x:v>표기 교정·교체 검토</x:v>
      </x:c>
      <x:c r="D294" s="2" t="str">
        <x:v>중간</x:v>
      </x:c>
      <x:c r="E294" s="2" t="str">
        <x:v>N2</x:v>
      </x:c>
      <x:c r="F294" s="10" t="n">
        <x:v>111</x:v>
      </x:c>
      <x:c r="G294" s="2" t="str">
        <x:v>w_6309803841c85097</x:v>
      </x:c>
      <x:c r="H294" s="2" t="str">
        <x:v>凭れる</x:v>
      </x:c>
      <x:c r="I294" s="2" t="str">
        <x:v>もたれる</x:v>
      </x:c>
      <x:c r="J294" s="8" t="str">
        <x:v>기대다, 몸을 기대다</x:v>
      </x:c>
      <x:c r="K294" s="2" t="str">
        <x:v>verb</x:v>
      </x:c>
      <x:c r="L294" s="9" t="n">
        <x:v>3.88</x:v>
      </x:c>
      <x:c r="M294" s="2" t="str">
        <x:v>없음</x:v>
      </x:c>
      <x:c r="N294" s="11" t="n">
        <x:v>31</x:v>
      </x:c>
      <x:c r="O294" s="8" t="str">
        <x:v>JMdict에서 희귀·비표준 표기로 표시; 검증된 예문 없음</x:v>
      </x:c>
      <x:c r="P294" s="8" t="str">
        <x:v>jmdict_uncommon_or_irregular,no_example</x:v>
      </x:c>
      <x:c r="Q294" s="2" t="str"/>
      <x:c r="R294" s="2" t="str"/>
      <x:c r="S294" s="2" t="str"/>
      <x:c r="T294" s="2" t="str"/>
      <x:c r="U294" s="2" t="str"/>
      <x:c r="V294" s="2" t="str">
        <x:v>아니오</x:v>
      </x:c>
      <x:c r="W294" s="2" t="str">
        <x:v>예</x:v>
      </x:c>
      <x:c r="X294" s="2" t="str">
        <x:v>ichi1</x:v>
      </x:c>
      <x:c r="Y294" s="2" t="n">
        <x:v>100</x:v>
      </x:c>
      <x:c r="Z294" s="2" t="str"/>
      <x:c r="AA294" s="2" t="n">
        <x:v>0</x:v>
      </x:c>
      <x:c r="AB294" s="8" t="str">
        <x:v>rarely used kanji form | word usually written using kana alone</x:v>
      </x:c>
      <x:c r="AC294" s="8" t="str"/>
      <x:c r="AD294" s="8" t="str">
        <x:v>["backfill-replacement","assistant-ko-reviewed"]</x:v>
      </x:c>
      <x:c r="AE294" s="8" t="str">
        <x:v>검토 필요</x:v>
      </x:c>
      <x:c r="AF294" s="8" t="str"/>
    </x:row>
    <x:row r="295">
      <x:c r="A295" s="10" t="n">
        <x:v>294</x:v>
      </x:c>
      <x:c r="B295" s="2" t="str">
        <x:v>1차 검토 후보</x:v>
      </x:c>
      <x:c r="C295" s="2" t="str">
        <x:v>표기 교정·교체 검토</x:v>
      </x:c>
      <x:c r="D295" s="2" t="str">
        <x:v>중간</x:v>
      </x:c>
      <x:c r="E295" s="2" t="str">
        <x:v>N2</x:v>
      </x:c>
      <x:c r="F295" s="10" t="n">
        <x:v>112</x:v>
      </x:c>
      <x:c r="G295" s="2" t="str">
        <x:v>w_8f43b180efb6a864</x:v>
      </x:c>
      <x:c r="H295" s="2" t="str">
        <x:v>虹</x:v>
      </x:c>
      <x:c r="I295" s="2" t="str">
        <x:v>にじ</x:v>
      </x:c>
      <x:c r="J295" s="8" t="str">
        <x:v>무지개</x:v>
      </x:c>
      <x:c r="K295" s="2" t="str">
        <x:v>adjective</x:v>
      </x:c>
      <x:c r="L295" s="9" t="n">
        <x:v>4.17</x:v>
      </x:c>
      <x:c r="M295" s="2" t="str">
        <x:v>없음</x:v>
      </x:c>
      <x:c r="N295" s="11" t="n">
        <x:v>31</x:v>
      </x:c>
      <x:c r="O295" s="8" t="str">
        <x:v>JMdict에서 희귀·비표준 표기로 표시; 검증된 예문 없음</x:v>
      </x:c>
      <x:c r="P295" s="8" t="str">
        <x:v>jmdict_uncommon_or_irregular,no_example</x:v>
      </x:c>
      <x:c r="Q295" s="2" t="str"/>
      <x:c r="R295" s="2" t="str"/>
      <x:c r="S295" s="2" t="str"/>
      <x:c r="T295" s="2" t="str"/>
      <x:c r="U295" s="2" t="str"/>
      <x:c r="V295" s="2" t="str">
        <x:v>아니오</x:v>
      </x:c>
      <x:c r="W295" s="2" t="str">
        <x:v>예</x:v>
      </x:c>
      <x:c r="X295" s="2" t="str">
        <x:v>ichi1,news1,nf06,nf17</x:v>
      </x:c>
      <x:c r="Y295" s="2" t="n">
        <x:v>100</x:v>
      </x:c>
      <x:c r="Z295" s="2" t="str">
        <x:v>ichi1,news1,nf17</x:v>
      </x:c>
      <x:c r="AA295" s="2" t="n">
        <x:v>100</x:v>
      </x:c>
      <x:c r="AB295" s="8" t="str">
        <x:v>abbreviation | also written as 虹 | search-only kanji form</x:v>
      </x:c>
      <x:c r="AC295" s="8" t="str"/>
      <x:c r="AD295" s="8" t="str">
        <x:v>["ko-reviewed"]</x:v>
      </x:c>
      <x:c r="AE295" s="8" t="str">
        <x:v>검토 필요</x:v>
      </x:c>
      <x:c r="AF295" s="8" t="str"/>
    </x:row>
    <x:row r="296">
      <x:c r="A296" s="10" t="n">
        <x:v>295</x:v>
      </x:c>
      <x:c r="B296" s="2" t="str">
        <x:v>1차 검토 후보</x:v>
      </x:c>
      <x:c r="C296" s="2" t="str">
        <x:v>중복 변형 제거 검토</x:v>
      </x:c>
      <x:c r="D296" s="2" t="str">
        <x:v>중간</x:v>
      </x:c>
      <x:c r="E296" s="2" t="str">
        <x:v>N1</x:v>
      </x:c>
      <x:c r="F296" s="10" t="n">
        <x:v>116</x:v>
      </x:c>
      <x:c r="G296" s="2" t="str">
        <x:v>w_57c108f507b24abb</x:v>
      </x:c>
      <x:c r="H296" s="2" t="str">
        <x:v>納まる</x:v>
      </x:c>
      <x:c r="I296" s="2" t="str">
        <x:v>おさまる</x:v>
      </x:c>
      <x:c r="J296" s="8" t="str">
        <x:v>수습되다, 납입되다</x:v>
      </x:c>
      <x:c r="K296" s="2" t="str">
        <x:v>verb</x:v>
      </x:c>
      <x:c r="L296" s="9" t="n">
        <x:v>2.45</x:v>
      </x:c>
      <x:c r="M296" s="2" t="str">
        <x:v>있음</x:v>
      </x:c>
      <x:c r="N296" s="11" t="n">
        <x:v>30</x:v>
      </x:c>
      <x:c r="O296" s="8" t="str">
        <x:v>일반 사용 빈도 낮음(Zipf ≤ 2.5); 동일 JMdict 표제어의 표기·읽기 변형</x:v>
      </x:c>
      <x:c r="P296" s="8" t="str">
        <x:v>frequency_le_2_5,same_jmdict_entry</x:v>
      </x:c>
      <x:c r="Q296" s="2" t="str">
        <x:v>vg_056</x:v>
      </x:c>
      <x:c r="R296" s="2" t="str">
        <x:v>same_jmdict_entry</x:v>
      </x:c>
      <x:c r="S296" s="2" t="str">
        <x:v>w_dbc9be61b1093e8f</x:v>
      </x:c>
      <x:c r="T296" s="2" t="str">
        <x:v>収まる</x:v>
      </x:c>
      <x:c r="U296" s="2" t="str">
        <x:v>おさまる</x:v>
      </x:c>
      <x:c r="V296" s="2" t="str">
        <x:v>아니오</x:v>
      </x:c>
      <x:c r="W296" s="2" t="str">
        <x:v>예</x:v>
      </x:c>
      <x:c r="X296" s="2" t="str">
        <x:v>ichi1,news1,nf22</x:v>
      </x:c>
      <x:c r="Y296" s="2" t="n">
        <x:v>100</x:v>
      </x:c>
      <x:c r="Z296" s="2" t="str">
        <x:v>ichi1</x:v>
      </x:c>
      <x:c r="AA296" s="2" t="n">
        <x:v>100</x:v>
      </x:c>
      <x:c r="AB296" s="8" t="str">
        <x:v>esp. 納まる</x:v>
      </x:c>
      <x:c r="AC296" s="8" t="str"/>
      <x:c r="AD296" s="8" t="str">
        <x:v>["ko-reviewed"]</x:v>
      </x:c>
      <x:c r="AE296" s="8" t="str">
        <x:v>검토 필요</x:v>
      </x:c>
      <x:c r="AF296" s="8" t="str"/>
    </x:row>
    <x:row r="297">
      <x:c r="A297" s="10" t="n">
        <x:v>296</x:v>
      </x:c>
      <x:c r="B297" s="2" t="str">
        <x:v>2차 보류</x:v>
      </x:c>
      <x:c r="C297" s="2" t="str">
        <x:v>2차 보류</x:v>
      </x:c>
      <x:c r="D297" s="2" t="str">
        <x:v>낮음</x:v>
      </x:c>
      <x:c r="E297" s="2" t="str">
        <x:v>N1</x:v>
      </x:c>
      <x:c r="F297" s="10" t="n">
        <x:v>117</x:v>
      </x:c>
      <x:c r="G297" s="2" t="str">
        <x:v>w_74434c8fa929aa49</x:v>
      </x:c>
      <x:c r="H297" s="2" t="str">
        <x:v>嘲笑う</x:v>
      </x:c>
      <x:c r="I297" s="2" t="str">
        <x:v>あざわらう</x:v>
      </x:c>
      <x:c r="J297" s="8" t="str">
        <x:v>비웃다, 조롱하다</x:v>
      </x:c>
      <x:c r="K297" s="2" t="str">
        <x:v>verb</x:v>
      </x:c>
      <x:c r="L297" s="9" t="n">
        <x:v>2.51</x:v>
      </x:c>
      <x:c r="M297" s="2" t="str">
        <x:v>없음</x:v>
      </x:c>
      <x:c r="N297" s="11" t="n">
        <x:v>30</x:v>
      </x:c>
      <x:c r="O297" s="8" t="str">
        <x:v>일반 사용 빈도 낮은 편(Zipf ≤ 3.0); 검증된 예문 없음; JMdict 우선 어휘 표지 없음</x:v>
      </x:c>
      <x:c r="P297" s="8" t="str">
        <x:v>frequency_le_3_0,no_example,no_jmdict_priority</x:v>
      </x:c>
      <x:c r="Q297" s="2" t="str"/>
      <x:c r="R297" s="2" t="str"/>
      <x:c r="S297" s="2" t="str"/>
      <x:c r="T297" s="2" t="str"/>
      <x:c r="U297" s="2" t="str"/>
      <x:c r="V297" s="2" t="str">
        <x:v>아니오</x:v>
      </x:c>
      <x:c r="W297" s="2" t="str">
        <x:v>예</x:v>
      </x:c>
      <x:c r="X297" s="2" t="str"/>
      <x:c r="Y297" s="2" t="n">
        <x:v>0</x:v>
      </x:c>
      <x:c r="Z297" s="2" t="str"/>
      <x:c r="AA297" s="2" t="n">
        <x:v>0</x:v>
      </x:c>
      <x:c r="AB297" s="8" t="str"/>
      <x:c r="AC297" s="8" t="str"/>
      <x:c r="AD297" s="8" t="str">
        <x:v>["ko-reviewed"]</x:v>
      </x:c>
      <x:c r="AE297" s="8" t="str">
        <x:v>검토 필요</x:v>
      </x:c>
      <x:c r="AF297" s="8" t="str"/>
    </x:row>
    <x:row r="298">
      <x:c r="A298" s="10" t="n">
        <x:v>297</x:v>
      </x:c>
      <x:c r="B298" s="2" t="str">
        <x:v>2차 보류</x:v>
      </x:c>
      <x:c r="C298" s="2" t="str">
        <x:v>2차 보류</x:v>
      </x:c>
      <x:c r="D298" s="2" t="str">
        <x:v>낮음</x:v>
      </x:c>
      <x:c r="E298" s="2" t="str">
        <x:v>N1</x:v>
      </x:c>
      <x:c r="F298" s="10" t="n">
        <x:v>118</x:v>
      </x:c>
      <x:c r="G298" s="2" t="str">
        <x:v>w_f3de018fb601c251</x:v>
      </x:c>
      <x:c r="H298" s="2" t="str">
        <x:v>接続詞</x:v>
      </x:c>
      <x:c r="I298" s="2" t="str">
        <x:v>せつぞくし</x:v>
      </x:c>
      <x:c r="J298" s="8" t="str">
        <x:v>접속사</x:v>
      </x:c>
      <x:c r="K298" s="2" t="str">
        <x:v>noun</x:v>
      </x:c>
      <x:c r="L298" s="9" t="n">
        <x:v>2.51</x:v>
      </x:c>
      <x:c r="M298" s="2" t="str">
        <x:v>없음</x:v>
      </x:c>
      <x:c r="N298" s="11" t="n">
        <x:v>30</x:v>
      </x:c>
      <x:c r="O298" s="8" t="str">
        <x:v>일반 사용 빈도 낮은 편(Zipf ≤ 3.0); 검증된 예문 없음; JMdict 우선 어휘 표지 없음</x:v>
      </x:c>
      <x:c r="P298" s="8" t="str">
        <x:v>frequency_le_3_0,no_example,no_jmdict_priority</x:v>
      </x:c>
      <x:c r="Q298" s="2" t="str"/>
      <x:c r="R298" s="2" t="str"/>
      <x:c r="S298" s="2" t="str"/>
      <x:c r="T298" s="2" t="str"/>
      <x:c r="U298" s="2" t="str"/>
      <x:c r="V298" s="2" t="str">
        <x:v>아니오</x:v>
      </x:c>
      <x:c r="W298" s="2" t="str">
        <x:v>예</x:v>
      </x:c>
      <x:c r="X298" s="2" t="str"/>
      <x:c r="Y298" s="2" t="n">
        <x:v>0</x:v>
      </x:c>
      <x:c r="Z298" s="2" t="str"/>
      <x:c r="AA298" s="2" t="n">
        <x:v>0</x:v>
      </x:c>
      <x:c r="AB298" s="8" t="str"/>
      <x:c r="AC298" s="8" t="str"/>
      <x:c r="AD298" s="8" t="str">
        <x:v>["ko-reviewed"]</x:v>
      </x:c>
      <x:c r="AE298" s="8" t="str">
        <x:v>검토 필요</x:v>
      </x:c>
      <x:c r="AF298" s="8" t="str"/>
    </x:row>
    <x:row r="299">
      <x:c r="A299" s="10" t="n">
        <x:v>298</x:v>
      </x:c>
      <x:c r="B299" s="2" t="str">
        <x:v>2차 보류</x:v>
      </x:c>
      <x:c r="C299" s="2" t="str">
        <x:v>2차 보류</x:v>
      </x:c>
      <x:c r="D299" s="2" t="str">
        <x:v>낮음</x:v>
      </x:c>
      <x:c r="E299" s="2" t="str">
        <x:v>N2</x:v>
      </x:c>
      <x:c r="F299" s="10" t="n">
        <x:v>113</x:v>
      </x:c>
      <x:c r="G299" s="2" t="str">
        <x:v>w_26df07666f09ef4c</x:v>
      </x:c>
      <x:c r="H299" s="2" t="str">
        <x:v>述語</x:v>
      </x:c>
      <x:c r="I299" s="2" t="str">
        <x:v>じゅつご</x:v>
      </x:c>
      <x:c r="J299" s="8" t="str">
        <x:v>술어</x:v>
      </x:c>
      <x:c r="K299" s="2" t="str">
        <x:v>noun</x:v>
      </x:c>
      <x:c r="L299" s="9" t="n">
        <x:v>2.53</x:v>
      </x:c>
      <x:c r="M299" s="2" t="str">
        <x:v>없음</x:v>
      </x:c>
      <x:c r="N299" s="11" t="n">
        <x:v>30</x:v>
      </x:c>
      <x:c r="O299" s="8" t="str">
        <x:v>일반 사용 빈도 낮은 편(Zipf ≤ 3.0); 검증된 예문 없음; JMdict 우선 어휘 표지 없음</x:v>
      </x:c>
      <x:c r="P299" s="8" t="str">
        <x:v>frequency_le_3_0,no_example,no_jmdict_priority</x:v>
      </x:c>
      <x:c r="Q299" s="2" t="str"/>
      <x:c r="R299" s="2" t="str"/>
      <x:c r="S299" s="2" t="str"/>
      <x:c r="T299" s="2" t="str"/>
      <x:c r="U299" s="2" t="str"/>
      <x:c r="V299" s="2" t="str">
        <x:v>아니오</x:v>
      </x:c>
      <x:c r="W299" s="2" t="str">
        <x:v>예</x:v>
      </x:c>
      <x:c r="X299" s="2" t="str"/>
      <x:c r="Y299" s="2" t="n">
        <x:v>0</x:v>
      </x:c>
      <x:c r="Z299" s="2" t="str"/>
      <x:c r="AA299" s="2" t="n">
        <x:v>0</x:v>
      </x:c>
      <x:c r="AB299" s="8" t="str"/>
      <x:c r="AC299" s="8" t="str"/>
      <x:c r="AD299" s="8" t="str">
        <x:v>["ko-reviewed"]</x:v>
      </x:c>
      <x:c r="AE299" s="8" t="str">
        <x:v>검토 필요</x:v>
      </x:c>
      <x:c r="AF299" s="8" t="str"/>
    </x:row>
    <x:row r="300">
      <x:c r="A300" s="10" t="n">
        <x:v>299</x:v>
      </x:c>
      <x:c r="B300" s="2" t="str">
        <x:v>2차 보류</x:v>
      </x:c>
      <x:c r="C300" s="2" t="str">
        <x:v>2차 보류</x:v>
      </x:c>
      <x:c r="D300" s="2" t="str">
        <x:v>낮음</x:v>
      </x:c>
      <x:c r="E300" s="2" t="str">
        <x:v>N2</x:v>
      </x:c>
      <x:c r="F300" s="10" t="n">
        <x:v>114</x:v>
      </x:c>
      <x:c r="G300" s="2" t="str">
        <x:v>w_840e0303fde67bc2</x:v>
      </x:c>
      <x:c r="H300" s="2" t="str">
        <x:v>点々</x:v>
      </x:c>
      <x:c r="I300" s="2" t="str">
        <x:v>てんてん</x:v>
      </x:c>
      <x:c r="J300" s="8" t="str">
        <x:v>여기저기, 조금씩</x:v>
      </x:c>
      <x:c r="K300" s="2" t="str">
        <x:v>adverb</x:v>
      </x:c>
      <x:c r="L300" s="9" t="n">
        <x:v>2.54</x:v>
      </x:c>
      <x:c r="M300" s="2" t="str">
        <x:v>없음</x:v>
      </x:c>
      <x:c r="N300" s="11" t="n">
        <x:v>30</x:v>
      </x:c>
      <x:c r="O300" s="8" t="str">
        <x:v>일반 사용 빈도 낮은 편(Zipf ≤ 3.0); 검증된 예문 없음; JMdict 우선 어휘 표지 없음</x:v>
      </x:c>
      <x:c r="P300" s="8" t="str">
        <x:v>frequency_le_3_0,no_example,no_jmdict_priority</x:v>
      </x:c>
      <x:c r="Q300" s="2" t="str"/>
      <x:c r="R300" s="2" t="str"/>
      <x:c r="S300" s="2" t="str"/>
      <x:c r="T300" s="2" t="str"/>
      <x:c r="U300" s="2" t="str"/>
      <x:c r="V300" s="2" t="str">
        <x:v>아니오</x:v>
      </x:c>
      <x:c r="W300" s="2" t="str">
        <x:v>예</x:v>
      </x:c>
      <x:c r="X300" s="2" t="str"/>
      <x:c r="Y300" s="2" t="n">
        <x:v>0</x:v>
      </x:c>
      <x:c r="Z300" s="2" t="str"/>
      <x:c r="AA300" s="2" t="n">
        <x:v>0</x:v>
      </x:c>
      <x:c r="AB300" s="8" t="str"/>
      <x:c r="AC300" s="8" t="str"/>
      <x:c r="AD300" s="8" t="str">
        <x:v>["ko-reviewed"]</x:v>
      </x:c>
      <x:c r="AE300" s="8" t="str">
        <x:v>검토 필요</x:v>
      </x:c>
      <x:c r="AF300" s="8" t="str"/>
    </x:row>
    <x:row r="301">
      <x:c r="A301" s="10" t="n">
        <x:v>300</x:v>
      </x:c>
      <x:c r="B301" s="2" t="str">
        <x:v>2차 보류</x:v>
      </x:c>
      <x:c r="C301" s="2" t="str">
        <x:v>2차 보류</x:v>
      </x:c>
      <x:c r="D301" s="2" t="str">
        <x:v>낮음</x:v>
      </x:c>
      <x:c r="E301" s="2" t="str">
        <x:v>N1</x:v>
      </x:c>
      <x:c r="F301" s="10" t="n">
        <x:v>119</x:v>
      </x:c>
      <x:c r="G301" s="2" t="str">
        <x:v>w_370601dce3387ebc</x:v>
      </x:c>
      <x:c r="H301" s="2" t="str">
        <x:v>奉る</x:v>
      </x:c>
      <x:c r="I301" s="2" t="str">
        <x:v>たてまつる</x:v>
      </x:c>
      <x:c r="J301" s="8" t="str">
        <x:v>바치다, 받들다</x:v>
      </x:c>
      <x:c r="K301" s="2" t="str">
        <x:v>verb</x:v>
      </x:c>
      <x:c r="L301" s="9" t="n">
        <x:v>2.59</x:v>
      </x:c>
      <x:c r="M301" s="2" t="str">
        <x:v>없음</x:v>
      </x:c>
      <x:c r="N301" s="11" t="n">
        <x:v>30</x:v>
      </x:c>
      <x:c r="O301" s="8" t="str">
        <x:v>일반 사용 빈도 낮은 편(Zipf ≤ 3.0); 검증된 예문 없음; JMdict 우선 어휘 표지 없음</x:v>
      </x:c>
      <x:c r="P301" s="8" t="str">
        <x:v>frequency_le_3_0,no_example,no_jmdict_priority</x:v>
      </x:c>
      <x:c r="Q301" s="2" t="str"/>
      <x:c r="R301" s="2" t="str"/>
      <x:c r="S301" s="2" t="str"/>
      <x:c r="T301" s="2" t="str"/>
      <x:c r="U301" s="2" t="str"/>
      <x:c r="V301" s="2" t="str">
        <x:v>아니오</x:v>
      </x:c>
      <x:c r="W301" s="2" t="str">
        <x:v>예</x:v>
      </x:c>
      <x:c r="X301" s="2" t="str"/>
      <x:c r="Y301" s="2" t="n">
        <x:v>0</x:v>
      </x:c>
      <x:c r="Z301" s="2" t="str"/>
      <x:c r="AA301" s="2" t="n">
        <x:v>0</x:v>
      </x:c>
      <x:c r="AB301" s="8" t="str">
        <x:v>humble (kenjougo) language</x:v>
      </x:c>
      <x:c r="AC301" s="8" t="str"/>
      <x:c r="AD301" s="8" t="str">
        <x:v>["ko-reviewed"]</x:v>
      </x:c>
      <x:c r="AE301" s="8" t="str">
        <x:v>검토 필요</x:v>
      </x:c>
      <x:c r="AF301" s="8" t="str"/>
    </x:row>
    <x:row r="302">
      <x:c r="A302" s="10" t="n">
        <x:v>301</x:v>
      </x:c>
      <x:c r="B302" s="2" t="str">
        <x:v>2차 보류</x:v>
      </x:c>
      <x:c r="C302" s="2" t="str">
        <x:v>2차 보류</x:v>
      </x:c>
      <x:c r="D302" s="2" t="str">
        <x:v>낮음</x:v>
      </x:c>
      <x:c r="E302" s="2" t="str">
        <x:v>N1</x:v>
      </x:c>
      <x:c r="F302" s="10" t="n">
        <x:v>120</x:v>
      </x:c>
      <x:c r="G302" s="2" t="str">
        <x:v>w_dcec480c77d798db</x:v>
      </x:c>
      <x:c r="H302" s="2" t="str">
        <x:v>きしむ</x:v>
      </x:c>
      <x:c r="I302" s="2" t="str">
        <x:v>きしむ</x:v>
      </x:c>
      <x:c r="J302" s="8" t="str">
        <x:v>삐걱거리다</x:v>
      </x:c>
      <x:c r="K302" s="2" t="str">
        <x:v>verb</x:v>
      </x:c>
      <x:c r="L302" s="9" t="n">
        <x:v>2.59</x:v>
      </x:c>
      <x:c r="M302" s="2" t="str">
        <x:v>없음</x:v>
      </x:c>
      <x:c r="N302" s="11" t="n">
        <x:v>30</x:v>
      </x:c>
      <x:c r="O302" s="8" t="str">
        <x:v>일반 사용 빈도 낮은 편(Zipf ≤ 3.0); 검증된 예문 없음; JMdict 우선 어휘 표지 없음</x:v>
      </x:c>
      <x:c r="P302" s="8" t="str">
        <x:v>frequency_le_3_0,no_example,no_jmdict_priority</x:v>
      </x:c>
      <x:c r="Q302" s="2" t="str"/>
      <x:c r="R302" s="2" t="str"/>
      <x:c r="S302" s="2" t="str"/>
      <x:c r="T302" s="2" t="str"/>
      <x:c r="U302" s="2" t="str"/>
      <x:c r="V302" s="2" t="str">
        <x:v>아니오</x:v>
      </x:c>
      <x:c r="W302" s="2" t="str">
        <x:v>아니오</x:v>
      </x:c>
      <x:c r="X302" s="2" t="str"/>
      <x:c r="Y302" s="2" t="n">
        <x:v>0</x:v>
      </x:c>
      <x:c r="Z302" s="2" t="str"/>
      <x:c r="AA302" s="2" t="n">
        <x:v>0</x:v>
      </x:c>
      <x:c r="AB302" s="8" t="str"/>
      <x:c r="AC302" s="8" t="str"/>
      <x:c r="AD302" s="8" t="str">
        <x:v>["ko-reviewed"]</x:v>
      </x:c>
      <x:c r="AE302" s="8" t="str">
        <x:v>검토 필요</x:v>
      </x:c>
      <x:c r="AF302" s="8" t="str"/>
    </x:row>
    <x:row r="303">
      <x:c r="A303" s="10" t="n">
        <x:v>302</x:v>
      </x:c>
      <x:c r="B303" s="2" t="str">
        <x:v>2차 보류</x:v>
      </x:c>
      <x:c r="C303" s="2" t="str">
        <x:v>2차 보류</x:v>
      </x:c>
      <x:c r="D303" s="2" t="str">
        <x:v>낮음</x:v>
      </x:c>
      <x:c r="E303" s="2" t="str">
        <x:v>N1</x:v>
      </x:c>
      <x:c r="F303" s="10" t="n">
        <x:v>121</x:v>
      </x:c>
      <x:c r="G303" s="2" t="str">
        <x:v>w_5e7b11cee20068a0</x:v>
      </x:c>
      <x:c r="H303" s="2" t="str">
        <x:v>助動詞</x:v>
      </x:c>
      <x:c r="I303" s="2" t="str">
        <x:v>じょどうし</x:v>
      </x:c>
      <x:c r="J303" s="8" t="str">
        <x:v>조동사</x:v>
      </x:c>
      <x:c r="K303" s="2" t="str">
        <x:v>noun</x:v>
      </x:c>
      <x:c r="L303" s="9" t="n">
        <x:v>2.61</x:v>
      </x:c>
      <x:c r="M303" s="2" t="str">
        <x:v>없음</x:v>
      </x:c>
      <x:c r="N303" s="11" t="n">
        <x:v>30</x:v>
      </x:c>
      <x:c r="O303" s="8" t="str">
        <x:v>일반 사용 빈도 낮은 편(Zipf ≤ 3.0); 검증된 예문 없음; JMdict 우선 어휘 표지 없음</x:v>
      </x:c>
      <x:c r="P303" s="8" t="str">
        <x:v>frequency_le_3_0,no_example,no_jmdict_priority</x:v>
      </x:c>
      <x:c r="Q303" s="2" t="str"/>
      <x:c r="R303" s="2" t="str"/>
      <x:c r="S303" s="2" t="str"/>
      <x:c r="T303" s="2" t="str"/>
      <x:c r="U303" s="2" t="str"/>
      <x:c r="V303" s="2" t="str">
        <x:v>아니오</x:v>
      </x:c>
      <x:c r="W303" s="2" t="str">
        <x:v>예</x:v>
      </x:c>
      <x:c r="X303" s="2" t="str"/>
      <x:c r="Y303" s="2" t="n">
        <x:v>0</x:v>
      </x:c>
      <x:c r="Z303" s="2" t="str"/>
      <x:c r="AA303" s="2" t="n">
        <x:v>0</x:v>
      </x:c>
      <x:c r="AB303" s="8" t="str"/>
      <x:c r="AC303" s="8" t="str"/>
      <x:c r="AD303" s="8" t="str">
        <x:v>["ko-reviewed"]</x:v>
      </x:c>
      <x:c r="AE303" s="8" t="str">
        <x:v>검토 필요</x:v>
      </x:c>
      <x:c r="AF303" s="8" t="str"/>
    </x:row>
    <x:row r="304">
      <x:c r="A304" s="10" t="n">
        <x:v>303</x:v>
      </x:c>
      <x:c r="B304" s="2" t="str">
        <x:v>2차 보류</x:v>
      </x:c>
      <x:c r="C304" s="2" t="str">
        <x:v>2차 보류</x:v>
      </x:c>
      <x:c r="D304" s="2" t="str">
        <x:v>낮음</x:v>
      </x:c>
      <x:c r="E304" s="2" t="str">
        <x:v>N1</x:v>
      </x:c>
      <x:c r="F304" s="10" t="n">
        <x:v>122</x:v>
      </x:c>
      <x:c r="G304" s="2" t="str">
        <x:v>w_137ae31f28f28d85</x:v>
      </x:c>
      <x:c r="H304" s="2" t="str">
        <x:v>かりに</x:v>
      </x:c>
      <x:c r="I304" s="2" t="str">
        <x:v>かりに</x:v>
      </x:c>
      <x:c r="J304" s="8" t="str">
        <x:v>임시로, 만약</x:v>
      </x:c>
      <x:c r="K304" s="2" t="str">
        <x:v>adverb</x:v>
      </x:c>
      <x:c r="L304" s="9" t="n">
        <x:v>2.62</x:v>
      </x:c>
      <x:c r="M304" s="2" t="str">
        <x:v>없음</x:v>
      </x:c>
      <x:c r="N304" s="11" t="n">
        <x:v>30</x:v>
      </x:c>
      <x:c r="O304" s="8" t="str">
        <x:v>일반 사용 빈도 낮은 편(Zipf ≤ 3.0); 검증된 예문 없음; JMdict 우선 어휘 표지 없음</x:v>
      </x:c>
      <x:c r="P304" s="8" t="str">
        <x:v>frequency_le_3_0,no_example,no_jmdict_priority</x:v>
      </x:c>
      <x:c r="Q304" s="2" t="str"/>
      <x:c r="R304" s="2" t="str"/>
      <x:c r="S304" s="2" t="str"/>
      <x:c r="T304" s="2" t="str"/>
      <x:c r="U304" s="2" t="str"/>
      <x:c r="V304" s="2" t="str">
        <x:v>아니오</x:v>
      </x:c>
      <x:c r="W304" s="2" t="str">
        <x:v>아니오</x:v>
      </x:c>
      <x:c r="X304" s="2" t="str"/>
      <x:c r="Y304" s="2" t="n">
        <x:v>0</x:v>
      </x:c>
      <x:c r="Z304" s="2" t="str"/>
      <x:c r="AA304" s="2" t="n">
        <x:v>0</x:v>
      </x:c>
      <x:c r="AB304" s="8" t="str"/>
      <x:c r="AC304" s="8" t="str"/>
      <x:c r="AD304" s="8" t="str">
        <x:v>["ko-reviewed"]</x:v>
      </x:c>
      <x:c r="AE304" s="8" t="str">
        <x:v>검토 필요</x:v>
      </x:c>
      <x:c r="AF304" s="8" t="str"/>
    </x:row>
    <x:row r="305">
      <x:c r="A305" s="10" t="n">
        <x:v>304</x:v>
      </x:c>
      <x:c r="B305" s="2" t="str">
        <x:v>2차 보류</x:v>
      </x:c>
      <x:c r="C305" s="2" t="str">
        <x:v>2차 보류</x:v>
      </x:c>
      <x:c r="D305" s="2" t="str">
        <x:v>낮음</x:v>
      </x:c>
      <x:c r="E305" s="2" t="str">
        <x:v>N1</x:v>
      </x:c>
      <x:c r="F305" s="10" t="n">
        <x:v>123</x:v>
      </x:c>
      <x:c r="G305" s="2" t="str">
        <x:v>w_980c9136003f65a3</x:v>
      </x:c>
      <x:c r="H305" s="2" t="str">
        <x:v>もがく</x:v>
      </x:c>
      <x:c r="I305" s="2" t="str">
        <x:v>もがく</x:v>
      </x:c>
      <x:c r="J305" s="8" t="str">
        <x:v>발버둥치다</x:v>
      </x:c>
      <x:c r="K305" s="2" t="str">
        <x:v>verb</x:v>
      </x:c>
      <x:c r="L305" s="9" t="n">
        <x:v>2.64</x:v>
      </x:c>
      <x:c r="M305" s="2" t="str">
        <x:v>없음</x:v>
      </x:c>
      <x:c r="N305" s="11" t="n">
        <x:v>30</x:v>
      </x:c>
      <x:c r="O305" s="8" t="str">
        <x:v>일반 사용 빈도 낮은 편(Zipf ≤ 3.0); 검증된 예문 없음; JMdict 우선 어휘 표지 없음</x:v>
      </x:c>
      <x:c r="P305" s="8" t="str">
        <x:v>frequency_le_3_0,no_example,no_jmdict_priority</x:v>
      </x:c>
      <x:c r="Q305" s="2" t="str"/>
      <x:c r="R305" s="2" t="str"/>
      <x:c r="S305" s="2" t="str"/>
      <x:c r="T305" s="2" t="str"/>
      <x:c r="U305" s="2" t="str"/>
      <x:c r="V305" s="2" t="str">
        <x:v>아니오</x:v>
      </x:c>
      <x:c r="W305" s="2" t="str">
        <x:v>아니오</x:v>
      </x:c>
      <x:c r="X305" s="2" t="str"/>
      <x:c r="Y305" s="2" t="n">
        <x:v>0</x:v>
      </x:c>
      <x:c r="Z305" s="2" t="str"/>
      <x:c r="AA305" s="2" t="n">
        <x:v>0</x:v>
      </x:c>
      <x:c r="AB305" s="8" t="str"/>
      <x:c r="AC305" s="8" t="str"/>
      <x:c r="AD305" s="8" t="str">
        <x:v>["ko-reviewed"]</x:v>
      </x:c>
      <x:c r="AE305" s="8" t="str">
        <x:v>검토 필요</x:v>
      </x:c>
      <x:c r="AF305" s="8" t="str"/>
    </x:row>
    <x:row r="306">
      <x:c r="A306" s="10" t="n">
        <x:v>305</x:v>
      </x:c>
      <x:c r="B306" s="2" t="str">
        <x:v>2차 보류</x:v>
      </x:c>
      <x:c r="C306" s="2" t="str">
        <x:v>2차 보류</x:v>
      </x:c>
      <x:c r="D306" s="2" t="str">
        <x:v>낮음</x:v>
      </x:c>
      <x:c r="E306" s="2" t="str">
        <x:v>N2</x:v>
      </x:c>
      <x:c r="F306" s="10" t="n">
        <x:v>115</x:v>
      </x:c>
      <x:c r="G306" s="2" t="str">
        <x:v>w_d131ce4c50de4b6b</x:v>
      </x:c>
      <x:c r="H306" s="2" t="str">
        <x:v>のこぎり</x:v>
      </x:c>
      <x:c r="I306" s="2" t="str">
        <x:v>のこぎり</x:v>
      </x:c>
      <x:c r="J306" s="8" t="str">
        <x:v>톱</x:v>
      </x:c>
      <x:c r="K306" s="2" t="str">
        <x:v>noun</x:v>
      </x:c>
      <x:c r="L306" s="9" t="n">
        <x:v>2.65</x:v>
      </x:c>
      <x:c r="M306" s="2" t="str">
        <x:v>없음</x:v>
      </x:c>
      <x:c r="N306" s="11" t="n">
        <x:v>30</x:v>
      </x:c>
      <x:c r="O306" s="8" t="str">
        <x:v>일반 사용 빈도 낮은 편(Zipf ≤ 3.0); 검증된 예문 없음; JMdict 우선 어휘 표지 없음</x:v>
      </x:c>
      <x:c r="P306" s="8" t="str">
        <x:v>frequency_le_3_0,no_example,no_jmdict_priority</x:v>
      </x:c>
      <x:c r="Q306" s="2" t="str"/>
      <x:c r="R306" s="2" t="str"/>
      <x:c r="S306" s="2" t="str"/>
      <x:c r="T306" s="2" t="str"/>
      <x:c r="U306" s="2" t="str"/>
      <x:c r="V306" s="2" t="str">
        <x:v>아니오</x:v>
      </x:c>
      <x:c r="W306" s="2" t="str">
        <x:v>아니오</x:v>
      </x:c>
      <x:c r="X306" s="2" t="str"/>
      <x:c r="Y306" s="2" t="n">
        <x:v>0</x:v>
      </x:c>
      <x:c r="Z306" s="2" t="str"/>
      <x:c r="AA306" s="2" t="n">
        <x:v>0</x:v>
      </x:c>
      <x:c r="AB306" s="8" t="str"/>
      <x:c r="AC306" s="8" t="str"/>
      <x:c r="AD306" s="8" t="str">
        <x:v>["ko-reviewed"]</x:v>
      </x:c>
      <x:c r="AE306" s="8" t="str">
        <x:v>검토 필요</x:v>
      </x:c>
      <x:c r="AF306" s="8" t="str"/>
    </x:row>
    <x:row r="307">
      <x:c r="A307" s="10" t="n">
        <x:v>306</x:v>
      </x:c>
      <x:c r="B307" s="2" t="str">
        <x:v>2차 보류</x:v>
      </x:c>
      <x:c r="C307" s="2" t="str">
        <x:v>2차 보류</x:v>
      </x:c>
      <x:c r="D307" s="2" t="str">
        <x:v>낮음</x:v>
      </x:c>
      <x:c r="E307" s="2" t="str">
        <x:v>N1</x:v>
      </x:c>
      <x:c r="F307" s="10" t="n">
        <x:v>124</x:v>
      </x:c>
      <x:c r="G307" s="2" t="str">
        <x:v>w_5e4565d0d0793f38</x:v>
      </x:c>
      <x:c r="H307" s="2" t="str">
        <x:v>務まる</x:v>
      </x:c>
      <x:c r="I307" s="2" t="str">
        <x:v>つとまる</x:v>
      </x:c>
      <x:c r="J307" s="8" t="str">
        <x:v>감당할 수 있다, 적임이다</x:v>
      </x:c>
      <x:c r="K307" s="2" t="str">
        <x:v>verb</x:v>
      </x:c>
      <x:c r="L307" s="9" t="n">
        <x:v>2.67</x:v>
      </x:c>
      <x:c r="M307" s="2" t="str">
        <x:v>없음</x:v>
      </x:c>
      <x:c r="N307" s="11" t="n">
        <x:v>30</x:v>
      </x:c>
      <x:c r="O307" s="8" t="str">
        <x:v>일반 사용 빈도 낮은 편(Zipf ≤ 3.0); 검증된 예문 없음; JMdict 우선 어휘 표지 없음</x:v>
      </x:c>
      <x:c r="P307" s="8" t="str">
        <x:v>frequency_le_3_0,no_example,no_jmdict_priority</x:v>
      </x:c>
      <x:c r="Q307" s="2" t="str"/>
      <x:c r="R307" s="2" t="str"/>
      <x:c r="S307" s="2" t="str"/>
      <x:c r="T307" s="2" t="str"/>
      <x:c r="U307" s="2" t="str"/>
      <x:c r="V307" s="2" t="str">
        <x:v>아니오</x:v>
      </x:c>
      <x:c r="W307" s="2" t="str">
        <x:v>예</x:v>
      </x:c>
      <x:c r="X307" s="2" t="str"/>
      <x:c r="Y307" s="2" t="n">
        <x:v>0</x:v>
      </x:c>
      <x:c r="Z307" s="2" t="str"/>
      <x:c r="AA307" s="2" t="n">
        <x:v>0</x:v>
      </x:c>
      <x:c r="AB307" s="8" t="str"/>
      <x:c r="AC307" s="8" t="str"/>
      <x:c r="AD307" s="8" t="str">
        <x:v>["ko-reviewed"]</x:v>
      </x:c>
      <x:c r="AE307" s="8" t="str">
        <x:v>검토 필요</x:v>
      </x:c>
      <x:c r="AF307" s="8" t="str"/>
    </x:row>
    <x:row r="308">
      <x:c r="A308" s="10" t="n">
        <x:v>307</x:v>
      </x:c>
      <x:c r="B308" s="2" t="str">
        <x:v>2차 보류</x:v>
      </x:c>
      <x:c r="C308" s="2" t="str">
        <x:v>2차 보류</x:v>
      </x:c>
      <x:c r="D308" s="2" t="str">
        <x:v>낮음</x:v>
      </x:c>
      <x:c r="E308" s="2" t="str">
        <x:v>N2</x:v>
      </x:c>
      <x:c r="F308" s="10" t="n">
        <x:v>116</x:v>
      </x:c>
      <x:c r="G308" s="2" t="str">
        <x:v>w_f1fcc99d67415f95</x:v>
      </x:c>
      <x:c r="H308" s="2" t="str">
        <x:v>羨む</x:v>
      </x:c>
      <x:c r="I308" s="2" t="str">
        <x:v>うらやむ</x:v>
      </x:c>
      <x:c r="J308" s="8" t="str">
        <x:v>부러워하다</x:v>
      </x:c>
      <x:c r="K308" s="2" t="str">
        <x:v>verb</x:v>
      </x:c>
      <x:c r="L308" s="9" t="n">
        <x:v>2.68</x:v>
      </x:c>
      <x:c r="M308" s="2" t="str">
        <x:v>없음</x:v>
      </x:c>
      <x:c r="N308" s="11" t="n">
        <x:v>30</x:v>
      </x:c>
      <x:c r="O308" s="8" t="str">
        <x:v>일반 사용 빈도 낮은 편(Zipf ≤ 3.0); 검증된 예문 없음; JMdict 우선 어휘 표지 없음</x:v>
      </x:c>
      <x:c r="P308" s="8" t="str">
        <x:v>frequency_le_3_0,no_example,no_jmdict_priority</x:v>
      </x:c>
      <x:c r="Q308" s="2" t="str"/>
      <x:c r="R308" s="2" t="str"/>
      <x:c r="S308" s="2" t="str"/>
      <x:c r="T308" s="2" t="str"/>
      <x:c r="U308" s="2" t="str"/>
      <x:c r="V308" s="2" t="str">
        <x:v>아니오</x:v>
      </x:c>
      <x:c r="W308" s="2" t="str">
        <x:v>예</x:v>
      </x:c>
      <x:c r="X308" s="2" t="str"/>
      <x:c r="Y308" s="2" t="n">
        <x:v>0</x:v>
      </x:c>
      <x:c r="Z308" s="2" t="str"/>
      <x:c r="AA308" s="2" t="n">
        <x:v>0</x:v>
      </x:c>
      <x:c r="AB308" s="8" t="str"/>
      <x:c r="AC308" s="8" t="str"/>
      <x:c r="AD308" s="8" t="str">
        <x:v>["ko-reviewed"]</x:v>
      </x:c>
      <x:c r="AE308" s="8" t="str">
        <x:v>검토 필요</x:v>
      </x:c>
      <x:c r="AF308" s="8" t="str"/>
    </x:row>
    <x:row r="309">
      <x:c r="A309" s="10" t="n">
        <x:v>308</x:v>
      </x:c>
      <x:c r="B309" s="2" t="str">
        <x:v>2차 보류</x:v>
      </x:c>
      <x:c r="C309" s="2" t="str">
        <x:v>2차 보류</x:v>
      </x:c>
      <x:c r="D309" s="2" t="str">
        <x:v>낮음</x:v>
      </x:c>
      <x:c r="E309" s="2" t="str">
        <x:v>N1</x:v>
      </x:c>
      <x:c r="F309" s="10" t="n">
        <x:v>125</x:v>
      </x:c>
      <x:c r="G309" s="2" t="str">
        <x:v>w_ac5b23aa4edd30f1</x:v>
      </x:c>
      <x:c r="H309" s="2" t="str">
        <x:v>当て字</x:v>
      </x:c>
      <x:c r="I309" s="2" t="str">
        <x:v>あてじ</x:v>
      </x:c>
      <x:c r="J309" s="8" t="str">
        <x:v>취음자, 차자</x:v>
      </x:c>
      <x:c r="K309" s="2" t="str">
        <x:v>noun</x:v>
      </x:c>
      <x:c r="L309" s="9" t="n">
        <x:v>2.73</x:v>
      </x:c>
      <x:c r="M309" s="2" t="str">
        <x:v>없음</x:v>
      </x:c>
      <x:c r="N309" s="11" t="n">
        <x:v>30</x:v>
      </x:c>
      <x:c r="O309" s="8" t="str">
        <x:v>일반 사용 빈도 낮은 편(Zipf ≤ 3.0); 검증된 예문 없음; JMdict 우선 어휘 표지 없음</x:v>
      </x:c>
      <x:c r="P309" s="8" t="str">
        <x:v>frequency_le_3_0,no_example,no_jmdict_priority</x:v>
      </x:c>
      <x:c r="Q309" s="2" t="str"/>
      <x:c r="R309" s="2" t="str"/>
      <x:c r="S309" s="2" t="str"/>
      <x:c r="T309" s="2" t="str"/>
      <x:c r="U309" s="2" t="str"/>
      <x:c r="V309" s="2" t="str">
        <x:v>아니오</x:v>
      </x:c>
      <x:c r="W309" s="2" t="str">
        <x:v>예</x:v>
      </x:c>
      <x:c r="X309" s="2" t="str"/>
      <x:c r="Y309" s="2" t="n">
        <x:v>0</x:v>
      </x:c>
      <x:c r="Z309" s="2" t="str"/>
      <x:c r="AA309" s="2" t="n">
        <x:v>0</x:v>
      </x:c>
      <x:c r="AB309" s="8" t="str"/>
      <x:c r="AC309" s="8" t="str"/>
      <x:c r="AD309" s="8" t="str">
        <x:v>["ko-reviewed"]</x:v>
      </x:c>
      <x:c r="AE309" s="8" t="str">
        <x:v>검토 필요</x:v>
      </x:c>
      <x:c r="AF309" s="8" t="str"/>
    </x:row>
    <x:row r="310">
      <x:c r="A310" s="10" t="n">
        <x:v>309</x:v>
      </x:c>
      <x:c r="B310" s="2" t="str">
        <x:v>2차 보류</x:v>
      </x:c>
      <x:c r="C310" s="2" t="str">
        <x:v>2차 보류</x:v>
      </x:c>
      <x:c r="D310" s="2" t="str">
        <x:v>낮음</x:v>
      </x:c>
      <x:c r="E310" s="2" t="str">
        <x:v>N1</x:v>
      </x:c>
      <x:c r="F310" s="10" t="n">
        <x:v>126</x:v>
      </x:c>
      <x:c r="G310" s="2" t="str">
        <x:v>w_5cb3e3baba775b61</x:v>
      </x:c>
      <x:c r="H310" s="2" t="str">
        <x:v>ほっぺた</x:v>
      </x:c>
      <x:c r="I310" s="2" t="str">
        <x:v>ほっぺた</x:v>
      </x:c>
      <x:c r="J310" s="8" t="str">
        <x:v>뺨</x:v>
      </x:c>
      <x:c r="K310" s="2" t="str">
        <x:v>noun</x:v>
      </x:c>
      <x:c r="L310" s="9" t="n">
        <x:v>2.74</x:v>
      </x:c>
      <x:c r="M310" s="2" t="str">
        <x:v>없음</x:v>
      </x:c>
      <x:c r="N310" s="11" t="n">
        <x:v>30</x:v>
      </x:c>
      <x:c r="O310" s="8" t="str">
        <x:v>일반 사용 빈도 낮은 편(Zipf ≤ 3.0); 검증된 예문 없음; JMdict 우선 어휘 표지 없음</x:v>
      </x:c>
      <x:c r="P310" s="8" t="str">
        <x:v>frequency_le_3_0,no_example,no_jmdict_priority</x:v>
      </x:c>
      <x:c r="Q310" s="2" t="str"/>
      <x:c r="R310" s="2" t="str"/>
      <x:c r="S310" s="2" t="str"/>
      <x:c r="T310" s="2" t="str"/>
      <x:c r="U310" s="2" t="str"/>
      <x:c r="V310" s="2" t="str">
        <x:v>아니오</x:v>
      </x:c>
      <x:c r="W310" s="2" t="str">
        <x:v>아니오</x:v>
      </x:c>
      <x:c r="X310" s="2" t="str"/>
      <x:c r="Y310" s="2" t="n">
        <x:v>0</x:v>
      </x:c>
      <x:c r="Z310" s="2" t="str"/>
      <x:c r="AA310" s="2" t="n">
        <x:v>0</x:v>
      </x:c>
      <x:c r="AB310" s="8" t="str"/>
      <x:c r="AC310" s="8" t="str"/>
      <x:c r="AD310" s="8" t="str">
        <x:v>["ko-reviewed"]</x:v>
      </x:c>
      <x:c r="AE310" s="8" t="str">
        <x:v>검토 필요</x:v>
      </x:c>
      <x:c r="AF310" s="8" t="str"/>
    </x:row>
    <x:row r="311">
      <x:c r="A311" s="10" t="n">
        <x:v>310</x:v>
      </x:c>
      <x:c r="B311" s="2" t="str">
        <x:v>2차 보류</x:v>
      </x:c>
      <x:c r="C311" s="2" t="str">
        <x:v>2차 보류</x:v>
      </x:c>
      <x:c r="D311" s="2" t="str">
        <x:v>낮음</x:v>
      </x:c>
      <x:c r="E311" s="2" t="str">
        <x:v>N1</x:v>
      </x:c>
      <x:c r="F311" s="10" t="n">
        <x:v>127</x:v>
      </x:c>
      <x:c r="G311" s="2" t="str">
        <x:v>w_9e8080f050b0241f</x:v>
      </x:c>
      <x:c r="H311" s="2" t="str">
        <x:v>ずぶぬれ</x:v>
      </x:c>
      <x:c r="I311" s="2" t="str">
        <x:v>ずぶぬれ</x:v>
      </x:c>
      <x:c r="J311" s="8" t="str">
        <x:v>흠뻑 젖음</x:v>
      </x:c>
      <x:c r="K311" s="2" t="str">
        <x:v>adjective</x:v>
      </x:c>
      <x:c r="L311" s="9" t="n">
        <x:v>2.74</x:v>
      </x:c>
      <x:c r="M311" s="2" t="str">
        <x:v>없음</x:v>
      </x:c>
      <x:c r="N311" s="11" t="n">
        <x:v>30</x:v>
      </x:c>
      <x:c r="O311" s="8" t="str">
        <x:v>일반 사용 빈도 낮은 편(Zipf ≤ 3.0); 검증된 예문 없음; JMdict 우선 어휘 표지 없음</x:v>
      </x:c>
      <x:c r="P311" s="8" t="str">
        <x:v>frequency_le_3_0,no_example,no_jmdict_priority</x:v>
      </x:c>
      <x:c r="Q311" s="2" t="str"/>
      <x:c r="R311" s="2" t="str"/>
      <x:c r="S311" s="2" t="str"/>
      <x:c r="T311" s="2" t="str"/>
      <x:c r="U311" s="2" t="str"/>
      <x:c r="V311" s="2" t="str">
        <x:v>아니오</x:v>
      </x:c>
      <x:c r="W311" s="2" t="str">
        <x:v>아니오</x:v>
      </x:c>
      <x:c r="X311" s="2" t="str"/>
      <x:c r="Y311" s="2" t="n">
        <x:v>0</x:v>
      </x:c>
      <x:c r="Z311" s="2" t="str"/>
      <x:c r="AA311" s="2" t="n">
        <x:v>0</x:v>
      </x:c>
      <x:c r="AB311" s="8" t="str"/>
      <x:c r="AC311" s="8" t="str"/>
      <x:c r="AD311" s="8" t="str">
        <x:v>["ko-reviewed"]</x:v>
      </x:c>
      <x:c r="AE311" s="8" t="str">
        <x:v>검토 필요</x:v>
      </x:c>
      <x:c r="AF311" s="8" t="str"/>
    </x:row>
    <x:row r="312">
      <x:c r="A312" s="10" t="n">
        <x:v>311</x:v>
      </x:c>
      <x:c r="B312" s="2" t="str">
        <x:v>2차 보류</x:v>
      </x:c>
      <x:c r="C312" s="2" t="str">
        <x:v>2차 보류</x:v>
      </x:c>
      <x:c r="D312" s="2" t="str">
        <x:v>낮음</x:v>
      </x:c>
      <x:c r="E312" s="2" t="str">
        <x:v>N1</x:v>
      </x:c>
      <x:c r="F312" s="10" t="n">
        <x:v>128</x:v>
      </x:c>
      <x:c r="G312" s="2" t="str">
        <x:v>w_cc094fbf01db7655</x:v>
      </x:c>
      <x:c r="H312" s="2" t="str">
        <x:v>感無量</x:v>
      </x:c>
      <x:c r="I312" s="2" t="str">
        <x:v>かんむりょう</x:v>
      </x:c>
      <x:c r="J312" s="8" t="str">
        <x:v>감개무량</x:v>
      </x:c>
      <x:c r="K312" s="2" t="str">
        <x:v>noun</x:v>
      </x:c>
      <x:c r="L312" s="9" t="n">
        <x:v>2.74</x:v>
      </x:c>
      <x:c r="M312" s="2" t="str">
        <x:v>없음</x:v>
      </x:c>
      <x:c r="N312" s="11" t="n">
        <x:v>30</x:v>
      </x:c>
      <x:c r="O312" s="8" t="str">
        <x:v>일반 사용 빈도 낮은 편(Zipf ≤ 3.0); 검증된 예문 없음; JMdict 우선 어휘 표지 없음</x:v>
      </x:c>
      <x:c r="P312" s="8" t="str">
        <x:v>frequency_le_3_0,no_example,no_jmdict_priority</x:v>
      </x:c>
      <x:c r="Q312" s="2" t="str"/>
      <x:c r="R312" s="2" t="str"/>
      <x:c r="S312" s="2" t="str"/>
      <x:c r="T312" s="2" t="str"/>
      <x:c r="U312" s="2" t="str"/>
      <x:c r="V312" s="2" t="str">
        <x:v>아니오</x:v>
      </x:c>
      <x:c r="W312" s="2" t="str">
        <x:v>예</x:v>
      </x:c>
      <x:c r="X312" s="2" t="str"/>
      <x:c r="Y312" s="2" t="n">
        <x:v>0</x:v>
      </x:c>
      <x:c r="Z312" s="2" t="str"/>
      <x:c r="AA312" s="2" t="n">
        <x:v>0</x:v>
      </x:c>
      <x:c r="AB312" s="8" t="str"/>
      <x:c r="AC312" s="8" t="str"/>
      <x:c r="AD312" s="8" t="str">
        <x:v>["ko-reviewed"]</x:v>
      </x:c>
      <x:c r="AE312" s="8" t="str">
        <x:v>검토 필요</x:v>
      </x:c>
      <x:c r="AF312" s="8" t="str"/>
    </x:row>
    <x:row r="313">
      <x:c r="A313" s="10" t="n">
        <x:v>312</x:v>
      </x:c>
      <x:c r="B313" s="2" t="str">
        <x:v>2차 보류</x:v>
      </x:c>
      <x:c r="C313" s="2" t="str">
        <x:v>2차 보류</x:v>
      </x:c>
      <x:c r="D313" s="2" t="str">
        <x:v>낮음</x:v>
      </x:c>
      <x:c r="E313" s="2" t="str">
        <x:v>N1</x:v>
      </x:c>
      <x:c r="F313" s="10" t="n">
        <x:v>129</x:v>
      </x:c>
      <x:c r="G313" s="2" t="str">
        <x:v>w_dedf9fd02b6d9ae9</x:v>
      </x:c>
      <x:c r="H313" s="2" t="str">
        <x:v>すみやか</x:v>
      </x:c>
      <x:c r="I313" s="2" t="str">
        <x:v>すみやか</x:v>
      </x:c>
      <x:c r="J313" s="8" t="str">
        <x:v>신속함</x:v>
      </x:c>
      <x:c r="K313" s="2" t="str">
        <x:v>adjective</x:v>
      </x:c>
      <x:c r="L313" s="9" t="n">
        <x:v>2.74</x:v>
      </x:c>
      <x:c r="M313" s="2" t="str">
        <x:v>없음</x:v>
      </x:c>
      <x:c r="N313" s="11" t="n">
        <x:v>30</x:v>
      </x:c>
      <x:c r="O313" s="8" t="str">
        <x:v>일반 사용 빈도 낮은 편(Zipf ≤ 3.0); 검증된 예문 없음; JMdict 우선 어휘 표지 없음</x:v>
      </x:c>
      <x:c r="P313" s="8" t="str">
        <x:v>frequency_le_3_0,no_example,no_jmdict_priority</x:v>
      </x:c>
      <x:c r="Q313" s="2" t="str"/>
      <x:c r="R313" s="2" t="str"/>
      <x:c r="S313" s="2" t="str"/>
      <x:c r="T313" s="2" t="str"/>
      <x:c r="U313" s="2" t="str"/>
      <x:c r="V313" s="2" t="str">
        <x:v>아니오</x:v>
      </x:c>
      <x:c r="W313" s="2" t="str">
        <x:v>아니오</x:v>
      </x:c>
      <x:c r="X313" s="2" t="str"/>
      <x:c r="Y313" s="2" t="n">
        <x:v>0</x:v>
      </x:c>
      <x:c r="Z313" s="2" t="str"/>
      <x:c r="AA313" s="2" t="n">
        <x:v>0</x:v>
      </x:c>
      <x:c r="AB313" s="8" t="str"/>
      <x:c r="AC313" s="8" t="str"/>
      <x:c r="AD313" s="8" t="str">
        <x:v>["ko-reviewed"]</x:v>
      </x:c>
      <x:c r="AE313" s="8" t="str">
        <x:v>검토 필요</x:v>
      </x:c>
      <x:c r="AF313" s="8" t="str"/>
    </x:row>
    <x:row r="314">
      <x:c r="A314" s="10" t="n">
        <x:v>313</x:v>
      </x:c>
      <x:c r="B314" s="2" t="str">
        <x:v>2차 보류</x:v>
      </x:c>
      <x:c r="C314" s="2" t="str">
        <x:v>2차 보류</x:v>
      </x:c>
      <x:c r="D314" s="2" t="str">
        <x:v>낮음</x:v>
      </x:c>
      <x:c r="E314" s="2" t="str">
        <x:v>N2</x:v>
      </x:c>
      <x:c r="F314" s="10" t="n">
        <x:v>117</x:v>
      </x:c>
      <x:c r="G314" s="2" t="str">
        <x:v>w_223d84b37ca2476b</x:v>
      </x:c>
      <x:c r="H314" s="2" t="str">
        <x:v>しびれる</x:v>
      </x:c>
      <x:c r="I314" s="2" t="str">
        <x:v>しびれる</x:v>
      </x:c>
      <x:c r="J314" s="8" t="str">
        <x:v>저리다, 마비되다</x:v>
      </x:c>
      <x:c r="K314" s="2" t="str">
        <x:v>verb</x:v>
      </x:c>
      <x:c r="L314" s="9" t="n">
        <x:v>2.75</x:v>
      </x:c>
      <x:c r="M314" s="2" t="str">
        <x:v>없음</x:v>
      </x:c>
      <x:c r="N314" s="11" t="n">
        <x:v>30</x:v>
      </x:c>
      <x:c r="O314" s="8" t="str">
        <x:v>일반 사용 빈도 낮은 편(Zipf ≤ 3.0); 검증된 예문 없음; JMdict 우선 어휘 표지 없음</x:v>
      </x:c>
      <x:c r="P314" s="8" t="str">
        <x:v>frequency_le_3_0,no_example,no_jmdict_priority</x:v>
      </x:c>
      <x:c r="Q314" s="2" t="str"/>
      <x:c r="R314" s="2" t="str"/>
      <x:c r="S314" s="2" t="str"/>
      <x:c r="T314" s="2" t="str"/>
      <x:c r="U314" s="2" t="str"/>
      <x:c r="V314" s="2" t="str">
        <x:v>아니오</x:v>
      </x:c>
      <x:c r="W314" s="2" t="str">
        <x:v>아니오</x:v>
      </x:c>
      <x:c r="X314" s="2" t="str"/>
      <x:c r="Y314" s="2" t="n">
        <x:v>0</x:v>
      </x:c>
      <x:c r="Z314" s="2" t="str"/>
      <x:c r="AA314" s="2" t="n">
        <x:v>0</x:v>
      </x:c>
      <x:c r="AB314" s="8" t="str"/>
      <x:c r="AC314" s="8" t="str"/>
      <x:c r="AD314" s="8" t="str">
        <x:v>["ko-reviewed"]</x:v>
      </x:c>
      <x:c r="AE314" s="8" t="str">
        <x:v>검토 필요</x:v>
      </x:c>
      <x:c r="AF314" s="8" t="str"/>
    </x:row>
    <x:row r="315">
      <x:c r="A315" s="10" t="n">
        <x:v>314</x:v>
      </x:c>
      <x:c r="B315" s="2" t="str">
        <x:v>2차 보류</x:v>
      </x:c>
      <x:c r="C315" s="2" t="str">
        <x:v>2차 보류</x:v>
      </x:c>
      <x:c r="D315" s="2" t="str">
        <x:v>낮음</x:v>
      </x:c>
      <x:c r="E315" s="2" t="str">
        <x:v>N2</x:v>
      </x:c>
      <x:c r="F315" s="10" t="n">
        <x:v>118</x:v>
      </x:c>
      <x:c r="G315" s="2" t="str">
        <x:v>w_4290fb96efeb7a22</x:v>
      </x:c>
      <x:c r="H315" s="2" t="str">
        <x:v>みじめ</x:v>
      </x:c>
      <x:c r="I315" s="2" t="str">
        <x:v>みじめ</x:v>
      </x:c>
      <x:c r="J315" s="8" t="str">
        <x:v>비참함, 초라함</x:v>
      </x:c>
      <x:c r="K315" s="2" t="str">
        <x:v>adjective</x:v>
      </x:c>
      <x:c r="L315" s="9" t="n">
        <x:v>2.75</x:v>
      </x:c>
      <x:c r="M315" s="2" t="str">
        <x:v>없음</x:v>
      </x:c>
      <x:c r="N315" s="11" t="n">
        <x:v>30</x:v>
      </x:c>
      <x:c r="O315" s="8" t="str">
        <x:v>일반 사용 빈도 낮은 편(Zipf ≤ 3.0); 검증된 예문 없음; JMdict 우선 어휘 표지 없음</x:v>
      </x:c>
      <x:c r="P315" s="8" t="str">
        <x:v>frequency_le_3_0,no_example,no_jmdict_priority</x:v>
      </x:c>
      <x:c r="Q315" s="2" t="str"/>
      <x:c r="R315" s="2" t="str"/>
      <x:c r="S315" s="2" t="str"/>
      <x:c r="T315" s="2" t="str"/>
      <x:c r="U315" s="2" t="str"/>
      <x:c r="V315" s="2" t="str">
        <x:v>아니오</x:v>
      </x:c>
      <x:c r="W315" s="2" t="str">
        <x:v>아니오</x:v>
      </x:c>
      <x:c r="X315" s="2" t="str"/>
      <x:c r="Y315" s="2" t="n">
        <x:v>0</x:v>
      </x:c>
      <x:c r="Z315" s="2" t="str"/>
      <x:c r="AA315" s="2" t="n">
        <x:v>0</x:v>
      </x:c>
      <x:c r="AB315" s="8" t="str"/>
      <x:c r="AC315" s="8" t="str"/>
      <x:c r="AD315" s="8" t="str">
        <x:v>["backfill-replacement","assistant-ko-reviewed"]</x:v>
      </x:c>
      <x:c r="AE315" s="8" t="str">
        <x:v>검토 필요</x:v>
      </x:c>
      <x:c r="AF315" s="8" t="str"/>
    </x:row>
    <x:row r="316">
      <x:c r="A316" s="10" t="n">
        <x:v>315</x:v>
      </x:c>
      <x:c r="B316" s="2" t="str">
        <x:v>2차 보류</x:v>
      </x:c>
      <x:c r="C316" s="2" t="str">
        <x:v>2차 보류</x:v>
      </x:c>
      <x:c r="D316" s="2" t="str">
        <x:v>낮음</x:v>
      </x:c>
      <x:c r="E316" s="2" t="str">
        <x:v>N2</x:v>
      </x:c>
      <x:c r="F316" s="10" t="n">
        <x:v>119</x:v>
      </x:c>
      <x:c r="G316" s="2" t="str">
        <x:v>w_8f0ec5850d718e20</x:v>
      </x:c>
      <x:c r="H316" s="2" t="str">
        <x:v>やっつける</x:v>
      </x:c>
      <x:c r="I316" s="2" t="str">
        <x:v>やっつける</x:v>
      </x:c>
      <x:c r="J316" s="8" t="str">
        <x:v>해치우다, 물리치다</x:v>
      </x:c>
      <x:c r="K316" s="2" t="str">
        <x:v>verb</x:v>
      </x:c>
      <x:c r="L316" s="9" t="n">
        <x:v>2.78</x:v>
      </x:c>
      <x:c r="M316" s="2" t="str">
        <x:v>없음</x:v>
      </x:c>
      <x:c r="N316" s="11" t="n">
        <x:v>30</x:v>
      </x:c>
      <x:c r="O316" s="8" t="str">
        <x:v>일반 사용 빈도 낮은 편(Zipf ≤ 3.0); 검증된 예문 없음; JMdict 우선 어휘 표지 없음</x:v>
      </x:c>
      <x:c r="P316" s="8" t="str">
        <x:v>frequency_le_3_0,no_example,no_jmdict_priority</x:v>
      </x:c>
      <x:c r="Q316" s="2" t="str"/>
      <x:c r="R316" s="2" t="str"/>
      <x:c r="S316" s="2" t="str"/>
      <x:c r="T316" s="2" t="str"/>
      <x:c r="U316" s="2" t="str"/>
      <x:c r="V316" s="2" t="str">
        <x:v>아니오</x:v>
      </x:c>
      <x:c r="W316" s="2" t="str">
        <x:v>아니오</x:v>
      </x:c>
      <x:c r="X316" s="2" t="str"/>
      <x:c r="Y316" s="2" t="n">
        <x:v>0</x:v>
      </x:c>
      <x:c r="Z316" s="2" t="str"/>
      <x:c r="AA316" s="2" t="n">
        <x:v>0</x:v>
      </x:c>
      <x:c r="AB316" s="8" t="str"/>
      <x:c r="AC316" s="8" t="str"/>
      <x:c r="AD316" s="8" t="str">
        <x:v>["backfill-replacement","assistant-ko-reviewed"]</x:v>
      </x:c>
      <x:c r="AE316" s="8" t="str">
        <x:v>검토 필요</x:v>
      </x:c>
      <x:c r="AF316" s="8" t="str"/>
    </x:row>
    <x:row r="317">
      <x:c r="A317" s="10" t="n">
        <x:v>316</x:v>
      </x:c>
      <x:c r="B317" s="2" t="str">
        <x:v>2차 보류</x:v>
      </x:c>
      <x:c r="C317" s="2" t="str">
        <x:v>2차 보류</x:v>
      </x:c>
      <x:c r="D317" s="2" t="str">
        <x:v>낮음</x:v>
      </x:c>
      <x:c r="E317" s="2" t="str">
        <x:v>N1</x:v>
      </x:c>
      <x:c r="F317" s="10" t="n">
        <x:v>130</x:v>
      </x:c>
      <x:c r="G317" s="2" t="str">
        <x:v>w_3cda83b332d13448</x:v>
      </x:c>
      <x:c r="H317" s="2" t="str">
        <x:v>はかない</x:v>
      </x:c>
      <x:c r="I317" s="2" t="str">
        <x:v>はかない</x:v>
      </x:c>
      <x:c r="J317" s="8" t="str">
        <x:v>덧없다</x:v>
      </x:c>
      <x:c r="K317" s="2" t="str">
        <x:v>adjective</x:v>
      </x:c>
      <x:c r="L317" s="9" t="n">
        <x:v>2.81</x:v>
      </x:c>
      <x:c r="M317" s="2" t="str">
        <x:v>없음</x:v>
      </x:c>
      <x:c r="N317" s="11" t="n">
        <x:v>30</x:v>
      </x:c>
      <x:c r="O317" s="8" t="str">
        <x:v>일반 사용 빈도 낮은 편(Zipf ≤ 3.0); 검증된 예문 없음; JMdict 우선 어휘 표지 없음</x:v>
      </x:c>
      <x:c r="P317" s="8" t="str">
        <x:v>frequency_le_3_0,no_example,no_jmdict_priority</x:v>
      </x:c>
      <x:c r="Q317" s="2" t="str"/>
      <x:c r="R317" s="2" t="str"/>
      <x:c r="S317" s="2" t="str"/>
      <x:c r="T317" s="2" t="str"/>
      <x:c r="U317" s="2" t="str"/>
      <x:c r="V317" s="2" t="str">
        <x:v>아니오</x:v>
      </x:c>
      <x:c r="W317" s="2" t="str">
        <x:v>아니오</x:v>
      </x:c>
      <x:c r="X317" s="2" t="str"/>
      <x:c r="Y317" s="2" t="n">
        <x:v>0</x:v>
      </x:c>
      <x:c r="Z317" s="2" t="str"/>
      <x:c r="AA317" s="2" t="n">
        <x:v>0</x:v>
      </x:c>
      <x:c r="AB317" s="8" t="str"/>
      <x:c r="AC317" s="8" t="str"/>
      <x:c r="AD317" s="8" t="str">
        <x:v>["ko-reviewed"]</x:v>
      </x:c>
      <x:c r="AE317" s="8" t="str">
        <x:v>검토 필요</x:v>
      </x:c>
      <x:c r="AF317" s="8" t="str"/>
    </x:row>
    <x:row r="318">
      <x:c r="A318" s="10" t="n">
        <x:v>317</x:v>
      </x:c>
      <x:c r="B318" s="2" t="str">
        <x:v>2차 보류</x:v>
      </x:c>
      <x:c r="C318" s="2" t="str">
        <x:v>2차 보류</x:v>
      </x:c>
      <x:c r="D318" s="2" t="str">
        <x:v>낮음</x:v>
      </x:c>
      <x:c r="E318" s="2" t="str">
        <x:v>N1</x:v>
      </x:c>
      <x:c r="F318" s="10" t="n">
        <x:v>131</x:v>
      </x:c>
      <x:c r="G318" s="2" t="str">
        <x:v>w_d159e147878a7eae</x:v>
      </x:c>
      <x:c r="H318" s="2" t="str">
        <x:v>くすぐったい</x:v>
      </x:c>
      <x:c r="I318" s="2" t="str">
        <x:v>くすぐったい</x:v>
      </x:c>
      <x:c r="J318" s="8" t="str">
        <x:v>간지럽다</x:v>
      </x:c>
      <x:c r="K318" s="2" t="str">
        <x:v>adjective</x:v>
      </x:c>
      <x:c r="L318" s="9" t="n">
        <x:v>2.87</x:v>
      </x:c>
      <x:c r="M318" s="2" t="str">
        <x:v>없음</x:v>
      </x:c>
      <x:c r="N318" s="11" t="n">
        <x:v>30</x:v>
      </x:c>
      <x:c r="O318" s="8" t="str">
        <x:v>일반 사용 빈도 낮은 편(Zipf ≤ 3.0); 검증된 예문 없음; JMdict 우선 어휘 표지 없음</x:v>
      </x:c>
      <x:c r="P318" s="8" t="str">
        <x:v>frequency_le_3_0,no_example,no_jmdict_priority</x:v>
      </x:c>
      <x:c r="Q318" s="2" t="str"/>
      <x:c r="R318" s="2" t="str"/>
      <x:c r="S318" s="2" t="str"/>
      <x:c r="T318" s="2" t="str"/>
      <x:c r="U318" s="2" t="str"/>
      <x:c r="V318" s="2" t="str">
        <x:v>아니오</x:v>
      </x:c>
      <x:c r="W318" s="2" t="str">
        <x:v>아니오</x:v>
      </x:c>
      <x:c r="X318" s="2" t="str"/>
      <x:c r="Y318" s="2" t="n">
        <x:v>0</x:v>
      </x:c>
      <x:c r="Z318" s="2" t="str"/>
      <x:c r="AA318" s="2" t="n">
        <x:v>0</x:v>
      </x:c>
      <x:c r="AB318" s="8" t="str"/>
      <x:c r="AC318" s="8" t="str"/>
      <x:c r="AD318" s="8" t="str">
        <x:v>["ko-reviewed"]</x:v>
      </x:c>
      <x:c r="AE318" s="8" t="str">
        <x:v>검토 필요</x:v>
      </x:c>
      <x:c r="AF318" s="8" t="str"/>
    </x:row>
    <x:row r="319">
      <x:c r="A319" s="10" t="n">
        <x:v>318</x:v>
      </x:c>
      <x:c r="B319" s="2" t="str">
        <x:v>2차 보류</x:v>
      </x:c>
      <x:c r="C319" s="2" t="str">
        <x:v>2차 보류</x:v>
      </x:c>
      <x:c r="D319" s="2" t="str">
        <x:v>낮음</x:v>
      </x:c>
      <x:c r="E319" s="2" t="str">
        <x:v>N1</x:v>
      </x:c>
      <x:c r="F319" s="10" t="n">
        <x:v>132</x:v>
      </x:c>
      <x:c r="G319" s="2" t="str">
        <x:v>w_7d0ecfb78c7fc86d</x:v>
      </x:c>
      <x:c r="H319" s="2" t="str">
        <x:v>きまりわるい</x:v>
      </x:c>
      <x:c r="I319" s="2" t="str">
        <x:v>きまりわるい</x:v>
      </x:c>
      <x:c r="J319" s="8" t="str">
        <x:v>어색하다, 쑥스럽다</x:v>
      </x:c>
      <x:c r="K319" s="2" t="str">
        <x:v>adjective</x:v>
      </x:c>
      <x:c r="L319" s="9" t="n">
        <x:v>2.89</x:v>
      </x:c>
      <x:c r="M319" s="2" t="str">
        <x:v>없음</x:v>
      </x:c>
      <x:c r="N319" s="11" t="n">
        <x:v>30</x:v>
      </x:c>
      <x:c r="O319" s="8" t="str">
        <x:v>일반 사용 빈도 낮은 편(Zipf ≤ 3.0); 검증된 예문 없음; JMdict 우선 어휘 표지 없음</x:v>
      </x:c>
      <x:c r="P319" s="8" t="str">
        <x:v>frequency_le_3_0,no_example,no_jmdict_priority</x:v>
      </x:c>
      <x:c r="Q319" s="2" t="str"/>
      <x:c r="R319" s="2" t="str"/>
      <x:c r="S319" s="2" t="str"/>
      <x:c r="T319" s="2" t="str"/>
      <x:c r="U319" s="2" t="str"/>
      <x:c r="V319" s="2" t="str">
        <x:v>아니오</x:v>
      </x:c>
      <x:c r="W319" s="2" t="str">
        <x:v>아니오</x:v>
      </x:c>
      <x:c r="X319" s="2" t="str"/>
      <x:c r="Y319" s="2" t="n">
        <x:v>0</x:v>
      </x:c>
      <x:c r="Z319" s="2" t="str"/>
      <x:c r="AA319" s="2" t="n">
        <x:v>0</x:v>
      </x:c>
      <x:c r="AB319" s="8" t="str"/>
      <x:c r="AC319" s="8" t="str"/>
      <x:c r="AD319" s="8" t="str">
        <x:v>["ko-reviewed"]</x:v>
      </x:c>
      <x:c r="AE319" s="8" t="str">
        <x:v>검토 필요</x:v>
      </x:c>
      <x:c r="AF319" s="8" t="str"/>
    </x:row>
    <x:row r="320">
      <x:c r="A320" s="10" t="n">
        <x:v>319</x:v>
      </x:c>
      <x:c r="B320" s="2" t="str">
        <x:v>2차 보류</x:v>
      </x:c>
      <x:c r="C320" s="2" t="str">
        <x:v>2차 보류</x:v>
      </x:c>
      <x:c r="D320" s="2" t="str">
        <x:v>낮음</x:v>
      </x:c>
      <x:c r="E320" s="2" t="str">
        <x:v>N1</x:v>
      </x:c>
      <x:c r="F320" s="10" t="n">
        <x:v>133</x:v>
      </x:c>
      <x:c r="G320" s="2" t="str">
        <x:v>w_245cb04db1991bb3</x:v>
      </x:c>
      <x:c r="H320" s="2" t="str">
        <x:v>呆然</x:v>
      </x:c>
      <x:c r="I320" s="2" t="str">
        <x:v>ぼうぜん</x:v>
      </x:c>
      <x:c r="J320" s="8" t="str">
        <x:v>망연자실</x:v>
      </x:c>
      <x:c r="K320" s="2" t="str">
        <x:v>adjective</x:v>
      </x:c>
      <x:c r="L320" s="9" t="n">
        <x:v>2.95</x:v>
      </x:c>
      <x:c r="M320" s="2" t="str">
        <x:v>없음</x:v>
      </x:c>
      <x:c r="N320" s="11" t="n">
        <x:v>30</x:v>
      </x:c>
      <x:c r="O320" s="8" t="str">
        <x:v>일반 사용 빈도 낮은 편(Zipf ≤ 3.0); 검증된 예문 없음; JMdict 우선 어휘 표지 없음</x:v>
      </x:c>
      <x:c r="P320" s="8" t="str">
        <x:v>frequency_le_3_0,no_example,no_jmdict_priority</x:v>
      </x:c>
      <x:c r="Q320" s="2" t="str"/>
      <x:c r="R320" s="2" t="str"/>
      <x:c r="S320" s="2" t="str"/>
      <x:c r="T320" s="2" t="str"/>
      <x:c r="U320" s="2" t="str"/>
      <x:c r="V320" s="2" t="str">
        <x:v>아니오</x:v>
      </x:c>
      <x:c r="W320" s="2" t="str">
        <x:v>예</x:v>
      </x:c>
      <x:c r="X320" s="2" t="str"/>
      <x:c r="Y320" s="2" t="n">
        <x:v>0</x:v>
      </x:c>
      <x:c r="Z320" s="2" t="str"/>
      <x:c r="AA320" s="2" t="n">
        <x:v>0</x:v>
      </x:c>
      <x:c r="AB320" s="8" t="str"/>
      <x:c r="AC320" s="8" t="str"/>
      <x:c r="AD320" s="8" t="str">
        <x:v>["ko-reviewed"]</x:v>
      </x:c>
      <x:c r="AE320" s="8" t="str">
        <x:v>검토 필요</x:v>
      </x:c>
      <x:c r="AF320" s="8" t="str"/>
    </x:row>
    <x:row r="321">
      <x:c r="A321" s="10" t="n">
        <x:v>320</x:v>
      </x:c>
      <x:c r="B321" s="2" t="str">
        <x:v>2차 보류</x:v>
      </x:c>
      <x:c r="C321" s="2" t="str">
        <x:v>2차 보류</x:v>
      </x:c>
      <x:c r="D321" s="2" t="str">
        <x:v>낮음</x:v>
      </x:c>
      <x:c r="E321" s="2" t="str">
        <x:v>N2</x:v>
      </x:c>
      <x:c r="F321" s="10" t="n">
        <x:v>120</x:v>
      </x:c>
      <x:c r="G321" s="2" t="str">
        <x:v>w_6ff1ea3a8327e6bd</x:v>
      </x:c>
      <x:c r="H321" s="2" t="str">
        <x:v>あくび</x:v>
      </x:c>
      <x:c r="I321" s="2" t="str">
        <x:v>あくび</x:v>
      </x:c>
      <x:c r="J321" s="8" t="str">
        <x:v>하품</x:v>
      </x:c>
      <x:c r="K321" s="2" t="str">
        <x:v>noun</x:v>
      </x:c>
      <x:c r="L321" s="9" t="n">
        <x:v>2.96</x:v>
      </x:c>
      <x:c r="M321" s="2" t="str">
        <x:v>없음</x:v>
      </x:c>
      <x:c r="N321" s="11" t="n">
        <x:v>30</x:v>
      </x:c>
      <x:c r="O321" s="8" t="str">
        <x:v>일반 사용 빈도 낮은 편(Zipf ≤ 3.0); 검증된 예문 없음; JMdict 우선 어휘 표지 없음</x:v>
      </x:c>
      <x:c r="P321" s="8" t="str">
        <x:v>frequency_le_3_0,no_example,no_jmdict_priority</x:v>
      </x:c>
      <x:c r="Q321" s="2" t="str"/>
      <x:c r="R321" s="2" t="str"/>
      <x:c r="S321" s="2" t="str"/>
      <x:c r="T321" s="2" t="str"/>
      <x:c r="U321" s="2" t="str"/>
      <x:c r="V321" s="2" t="str">
        <x:v>아니오</x:v>
      </x:c>
      <x:c r="W321" s="2" t="str">
        <x:v>아니오</x:v>
      </x:c>
      <x:c r="X321" s="2" t="str"/>
      <x:c r="Y321" s="2" t="n">
        <x:v>0</x:v>
      </x:c>
      <x:c r="Z321" s="2" t="str"/>
      <x:c r="AA321" s="2" t="n">
        <x:v>0</x:v>
      </x:c>
      <x:c r="AB321" s="8" t="str"/>
      <x:c r="AC321" s="8" t="str"/>
      <x:c r="AD321" s="8" t="str">
        <x:v>["ko-reviewed"]</x:v>
      </x:c>
      <x:c r="AE321" s="8" t="str">
        <x:v>검토 필요</x:v>
      </x:c>
      <x:c r="AF321" s="8" t="str"/>
    </x:row>
    <x:row r="322">
      <x:c r="A322" s="10" t="n">
        <x:v>321</x:v>
      </x:c>
      <x:c r="B322" s="2" t="str">
        <x:v>2차 보류</x:v>
      </x:c>
      <x:c r="C322" s="2" t="str">
        <x:v>2차 보류</x:v>
      </x:c>
      <x:c r="D322" s="2" t="str">
        <x:v>낮음</x:v>
      </x:c>
      <x:c r="E322" s="2" t="str">
        <x:v>N1</x:v>
      </x:c>
      <x:c r="F322" s="10" t="n">
        <x:v>134</x:v>
      </x:c>
      <x:c r="G322" s="2" t="str">
        <x:v>w_1bb8381864041618</x:v>
      </x:c>
      <x:c r="H322" s="2" t="str">
        <x:v>ダース</x:v>
      </x:c>
      <x:c r="I322" s="2" t="str">
        <x:v>ダース</x:v>
      </x:c>
      <x:c r="J322" s="8" t="str">
        <x:v>다스</x:v>
      </x:c>
      <x:c r="K322" s="2" t="str">
        <x:v>noun</x:v>
      </x:c>
      <x:c r="L322" s="9" t="n">
        <x:v>3</x:v>
      </x:c>
      <x:c r="M322" s="2" t="str">
        <x:v>없음</x:v>
      </x:c>
      <x:c r="N322" s="11" t="n">
        <x:v>30</x:v>
      </x:c>
      <x:c r="O322" s="8" t="str">
        <x:v>일반 사용 빈도 낮은 편(Zipf ≤ 3.0); 검증된 예문 없음; JMdict 우선 어휘 표지 없음</x:v>
      </x:c>
      <x:c r="P322" s="8" t="str">
        <x:v>frequency_le_3_0,no_example,no_jmdict_priority</x:v>
      </x:c>
      <x:c r="Q322" s="2" t="str"/>
      <x:c r="R322" s="2" t="str"/>
      <x:c r="S322" s="2" t="str"/>
      <x:c r="T322" s="2" t="str"/>
      <x:c r="U322" s="2" t="str"/>
      <x:c r="V322" s="2" t="str">
        <x:v>아니오</x:v>
      </x:c>
      <x:c r="W322" s="2" t="str">
        <x:v>예</x:v>
      </x:c>
      <x:c r="X322" s="2" t="str"/>
      <x:c r="Y322" s="2" t="n">
        <x:v>0</x:v>
      </x:c>
      <x:c r="Z322" s="2" t="str"/>
      <x:c r="AA322" s="2" t="n">
        <x:v>0</x:v>
      </x:c>
      <x:c r="AB322" s="8" t="str">
        <x:v>fiction</x:v>
      </x:c>
      <x:c r="AC322" s="8" t="str"/>
      <x:c r="AD322" s="8" t="str">
        <x:v>["ko-reviewed"]</x:v>
      </x:c>
      <x:c r="AE322" s="8" t="str">
        <x:v>검토 필요</x:v>
      </x:c>
      <x:c r="AF322" s="8" t="str"/>
    </x:row>
    <x:row r="323">
      <x:c r="A323" s="10" t="n">
        <x:v>322</x:v>
      </x:c>
      <x:c r="B323" s="2" t="str">
        <x:v>2차 보류</x:v>
      </x:c>
      <x:c r="C323" s="2" t="str">
        <x:v>2차 보류</x:v>
      </x:c>
      <x:c r="D323" s="2" t="str">
        <x:v>낮음</x:v>
      </x:c>
      <x:c r="E323" s="2" t="str">
        <x:v>N1</x:v>
      </x:c>
      <x:c r="F323" s="10" t="n">
        <x:v>135</x:v>
      </x:c>
      <x:c r="G323" s="2" t="str">
        <x:v>w_7eff656c0a607f2a</x:v>
      </x:c>
      <x:c r="H323" s="2" t="str">
        <x:v>駄作</x:v>
      </x:c>
      <x:c r="I323" s="2" t="str">
        <x:v>ださく</x:v>
      </x:c>
      <x:c r="J323" s="8" t="str">
        <x:v>졸작</x:v>
      </x:c>
      <x:c r="K323" s="2" t="str">
        <x:v>noun</x:v>
      </x:c>
      <x:c r="L323" s="9" t="n">
        <x:v>3.04</x:v>
      </x:c>
      <x:c r="M323" s="2" t="str">
        <x:v>없음</x:v>
      </x:c>
      <x:c r="N323" s="11" t="n">
        <x:v>29</x:v>
      </x:c>
      <x:c r="O323" s="8" t="str">
        <x:v>일반 사용 빈도 보통 이하(Zipf ≤ 3.5); 검증된 예문 없음; JMdict 우선 어휘 표지 없음; 기존 데이터의 한국어 콘텐츠 보강 필요 태그</x:v>
      </x:c>
      <x:c r="P323" s="8" t="str">
        <x:v>frequency_le_3_5,no_example,no_jmdict_priority,weak_legacy_content</x:v>
      </x:c>
      <x:c r="Q323" s="2" t="str"/>
      <x:c r="R323" s="2" t="str"/>
      <x:c r="S323" s="2" t="str"/>
      <x:c r="T323" s="2" t="str"/>
      <x:c r="U323" s="2" t="str"/>
      <x:c r="V323" s="2" t="str">
        <x:v>아니오</x:v>
      </x:c>
      <x:c r="W323" s="2" t="str">
        <x:v>예</x:v>
      </x:c>
      <x:c r="X323" s="2" t="str"/>
      <x:c r="Y323" s="2" t="n">
        <x:v>0</x:v>
      </x:c>
      <x:c r="Z323" s="2" t="str"/>
      <x:c r="AA323" s="2" t="n">
        <x:v>0</x:v>
      </x:c>
      <x:c r="AB323" s="8" t="str"/>
      <x:c r="AC323" s="8" t="str"/>
      <x:c r="AD323" s="8" t="str">
        <x:v>["draft-ko-missing"]</x:v>
      </x:c>
      <x:c r="AE323" s="8" t="str">
        <x:v>검토 필요</x:v>
      </x:c>
      <x:c r="AF323" s="8" t="str"/>
    </x:row>
    <x:row r="324">
      <x:c r="A324" s="10" t="n">
        <x:v>323</x:v>
      </x:c>
      <x:c r="B324" s="2" t="str">
        <x:v>2차 보류</x:v>
      </x:c>
      <x:c r="C324" s="2" t="str">
        <x:v>2차 보류</x:v>
      </x:c>
      <x:c r="D324" s="2" t="str">
        <x:v>낮음</x:v>
      </x:c>
      <x:c r="E324" s="2" t="str">
        <x:v>N3</x:v>
      </x:c>
      <x:c r="F324" s="10" t="n">
        <x:v>36</x:v>
      </x:c>
      <x:c r="G324" s="2" t="str">
        <x:v>w_f1452fbaf48775ed</x:v>
      </x:c>
      <x:c r="H324" s="2" t="str">
        <x:v>揚げる</x:v>
      </x:c>
      <x:c r="I324" s="2" t="str">
        <x:v>あげる</x:v>
      </x:c>
      <x:c r="J324" s="8" t="str">
        <x:v>튀기다; 들어 올리다</x:v>
      </x:c>
      <x:c r="K324" s="2" t="str">
        <x:v>verb</x:v>
      </x:c>
      <x:c r="L324" s="9" t="n">
        <x:v>3.07</x:v>
      </x:c>
      <x:c r="M324" s="2" t="str">
        <x:v>없음</x:v>
      </x:c>
      <x:c r="N324" s="11" t="n">
        <x:v>29</x:v>
      </x:c>
      <x:c r="O324" s="8" t="str">
        <x:v>일반 사용 빈도 보통 이하(Zipf ≤ 3.5); 검증된 예문 없음; JMdict 우선 어휘 표지 없음; 기존 데이터의 한국어 콘텐츠 보강 필요 태그</x:v>
      </x:c>
      <x:c r="P324" s="8" t="str">
        <x:v>frequency_le_3_5,no_example,no_jmdict_priority,weak_legacy_content</x:v>
      </x:c>
      <x:c r="Q324" s="2" t="str"/>
      <x:c r="R324" s="2" t="str"/>
      <x:c r="S324" s="2" t="str"/>
      <x:c r="T324" s="2" t="str"/>
      <x:c r="U324" s="2" t="str"/>
      <x:c r="V324" s="2" t="str">
        <x:v>아니오</x:v>
      </x:c>
      <x:c r="W324" s="2" t="str">
        <x:v>예</x:v>
      </x:c>
      <x:c r="X324" s="2" t="str"/>
      <x:c r="Y324" s="2" t="n">
        <x:v>0</x:v>
      </x:c>
      <x:c r="Z324" s="2" t="str"/>
      <x:c r="AA324" s="2" t="n">
        <x:v>0</x:v>
      </x:c>
      <x:c r="AB324" s="8" t="str"/>
      <x:c r="AC324" s="8" t="str"/>
      <x:c r="AD324" s="8" t="str">
        <x:v>["draft-ko-missing"]</x:v>
      </x:c>
      <x:c r="AE324" s="8" t="str">
        <x:v>검토 필요</x:v>
      </x:c>
      <x:c r="AF324" s="8" t="str"/>
    </x:row>
    <x:row r="325">
      <x:c r="A325" s="10" t="n">
        <x:v>324</x:v>
      </x:c>
      <x:c r="B325" s="2" t="str">
        <x:v>2차 보류</x:v>
      </x:c>
      <x:c r="C325" s="2" t="str">
        <x:v>2차 보류</x:v>
      </x:c>
      <x:c r="D325" s="2" t="str">
        <x:v>낮음</x:v>
      </x:c>
      <x:c r="E325" s="2" t="str">
        <x:v>N2</x:v>
      </x:c>
      <x:c r="F325" s="10" t="n">
        <x:v>121</x:v>
      </x:c>
      <x:c r="G325" s="2" t="str">
        <x:v>w_ff0789b2242f3284</x:v>
      </x:c>
      <x:c r="H325" s="2" t="str">
        <x:v>からかう</x:v>
      </x:c>
      <x:c r="I325" s="2" t="str">
        <x:v>からかう</x:v>
      </x:c>
      <x:c r="J325" s="8" t="str">
        <x:v>놀리다, 조롱하다</x:v>
      </x:c>
      <x:c r="K325" s="2" t="str">
        <x:v>verb</x:v>
      </x:c>
      <x:c r="L325" s="9" t="n">
        <x:v>3.07</x:v>
      </x:c>
      <x:c r="M325" s="2" t="str">
        <x:v>없음</x:v>
      </x:c>
      <x:c r="N325" s="11" t="n">
        <x:v>29</x:v>
      </x:c>
      <x:c r="O325" s="8" t="str">
        <x:v>일반 사용 빈도 보통 이하(Zipf ≤ 3.5); 검증된 예문 없음; JMdict 우선 어휘 표지 없음; 기존 데이터의 한국어 콘텐츠 보강 필요 태그</x:v>
      </x:c>
      <x:c r="P325" s="8" t="str">
        <x:v>frequency_le_3_5,no_example,no_jmdict_priority,weak_legacy_content</x:v>
      </x:c>
      <x:c r="Q325" s="2" t="str"/>
      <x:c r="R325" s="2" t="str"/>
      <x:c r="S325" s="2" t="str"/>
      <x:c r="T325" s="2" t="str"/>
      <x:c r="U325" s="2" t="str"/>
      <x:c r="V325" s="2" t="str">
        <x:v>아니오</x:v>
      </x:c>
      <x:c r="W325" s="2" t="str">
        <x:v>아니오</x:v>
      </x:c>
      <x:c r="X325" s="2" t="str"/>
      <x:c r="Y325" s="2" t="n">
        <x:v>0</x:v>
      </x:c>
      <x:c r="Z325" s="2" t="str"/>
      <x:c r="AA325" s="2" t="n">
        <x:v>0</x:v>
      </x:c>
      <x:c r="AB325" s="8" t="str"/>
      <x:c r="AC325" s="8" t="str"/>
      <x:c r="AD325" s="8" t="str">
        <x:v>["draft-ko-missing"]</x:v>
      </x:c>
      <x:c r="AE325" s="8" t="str">
        <x:v>검토 필요</x:v>
      </x:c>
      <x:c r="AF325" s="8" t="str"/>
    </x:row>
    <x:row r="326">
      <x:c r="A326" s="10" t="n">
        <x:v>325</x:v>
      </x:c>
      <x:c r="B326" s="2" t="str">
        <x:v>2차 보류</x:v>
      </x:c>
      <x:c r="C326" s="2" t="str">
        <x:v>2차 보류</x:v>
      </x:c>
      <x:c r="D326" s="2" t="str">
        <x:v>낮음</x:v>
      </x:c>
      <x:c r="E326" s="2" t="str">
        <x:v>N3</x:v>
      </x:c>
      <x:c r="F326" s="10" t="n">
        <x:v>37</x:v>
      </x:c>
      <x:c r="G326" s="2" t="str">
        <x:v>w_6daf8eb986f9bfc1</x:v>
      </x:c>
      <x:c r="H326" s="2" t="str">
        <x:v>昨</x:v>
      </x:c>
      <x:c r="I326" s="2" t="str">
        <x:v>さく</x:v>
      </x:c>
      <x:c r="J326" s="8" t="str">
        <x:v>지난, 어제</x:v>
      </x:c>
      <x:c r="K326" s="2" t="str">
        <x:v>prefix</x:v>
      </x:c>
      <x:c r="L326" s="9" t="n">
        <x:v>3.08</x:v>
      </x:c>
      <x:c r="M326" s="2" t="str">
        <x:v>없음</x:v>
      </x:c>
      <x:c r="N326" s="11" t="n">
        <x:v>29</x:v>
      </x:c>
      <x:c r="O326" s="8" t="str">
        <x:v>일반 사용 빈도 보통 이하(Zipf ≤ 3.5); 검증된 예문 없음; JMdict 우선 어휘 표지 없음; 기존 데이터의 한국어 콘텐츠 보강 필요 태그</x:v>
      </x:c>
      <x:c r="P326" s="8" t="str">
        <x:v>frequency_le_3_5,no_example,no_jmdict_priority,weak_legacy_content</x:v>
      </x:c>
      <x:c r="Q326" s="2" t="str"/>
      <x:c r="R326" s="2" t="str"/>
      <x:c r="S326" s="2" t="str"/>
      <x:c r="T326" s="2" t="str"/>
      <x:c r="U326" s="2" t="str"/>
      <x:c r="V326" s="2" t="str">
        <x:v>아니오</x:v>
      </x:c>
      <x:c r="W326" s="2" t="str">
        <x:v>예</x:v>
      </x:c>
      <x:c r="X326" s="2" t="str"/>
      <x:c r="Y326" s="2" t="n">
        <x:v>0</x:v>
      </x:c>
      <x:c r="Z326" s="2" t="str"/>
      <x:c r="AA326" s="2" t="n">
        <x:v>0</x:v>
      </x:c>
      <x:c r="AB326" s="8" t="str"/>
      <x:c r="AC326" s="8" t="str"/>
      <x:c r="AD326" s="8" t="str">
        <x:v>["draft-ko-missing"]</x:v>
      </x:c>
      <x:c r="AE326" s="8" t="str">
        <x:v>검토 필요</x:v>
      </x:c>
      <x:c r="AF326" s="8" t="str"/>
    </x:row>
    <x:row r="327">
      <x:c r="A327" s="10" t="n">
        <x:v>326</x:v>
      </x:c>
      <x:c r="B327" s="2" t="str">
        <x:v>2차 보류</x:v>
      </x:c>
      <x:c r="C327" s="2" t="str">
        <x:v>2차 보류</x:v>
      </x:c>
      <x:c r="D327" s="2" t="str">
        <x:v>낮음</x:v>
      </x:c>
      <x:c r="E327" s="2" t="str">
        <x:v>N2</x:v>
      </x:c>
      <x:c r="F327" s="10" t="n">
        <x:v>122</x:v>
      </x:c>
      <x:c r="G327" s="2" t="str">
        <x:v>w_c12c4efe43384aa2</x:v>
      </x:c>
      <x:c r="H327" s="2" t="str">
        <x:v>茶色い</x:v>
      </x:c>
      <x:c r="I327" s="2" t="str">
        <x:v>ちゃいろい</x:v>
      </x:c>
      <x:c r="J327" s="8" t="str">
        <x:v>갈색의</x:v>
      </x:c>
      <x:c r="K327" s="2" t="str">
        <x:v>adjective</x:v>
      </x:c>
      <x:c r="L327" s="9" t="n">
        <x:v>3.08</x:v>
      </x:c>
      <x:c r="M327" s="2" t="str">
        <x:v>없음</x:v>
      </x:c>
      <x:c r="N327" s="11" t="n">
        <x:v>29</x:v>
      </x:c>
      <x:c r="O327" s="8" t="str">
        <x:v>일반 사용 빈도 보통 이하(Zipf ≤ 3.5); 검증된 예문 없음; JMdict 우선 어휘 표지 없음; 기존 데이터의 한국어 콘텐츠 보강 필요 태그</x:v>
      </x:c>
      <x:c r="P327" s="8" t="str">
        <x:v>frequency_le_3_5,no_example,no_jmdict_priority,weak_legacy_content</x:v>
      </x:c>
      <x:c r="Q327" s="2" t="str"/>
      <x:c r="R327" s="2" t="str"/>
      <x:c r="S327" s="2" t="str"/>
      <x:c r="T327" s="2" t="str"/>
      <x:c r="U327" s="2" t="str"/>
      <x:c r="V327" s="2" t="str">
        <x:v>아니오</x:v>
      </x:c>
      <x:c r="W327" s="2" t="str">
        <x:v>예</x:v>
      </x:c>
      <x:c r="X327" s="2" t="str"/>
      <x:c r="Y327" s="2" t="n">
        <x:v>0</x:v>
      </x:c>
      <x:c r="Z327" s="2" t="str"/>
      <x:c r="AA327" s="2" t="n">
        <x:v>0</x:v>
      </x:c>
      <x:c r="AB327" s="8" t="str"/>
      <x:c r="AC327" s="8" t="str"/>
      <x:c r="AD327" s="8" t="str">
        <x:v>["draft-ko-missing"]</x:v>
      </x:c>
      <x:c r="AE327" s="8" t="str">
        <x:v>검토 필요</x:v>
      </x:c>
      <x:c r="AF327" s="8" t="str"/>
    </x:row>
    <x:row r="328">
      <x:c r="A328" s="10" t="n">
        <x:v>327</x:v>
      </x:c>
      <x:c r="B328" s="2" t="str">
        <x:v>2차 보류</x:v>
      </x:c>
      <x:c r="C328" s="2" t="str">
        <x:v>2차 보류</x:v>
      </x:c>
      <x:c r="D328" s="2" t="str">
        <x:v>낮음</x:v>
      </x:c>
      <x:c r="E328" s="2" t="str">
        <x:v>N1</x:v>
      </x:c>
      <x:c r="F328" s="10" t="n">
        <x:v>136</x:v>
      </x:c>
      <x:c r="G328" s="2" t="str">
        <x:v>w_297f141d01c57ca1</x:v>
      </x:c>
      <x:c r="H328" s="2" t="str">
        <x:v>貫禄</x:v>
      </x:c>
      <x:c r="I328" s="2" t="str">
        <x:v>かんろく</x:v>
      </x:c>
      <x:c r="J328" s="8" t="str">
        <x:v>관록, 위엄</x:v>
      </x:c>
      <x:c r="K328" s="2" t="str">
        <x:v>noun</x:v>
      </x:c>
      <x:c r="L328" s="9" t="n">
        <x:v>3.09</x:v>
      </x:c>
      <x:c r="M328" s="2" t="str">
        <x:v>없음</x:v>
      </x:c>
      <x:c r="N328" s="11" t="n">
        <x:v>29</x:v>
      </x:c>
      <x:c r="O328" s="8" t="str">
        <x:v>일반 사용 빈도 보통 이하(Zipf ≤ 3.5); 검증된 예문 없음; JMdict 우선 어휘 표지 없음; 기존 데이터의 한국어 콘텐츠 보강 필요 태그</x:v>
      </x:c>
      <x:c r="P328" s="8" t="str">
        <x:v>frequency_le_3_5,no_example,no_jmdict_priority,weak_legacy_content</x:v>
      </x:c>
      <x:c r="Q328" s="2" t="str"/>
      <x:c r="R328" s="2" t="str"/>
      <x:c r="S328" s="2" t="str"/>
      <x:c r="T328" s="2" t="str"/>
      <x:c r="U328" s="2" t="str"/>
      <x:c r="V328" s="2" t="str">
        <x:v>아니오</x:v>
      </x:c>
      <x:c r="W328" s="2" t="str">
        <x:v>예</x:v>
      </x:c>
      <x:c r="X328" s="2" t="str"/>
      <x:c r="Y328" s="2" t="n">
        <x:v>0</x:v>
      </x:c>
      <x:c r="Z328" s="2" t="str"/>
      <x:c r="AA328" s="2" t="n">
        <x:v>0</x:v>
      </x:c>
      <x:c r="AB328" s="8" t="str">
        <x:v>euphemistic</x:v>
      </x:c>
      <x:c r="AC328" s="8" t="str"/>
      <x:c r="AD328" s="8" t="str">
        <x:v>["draft-ko-missing"]</x:v>
      </x:c>
      <x:c r="AE328" s="8" t="str">
        <x:v>검토 필요</x:v>
      </x:c>
      <x:c r="AF328" s="8" t="str"/>
    </x:row>
    <x:row r="329">
      <x:c r="A329" s="10" t="n">
        <x:v>328</x:v>
      </x:c>
      <x:c r="B329" s="2" t="str">
        <x:v>2차 보류</x:v>
      </x:c>
      <x:c r="C329" s="2" t="str">
        <x:v>2차 보류</x:v>
      </x:c>
      <x:c r="D329" s="2" t="str">
        <x:v>낮음</x:v>
      </x:c>
      <x:c r="E329" s="2" t="str">
        <x:v>N1</x:v>
      </x:c>
      <x:c r="F329" s="10" t="n">
        <x:v>137</x:v>
      </x:c>
      <x:c r="G329" s="2" t="str">
        <x:v>w_f7bc65b0f2861019</x:v>
      </x:c>
      <x:c r="H329" s="2" t="str">
        <x:v>目論見</x:v>
      </x:c>
      <x:c r="I329" s="2" t="str">
        <x:v>もくろみ</x:v>
      </x:c>
      <x:c r="J329" s="8" t="str">
        <x:v>계획, 속셈</x:v>
      </x:c>
      <x:c r="K329" s="2" t="str">
        <x:v>noun</x:v>
      </x:c>
      <x:c r="L329" s="9" t="n">
        <x:v>3.09</x:v>
      </x:c>
      <x:c r="M329" s="2" t="str">
        <x:v>없음</x:v>
      </x:c>
      <x:c r="N329" s="11" t="n">
        <x:v>29</x:v>
      </x:c>
      <x:c r="O329" s="8" t="str">
        <x:v>일반 사용 빈도 보통 이하(Zipf ≤ 3.5); 검증된 예문 없음; JMdict 우선 어휘 표지 없음; 기존 데이터의 한국어 콘텐츠 보강 필요 태그</x:v>
      </x:c>
      <x:c r="P329" s="8" t="str">
        <x:v>frequency_le_3_5,no_example,no_jmdict_priority,weak_legacy_content</x:v>
      </x:c>
      <x:c r="Q329" s="2" t="str"/>
      <x:c r="R329" s="2" t="str"/>
      <x:c r="S329" s="2" t="str"/>
      <x:c r="T329" s="2" t="str"/>
      <x:c r="U329" s="2" t="str"/>
      <x:c r="V329" s="2" t="str">
        <x:v>아니오</x:v>
      </x:c>
      <x:c r="W329" s="2" t="str">
        <x:v>예</x:v>
      </x:c>
      <x:c r="X329" s="2" t="str"/>
      <x:c r="Y329" s="2" t="n">
        <x:v>0</x:v>
      </x:c>
      <x:c r="Z329" s="2" t="str"/>
      <x:c r="AA329" s="2" t="n">
        <x:v>0</x:v>
      </x:c>
      <x:c r="AB329" s="8" t="str"/>
      <x:c r="AC329" s="8" t="str"/>
      <x:c r="AD329" s="8" t="str">
        <x:v>["draft-ko-missing"]</x:v>
      </x:c>
      <x:c r="AE329" s="8" t="str">
        <x:v>검토 필요</x:v>
      </x:c>
      <x:c r="AF329" s="8" t="str"/>
    </x:row>
    <x:row r="330">
      <x:c r="A330" s="10" t="n">
        <x:v>329</x:v>
      </x:c>
      <x:c r="B330" s="2" t="str">
        <x:v>2차 보류</x:v>
      </x:c>
      <x:c r="C330" s="2" t="str">
        <x:v>2차 보류</x:v>
      </x:c>
      <x:c r="D330" s="2" t="str">
        <x:v>낮음</x:v>
      </x:c>
      <x:c r="E330" s="2" t="str">
        <x:v>N2</x:v>
      </x:c>
      <x:c r="F330" s="10" t="n">
        <x:v>123</x:v>
      </x:c>
      <x:c r="G330" s="2" t="str">
        <x:v>w_3465d3d0c166169e</x:v>
      </x:c>
      <x:c r="H330" s="2" t="str">
        <x:v>うんと</x:v>
      </x:c>
      <x:c r="I330" s="2" t="str">
        <x:v>うんと</x:v>
      </x:c>
      <x:c r="J330" s="8" t="str">
        <x:v>잔뜩, 많이</x:v>
      </x:c>
      <x:c r="K330" s="2" t="str">
        <x:v>adverb</x:v>
      </x:c>
      <x:c r="L330" s="9" t="n">
        <x:v>3.11</x:v>
      </x:c>
      <x:c r="M330" s="2" t="str">
        <x:v>없음</x:v>
      </x:c>
      <x:c r="N330" s="11" t="n">
        <x:v>29</x:v>
      </x:c>
      <x:c r="O330" s="8" t="str">
        <x:v>일반 사용 빈도 보통 이하(Zipf ≤ 3.5); 검증된 예문 없음; JMdict 우선 어휘 표지 없음; 기존 데이터의 한국어 콘텐츠 보강 필요 태그</x:v>
      </x:c>
      <x:c r="P330" s="8" t="str">
        <x:v>frequency_le_3_5,no_example,no_jmdict_priority,weak_legacy_content</x:v>
      </x:c>
      <x:c r="Q330" s="2" t="str"/>
      <x:c r="R330" s="2" t="str"/>
      <x:c r="S330" s="2" t="str"/>
      <x:c r="T330" s="2" t="str"/>
      <x:c r="U330" s="2" t="str"/>
      <x:c r="V330" s="2" t="str">
        <x:v>아니오</x:v>
      </x:c>
      <x:c r="W330" s="2" t="str">
        <x:v>예</x:v>
      </x:c>
      <x:c r="X330" s="2" t="str"/>
      <x:c r="Y330" s="2" t="n">
        <x:v>0</x:v>
      </x:c>
      <x:c r="Z330" s="2" t="str"/>
      <x:c r="AA330" s="2" t="n">
        <x:v>0</x:v>
      </x:c>
      <x:c r="AB330" s="8" t="str">
        <x:v>archaic | onomatopoeic or mimetic word</x:v>
      </x:c>
      <x:c r="AC330" s="8" t="str"/>
      <x:c r="AD330" s="8" t="str">
        <x:v>["draft-ko-missing"]</x:v>
      </x:c>
      <x:c r="AE330" s="8" t="str">
        <x:v>검토 필요</x:v>
      </x:c>
      <x:c r="AF330" s="8" t="str"/>
    </x:row>
    <x:row r="331">
      <x:c r="A331" s="10" t="n">
        <x:v>330</x:v>
      </x:c>
      <x:c r="B331" s="2" t="str">
        <x:v>2차 보류</x:v>
      </x:c>
      <x:c r="C331" s="2" t="str">
        <x:v>2차 보류</x:v>
      </x:c>
      <x:c r="D331" s="2" t="str">
        <x:v>낮음</x:v>
      </x:c>
      <x:c r="E331" s="2" t="str">
        <x:v>N1</x:v>
      </x:c>
      <x:c r="F331" s="10" t="n">
        <x:v>138</x:v>
      </x:c>
      <x:c r="G331" s="2" t="str">
        <x:v>w_ed5e6ca0d46e0c9f</x:v>
      </x:c>
      <x:c r="H331" s="2" t="str">
        <x:v>できもの</x:v>
      </x:c>
      <x:c r="I331" s="2" t="str">
        <x:v>できもの</x:v>
      </x:c>
      <x:c r="J331" s="8" t="str">
        <x:v>부스럼, 종기</x:v>
      </x:c>
      <x:c r="K331" s="2" t="str">
        <x:v>noun</x:v>
      </x:c>
      <x:c r="L331" s="9" t="n">
        <x:v>3.13</x:v>
      </x:c>
      <x:c r="M331" s="2" t="str">
        <x:v>없음</x:v>
      </x:c>
      <x:c r="N331" s="11" t="n">
        <x:v>29</x:v>
      </x:c>
      <x:c r="O331" s="8" t="str">
        <x:v>일반 사용 빈도 보통 이하(Zipf ≤ 3.5); 검증된 예문 없음; JMdict 우선 어휘 표지 없음; 기존 데이터의 한국어 콘텐츠 보강 필요 태그</x:v>
      </x:c>
      <x:c r="P331" s="8" t="str">
        <x:v>frequency_le_3_5,no_example,no_jmdict_priority,weak_legacy_content</x:v>
      </x:c>
      <x:c r="Q331" s="2" t="str"/>
      <x:c r="R331" s="2" t="str"/>
      <x:c r="S331" s="2" t="str"/>
      <x:c r="T331" s="2" t="str"/>
      <x:c r="U331" s="2" t="str"/>
      <x:c r="V331" s="2" t="str">
        <x:v>아니오</x:v>
      </x:c>
      <x:c r="W331" s="2" t="str">
        <x:v>아니오</x:v>
      </x:c>
      <x:c r="X331" s="2" t="str"/>
      <x:c r="Y331" s="2" t="n">
        <x:v>0</x:v>
      </x:c>
      <x:c r="Z331" s="2" t="str"/>
      <x:c r="AA331" s="2" t="n">
        <x:v>0</x:v>
      </x:c>
      <x:c r="AB331" s="8" t="str"/>
      <x:c r="AC331" s="8" t="str"/>
      <x:c r="AD331" s="8" t="str">
        <x:v>["draft-ko-missing"]</x:v>
      </x:c>
      <x:c r="AE331" s="8" t="str">
        <x:v>검토 필요</x:v>
      </x:c>
      <x:c r="AF331" s="8" t="str"/>
    </x:row>
    <x:row r="332">
      <x:c r="A332" s="10" t="n">
        <x:v>331</x:v>
      </x:c>
      <x:c r="B332" s="2" t="str">
        <x:v>2차 보류</x:v>
      </x:c>
      <x:c r="C332" s="2" t="str">
        <x:v>2차 보류</x:v>
      </x:c>
      <x:c r="D332" s="2" t="str">
        <x:v>낮음</x:v>
      </x:c>
      <x:c r="E332" s="2" t="str">
        <x:v>N2</x:v>
      </x:c>
      <x:c r="F332" s="10" t="n">
        <x:v>124</x:v>
      </x:c>
      <x:c r="G332" s="2" t="str">
        <x:v>w_277c093d61e231ea</x:v>
      </x:c>
      <x:c r="H332" s="2" t="str">
        <x:v>くっつく</x:v>
      </x:c>
      <x:c r="I332" s="2" t="str">
        <x:v>くっつく</x:v>
      </x:c>
      <x:c r="J332" s="8" t="str">
        <x:v>유지하다, 지키다 닫다</x:v>
      </x:c>
      <x:c r="K332" s="2" t="str">
        <x:v>verb</x:v>
      </x:c>
      <x:c r="L332" s="9" t="n">
        <x:v>3.14</x:v>
      </x:c>
      <x:c r="M332" s="2" t="str">
        <x:v>없음</x:v>
      </x:c>
      <x:c r="N332" s="11" t="n">
        <x:v>29</x:v>
      </x:c>
      <x:c r="O332" s="8" t="str">
        <x:v>일반 사용 빈도 보통 이하(Zipf ≤ 3.5); 검증된 예문 없음; JMdict 우선 어휘 표지 없음; 기존 데이터의 한국어 콘텐츠 보강 필요 태그</x:v>
      </x:c>
      <x:c r="P332" s="8" t="str">
        <x:v>frequency_le_3_5,no_example,no_jmdict_priority,weak_legacy_content</x:v>
      </x:c>
      <x:c r="Q332" s="2" t="str"/>
      <x:c r="R332" s="2" t="str"/>
      <x:c r="S332" s="2" t="str"/>
      <x:c r="T332" s="2" t="str"/>
      <x:c r="U332" s="2" t="str"/>
      <x:c r="V332" s="2" t="str">
        <x:v>아니오</x:v>
      </x:c>
      <x:c r="W332" s="2" t="str">
        <x:v>아니오</x:v>
      </x:c>
      <x:c r="X332" s="2" t="str"/>
      <x:c r="Y332" s="2" t="n">
        <x:v>0</x:v>
      </x:c>
      <x:c r="Z332" s="2" t="str"/>
      <x:c r="AA332" s="2" t="n">
        <x:v>0</x:v>
      </x:c>
      <x:c r="AB332" s="8" t="str"/>
      <x:c r="AC332" s="8" t="str"/>
      <x:c r="AD332" s="8" t="str">
        <x:v>["draft-ko-missing"]</x:v>
      </x:c>
      <x:c r="AE332" s="8" t="str">
        <x:v>검토 필요</x:v>
      </x:c>
      <x:c r="AF332" s="8" t="str"/>
    </x:row>
    <x:row r="333">
      <x:c r="A333" s="10" t="n">
        <x:v>332</x:v>
      </x:c>
      <x:c r="B333" s="2" t="str">
        <x:v>2차 보류</x:v>
      </x:c>
      <x:c r="C333" s="2" t="str">
        <x:v>2차 보류</x:v>
      </x:c>
      <x:c r="D333" s="2" t="str">
        <x:v>낮음</x:v>
      </x:c>
      <x:c r="E333" s="2" t="str">
        <x:v>N1</x:v>
      </x:c>
      <x:c r="F333" s="10" t="n">
        <x:v>139</x:v>
      </x:c>
      <x:c r="G333" s="2" t="str">
        <x:v>w_01b45816510efc08</x:v>
      </x:c>
      <x:c r="H333" s="2" t="str">
        <x:v>そらす</x:v>
      </x:c>
      <x:c r="I333" s="2" t="str">
        <x:v>そらす</x:v>
      </x:c>
      <x:c r="J333" s="8" t="str">
        <x:v>(시선·방향을) 딴 데로 돌리다; 휘다</x:v>
      </x:c>
      <x:c r="K333" s="2" t="str">
        <x:v>verb</x:v>
      </x:c>
      <x:c r="L333" s="9" t="n">
        <x:v>3.15</x:v>
      </x:c>
      <x:c r="M333" s="2" t="str">
        <x:v>없음</x:v>
      </x:c>
      <x:c r="N333" s="11" t="n">
        <x:v>29</x:v>
      </x:c>
      <x:c r="O333" s="8" t="str">
        <x:v>일반 사용 빈도 보통 이하(Zipf ≤ 3.5); 검증된 예문 없음; JMdict 우선 어휘 표지 없음; 기존 데이터의 한국어 콘텐츠 보강 필요 태그</x:v>
      </x:c>
      <x:c r="P333" s="8" t="str">
        <x:v>frequency_le_3_5,no_example,no_jmdict_priority,weak_legacy_content</x:v>
      </x:c>
      <x:c r="Q333" s="2" t="str"/>
      <x:c r="R333" s="2" t="str"/>
      <x:c r="S333" s="2" t="str"/>
      <x:c r="T333" s="2" t="str"/>
      <x:c r="U333" s="2" t="str"/>
      <x:c r="V333" s="2" t="str">
        <x:v>아니오</x:v>
      </x:c>
      <x:c r="W333" s="2" t="str">
        <x:v>아니오</x:v>
      </x:c>
      <x:c r="X333" s="2" t="str"/>
      <x:c r="Y333" s="2" t="n">
        <x:v>0</x:v>
      </x:c>
      <x:c r="Z333" s="2" t="str"/>
      <x:c r="AA333" s="2" t="n">
        <x:v>0</x:v>
      </x:c>
      <x:c r="AB333" s="8" t="str"/>
      <x:c r="AC333" s="8" t="str"/>
      <x:c r="AD333" s="8" t="str">
        <x:v>["draft-ko-missing"]</x:v>
      </x:c>
      <x:c r="AE333" s="8" t="str">
        <x:v>검토 필요</x:v>
      </x:c>
      <x:c r="AF333" s="8" t="str"/>
    </x:row>
    <x:row r="334">
      <x:c r="A334" s="10" t="n">
        <x:v>333</x:v>
      </x:c>
      <x:c r="B334" s="2" t="str">
        <x:v>2차 보류</x:v>
      </x:c>
      <x:c r="C334" s="2" t="str">
        <x:v>2차 보류</x:v>
      </x:c>
      <x:c r="D334" s="2" t="str">
        <x:v>낮음</x:v>
      </x:c>
      <x:c r="E334" s="2" t="str">
        <x:v>N1</x:v>
      </x:c>
      <x:c r="F334" s="10" t="n">
        <x:v>140</x:v>
      </x:c>
      <x:c r="G334" s="2" t="str">
        <x:v>w_6f1a35f8f64a33bc</x:v>
      </x:c>
      <x:c r="H334" s="2" t="str">
        <x:v>鞠</x:v>
      </x:c>
      <x:c r="I334" s="2" t="str">
        <x:v>まり</x:v>
      </x:c>
      <x:c r="J334" s="8" t="str">
        <x:v>공</x:v>
      </x:c>
      <x:c r="K334" s="2" t="str">
        <x:v>noun</x:v>
      </x:c>
      <x:c r="L334" s="9" t="n">
        <x:v>3.15</x:v>
      </x:c>
      <x:c r="M334" s="2" t="str">
        <x:v>없음</x:v>
      </x:c>
      <x:c r="N334" s="11" t="n">
        <x:v>29</x:v>
      </x:c>
      <x:c r="O334" s="8" t="str">
        <x:v>일반 사용 빈도 보통 이하(Zipf ≤ 3.5); 검증된 예문 없음; JMdict 우선 어휘 표지 없음; 기존 데이터의 한국어 콘텐츠 보강 필요 태그</x:v>
      </x:c>
      <x:c r="P334" s="8" t="str">
        <x:v>frequency_le_3_5,no_example,no_jmdict_priority,weak_legacy_content</x:v>
      </x:c>
      <x:c r="Q334" s="2" t="str"/>
      <x:c r="R334" s="2" t="str"/>
      <x:c r="S334" s="2" t="str"/>
      <x:c r="T334" s="2" t="str"/>
      <x:c r="U334" s="2" t="str"/>
      <x:c r="V334" s="2" t="str">
        <x:v>아니오</x:v>
      </x:c>
      <x:c r="W334" s="2" t="str">
        <x:v>예</x:v>
      </x:c>
      <x:c r="X334" s="2" t="str"/>
      <x:c r="Y334" s="2" t="n">
        <x:v>0</x:v>
      </x:c>
      <x:c r="Z334" s="2" t="str"/>
      <x:c r="AA334" s="2" t="n">
        <x:v>0</x:v>
      </x:c>
      <x:c r="AB334" s="8" t="str"/>
      <x:c r="AC334" s="8" t="str"/>
      <x:c r="AD334" s="8" t="str">
        <x:v>["draft-ko-missing"]</x:v>
      </x:c>
      <x:c r="AE334" s="8" t="str">
        <x:v>검토 필요</x:v>
      </x:c>
      <x:c r="AF334" s="8" t="str"/>
    </x:row>
    <x:row r="335">
      <x:c r="A335" s="10" t="n">
        <x:v>334</x:v>
      </x:c>
      <x:c r="B335" s="2" t="str">
        <x:v>2차 보류</x:v>
      </x:c>
      <x:c r="C335" s="2" t="str">
        <x:v>2차 보류</x:v>
      </x:c>
      <x:c r="D335" s="2" t="str">
        <x:v>낮음</x:v>
      </x:c>
      <x:c r="E335" s="2" t="str">
        <x:v>N1</x:v>
      </x:c>
      <x:c r="F335" s="10" t="n">
        <x:v>141</x:v>
      </x:c>
      <x:c r="G335" s="2" t="str">
        <x:v>w_8ea161adf62e2b2e</x:v>
      </x:c>
      <x:c r="H335" s="2" t="str">
        <x:v>たくましい</x:v>
      </x:c>
      <x:c r="I335" s="2" t="str">
        <x:v>たくましい</x:v>
      </x:c>
      <x:c r="J335" s="8" t="str">
        <x:v>늠름하다, 다부지다</x:v>
      </x:c>
      <x:c r="K335" s="2" t="str">
        <x:v>adjective</x:v>
      </x:c>
      <x:c r="L335" s="9" t="n">
        <x:v>3.22</x:v>
      </x:c>
      <x:c r="M335" s="2" t="str">
        <x:v>없음</x:v>
      </x:c>
      <x:c r="N335" s="11" t="n">
        <x:v>29</x:v>
      </x:c>
      <x:c r="O335" s="8" t="str">
        <x:v>일반 사용 빈도 보통 이하(Zipf ≤ 3.5); 검증된 예문 없음; JMdict 우선 어휘 표지 없음; 기존 데이터의 한국어 콘텐츠 보강 필요 태그</x:v>
      </x:c>
      <x:c r="P335" s="8" t="str">
        <x:v>frequency_le_3_5,no_example,no_jmdict_priority,weak_legacy_content</x:v>
      </x:c>
      <x:c r="Q335" s="2" t="str"/>
      <x:c r="R335" s="2" t="str"/>
      <x:c r="S335" s="2" t="str"/>
      <x:c r="T335" s="2" t="str"/>
      <x:c r="U335" s="2" t="str"/>
      <x:c r="V335" s="2" t="str">
        <x:v>아니오</x:v>
      </x:c>
      <x:c r="W335" s="2" t="str">
        <x:v>아니오</x:v>
      </x:c>
      <x:c r="X335" s="2" t="str"/>
      <x:c r="Y335" s="2" t="n">
        <x:v>0</x:v>
      </x:c>
      <x:c r="Z335" s="2" t="str"/>
      <x:c r="AA335" s="2" t="n">
        <x:v>0</x:v>
      </x:c>
      <x:c r="AB335" s="8" t="str"/>
      <x:c r="AC335" s="8" t="str"/>
      <x:c r="AD335" s="8" t="str">
        <x:v>["draft-ko-missing"]</x:v>
      </x:c>
      <x:c r="AE335" s="8" t="str">
        <x:v>검토 필요</x:v>
      </x:c>
      <x:c r="AF335" s="8" t="str"/>
    </x:row>
    <x:row r="336">
      <x:c r="A336" s="10" t="n">
        <x:v>335</x:v>
      </x:c>
      <x:c r="B336" s="2" t="str">
        <x:v>2차 보류</x:v>
      </x:c>
      <x:c r="C336" s="2" t="str">
        <x:v>2차 보류</x:v>
      </x:c>
      <x:c r="D336" s="2" t="str">
        <x:v>낮음</x:v>
      </x:c>
      <x:c r="E336" s="2" t="str">
        <x:v>N1</x:v>
      </x:c>
      <x:c r="F336" s="10" t="n">
        <x:v>142</x:v>
      </x:c>
      <x:c r="G336" s="2" t="str">
        <x:v>w_a5e5de483e84e2a8</x:v>
      </x:c>
      <x:c r="H336" s="2" t="str">
        <x:v>躾ける</x:v>
      </x:c>
      <x:c r="I336" s="2" t="str">
        <x:v>しつける</x:v>
      </x:c>
      <x:c r="J336" s="8" t="str">
        <x:v>훈련, 규율, 가르치다 방식, 태도</x:v>
      </x:c>
      <x:c r="K336" s="2" t="str">
        <x:v>verb</x:v>
      </x:c>
      <x:c r="L336" s="9" t="n">
        <x:v>3.22</x:v>
      </x:c>
      <x:c r="M336" s="2" t="str">
        <x:v>없음</x:v>
      </x:c>
      <x:c r="N336" s="11" t="n">
        <x:v>29</x:v>
      </x:c>
      <x:c r="O336" s="8" t="str">
        <x:v>일반 사용 빈도 보통 이하(Zipf ≤ 3.5); 검증된 예문 없음; JMdict 우선 어휘 표지 없음; 기존 데이터의 한국어 콘텐츠 보강 필요 태그</x:v>
      </x:c>
      <x:c r="P336" s="8" t="str">
        <x:v>frequency_le_3_5,no_example,no_jmdict_priority,weak_legacy_content</x:v>
      </x:c>
      <x:c r="Q336" s="2" t="str"/>
      <x:c r="R336" s="2" t="str"/>
      <x:c r="S336" s="2" t="str"/>
      <x:c r="T336" s="2" t="str"/>
      <x:c r="U336" s="2" t="str"/>
      <x:c r="V336" s="2" t="str">
        <x:v>아니오</x:v>
      </x:c>
      <x:c r="W336" s="2" t="str">
        <x:v>예</x:v>
      </x:c>
      <x:c r="X336" s="2" t="str"/>
      <x:c r="Y336" s="2" t="n">
        <x:v>0</x:v>
      </x:c>
      <x:c r="Z336" s="2" t="str"/>
      <x:c r="AA336" s="2" t="n">
        <x:v>0</x:v>
      </x:c>
      <x:c r="AB336" s="8" t="str">
        <x:v>word usually written using kana alone</x:v>
      </x:c>
      <x:c r="AC336" s="8" t="str"/>
      <x:c r="AD336" s="8" t="str">
        <x:v>["draft-ko-missing"]</x:v>
      </x:c>
      <x:c r="AE336" s="8" t="str">
        <x:v>검토 필요</x:v>
      </x:c>
      <x:c r="AF336" s="8" t="str"/>
    </x:row>
    <x:row r="337">
      <x:c r="A337" s="10" t="n">
        <x:v>336</x:v>
      </x:c>
      <x:c r="B337" s="2" t="str">
        <x:v>2차 보류</x:v>
      </x:c>
      <x:c r="C337" s="2" t="str">
        <x:v>2차 보류</x:v>
      </x:c>
      <x:c r="D337" s="2" t="str">
        <x:v>낮음</x:v>
      </x:c>
      <x:c r="E337" s="2" t="str">
        <x:v>N2</x:v>
      </x:c>
      <x:c r="F337" s="10" t="n">
        <x:v>125</x:v>
      </x:c>
      <x:c r="G337" s="2" t="str">
        <x:v>w_efac32fc7e566446</x:v>
      </x:c>
      <x:c r="H337" s="2" t="str">
        <x:v>先々週</x:v>
      </x:c>
      <x:c r="I337" s="2" t="str">
        <x:v>せんせんしゅう</x:v>
      </x:c>
      <x:c r="J337" s="8" t="str">
        <x:v>지지난주</x:v>
      </x:c>
      <x:c r="K337" s="2" t="str">
        <x:v>noun</x:v>
      </x:c>
      <x:c r="L337" s="9" t="n">
        <x:v>3.3</x:v>
      </x:c>
      <x:c r="M337" s="2" t="str">
        <x:v>없음</x:v>
      </x:c>
      <x:c r="N337" s="11" t="n">
        <x:v>29</x:v>
      </x:c>
      <x:c r="O337" s="8" t="str">
        <x:v>일반 사용 빈도 보통 이하(Zipf ≤ 3.5); 검증된 예문 없음; JMdict 우선 어휘 표지 없음; 기존 데이터의 한국어 콘텐츠 보강 필요 태그</x:v>
      </x:c>
      <x:c r="P337" s="8" t="str">
        <x:v>frequency_le_3_5,no_example,no_jmdict_priority,weak_legacy_content</x:v>
      </x:c>
      <x:c r="Q337" s="2" t="str"/>
      <x:c r="R337" s="2" t="str"/>
      <x:c r="S337" s="2" t="str"/>
      <x:c r="T337" s="2" t="str"/>
      <x:c r="U337" s="2" t="str"/>
      <x:c r="V337" s="2" t="str">
        <x:v>아니오</x:v>
      </x:c>
      <x:c r="W337" s="2" t="str">
        <x:v>예</x:v>
      </x:c>
      <x:c r="X337" s="2" t="str"/>
      <x:c r="Y337" s="2" t="n">
        <x:v>0</x:v>
      </x:c>
      <x:c r="Z337" s="2" t="str"/>
      <x:c r="AA337" s="2" t="n">
        <x:v>0</x:v>
      </x:c>
      <x:c r="AB337" s="8" t="str"/>
      <x:c r="AC337" s="8" t="str"/>
      <x:c r="AD337" s="8" t="str">
        <x:v>["draft-ko-missing"]</x:v>
      </x:c>
      <x:c r="AE337" s="8" t="str">
        <x:v>검토 필요</x:v>
      </x:c>
      <x:c r="AF337" s="8" t="str"/>
    </x:row>
    <x:row r="338">
      <x:c r="A338" s="10" t="n">
        <x:v>337</x:v>
      </x:c>
      <x:c r="B338" s="2" t="str">
        <x:v>2차 보류</x:v>
      </x:c>
      <x:c r="C338" s="2" t="str">
        <x:v>2차 보류</x:v>
      </x:c>
      <x:c r="D338" s="2" t="str">
        <x:v>낮음</x:v>
      </x:c>
      <x:c r="E338" s="2" t="str">
        <x:v>N1</x:v>
      </x:c>
      <x:c r="F338" s="10" t="n">
        <x:v>143</x:v>
      </x:c>
      <x:c r="G338" s="2" t="str">
        <x:v>w_e44d163c913e0163</x:v>
      </x:c>
      <x:c r="H338" s="2" t="str">
        <x:v>てっぺん</x:v>
      </x:c>
      <x:c r="I338" s="2" t="str">
        <x:v>てっぺん</x:v>
      </x:c>
      <x:c r="J338" s="8" t="str">
        <x:v>위, 꼭대기</x:v>
      </x:c>
      <x:c r="K338" s="2" t="str">
        <x:v>noun</x:v>
      </x:c>
      <x:c r="L338" s="9" t="n">
        <x:v>3.3</x:v>
      </x:c>
      <x:c r="M338" s="2" t="str">
        <x:v>없음</x:v>
      </x:c>
      <x:c r="N338" s="11" t="n">
        <x:v>29</x:v>
      </x:c>
      <x:c r="O338" s="8" t="str">
        <x:v>일반 사용 빈도 보통 이하(Zipf ≤ 3.5); 검증된 예문 없음; JMdict 우선 어휘 표지 없음; 기존 데이터의 한국어 콘텐츠 보강 필요 태그</x:v>
      </x:c>
      <x:c r="P338" s="8" t="str">
        <x:v>frequency_le_3_5,no_example,no_jmdict_priority,weak_legacy_content</x:v>
      </x:c>
      <x:c r="Q338" s="2" t="str"/>
      <x:c r="R338" s="2" t="str"/>
      <x:c r="S338" s="2" t="str"/>
      <x:c r="T338" s="2" t="str"/>
      <x:c r="U338" s="2" t="str"/>
      <x:c r="V338" s="2" t="str">
        <x:v>아니오</x:v>
      </x:c>
      <x:c r="W338" s="2" t="str">
        <x:v>아니오</x:v>
      </x:c>
      <x:c r="X338" s="2" t="str"/>
      <x:c r="Y338" s="2" t="n">
        <x:v>0</x:v>
      </x:c>
      <x:c r="Z338" s="2" t="str"/>
      <x:c r="AA338" s="2" t="n">
        <x:v>0</x:v>
      </x:c>
      <x:c r="AB338" s="8" t="str"/>
      <x:c r="AC338" s="8" t="str"/>
      <x:c r="AD338" s="8" t="str">
        <x:v>["draft-ko-missing"]</x:v>
      </x:c>
      <x:c r="AE338" s="8" t="str">
        <x:v>검토 필요</x:v>
      </x:c>
      <x:c r="AF338" s="8" t="str"/>
    </x:row>
    <x:row r="339">
      <x:c r="A339" s="10" t="n">
        <x:v>338</x:v>
      </x:c>
      <x:c r="B339" s="2" t="str">
        <x:v>2차 보류</x:v>
      </x:c>
      <x:c r="C339" s="2" t="str">
        <x:v>2차 보류</x:v>
      </x:c>
      <x:c r="D339" s="2" t="str">
        <x:v>낮음</x:v>
      </x:c>
      <x:c r="E339" s="2" t="str">
        <x:v>N4</x:v>
      </x:c>
      <x:c r="F339" s="10" t="n">
        <x:v>28</x:v>
      </x:c>
      <x:c r="G339" s="2" t="str">
        <x:v>w_bc62d500b1c7560e</x:v>
      </x:c>
      <x:c r="H339" s="2" t="str">
        <x:v>いじめる</x:v>
      </x:c>
      <x:c r="I339" s="2" t="str">
        <x:v>いじめる</x:v>
      </x:c>
      <x:c r="J339" s="8" t="str">
        <x:v>괴롭히다</x:v>
      </x:c>
      <x:c r="K339" s="2" t="str">
        <x:v>verb</x:v>
      </x:c>
      <x:c r="L339" s="9" t="n">
        <x:v>3.32</x:v>
      </x:c>
      <x:c r="M339" s="2" t="str">
        <x:v>없음</x:v>
      </x:c>
      <x:c r="N339" s="11" t="n">
        <x:v>29</x:v>
      </x:c>
      <x:c r="O339" s="8" t="str">
        <x:v>일반 사용 빈도 보통 이하(Zipf ≤ 3.5); 검증된 예문 없음; JMdict 우선 어휘 표지 없음; 기존 데이터의 한국어 콘텐츠 보강 필요 태그</x:v>
      </x:c>
      <x:c r="P339" s="8" t="str">
        <x:v>frequency_le_3_5,no_example,no_jmdict_priority,weak_legacy_content</x:v>
      </x:c>
      <x:c r="Q339" s="2" t="str"/>
      <x:c r="R339" s="2" t="str"/>
      <x:c r="S339" s="2" t="str"/>
      <x:c r="T339" s="2" t="str"/>
      <x:c r="U339" s="2" t="str"/>
      <x:c r="V339" s="2" t="str">
        <x:v>아니오</x:v>
      </x:c>
      <x:c r="W339" s="2" t="str">
        <x:v>아니오</x:v>
      </x:c>
      <x:c r="X339" s="2" t="str"/>
      <x:c r="Y339" s="2" t="n">
        <x:v>0</x:v>
      </x:c>
      <x:c r="Z339" s="2" t="str"/>
      <x:c r="AA339" s="2" t="n">
        <x:v>0</x:v>
      </x:c>
      <x:c r="AB339" s="8" t="str"/>
      <x:c r="AC339" s="8" t="str"/>
      <x:c r="AD339" s="8" t="str">
        <x:v>["draft-ko-missing"]</x:v>
      </x:c>
      <x:c r="AE339" s="8" t="str">
        <x:v>검토 필요</x:v>
      </x:c>
      <x:c r="AF339" s="8" t="str"/>
    </x:row>
    <x:row r="340">
      <x:c r="A340" s="10" t="n">
        <x:v>339</x:v>
      </x:c>
      <x:c r="B340" s="2" t="str">
        <x:v>2차 보류</x:v>
      </x:c>
      <x:c r="C340" s="2" t="str">
        <x:v>2차 보류</x:v>
      </x:c>
      <x:c r="D340" s="2" t="str">
        <x:v>낮음</x:v>
      </x:c>
      <x:c r="E340" s="2" t="str">
        <x:v>N2</x:v>
      </x:c>
      <x:c r="F340" s="10" t="n">
        <x:v>126</x:v>
      </x:c>
      <x:c r="G340" s="2" t="str">
        <x:v>w_393a2f780ea3a234</x:v>
      </x:c>
      <x:c r="H340" s="2" t="str">
        <x:v>先々月</x:v>
      </x:c>
      <x:c r="I340" s="2" t="str">
        <x:v>せんせんげつ</x:v>
      </x:c>
      <x:c r="J340" s="8" t="str">
        <x:v>지지난달</x:v>
      </x:c>
      <x:c r="K340" s="2" t="str">
        <x:v>noun</x:v>
      </x:c>
      <x:c r="L340" s="9" t="n">
        <x:v>3.32</x:v>
      </x:c>
      <x:c r="M340" s="2" t="str">
        <x:v>없음</x:v>
      </x:c>
      <x:c r="N340" s="11" t="n">
        <x:v>29</x:v>
      </x:c>
      <x:c r="O340" s="8" t="str">
        <x:v>일반 사용 빈도 보통 이하(Zipf ≤ 3.5); 검증된 예문 없음; JMdict 우선 어휘 표지 없음; 기존 데이터의 한국어 콘텐츠 보강 필요 태그</x:v>
      </x:c>
      <x:c r="P340" s="8" t="str">
        <x:v>frequency_le_3_5,no_example,no_jmdict_priority,weak_legacy_content</x:v>
      </x:c>
      <x:c r="Q340" s="2" t="str"/>
      <x:c r="R340" s="2" t="str"/>
      <x:c r="S340" s="2" t="str"/>
      <x:c r="T340" s="2" t="str"/>
      <x:c r="U340" s="2" t="str"/>
      <x:c r="V340" s="2" t="str">
        <x:v>아니오</x:v>
      </x:c>
      <x:c r="W340" s="2" t="str">
        <x:v>예</x:v>
      </x:c>
      <x:c r="X340" s="2" t="str"/>
      <x:c r="Y340" s="2" t="n">
        <x:v>0</x:v>
      </x:c>
      <x:c r="Z340" s="2" t="str"/>
      <x:c r="AA340" s="2" t="n">
        <x:v>0</x:v>
      </x:c>
      <x:c r="AB340" s="8" t="str"/>
      <x:c r="AC340" s="8" t="str"/>
      <x:c r="AD340" s="8" t="str">
        <x:v>["draft-ko-missing"]</x:v>
      </x:c>
      <x:c r="AE340" s="8" t="str">
        <x:v>검토 필요</x:v>
      </x:c>
      <x:c r="AF340" s="8" t="str"/>
    </x:row>
    <x:row r="341">
      <x:c r="A341" s="10" t="n">
        <x:v>340</x:v>
      </x:c>
      <x:c r="B341" s="2" t="str">
        <x:v>2차 보류</x:v>
      </x:c>
      <x:c r="C341" s="2" t="str">
        <x:v>2차 보류</x:v>
      </x:c>
      <x:c r="D341" s="2" t="str">
        <x:v>낮음</x:v>
      </x:c>
      <x:c r="E341" s="2" t="str">
        <x:v>N2</x:v>
      </x:c>
      <x:c r="F341" s="10" t="n">
        <x:v>127</x:v>
      </x:c>
      <x:c r="G341" s="2" t="str">
        <x:v>w_46cc417e1359d493</x:v>
      </x:c>
      <x:c r="H341" s="2" t="str">
        <x:v>あいまい</x:v>
      </x:c>
      <x:c r="I341" s="2" t="str">
        <x:v>あいまい</x:v>
      </x:c>
      <x:c r="J341" s="8" t="str">
        <x:v>애매한</x:v>
      </x:c>
      <x:c r="K341" s="2" t="str">
        <x:v>adjective</x:v>
      </x:c>
      <x:c r="L341" s="9" t="n">
        <x:v>3.34</x:v>
      </x:c>
      <x:c r="M341" s="2" t="str">
        <x:v>없음</x:v>
      </x:c>
      <x:c r="N341" s="11" t="n">
        <x:v>29</x:v>
      </x:c>
      <x:c r="O341" s="8" t="str">
        <x:v>일반 사용 빈도 보통 이하(Zipf ≤ 3.5); 검증된 예문 없음; JMdict 우선 어휘 표지 없음; 기존 데이터의 한국어 콘텐츠 보강 필요 태그</x:v>
      </x:c>
      <x:c r="P341" s="8" t="str">
        <x:v>frequency_le_3_5,no_example,no_jmdict_priority,weak_legacy_content</x:v>
      </x:c>
      <x:c r="Q341" s="2" t="str"/>
      <x:c r="R341" s="2" t="str"/>
      <x:c r="S341" s="2" t="str"/>
      <x:c r="T341" s="2" t="str"/>
      <x:c r="U341" s="2" t="str"/>
      <x:c r="V341" s="2" t="str">
        <x:v>아니오</x:v>
      </x:c>
      <x:c r="W341" s="2" t="str">
        <x:v>아니오</x:v>
      </x:c>
      <x:c r="X341" s="2" t="str"/>
      <x:c r="Y341" s="2" t="n">
        <x:v>0</x:v>
      </x:c>
      <x:c r="Z341" s="2" t="str"/>
      <x:c r="AA341" s="2" t="n">
        <x:v>0</x:v>
      </x:c>
      <x:c r="AB341" s="8" t="str"/>
      <x:c r="AC341" s="8" t="str"/>
      <x:c r="AD341" s="8" t="str">
        <x:v>["draft-ko-missing"]</x:v>
      </x:c>
      <x:c r="AE341" s="8" t="str">
        <x:v>검토 필요</x:v>
      </x:c>
      <x:c r="AF341" s="8" t="str"/>
    </x:row>
    <x:row r="342">
      <x:c r="A342" s="10" t="n">
        <x:v>341</x:v>
      </x:c>
      <x:c r="B342" s="2" t="str">
        <x:v>2차 보류</x:v>
      </x:c>
      <x:c r="C342" s="2" t="str">
        <x:v>2차 보류</x:v>
      </x:c>
      <x:c r="D342" s="2" t="str">
        <x:v>낮음</x:v>
      </x:c>
      <x:c r="E342" s="2" t="str">
        <x:v>N2</x:v>
      </x:c>
      <x:c r="F342" s="10" t="n">
        <x:v>128</x:v>
      </x:c>
      <x:c r="G342" s="2" t="str">
        <x:v>w_8fff74a03d730e9f</x:v>
      </x:c>
      <x:c r="H342" s="2" t="str">
        <x:v>たちまち</x:v>
      </x:c>
      <x:c r="I342" s="2" t="str">
        <x:v>たちまち</x:v>
      </x:c>
      <x:c r="J342" s="8" t="str">
        <x:v>순식간에, 금세</x:v>
      </x:c>
      <x:c r="K342" s="2" t="str">
        <x:v>adverb</x:v>
      </x:c>
      <x:c r="L342" s="9" t="n">
        <x:v>3.35</x:v>
      </x:c>
      <x:c r="M342" s="2" t="str">
        <x:v>없음</x:v>
      </x:c>
      <x:c r="N342" s="11" t="n">
        <x:v>29</x:v>
      </x:c>
      <x:c r="O342" s="8" t="str">
        <x:v>일반 사용 빈도 보통 이하(Zipf ≤ 3.5); 검증된 예문 없음; JMdict 우선 어휘 표지 없음; 기존 데이터의 한국어 콘텐츠 보강 필요 태그</x:v>
      </x:c>
      <x:c r="P342" s="8" t="str">
        <x:v>frequency_le_3_5,no_example,no_jmdict_priority,weak_legacy_content</x:v>
      </x:c>
      <x:c r="Q342" s="2" t="str"/>
      <x:c r="R342" s="2" t="str"/>
      <x:c r="S342" s="2" t="str"/>
      <x:c r="T342" s="2" t="str"/>
      <x:c r="U342" s="2" t="str"/>
      <x:c r="V342" s="2" t="str">
        <x:v>아니오</x:v>
      </x:c>
      <x:c r="W342" s="2" t="str">
        <x:v>아니오</x:v>
      </x:c>
      <x:c r="X342" s="2" t="str"/>
      <x:c r="Y342" s="2" t="n">
        <x:v>0</x:v>
      </x:c>
      <x:c r="Z342" s="2" t="str"/>
      <x:c r="AA342" s="2" t="n">
        <x:v>0</x:v>
      </x:c>
      <x:c r="AB342" s="8" t="str"/>
      <x:c r="AC342" s="8" t="str"/>
      <x:c r="AD342" s="8" t="str">
        <x:v>["draft-ko-missing"]</x:v>
      </x:c>
      <x:c r="AE342" s="8" t="str">
        <x:v>검토 필요</x:v>
      </x:c>
      <x:c r="AF342" s="8" t="str"/>
    </x:row>
    <x:row r="343">
      <x:c r="A343" s="10" t="n">
        <x:v>342</x:v>
      </x:c>
      <x:c r="B343" s="2" t="str">
        <x:v>2차 보류</x:v>
      </x:c>
      <x:c r="C343" s="2" t="str">
        <x:v>2차 보류</x:v>
      </x:c>
      <x:c r="D343" s="2" t="str">
        <x:v>낮음</x:v>
      </x:c>
      <x:c r="E343" s="2" t="str">
        <x:v>N1</x:v>
      </x:c>
      <x:c r="F343" s="10" t="n">
        <x:v>144</x:v>
      </x:c>
      <x:c r="G343" s="2" t="str">
        <x:v>w_eef64255aaac600b</x:v>
      </x:c>
      <x:c r="H343" s="2" t="str">
        <x:v>やりとおす</x:v>
      </x:c>
      <x:c r="I343" s="2" t="str">
        <x:v>やりとおす</x:v>
      </x:c>
      <x:c r="J343" s="8" t="str">
        <x:v>나르다, 수행하다 통해, 달성하다, 완전한</x:v>
      </x:c>
      <x:c r="K343" s="2" t="str">
        <x:v>verb</x:v>
      </x:c>
      <x:c r="L343" s="9" t="n">
        <x:v>3.35</x:v>
      </x:c>
      <x:c r="M343" s="2" t="str">
        <x:v>없음</x:v>
      </x:c>
      <x:c r="N343" s="11" t="n">
        <x:v>29</x:v>
      </x:c>
      <x:c r="O343" s="8" t="str">
        <x:v>일반 사용 빈도 보통 이하(Zipf ≤ 3.5); 검증된 예문 없음; JMdict 우선 어휘 표지 없음; 기존 데이터의 한국어 콘텐츠 보강 필요 태그</x:v>
      </x:c>
      <x:c r="P343" s="8" t="str">
        <x:v>frequency_le_3_5,no_example,no_jmdict_priority,weak_legacy_content</x:v>
      </x:c>
      <x:c r="Q343" s="2" t="str"/>
      <x:c r="R343" s="2" t="str"/>
      <x:c r="S343" s="2" t="str"/>
      <x:c r="T343" s="2" t="str"/>
      <x:c r="U343" s="2" t="str"/>
      <x:c r="V343" s="2" t="str">
        <x:v>아니오</x:v>
      </x:c>
      <x:c r="W343" s="2" t="str">
        <x:v>아니오</x:v>
      </x:c>
      <x:c r="X343" s="2" t="str"/>
      <x:c r="Y343" s="2" t="n">
        <x:v>0</x:v>
      </x:c>
      <x:c r="Z343" s="2" t="str"/>
      <x:c r="AA343" s="2" t="n">
        <x:v>0</x:v>
      </x:c>
      <x:c r="AB343" s="8" t="str"/>
      <x:c r="AC343" s="8" t="str"/>
      <x:c r="AD343" s="8" t="str">
        <x:v>["draft-ko-missing"]</x:v>
      </x:c>
      <x:c r="AE343" s="8" t="str">
        <x:v>검토 필요</x:v>
      </x:c>
      <x:c r="AF343" s="8" t="str"/>
    </x:row>
    <x:row r="344">
      <x:c r="A344" s="10" t="n">
        <x:v>343</x:v>
      </x:c>
      <x:c r="B344" s="2" t="str">
        <x:v>2차 보류</x:v>
      </x:c>
      <x:c r="C344" s="2" t="str">
        <x:v>2차 보류</x:v>
      </x:c>
      <x:c r="D344" s="2" t="str">
        <x:v>낮음</x:v>
      </x:c>
      <x:c r="E344" s="2" t="str">
        <x:v>N2</x:v>
      </x:c>
      <x:c r="F344" s="10" t="n">
        <x:v>129</x:v>
      </x:c>
      <x:c r="G344" s="2" t="str">
        <x:v>w_e754bc481c30783c</x:v>
      </x:c>
      <x:c r="H344" s="2" t="str">
        <x:v>かしこまりました</x:v>
      </x:c>
      <x:c r="I344" s="2" t="str">
        <x:v>かしこまりました</x:v>
      </x:c>
      <x:c r="J344" s="8" t="str">
        <x:v>확실히</x:v>
      </x:c>
      <x:c r="K344" s="2" t="str">
        <x:v>expression</x:v>
      </x:c>
      <x:c r="L344" s="9" t="n">
        <x:v>3.37</x:v>
      </x:c>
      <x:c r="M344" s="2" t="str">
        <x:v>없음</x:v>
      </x:c>
      <x:c r="N344" s="11" t="n">
        <x:v>29</x:v>
      </x:c>
      <x:c r="O344" s="8" t="str">
        <x:v>일반 사용 빈도 보통 이하(Zipf ≤ 3.5); 검증된 예문 없음; JMdict 우선 어휘 표지 없음; 기존 데이터의 한국어 콘텐츠 보강 필요 태그</x:v>
      </x:c>
      <x:c r="P344" s="8" t="str">
        <x:v>frequency_le_3_5,no_example,no_jmdict_priority,weak_legacy_content</x:v>
      </x:c>
      <x:c r="Q344" s="2" t="str"/>
      <x:c r="R344" s="2" t="str"/>
      <x:c r="S344" s="2" t="str"/>
      <x:c r="T344" s="2" t="str"/>
      <x:c r="U344" s="2" t="str"/>
      <x:c r="V344" s="2" t="str">
        <x:v>아니오</x:v>
      </x:c>
      <x:c r="W344" s="2" t="str">
        <x:v>아니오</x:v>
      </x:c>
      <x:c r="X344" s="2" t="str"/>
      <x:c r="Y344" s="2" t="n">
        <x:v>0</x:v>
      </x:c>
      <x:c r="Z344" s="2" t="str"/>
      <x:c r="AA344" s="2" t="n">
        <x:v>0</x:v>
      </x:c>
      <x:c r="AB344" s="8" t="str"/>
      <x:c r="AC344" s="8" t="str"/>
      <x:c r="AD344" s="8" t="str">
        <x:v>["draft-ko-missing"]</x:v>
      </x:c>
      <x:c r="AE344" s="8" t="str">
        <x:v>검토 필요</x:v>
      </x:c>
      <x:c r="AF344" s="8" t="str"/>
    </x:row>
    <x:row r="345">
      <x:c r="A345" s="10" t="n">
        <x:v>344</x:v>
      </x:c>
      <x:c r="B345" s="2" t="str">
        <x:v>2차 보류</x:v>
      </x:c>
      <x:c r="C345" s="2" t="str">
        <x:v>2차 보류</x:v>
      </x:c>
      <x:c r="D345" s="2" t="str">
        <x:v>낮음</x:v>
      </x:c>
      <x:c r="E345" s="2" t="str">
        <x:v>N3</x:v>
      </x:c>
      <x:c r="F345" s="10" t="n">
        <x:v>38</x:v>
      </x:c>
      <x:c r="G345" s="2" t="str">
        <x:v>w_05874a5a5d9d5d88</x:v>
      </x:c>
      <x:c r="H345" s="2" t="str">
        <x:v>すれ違う</x:v>
      </x:c>
      <x:c r="I345" s="2" t="str">
        <x:v>すれちがう</x:v>
      </x:c>
      <x:c r="J345" s="8" t="str">
        <x:v>스쳐 지나가다, 엇갈리다</x:v>
      </x:c>
      <x:c r="K345" s="2" t="str">
        <x:v>verb</x:v>
      </x:c>
      <x:c r="L345" s="9" t="n">
        <x:v>3.39</x:v>
      </x:c>
      <x:c r="M345" s="2" t="str">
        <x:v>없음</x:v>
      </x:c>
      <x:c r="N345" s="11" t="n">
        <x:v>29</x:v>
      </x:c>
      <x:c r="O345" s="8" t="str">
        <x:v>일반 사용 빈도 보통 이하(Zipf ≤ 3.5); 검증된 예문 없음; JMdict 우선 어휘 표지 없음; 기존 데이터의 한국어 콘텐츠 보강 필요 태그</x:v>
      </x:c>
      <x:c r="P345" s="8" t="str">
        <x:v>frequency_le_3_5,no_example,no_jmdict_priority,weak_legacy_content</x:v>
      </x:c>
      <x:c r="Q345" s="2" t="str"/>
      <x:c r="R345" s="2" t="str"/>
      <x:c r="S345" s="2" t="str"/>
      <x:c r="T345" s="2" t="str"/>
      <x:c r="U345" s="2" t="str"/>
      <x:c r="V345" s="2" t="str">
        <x:v>아니오</x:v>
      </x:c>
      <x:c r="W345" s="2" t="str">
        <x:v>예</x:v>
      </x:c>
      <x:c r="X345" s="2" t="str"/>
      <x:c r="Y345" s="2" t="n">
        <x:v>0</x:v>
      </x:c>
      <x:c r="Z345" s="2" t="str"/>
      <x:c r="AA345" s="2" t="n">
        <x:v>0</x:v>
      </x:c>
      <x:c r="AB345" s="8" t="str"/>
      <x:c r="AC345" s="8" t="str"/>
      <x:c r="AD345" s="8" t="str">
        <x:v>["draft-ko-missing"]</x:v>
      </x:c>
      <x:c r="AE345" s="8" t="str">
        <x:v>검토 필요</x:v>
      </x:c>
      <x:c r="AF345" s="8" t="str"/>
    </x:row>
    <x:row r="346">
      <x:c r="A346" s="10" t="n">
        <x:v>345</x:v>
      </x:c>
      <x:c r="B346" s="2" t="str">
        <x:v>2차 보류</x:v>
      </x:c>
      <x:c r="C346" s="2" t="str">
        <x:v>2차 보류</x:v>
      </x:c>
      <x:c r="D346" s="2" t="str">
        <x:v>낮음</x:v>
      </x:c>
      <x:c r="E346" s="2" t="str">
        <x:v>N4</x:v>
      </x:c>
      <x:c r="F346" s="10" t="n">
        <x:v>29</x:v>
      </x:c>
      <x:c r="G346" s="2" t="str">
        <x:v>w_1d7915b7fed88a43</x:v>
      </x:c>
      <x:c r="H346" s="2" t="str">
        <x:v>ごちそう</x:v>
      </x:c>
      <x:c r="I346" s="2" t="str">
        <x:v>ごちそう</x:v>
      </x:c>
      <x:c r="J346" s="8" t="str">
        <x:v>잔치, 대접, 대접(누군가)</x:v>
      </x:c>
      <x:c r="K346" s="2" t="str">
        <x:v>noun</x:v>
      </x:c>
      <x:c r="L346" s="9" t="n">
        <x:v>3.4</x:v>
      </x:c>
      <x:c r="M346" s="2" t="str">
        <x:v>없음</x:v>
      </x:c>
      <x:c r="N346" s="11" t="n">
        <x:v>29</x:v>
      </x:c>
      <x:c r="O346" s="8" t="str">
        <x:v>일반 사용 빈도 보통 이하(Zipf ≤ 3.5); 검증된 예문 없음; JMdict 우선 어휘 표지 없음; 기존 데이터의 한국어 콘텐츠 보강 필요 태그</x:v>
      </x:c>
      <x:c r="P346" s="8" t="str">
        <x:v>frequency_le_3_5,no_example,no_jmdict_priority,weak_legacy_content</x:v>
      </x:c>
      <x:c r="Q346" s="2" t="str"/>
      <x:c r="R346" s="2" t="str"/>
      <x:c r="S346" s="2" t="str"/>
      <x:c r="T346" s="2" t="str"/>
      <x:c r="U346" s="2" t="str"/>
      <x:c r="V346" s="2" t="str">
        <x:v>아니오</x:v>
      </x:c>
      <x:c r="W346" s="2" t="str">
        <x:v>아니오</x:v>
      </x:c>
      <x:c r="X346" s="2" t="str"/>
      <x:c r="Y346" s="2" t="n">
        <x:v>0</x:v>
      </x:c>
      <x:c r="Z346" s="2" t="str"/>
      <x:c r="AA346" s="2" t="n">
        <x:v>0</x:v>
      </x:c>
      <x:c r="AB346" s="8" t="str"/>
      <x:c r="AC346" s="8" t="str"/>
      <x:c r="AD346" s="8" t="str">
        <x:v>["draft-ko-missing"]</x:v>
      </x:c>
      <x:c r="AE346" s="8" t="str">
        <x:v>검토 필요</x:v>
      </x:c>
      <x:c r="AF346" s="8" t="str"/>
    </x:row>
    <x:row r="347">
      <x:c r="A347" s="10" t="n">
        <x:v>346</x:v>
      </x:c>
      <x:c r="B347" s="2" t="str">
        <x:v>2차 보류</x:v>
      </x:c>
      <x:c r="C347" s="2" t="str">
        <x:v>2차 보류</x:v>
      </x:c>
      <x:c r="D347" s="2" t="str">
        <x:v>낮음</x:v>
      </x:c>
      <x:c r="E347" s="2" t="str">
        <x:v>N4</x:v>
      </x:c>
      <x:c r="F347" s="10" t="n">
        <x:v>30</x:v>
      </x:c>
      <x:c r="G347" s="2" t="str">
        <x:v>w_c574304948c39b5e</x:v>
      </x:c>
      <x:c r="H347" s="2" t="str">
        <x:v>ファックス</x:v>
      </x:c>
      <x:c r="I347" s="2" t="str">
        <x:v>ファックス</x:v>
      </x:c>
      <x:c r="J347" s="8" t="str">
        <x:v>팩스</x:v>
      </x:c>
      <x:c r="K347" s="2" t="str">
        <x:v>noun</x:v>
      </x:c>
      <x:c r="L347" s="9" t="n">
        <x:v>3.41</x:v>
      </x:c>
      <x:c r="M347" s="2" t="str">
        <x:v>없음</x:v>
      </x:c>
      <x:c r="N347" s="11" t="n">
        <x:v>29</x:v>
      </x:c>
      <x:c r="O347" s="8" t="str">
        <x:v>일반 사용 빈도 보통 이하(Zipf ≤ 3.5); 검증된 예문 없음; JMdict 우선 어휘 표지 없음; 기존 데이터의 한국어 콘텐츠 보강 필요 태그</x:v>
      </x:c>
      <x:c r="P347" s="8" t="str">
        <x:v>frequency_le_3_5,no_example,no_jmdict_priority,weak_legacy_content</x:v>
      </x:c>
      <x:c r="Q347" s="2" t="str"/>
      <x:c r="R347" s="2" t="str"/>
      <x:c r="S347" s="2" t="str"/>
      <x:c r="T347" s="2" t="str"/>
      <x:c r="U347" s="2" t="str"/>
      <x:c r="V347" s="2" t="str">
        <x:v>아니오</x:v>
      </x:c>
      <x:c r="W347" s="2" t="str">
        <x:v>아니오</x:v>
      </x:c>
      <x:c r="X347" s="2" t="str"/>
      <x:c r="Y347" s="2" t="n">
        <x:v>0</x:v>
      </x:c>
      <x:c r="Z347" s="2" t="str"/>
      <x:c r="AA347" s="2" t="n">
        <x:v>0</x:v>
      </x:c>
      <x:c r="AB347" s="8" t="str"/>
      <x:c r="AC347" s="8" t="str"/>
      <x:c r="AD347" s="8" t="str">
        <x:v>["draft-ko-missing"]</x:v>
      </x:c>
      <x:c r="AE347" s="8" t="str">
        <x:v>검토 필요</x:v>
      </x:c>
      <x:c r="AF347" s="8" t="str"/>
    </x:row>
    <x:row r="348">
      <x:c r="A348" s="10" t="n">
        <x:v>347</x:v>
      </x:c>
      <x:c r="B348" s="2" t="str">
        <x:v>2차 보류</x:v>
      </x:c>
      <x:c r="C348" s="2" t="str">
        <x:v>2차 보류</x:v>
      </x:c>
      <x:c r="D348" s="2" t="str">
        <x:v>낮음</x:v>
      </x:c>
      <x:c r="E348" s="2" t="str">
        <x:v>N2</x:v>
      </x:c>
      <x:c r="F348" s="10" t="n">
        <x:v>130</x:v>
      </x:c>
      <x:c r="G348" s="2" t="str">
        <x:v>w_15cf97881a87cd7d</x:v>
      </x:c>
      <x:c r="H348" s="2" t="str">
        <x:v>くれぐれも</x:v>
      </x:c>
      <x:c r="I348" s="2" t="str">
        <x:v>くれぐれも</x:v>
      </x:c>
      <x:c r="J348" s="8" t="str">
        <x:v>반복해서, 진심으로</x:v>
      </x:c>
      <x:c r="K348" s="2" t="str">
        <x:v>adverb</x:v>
      </x:c>
      <x:c r="L348" s="9" t="n">
        <x:v>3.43</x:v>
      </x:c>
      <x:c r="M348" s="2" t="str">
        <x:v>없음</x:v>
      </x:c>
      <x:c r="N348" s="11" t="n">
        <x:v>29</x:v>
      </x:c>
      <x:c r="O348" s="8" t="str">
        <x:v>일반 사용 빈도 보통 이하(Zipf ≤ 3.5); 검증된 예문 없음; JMdict 우선 어휘 표지 없음; 기존 데이터의 한국어 콘텐츠 보강 필요 태그</x:v>
      </x:c>
      <x:c r="P348" s="8" t="str">
        <x:v>frequency_le_3_5,no_example,no_jmdict_priority,weak_legacy_content</x:v>
      </x:c>
      <x:c r="Q348" s="2" t="str"/>
      <x:c r="R348" s="2" t="str"/>
      <x:c r="S348" s="2" t="str"/>
      <x:c r="T348" s="2" t="str"/>
      <x:c r="U348" s="2" t="str"/>
      <x:c r="V348" s="2" t="str">
        <x:v>아니오</x:v>
      </x:c>
      <x:c r="W348" s="2" t="str">
        <x:v>아니오</x:v>
      </x:c>
      <x:c r="X348" s="2" t="str"/>
      <x:c r="Y348" s="2" t="n">
        <x:v>0</x:v>
      </x:c>
      <x:c r="Z348" s="2" t="str"/>
      <x:c r="AA348" s="2" t="n">
        <x:v>0</x:v>
      </x:c>
      <x:c r="AB348" s="8" t="str"/>
      <x:c r="AC348" s="8" t="str"/>
      <x:c r="AD348" s="8" t="str">
        <x:v>["draft-ko-missing"]</x:v>
      </x:c>
      <x:c r="AE348" s="8" t="str">
        <x:v>검토 필요</x:v>
      </x:c>
      <x:c r="AF348" s="8" t="str"/>
    </x:row>
    <x:row r="349">
      <x:c r="A349" s="10" t="n">
        <x:v>348</x:v>
      </x:c>
      <x:c r="B349" s="2" t="str">
        <x:v>2차 보류</x:v>
      </x:c>
      <x:c r="C349" s="2" t="str">
        <x:v>2차 보류</x:v>
      </x:c>
      <x:c r="D349" s="2" t="str">
        <x:v>낮음</x:v>
      </x:c>
      <x:c r="E349" s="2" t="str">
        <x:v>N2</x:v>
      </x:c>
      <x:c r="F349" s="10" t="n">
        <x:v>131</x:v>
      </x:c>
      <x:c r="G349" s="2" t="str">
        <x:v>w_4ebd807f283e4c2e</x:v>
      </x:c>
      <x:c r="H349" s="2" t="str">
        <x:v>しみじみ</x:v>
      </x:c>
      <x:c r="I349" s="2" t="str">
        <x:v>しみじみ</x:v>
      </x:c>
      <x:c r="J349" s="8" t="str">
        <x:v>절실히, 곰곰이</x:v>
      </x:c>
      <x:c r="K349" s="2" t="str">
        <x:v>adverb</x:v>
      </x:c>
      <x:c r="L349" s="9" t="n">
        <x:v>3.43</x:v>
      </x:c>
      <x:c r="M349" s="2" t="str">
        <x:v>없음</x:v>
      </x:c>
      <x:c r="N349" s="11" t="n">
        <x:v>29</x:v>
      </x:c>
      <x:c r="O349" s="8" t="str">
        <x:v>일반 사용 빈도 보통 이하(Zipf ≤ 3.5); 검증된 예문 없음; JMdict 우선 어휘 표지 없음; 기존 데이터의 한국어 콘텐츠 보강 필요 태그</x:v>
      </x:c>
      <x:c r="P349" s="8" t="str">
        <x:v>frequency_le_3_5,no_example,no_jmdict_priority,weak_legacy_content</x:v>
      </x:c>
      <x:c r="Q349" s="2" t="str"/>
      <x:c r="R349" s="2" t="str"/>
      <x:c r="S349" s="2" t="str"/>
      <x:c r="T349" s="2" t="str"/>
      <x:c r="U349" s="2" t="str"/>
      <x:c r="V349" s="2" t="str">
        <x:v>아니오</x:v>
      </x:c>
      <x:c r="W349" s="2" t="str">
        <x:v>아니오</x:v>
      </x:c>
      <x:c r="X349" s="2" t="str"/>
      <x:c r="Y349" s="2" t="n">
        <x:v>0</x:v>
      </x:c>
      <x:c r="Z349" s="2" t="str"/>
      <x:c r="AA349" s="2" t="n">
        <x:v>0</x:v>
      </x:c>
      <x:c r="AB349" s="8" t="str"/>
      <x:c r="AC349" s="8" t="str"/>
      <x:c r="AD349" s="8" t="str">
        <x:v>["draft-ko-missing"]</x:v>
      </x:c>
      <x:c r="AE349" s="8" t="str">
        <x:v>검토 필요</x:v>
      </x:c>
      <x:c r="AF349" s="8" t="str"/>
    </x:row>
    <x:row r="350">
      <x:c r="A350" s="10" t="n">
        <x:v>349</x:v>
      </x:c>
      <x:c r="B350" s="2" t="str">
        <x:v>2차 보류</x:v>
      </x:c>
      <x:c r="C350" s="2" t="str">
        <x:v>2차 보류</x:v>
      </x:c>
      <x:c r="D350" s="2" t="str">
        <x:v>낮음</x:v>
      </x:c>
      <x:c r="E350" s="2" t="str">
        <x:v>N1</x:v>
      </x:c>
      <x:c r="F350" s="10" t="n">
        <x:v>145</x:v>
      </x:c>
      <x:c r="G350" s="2" t="str">
        <x:v>w_774dfa34db16e838</x:v>
      </x:c>
      <x:c r="H350" s="2" t="str">
        <x:v>やけに</x:v>
      </x:c>
      <x:c r="I350" s="2" t="str">
        <x:v>やけに</x:v>
      </x:c>
      <x:c r="J350" s="8" t="str">
        <x:v>확실한, 매우</x:v>
      </x:c>
      <x:c r="K350" s="2" t="str">
        <x:v>adverb</x:v>
      </x:c>
      <x:c r="L350" s="9" t="n">
        <x:v>3.43</x:v>
      </x:c>
      <x:c r="M350" s="2" t="str">
        <x:v>없음</x:v>
      </x:c>
      <x:c r="N350" s="11" t="n">
        <x:v>29</x:v>
      </x:c>
      <x:c r="O350" s="8" t="str">
        <x:v>일반 사용 빈도 보통 이하(Zipf ≤ 3.5); 검증된 예문 없음; JMdict 우선 어휘 표지 없음; 기존 데이터의 한국어 콘텐츠 보강 필요 태그</x:v>
      </x:c>
      <x:c r="P350" s="8" t="str">
        <x:v>frequency_le_3_5,no_example,no_jmdict_priority,weak_legacy_content</x:v>
      </x:c>
      <x:c r="Q350" s="2" t="str"/>
      <x:c r="R350" s="2" t="str"/>
      <x:c r="S350" s="2" t="str"/>
      <x:c r="T350" s="2" t="str"/>
      <x:c r="U350" s="2" t="str"/>
      <x:c r="V350" s="2" t="str">
        <x:v>아니오</x:v>
      </x:c>
      <x:c r="W350" s="2" t="str">
        <x:v>예</x:v>
      </x:c>
      <x:c r="X350" s="2" t="str"/>
      <x:c r="Y350" s="2" t="n">
        <x:v>0</x:v>
      </x:c>
      <x:c r="Z350" s="2" t="str"/>
      <x:c r="AA350" s="2" t="n">
        <x:v>0</x:v>
      </x:c>
      <x:c r="AB350" s="8" t="str">
        <x:v>colloquial | from 自棄</x:v>
      </x:c>
      <x:c r="AC350" s="8" t="str"/>
      <x:c r="AD350" s="8" t="str">
        <x:v>["draft-ko-missing"]</x:v>
      </x:c>
      <x:c r="AE350" s="8" t="str">
        <x:v>검토 필요</x:v>
      </x:c>
      <x:c r="AF350" s="8" t="str"/>
    </x:row>
    <x:row r="351">
      <x:c r="A351" s="10" t="n">
        <x:v>350</x:v>
      </x:c>
      <x:c r="B351" s="2" t="str">
        <x:v>2차 보류</x:v>
      </x:c>
      <x:c r="C351" s="2" t="str">
        <x:v>2차 보류</x:v>
      </x:c>
      <x:c r="D351" s="2" t="str">
        <x:v>낮음</x:v>
      </x:c>
      <x:c r="E351" s="2" t="str">
        <x:v>N1</x:v>
      </x:c>
      <x:c r="F351" s="10" t="n">
        <x:v>146</x:v>
      </x:c>
      <x:c r="G351" s="2" t="str">
        <x:v>w_e6094e90b6990f27</x:v>
      </x:c>
      <x:c r="H351" s="2" t="str">
        <x:v>溜まり</x:v>
      </x:c>
      <x:c r="I351" s="2" t="str">
        <x:v>たまり</x:v>
      </x:c>
      <x:c r="J351" s="8" t="str">
        <x:v>고임; 집합 장소</x:v>
      </x:c>
      <x:c r="K351" s="2" t="str">
        <x:v>noun</x:v>
      </x:c>
      <x:c r="L351" s="9" t="n">
        <x:v>3.45</x:v>
      </x:c>
      <x:c r="M351" s="2" t="str">
        <x:v>없음</x:v>
      </x:c>
      <x:c r="N351" s="11" t="n">
        <x:v>29</x:v>
      </x:c>
      <x:c r="O351" s="8" t="str">
        <x:v>일반 사용 빈도 보통 이하(Zipf ≤ 3.5); 검증된 예문 없음; JMdict 우선 어휘 표지 없음; 기존 데이터의 한국어 콘텐츠 보강 필요 태그</x:v>
      </x:c>
      <x:c r="P351" s="8" t="str">
        <x:v>frequency_le_3_5,no_example,no_jmdict_priority,weak_legacy_content</x:v>
      </x:c>
      <x:c r="Q351" s="2" t="str"/>
      <x:c r="R351" s="2" t="str"/>
      <x:c r="S351" s="2" t="str"/>
      <x:c r="T351" s="2" t="str"/>
      <x:c r="U351" s="2" t="str"/>
      <x:c r="V351" s="2" t="str">
        <x:v>아니오</x:v>
      </x:c>
      <x:c r="W351" s="2" t="str">
        <x:v>예</x:v>
      </x:c>
      <x:c r="X351" s="2" t="str"/>
      <x:c r="Y351" s="2" t="n">
        <x:v>0</x:v>
      </x:c>
      <x:c r="Z351" s="2" t="str"/>
      <x:c r="AA351" s="2" t="n">
        <x:v>0</x:v>
      </x:c>
      <x:c r="AB351" s="8" t="str">
        <x:v>abbreviation</x:v>
      </x:c>
      <x:c r="AC351" s="8" t="str"/>
      <x:c r="AD351" s="8" t="str">
        <x:v>["draft-ko-missing"]</x:v>
      </x:c>
      <x:c r="AE351" s="8" t="str">
        <x:v>검토 필요</x:v>
      </x:c>
      <x:c r="AF351" s="8" t="str"/>
    </x:row>
    <x:row r="352">
      <x:c r="A352" s="10" t="n">
        <x:v>351</x:v>
      </x:c>
      <x:c r="B352" s="2" t="str">
        <x:v>2차 보류</x:v>
      </x:c>
      <x:c r="C352" s="2" t="str">
        <x:v>2차 보류</x:v>
      </x:c>
      <x:c r="D352" s="2" t="str">
        <x:v>낮음</x:v>
      </x:c>
      <x:c r="E352" s="2" t="str">
        <x:v>N1</x:v>
      </x:c>
      <x:c r="F352" s="10" t="n">
        <x:v>147</x:v>
      </x:c>
      <x:c r="G352" s="2" t="str">
        <x:v>w_384f734a3cb02170</x:v>
      </x:c>
      <x:c r="H352" s="2" t="str">
        <x:v>ぐっと</x:v>
      </x:c>
      <x:c r="I352" s="2" t="str">
        <x:v>ぐっと</x:v>
      </x:c>
      <x:c r="J352" s="8" t="str">
        <x:v>꽉; 한층, 훨씬</x:v>
      </x:c>
      <x:c r="K352" s="2" t="str">
        <x:v>adverb</x:v>
      </x:c>
      <x:c r="L352" s="9" t="n">
        <x:v>3.47</x:v>
      </x:c>
      <x:c r="M352" s="2" t="str">
        <x:v>없음</x:v>
      </x:c>
      <x:c r="N352" s="11" t="n">
        <x:v>29</x:v>
      </x:c>
      <x:c r="O352" s="8" t="str">
        <x:v>일반 사용 빈도 보통 이하(Zipf ≤ 3.5); 검증된 예문 없음; JMdict 우선 어휘 표지 없음; 기존 데이터의 한국어 콘텐츠 보강 필요 태그</x:v>
      </x:c>
      <x:c r="P352" s="8" t="str">
        <x:v>frequency_le_3_5,no_example,no_jmdict_priority,weak_legacy_content</x:v>
      </x:c>
      <x:c r="Q352" s="2" t="str"/>
      <x:c r="R352" s="2" t="str"/>
      <x:c r="S352" s="2" t="str"/>
      <x:c r="T352" s="2" t="str"/>
      <x:c r="U352" s="2" t="str"/>
      <x:c r="V352" s="2" t="str">
        <x:v>아니오</x:v>
      </x:c>
      <x:c r="W352" s="2" t="str">
        <x:v>예</x:v>
      </x:c>
      <x:c r="X352" s="2" t="str"/>
      <x:c r="Y352" s="2" t="n">
        <x:v>0</x:v>
      </x:c>
      <x:c r="Z352" s="2" t="str"/>
      <x:c r="AA352" s="2" t="n">
        <x:v>0</x:v>
      </x:c>
      <x:c r="AB352" s="8" t="str">
        <x:v>onomatopoeic or mimetic word</x:v>
      </x:c>
      <x:c r="AC352" s="8" t="str"/>
      <x:c r="AD352" s="8" t="str">
        <x:v>["draft-ko-missing"]</x:v>
      </x:c>
      <x:c r="AE352" s="8" t="str">
        <x:v>검토 필요</x:v>
      </x:c>
      <x:c r="AF352" s="8" t="str"/>
    </x:row>
    <x:row r="353">
      <x:c r="A353" s="10" t="n">
        <x:v>352</x:v>
      </x:c>
      <x:c r="B353" s="2" t="str">
        <x:v>2차 보류</x:v>
      </x:c>
      <x:c r="C353" s="2" t="str">
        <x:v>2차 보류</x:v>
      </x:c>
      <x:c r="D353" s="2" t="str">
        <x:v>낮음</x:v>
      </x:c>
      <x:c r="E353" s="2" t="str">
        <x:v>N2</x:v>
      </x:c>
      <x:c r="F353" s="10" t="n">
        <x:v>132</x:v>
      </x:c>
      <x:c r="G353" s="2" t="str">
        <x:v>w_7a72cbf069733b74</x:v>
      </x:c>
      <x:c r="H353" s="2" t="str">
        <x:v>まく</x:v>
      </x:c>
      <x:c r="I353" s="2" t="str">
        <x:v>まく</x:v>
      </x:c>
      <x:c r="J353" s="8" t="str">
        <x:v>감다, 말다</x:v>
      </x:c>
      <x:c r="K353" s="2" t="str">
        <x:v>verb</x:v>
      </x:c>
      <x:c r="L353" s="9" t="n">
        <x:v>3.5</x:v>
      </x:c>
      <x:c r="M353" s="2" t="str">
        <x:v>없음</x:v>
      </x:c>
      <x:c r="N353" s="11" t="n">
        <x:v>29</x:v>
      </x:c>
      <x:c r="O353" s="8" t="str">
        <x:v>일반 사용 빈도 보통 이하(Zipf ≤ 3.5); 검증된 예문 없음; JMdict 우선 어휘 표지 없음; 기존 데이터의 한국어 콘텐츠 보강 필요 태그</x:v>
      </x:c>
      <x:c r="P353" s="8" t="str">
        <x:v>frequency_le_3_5,no_example,no_jmdict_priority,weak_legacy_content</x:v>
      </x:c>
      <x:c r="Q353" s="2" t="str"/>
      <x:c r="R353" s="2" t="str"/>
      <x:c r="S353" s="2" t="str"/>
      <x:c r="T353" s="2" t="str"/>
      <x:c r="U353" s="2" t="str"/>
      <x:c r="V353" s="2" t="str">
        <x:v>아니오</x:v>
      </x:c>
      <x:c r="W353" s="2" t="str">
        <x:v>아니오</x:v>
      </x:c>
      <x:c r="X353" s="2" t="str"/>
      <x:c r="Y353" s="2" t="n">
        <x:v>0</x:v>
      </x:c>
      <x:c r="Z353" s="2" t="str"/>
      <x:c r="AA353" s="2" t="n">
        <x:v>0</x:v>
      </x:c>
      <x:c r="AB353" s="8" t="str"/>
      <x:c r="AC353" s="8" t="str"/>
      <x:c r="AD353" s="8" t="str">
        <x:v>["draft-ko-missing"]</x:v>
      </x:c>
      <x:c r="AE353" s="8" t="str">
        <x:v>검토 필요</x:v>
      </x:c>
      <x:c r="AF353" s="8" t="str"/>
    </x:row>
    <x:row r="354">
      <x:c r="A354" s="10" t="n">
        <x:v>353</x:v>
      </x:c>
      <x:c r="B354" s="2" t="str">
        <x:v>2차 보류</x:v>
      </x:c>
      <x:c r="C354" s="2" t="str">
        <x:v>2차 보류</x:v>
      </x:c>
      <x:c r="D354" s="2" t="str">
        <x:v>낮음</x:v>
      </x:c>
      <x:c r="E354" s="2" t="str">
        <x:v>N1</x:v>
      </x:c>
      <x:c r="F354" s="10" t="n">
        <x:v>148</x:v>
      </x:c>
      <x:c r="G354" s="2" t="str">
        <x:v>w_aea6e104360336b5</x:v>
      </x:c>
      <x:c r="H354" s="2" t="str">
        <x:v>植わる</x:v>
      </x:c>
      <x:c r="I354" s="2" t="str">
        <x:v>うわる</x:v>
      </x:c>
      <x:c r="J354" s="8" t="str">
        <x:v>심어져 있다</x:v>
      </x:c>
      <x:c r="K354" s="2" t="str">
        <x:v>verb</x:v>
      </x:c>
      <x:c r="L354" s="9" t="n">
        <x:v>0</x:v>
      </x:c>
      <x:c r="M354" s="2" t="str">
        <x:v>있음</x:v>
      </x:c>
      <x:c r="N354" s="11" t="n">
        <x:v>27</x:v>
      </x:c>
      <x:c r="O354" s="8" t="str">
        <x:v>일반 사용 빈도가 없거나 0; JMdict 우선 어휘 표지 없음</x:v>
      </x:c>
      <x:c r="P354" s="8" t="str">
        <x:v>frequency_missing_or_zero,no_jmdict_priority</x:v>
      </x:c>
      <x:c r="Q354" s="2" t="str"/>
      <x:c r="R354" s="2" t="str"/>
      <x:c r="S354" s="2" t="str"/>
      <x:c r="T354" s="2" t="str"/>
      <x:c r="U354" s="2" t="str"/>
      <x:c r="V354" s="2" t="str">
        <x:v>아니오</x:v>
      </x:c>
      <x:c r="W354" s="2" t="str">
        <x:v>예</x:v>
      </x:c>
      <x:c r="X354" s="2" t="str"/>
      <x:c r="Y354" s="2" t="n">
        <x:v>0</x:v>
      </x:c>
      <x:c r="Z354" s="2" t="str"/>
      <x:c r="AA354" s="2" t="n">
        <x:v>0</x:v>
      </x:c>
      <x:c r="AB354" s="8" t="str"/>
      <x:c r="AC354" s="8" t="str"/>
      <x:c r="AD354" s="8" t="str">
        <x:v>["ko-reviewed"]</x:v>
      </x:c>
      <x:c r="AE354" s="8" t="str">
        <x:v>검토 필요</x:v>
      </x:c>
      <x:c r="AF354" s="8" t="str"/>
    </x:row>
    <x:row r="355">
      <x:c r="A355" s="10" t="n">
        <x:v>354</x:v>
      </x:c>
      <x:c r="B355" s="2" t="str">
        <x:v>2차 보류</x:v>
      </x:c>
      <x:c r="C355" s="2" t="str">
        <x:v>데이터 정규화 검토</x:v>
      </x:c>
      <x:c r="D355" s="2" t="str">
        <x:v>낮음</x:v>
      </x:c>
      <x:c r="E355" s="2" t="str">
        <x:v>N4</x:v>
      </x:c>
      <x:c r="F355" s="10" t="n">
        <x:v>31</x:v>
      </x:c>
      <x:c r="G355" s="2" t="str">
        <x:v>w_63ee04998a89470f</x:v>
      </x:c>
      <x:c r="H355" s="2" t="str">
        <x:v>出席</x:v>
      </x:c>
      <x:c r="I355" s="2" t="str">
        <x:v>しゅっせきする</x:v>
      </x:c>
      <x:c r="J355" s="8" t="str">
        <x:v>출석, 참석</x:v>
      </x:c>
      <x:c r="K355" s="2" t="str">
        <x:v>noun</x:v>
      </x:c>
      <x:c r="L355" s="9" t="n">
        <x:v>4.28</x:v>
      </x:c>
      <x:c r="M355" s="2" t="str">
        <x:v>있음</x:v>
      </x:c>
      <x:c r="N355" s="11" t="n">
        <x:v>27</x:v>
      </x:c>
      <x:c r="O355" s="8" t="str">
        <x:v>현재 표기+읽기 조합을 JMdict에서 확인하지 못함; JMdict 우선 어휘 표지 없음; 기존 데이터의 한국어 콘텐츠 보강 필요 태그</x:v>
      </x:c>
      <x:c r="P355" s="8" t="str">
        <x:v>jmdict_exact_pair_not_found,no_jmdict_priority,weak_legacy_content</x:v>
      </x:c>
      <x:c r="Q355" s="2" t="str"/>
      <x:c r="R355" s="2" t="str"/>
      <x:c r="S355" s="2" t="str"/>
      <x:c r="T355" s="2" t="str"/>
      <x:c r="U355" s="2" t="str"/>
      <x:c r="V355" s="2" t="str">
        <x:v>아니오</x:v>
      </x:c>
      <x:c r="W355" s="2" t="str">
        <x:v>아니오</x:v>
      </x:c>
      <x:c r="X355" s="2" t="str"/>
      <x:c r="Y355" s="2" t="n">
        <x:v>0</x:v>
      </x:c>
      <x:c r="Z355" s="2" t="str"/>
      <x:c r="AA355" s="2" t="n">
        <x:v>0</x:v>
      </x:c>
      <x:c r="AB355" s="8" t="str"/>
      <x:c r="AC355" s="8" t="str"/>
      <x:c r="AD355" s="8" t="str">
        <x:v>["draft-ko-missing"]</x:v>
      </x:c>
      <x:c r="AE355" s="8" t="str">
        <x:v>검토 필요</x:v>
      </x:c>
      <x:c r="AF355" s="8" t="str"/>
    </x:row>
    <x:row r="356">
      <x:c r="A356" s="10" t="n">
        <x:v>355</x:v>
      </x:c>
      <x:c r="B356" s="2" t="str">
        <x:v>2차 보류</x:v>
      </x:c>
      <x:c r="C356" s="2" t="str">
        <x:v>데이터 정규화 검토</x:v>
      </x:c>
      <x:c r="D356" s="2" t="str">
        <x:v>낮음</x:v>
      </x:c>
      <x:c r="E356" s="2" t="str">
        <x:v>N4</x:v>
      </x:c>
      <x:c r="F356" s="10" t="n">
        <x:v>32</x:v>
      </x:c>
      <x:c r="G356" s="2" t="str">
        <x:v>w_4f7a983859b8d090</x:v>
      </x:c>
      <x:c r="H356" s="2" t="str">
        <x:v>故障</x:v>
      </x:c>
      <x:c r="I356" s="2" t="str">
        <x:v>こしょうする</x:v>
      </x:c>
      <x:c r="J356" s="8" t="str">
        <x:v>고장, 붕괴</x:v>
      </x:c>
      <x:c r="K356" s="2" t="str">
        <x:v>noun</x:v>
      </x:c>
      <x:c r="L356" s="9" t="n">
        <x:v>4.3</x:v>
      </x:c>
      <x:c r="M356" s="2" t="str">
        <x:v>있음</x:v>
      </x:c>
      <x:c r="N356" s="11" t="n">
        <x:v>27</x:v>
      </x:c>
      <x:c r="O356" s="8" t="str">
        <x:v>현재 표기+읽기 조합을 JMdict에서 확인하지 못함; JMdict 우선 어휘 표지 없음; 기존 데이터의 한국어 콘텐츠 보강 필요 태그</x:v>
      </x:c>
      <x:c r="P356" s="8" t="str">
        <x:v>jmdict_exact_pair_not_found,no_jmdict_priority,weak_legacy_content</x:v>
      </x:c>
      <x:c r="Q356" s="2" t="str"/>
      <x:c r="R356" s="2" t="str"/>
      <x:c r="S356" s="2" t="str"/>
      <x:c r="T356" s="2" t="str"/>
      <x:c r="U356" s="2" t="str"/>
      <x:c r="V356" s="2" t="str">
        <x:v>아니오</x:v>
      </x:c>
      <x:c r="W356" s="2" t="str">
        <x:v>아니오</x:v>
      </x:c>
      <x:c r="X356" s="2" t="str"/>
      <x:c r="Y356" s="2" t="n">
        <x:v>0</x:v>
      </x:c>
      <x:c r="Z356" s="2" t="str"/>
      <x:c r="AA356" s="2" t="n">
        <x:v>0</x:v>
      </x:c>
      <x:c r="AB356" s="8" t="str"/>
      <x:c r="AC356" s="8" t="str"/>
      <x:c r="AD356" s="8" t="str">
        <x:v>["draft-ko-missing"]</x:v>
      </x:c>
      <x:c r="AE356" s="8" t="str">
        <x:v>검토 필요</x:v>
      </x:c>
      <x:c r="AF356" s="8" t="str"/>
    </x:row>
    <x:row r="357">
      <x:c r="A357" s="10" t="n">
        <x:v>356</x:v>
      </x:c>
      <x:c r="B357" s="2" t="str">
        <x:v>2차 보류</x:v>
      </x:c>
      <x:c r="C357" s="2" t="str">
        <x:v>데이터 정규화 검토</x:v>
      </x:c>
      <x:c r="D357" s="2" t="str">
        <x:v>낮음</x:v>
      </x:c>
      <x:c r="E357" s="2" t="str">
        <x:v>N5</x:v>
      </x:c>
      <x:c r="F357" s="10" t="n">
        <x:v>6</x:v>
      </x:c>
      <x:c r="G357" s="2" t="str">
        <x:v>w_047eae74af4cdecf</x:v>
      </x:c>
      <x:c r="H357" s="2" t="str">
        <x:v>散歩</x:v>
      </x:c>
      <x:c r="I357" s="2" t="str">
        <x:v>さんぽ (する)</x:v>
      </x:c>
      <x:c r="J357" s="8" t="str">
        <x:v>산책</x:v>
      </x:c>
      <x:c r="K357" s="2" t="str">
        <x:v>noun</x:v>
      </x:c>
      <x:c r="L357" s="9" t="n">
        <x:v>4.42</x:v>
      </x:c>
      <x:c r="M357" s="2" t="str">
        <x:v>있음</x:v>
      </x:c>
      <x:c r="N357" s="11" t="n">
        <x:v>27</x:v>
      </x:c>
      <x:c r="O357" s="8" t="str">
        <x:v>현재 표기+읽기 조합을 JMdict에서 확인하지 못함; JMdict 우선 어휘 표지 없음; 기존 데이터의 한국어 콘텐츠 보강 필요 태그</x:v>
      </x:c>
      <x:c r="P357" s="8" t="str">
        <x:v>jmdict_exact_pair_not_found,no_jmdict_priority,weak_legacy_content</x:v>
      </x:c>
      <x:c r="Q357" s="2" t="str"/>
      <x:c r="R357" s="2" t="str"/>
      <x:c r="S357" s="2" t="str"/>
      <x:c r="T357" s="2" t="str"/>
      <x:c r="U357" s="2" t="str"/>
      <x:c r="V357" s="2" t="str">
        <x:v>아니오</x:v>
      </x:c>
      <x:c r="W357" s="2" t="str">
        <x:v>아니오</x:v>
      </x:c>
      <x:c r="X357" s="2" t="str"/>
      <x:c r="Y357" s="2" t="n">
        <x:v>0</x:v>
      </x:c>
      <x:c r="Z357" s="2" t="str"/>
      <x:c r="AA357" s="2" t="n">
        <x:v>0</x:v>
      </x:c>
      <x:c r="AB357" s="8" t="str"/>
      <x:c r="AC357" s="8" t="str"/>
      <x:c r="AD357" s="8" t="str">
        <x:v>["draft-ko-missing"]</x:v>
      </x:c>
      <x:c r="AE357" s="8" t="str">
        <x:v>검토 필요</x:v>
      </x:c>
      <x:c r="AF357" s="8" t="str"/>
    </x:row>
    <x:row r="358">
      <x:c r="A358" s="10" t="n">
        <x:v>357</x:v>
      </x:c>
      <x:c r="B358" s="2" t="str">
        <x:v>2차 보류</x:v>
      </x:c>
      <x:c r="C358" s="2" t="str">
        <x:v>2차 보류</x:v>
      </x:c>
      <x:c r="D358" s="2" t="str">
        <x:v>낮음</x:v>
      </x:c>
      <x:c r="E358" s="2" t="str">
        <x:v>N2</x:v>
      </x:c>
      <x:c r="F358" s="10" t="n">
        <x:v>133</x:v>
      </x:c>
      <x:c r="G358" s="2" t="str">
        <x:v>w_73c56dad941ca964</x:v>
      </x:c>
      <x:c r="H358" s="2" t="str">
        <x:v>書取</x:v>
      </x:c>
      <x:c r="I358" s="2" t="str">
        <x:v>かきとり</x:v>
      </x:c>
      <x:c r="J358" s="8" t="str">
        <x:v>받아쓰기</x:v>
      </x:c>
      <x:c r="K358" s="2" t="str">
        <x:v>noun</x:v>
      </x:c>
      <x:c r="L358" s="9" t="n">
        <x:v>0</x:v>
      </x:c>
      <x:c r="M358" s="2" t="str">
        <x:v>없음</x:v>
      </x:c>
      <x:c r="N358" s="11" t="n">
        <x:v>26</x:v>
      </x:c>
      <x:c r="O358" s="8" t="str">
        <x:v>일반 사용 빈도가 없거나 0; 검증된 예문 없음; 기존 데이터의 한국어 콘텐츠 보강 필요 태그</x:v>
      </x:c>
      <x:c r="P358" s="8" t="str">
        <x:v>frequency_missing_or_zero,no_example,weak_legacy_content</x:v>
      </x:c>
      <x:c r="Q358" s="2" t="str"/>
      <x:c r="R358" s="2" t="str"/>
      <x:c r="S358" s="2" t="str"/>
      <x:c r="T358" s="2" t="str"/>
      <x:c r="U358" s="2" t="str"/>
      <x:c r="V358" s="2" t="str">
        <x:v>아니오</x:v>
      </x:c>
      <x:c r="W358" s="2" t="str">
        <x:v>예</x:v>
      </x:c>
      <x:c r="X358" s="2" t="str">
        <x:v>ichi1</x:v>
      </x:c>
      <x:c r="Y358" s="2" t="n">
        <x:v>100</x:v>
      </x:c>
      <x:c r="Z358" s="2" t="str">
        <x:v>ichi1</x:v>
      </x:c>
      <x:c r="AA358" s="2" t="n">
        <x:v>100</x:v>
      </x:c>
      <x:c r="AB358" s="8" t="str"/>
      <x:c r="AC358" s="8" t="str"/>
      <x:c r="AD358" s="8" t="str">
        <x:v>["draft-ko-missing"]</x:v>
      </x:c>
      <x:c r="AE358" s="8" t="str">
        <x:v>검토 필요</x:v>
      </x:c>
      <x:c r="AF358" s="8" t="str"/>
    </x:row>
    <x:row r="359">
      <x:c r="A359" s="10" t="n">
        <x:v>358</x:v>
      </x:c>
      <x:c r="B359" s="2" t="str">
        <x:v>2차 보류</x:v>
      </x:c>
      <x:c r="C359" s="2" t="str">
        <x:v>2차 보류</x:v>
      </x:c>
      <x:c r="D359" s="2" t="str">
        <x:v>낮음</x:v>
      </x:c>
      <x:c r="E359" s="2" t="str">
        <x:v>N2</x:v>
      </x:c>
      <x:c r="F359" s="10" t="n">
        <x:v>134</x:v>
      </x:c>
      <x:c r="G359" s="2" t="str">
        <x:v>w_9d1df5dd60925a65</x:v>
      </x:c>
      <x:c r="H359" s="2" t="str">
        <x:v>存じる</x:v>
      </x:c>
      <x:c r="I359" s="2" t="str">
        <x:v>ぞんじる</x:v>
      </x:c>
      <x:c r="J359" s="8" t="str">
        <x:v>알다(겸양)</x:v>
      </x:c>
      <x:c r="K359" s="2" t="str">
        <x:v>verb</x:v>
      </x:c>
      <x:c r="L359" s="9" t="n">
        <x:v>0</x:v>
      </x:c>
      <x:c r="M359" s="2" t="str">
        <x:v>없음</x:v>
      </x:c>
      <x:c r="N359" s="11" t="n">
        <x:v>26</x:v>
      </x:c>
      <x:c r="O359" s="8" t="str">
        <x:v>일반 사용 빈도가 없거나 0; 검증된 예문 없음; 기존 데이터의 한국어 콘텐츠 보강 필요 태그</x:v>
      </x:c>
      <x:c r="P359" s="8" t="str">
        <x:v>frequency_missing_or_zero,no_example,weak_legacy_content</x:v>
      </x:c>
      <x:c r="Q359" s="2" t="str"/>
      <x:c r="R359" s="2" t="str"/>
      <x:c r="S359" s="2" t="str"/>
      <x:c r="T359" s="2" t="str"/>
      <x:c r="U359" s="2" t="str"/>
      <x:c r="V359" s="2" t="str">
        <x:v>아니오</x:v>
      </x:c>
      <x:c r="W359" s="2" t="str">
        <x:v>예</x:v>
      </x:c>
      <x:c r="X359" s="2" t="str">
        <x:v>ichi1,news2,nf29</x:v>
      </x:c>
      <x:c r="Y359" s="2" t="n">
        <x:v>100</x:v>
      </x:c>
      <x:c r="Z359" s="2" t="str">
        <x:v>ichi1,news2,nf29</x:v>
      </x:c>
      <x:c r="AA359" s="2" t="n">
        <x:v>100</x:v>
      </x:c>
      <x:c r="AB359" s="8" t="str">
        <x:v>humble (kenjougo) language</x:v>
      </x:c>
      <x:c r="AC359" s="8" t="str"/>
      <x:c r="AD359" s="8" t="str">
        <x:v>["draft-ko-missing"]</x:v>
      </x:c>
      <x:c r="AE359" s="8" t="str">
        <x:v>검토 필요</x:v>
      </x:c>
      <x:c r="AF359" s="8" t="str"/>
    </x:row>
    <x:row r="360">
      <x:c r="A360" s="10" t="n">
        <x:v>359</x:v>
      </x:c>
      <x:c r="B360" s="2" t="str">
        <x:v>2차 보류</x:v>
      </x:c>
      <x:c r="C360" s="2" t="str">
        <x:v>2차 보류</x:v>
      </x:c>
      <x:c r="D360" s="2" t="str">
        <x:v>낮음</x:v>
      </x:c>
      <x:c r="E360" s="2" t="str">
        <x:v>N1</x:v>
      </x:c>
      <x:c r="F360" s="10" t="n">
        <x:v>149</x:v>
      </x:c>
      <x:c r="G360" s="2" t="str">
        <x:v>w_74f6ece32e3760ce</x:v>
      </x:c>
      <x:c r="H360" s="2" t="str">
        <x:v>見計らう</x:v>
      </x:c>
      <x:c r="I360" s="2" t="str">
        <x:v>みはからう</x:v>
      </x:c>
      <x:c r="J360" s="8" t="str">
        <x:v>적당히 판단하다, 때를 맞추다</x:v>
      </x:c>
      <x:c r="K360" s="2" t="str">
        <x:v>verb</x:v>
      </x:c>
      <x:c r="L360" s="9" t="n">
        <x:v>1.34</x:v>
      </x:c>
      <x:c r="M360" s="2" t="str">
        <x:v>없음</x:v>
      </x:c>
      <x:c r="N360" s="11" t="n">
        <x:v>26</x:v>
      </x:c>
      <x:c r="O360" s="8" t="str">
        <x:v>일반 사용 빈도 매우 낮음(Zipf ≤ 1.5); 검증된 예문 없음</x:v>
      </x:c>
      <x:c r="P360" s="8" t="str">
        <x:v>frequency_le_1_5,no_example</x:v>
      </x:c>
      <x:c r="Q360" s="2" t="str"/>
      <x:c r="R360" s="2" t="str"/>
      <x:c r="S360" s="2" t="str"/>
      <x:c r="T360" s="2" t="str"/>
      <x:c r="U360" s="2" t="str"/>
      <x:c r="V360" s="2" t="str">
        <x:v>아니오</x:v>
      </x:c>
      <x:c r="W360" s="2" t="str">
        <x:v>예</x:v>
      </x:c>
      <x:c r="X360" s="2" t="str">
        <x:v>news2,nf32</x:v>
      </x:c>
      <x:c r="Y360" s="2" t="n">
        <x:v>70</x:v>
      </x:c>
      <x:c r="Z360" s="2" t="str">
        <x:v>news2,nf32</x:v>
      </x:c>
      <x:c r="AA360" s="2" t="n">
        <x:v>70</x:v>
      </x:c>
      <x:c r="AB360" s="8" t="str"/>
      <x:c r="AC360" s="8" t="str"/>
      <x:c r="AD360" s="8" t="str">
        <x:v>["ko-reviewed"]</x:v>
      </x:c>
      <x:c r="AE360" s="8" t="str">
        <x:v>검토 필요</x:v>
      </x:c>
      <x:c r="AF360" s="8" t="str"/>
    </x:row>
    <x:row r="361">
      <x:c r="A361" s="10" t="n">
        <x:v>360</x:v>
      </x:c>
      <x:c r="B361" s="2" t="str">
        <x:v>1차 검토 후보</x:v>
      </x:c>
      <x:c r="C361" s="2" t="str">
        <x:v>중복 변형 제거 검토</x:v>
      </x:c>
      <x:c r="D361" s="2" t="str">
        <x:v>중간</x:v>
      </x:c>
      <x:c r="E361" s="2" t="str">
        <x:v>N3</x:v>
      </x:c>
      <x:c r="F361" s="10" t="n">
        <x:v>39</x:v>
      </x:c>
      <x:c r="G361" s="2" t="str">
        <x:v>w_a2cf2915e143c029</x:v>
      </x:c>
      <x:c r="H361" s="2" t="str">
        <x:v>描く</x:v>
      </x:c>
      <x:c r="I361" s="2" t="str">
        <x:v>えがく</x:v>
      </x:c>
      <x:c r="J361" s="8" t="str">
        <x:v>그리다, 묘사하다</x:v>
      </x:c>
      <x:c r="K361" s="2" t="str">
        <x:v>verb</x:v>
      </x:c>
      <x:c r="L361" s="9" t="n">
        <x:v>4.52</x:v>
      </x:c>
      <x:c r="M361" s="2" t="str">
        <x:v>없음</x:v>
      </x:c>
      <x:c r="N361" s="11" t="n">
        <x:v>26</x:v>
      </x:c>
      <x:c r="O361" s="8" t="str">
        <x:v>검증된 예문 없음; 동일 JMdict 표제어의 표기·읽기 변형; 기존 데이터의 한국어 콘텐츠 보강 필요 태그</x:v>
      </x:c>
      <x:c r="P361" s="8" t="str">
        <x:v>no_example,same_jmdict_entry,weak_legacy_content</x:v>
      </x:c>
      <x:c r="Q361" s="2" t="str">
        <x:v>vg_100</x:v>
      </x:c>
      <x:c r="R361" s="2" t="str">
        <x:v>same_jmdict_entry</x:v>
      </x:c>
      <x:c r="S361" s="2" t="str">
        <x:v>w_c34cf13bb75d6d66</x:v>
      </x:c>
      <x:c r="T361" s="2" t="str">
        <x:v>描く</x:v>
      </x:c>
      <x:c r="U361" s="2" t="str">
        <x:v>かく</x:v>
      </x:c>
      <x:c r="V361" s="2" t="str">
        <x:v>아니오</x:v>
      </x:c>
      <x:c r="W361" s="2" t="str">
        <x:v>예</x:v>
      </x:c>
      <x:c r="X361" s="2" t="str">
        <x:v>ichi1</x:v>
      </x:c>
      <x:c r="Y361" s="2" t="n">
        <x:v>100</x:v>
      </x:c>
      <x:c r="Z361" s="2" t="str">
        <x:v>ichi1</x:v>
      </x:c>
      <x:c r="AA361" s="2" t="n">
        <x:v>100</x:v>
      </x:c>
      <x:c r="AB361" s="8" t="str"/>
      <x:c r="AC361" s="8" t="str"/>
      <x:c r="AD361" s="8" t="str">
        <x:v>["draft-ko-missing"]</x:v>
      </x:c>
      <x:c r="AE361" s="8" t="str">
        <x:v>검토 필요</x:v>
      </x:c>
      <x:c r="AF361" s="8" t="str"/>
    </x:row>
    <x:row r="362">
      <x:c r="A362" s="10" t="n">
        <x:v>361</x:v>
      </x:c>
      <x:c r="B362" s="2" t="str">
        <x:v>1차 검토 후보</x:v>
      </x:c>
      <x:c r="C362" s="2" t="str">
        <x:v>중복 변형 제거 검토</x:v>
      </x:c>
      <x:c r="D362" s="2" t="str">
        <x:v>중간</x:v>
      </x:c>
      <x:c r="E362" s="2" t="str">
        <x:v>N3</x:v>
      </x:c>
      <x:c r="F362" s="10" t="n">
        <x:v>40</x:v>
      </x:c>
      <x:c r="G362" s="2" t="str">
        <x:v>w_63474a91a3ad5d17</x:v>
      </x:c>
      <x:c r="H362" s="2" t="str">
        <x:v>角</x:v>
      </x:c>
      <x:c r="I362" s="2" t="str">
        <x:v>すみ</x:v>
      </x:c>
      <x:c r="J362" s="8" t="str">
        <x:v>모퉁이, 각</x:v>
      </x:c>
      <x:c r="K362" s="2" t="str">
        <x:v>noun</x:v>
      </x:c>
      <x:c r="L362" s="9" t="n">
        <x:v>4.62</x:v>
      </x:c>
      <x:c r="M362" s="2" t="str">
        <x:v>없음</x:v>
      </x:c>
      <x:c r="N362" s="11" t="n">
        <x:v>26</x:v>
      </x:c>
      <x:c r="O362" s="8" t="str">
        <x:v>검증된 예문 없음; 동일 JMdict 표제어의 표기·읽기 변형; 기존 데이터의 한국어 콘텐츠 보강 필요 태그</x:v>
      </x:c>
      <x:c r="P362" s="8" t="str">
        <x:v>no_example,same_jmdict_entry,weak_legacy_content</x:v>
      </x:c>
      <x:c r="Q362" s="2" t="str">
        <x:v>vg_064</x:v>
      </x:c>
      <x:c r="R362" s="2" t="str">
        <x:v>same_jmdict_entry</x:v>
      </x:c>
      <x:c r="S362" s="2" t="str">
        <x:v>w_f0f96d3189ba7c95</x:v>
      </x:c>
      <x:c r="T362" s="2" t="str">
        <x:v>隅</x:v>
      </x:c>
      <x:c r="U362" s="2" t="str">
        <x:v>すみ</x:v>
      </x:c>
      <x:c r="V362" s="2" t="str">
        <x:v>아니오</x:v>
      </x:c>
      <x:c r="W362" s="2" t="str">
        <x:v>예</x:v>
      </x:c>
      <x:c r="X362" s="2" t="str">
        <x:v>ichi1,news1,nf09</x:v>
      </x:c>
      <x:c r="Y362" s="2" t="n">
        <x:v>100</x:v>
      </x:c>
      <x:c r="Z362" s="2" t="str"/>
      <x:c r="AA362" s="2" t="n">
        <x:v>0</x:v>
      </x:c>
      <x:c r="AB362" s="8" t="str">
        <x:v>rare term</x:v>
      </x:c>
      <x:c r="AC362" s="8" t="str"/>
      <x:c r="AD362" s="8" t="str">
        <x:v>["draft-ko-missing"]</x:v>
      </x:c>
      <x:c r="AE362" s="8" t="str">
        <x:v>검토 필요</x:v>
      </x:c>
      <x:c r="AF362" s="8" t="str"/>
    </x:row>
    <x:row r="363">
      <x:c r="A363" s="10" t="n">
        <x:v>362</x:v>
      </x:c>
      <x:c r="B363" s="2" t="str">
        <x:v>1차 제외 추천</x:v>
      </x:c>
      <x:c r="C363" s="2" t="str">
        <x:v>중복 변형 제거 검토</x:v>
      </x:c>
      <x:c r="D363" s="2" t="str">
        <x:v>높음</x:v>
      </x:c>
      <x:c r="E363" s="2" t="str">
        <x:v>N3</x:v>
      </x:c>
      <x:c r="F363" s="10" t="n">
        <x:v>41</x:v>
      </x:c>
      <x:c r="G363" s="2" t="str">
        <x:v>w_82adb6170ea8495c</x:v>
      </x:c>
      <x:c r="H363" s="2" t="str">
        <x:v>魚</x:v>
      </x:c>
      <x:c r="I363" s="2" t="str">
        <x:v>うお</x:v>
      </x:c>
      <x:c r="J363" s="8" t="str">
        <x:v>생선, 물고기</x:v>
      </x:c>
      <x:c r="K363" s="2" t="str">
        <x:v>noun</x:v>
      </x:c>
      <x:c r="L363" s="9" t="n">
        <x:v>4.71</x:v>
      </x:c>
      <x:c r="M363" s="2" t="str">
        <x:v>없음</x:v>
      </x:c>
      <x:c r="N363" s="11" t="n">
        <x:v>26</x:v>
      </x:c>
      <x:c r="O363" s="8" t="str">
        <x:v>검증된 예문 없음; 동일 JMdict 표제어의 표기·읽기 변형; 기존 데이터의 한국어 콘텐츠 보강 필요 태그</x:v>
      </x:c>
      <x:c r="P363" s="8" t="str">
        <x:v>no_example,same_jmdict_entry,weak_legacy_content</x:v>
      </x:c>
      <x:c r="Q363" s="2" t="str">
        <x:v>vg_021</x:v>
      </x:c>
      <x:c r="R363" s="2" t="str">
        <x:v>same_jmdict_entry</x:v>
      </x:c>
      <x:c r="S363" s="2" t="str">
        <x:v>w_0e66d1e196b285b8</x:v>
      </x:c>
      <x:c r="T363" s="2" t="str">
        <x:v>魚</x:v>
      </x:c>
      <x:c r="U363" s="2" t="str">
        <x:v>さかな</x:v>
      </x:c>
      <x:c r="V363" s="2" t="str">
        <x:v>예</x:v>
      </x:c>
      <x:c r="W363" s="2" t="str">
        <x:v>예</x:v>
      </x:c>
      <x:c r="X363" s="2" t="str">
        <x:v>ichi1,ichi2,news1,nf03</x:v>
      </x:c>
      <x:c r="Y363" s="2" t="n">
        <x:v>100</x:v>
      </x:c>
      <x:c r="Z363" s="2" t="str">
        <x:v>ichi1,ichi2,news1,nf03</x:v>
      </x:c>
      <x:c r="AA363" s="2" t="n">
        <x:v>100</x:v>
      </x:c>
      <x:c r="AB363" s="8" t="str"/>
      <x:c r="AC363" s="8" t="str"/>
      <x:c r="AD363" s="8" t="str">
        <x:v>["draft-ko-missing"]</x:v>
      </x:c>
      <x:c r="AE363" s="8" t="str">
        <x:v>검토 필요</x:v>
      </x:c>
      <x:c r="AF363" s="8" t="str"/>
    </x:row>
    <x:row r="364">
      <x:c r="A364" s="10" t="n">
        <x:v>363</x:v>
      </x:c>
      <x:c r="B364" s="2" t="str">
        <x:v>1차 제외 추천</x:v>
      </x:c>
      <x:c r="C364" s="2" t="str">
        <x:v>중복 변형 제거 검토</x:v>
      </x:c>
      <x:c r="D364" s="2" t="str">
        <x:v>높음</x:v>
      </x:c>
      <x:c r="E364" s="2" t="str">
        <x:v>N3</x:v>
      </x:c>
      <x:c r="F364" s="10" t="n">
        <x:v>42</x:v>
      </x:c>
      <x:c r="G364" s="2" t="str">
        <x:v>w_e79c8ba878e30a15</x:v>
      </x:c>
      <x:c r="H364" s="2" t="str">
        <x:v>工場</x:v>
      </x:c>
      <x:c r="I364" s="2" t="str">
        <x:v>こうば</x:v>
      </x:c>
      <x:c r="J364" s="8" t="str">
        <x:v>공장</x:v>
      </x:c>
      <x:c r="K364" s="2" t="str">
        <x:v>noun</x:v>
      </x:c>
      <x:c r="L364" s="9" t="n">
        <x:v>4.73</x:v>
      </x:c>
      <x:c r="M364" s="2" t="str">
        <x:v>없음</x:v>
      </x:c>
      <x:c r="N364" s="11" t="n">
        <x:v>26</x:v>
      </x:c>
      <x:c r="O364" s="8" t="str">
        <x:v>검증된 예문 없음; 동일 JMdict 표제어의 표기·읽기 변형; 기존 데이터의 한국어 콘텐츠 보강 필요 태그</x:v>
      </x:c>
      <x:c r="P364" s="8" t="str">
        <x:v>no_example,same_jmdict_entry,weak_legacy_content</x:v>
      </x:c>
      <x:c r="Q364" s="2" t="str">
        <x:v>vg_109</x:v>
      </x:c>
      <x:c r="R364" s="2" t="str">
        <x:v>same_jmdict_entry</x:v>
      </x:c>
      <x:c r="S364" s="2" t="str">
        <x:v>w_c6659c1fa6c5b3cc</x:v>
      </x:c>
      <x:c r="T364" s="2" t="str">
        <x:v>工場</x:v>
      </x:c>
      <x:c r="U364" s="2" t="str">
        <x:v>こうじょう</x:v>
      </x:c>
      <x:c r="V364" s="2" t="str">
        <x:v>예</x:v>
      </x:c>
      <x:c r="W364" s="2" t="str">
        <x:v>예</x:v>
      </x:c>
      <x:c r="X364" s="2" t="str">
        <x:v>ichi1,news1,nf01</x:v>
      </x:c>
      <x:c r="Y364" s="2" t="n">
        <x:v>100</x:v>
      </x:c>
      <x:c r="Z364" s="2" t="str">
        <x:v>ichi1,news1,nf01</x:v>
      </x:c>
      <x:c r="AA364" s="2" t="n">
        <x:v>100</x:v>
      </x:c>
      <x:c r="AB364" s="8" t="str"/>
      <x:c r="AC364" s="8" t="str"/>
      <x:c r="AD364" s="8" t="str">
        <x:v>["draft-ko-missing"]</x:v>
      </x:c>
      <x:c r="AE364" s="8" t="str">
        <x:v>검토 필요</x:v>
      </x:c>
      <x:c r="AF364" s="8" t="str"/>
    </x:row>
    <x:row r="365">
      <x:c r="A365" s="10" t="n">
        <x:v>364</x:v>
      </x:c>
      <x:c r="B365" s="2" t="str">
        <x:v>1차 제외 추천</x:v>
      </x:c>
      <x:c r="C365" s="2" t="str">
        <x:v>중복 변형 제거 검토</x:v>
      </x:c>
      <x:c r="D365" s="2" t="str">
        <x:v>높음</x:v>
      </x:c>
      <x:c r="E365" s="2" t="str">
        <x:v>N3</x:v>
      </x:c>
      <x:c r="F365" s="10" t="n">
        <x:v>43</x:v>
      </x:c>
      <x:c r="G365" s="2" t="str">
        <x:v>w_78caf6dd3119f140</x:v>
      </x:c>
      <x:c r="H365" s="2" t="str">
        <x:v>文字</x:v>
      </x:c>
      <x:c r="I365" s="2" t="str">
        <x:v>もんじ</x:v>
      </x:c>
      <x:c r="J365" s="8" t="str">
        <x:v>글자, 문자</x:v>
      </x:c>
      <x:c r="K365" s="2" t="str">
        <x:v>noun</x:v>
      </x:c>
      <x:c r="L365" s="9" t="n">
        <x:v>5.02</x:v>
      </x:c>
      <x:c r="M365" s="2" t="str">
        <x:v>없음</x:v>
      </x:c>
      <x:c r="N365" s="11" t="n">
        <x:v>26</x:v>
      </x:c>
      <x:c r="O365" s="8" t="str">
        <x:v>검증된 예문 없음; 동일 JMdict 표제어의 표기·읽기 변형; 기존 데이터의 한국어 콘텐츠 보강 필요 태그</x:v>
      </x:c>
      <x:c r="P365" s="8" t="str">
        <x:v>no_example,same_jmdict_entry,weak_legacy_content</x:v>
      </x:c>
      <x:c r="Q365" s="2" t="str">
        <x:v>vg_058</x:v>
      </x:c>
      <x:c r="R365" s="2" t="str">
        <x:v>same_jmdict_entry</x:v>
      </x:c>
      <x:c r="S365" s="2" t="str">
        <x:v>w_596ec51bc3a84d27</x:v>
      </x:c>
      <x:c r="T365" s="2" t="str">
        <x:v>文字</x:v>
      </x:c>
      <x:c r="U365" s="2" t="str">
        <x:v>もじ</x:v>
      </x:c>
      <x:c r="V365" s="2" t="str">
        <x:v>예</x:v>
      </x:c>
      <x:c r="W365" s="2" t="str">
        <x:v>예</x:v>
      </x:c>
      <x:c r="X365" s="2" t="str">
        <x:v>ichi1,news1,nf03</x:v>
      </x:c>
      <x:c r="Y365" s="2" t="n">
        <x:v>100</x:v>
      </x:c>
      <x:c r="Z365" s="2" t="str">
        <x:v>ichi1,news1,nf03</x:v>
      </x:c>
      <x:c r="AA365" s="2" t="n">
        <x:v>100</x:v>
      </x:c>
      <x:c r="AB365" s="8" t="str"/>
      <x:c r="AC365" s="8" t="str"/>
      <x:c r="AD365" s="8" t="str">
        <x:v>["draft-ko-missing"]</x:v>
      </x:c>
      <x:c r="AE365" s="8" t="str">
        <x:v>검토 필요</x:v>
      </x:c>
      <x:c r="AF365" s="8" t="str"/>
    </x:row>
    <x:row r="366">
      <x:c r="A366" s="10" t="n">
        <x:v>365</x:v>
      </x:c>
      <x:c r="B366" s="2" t="str">
        <x:v>1차 검토 후보</x:v>
      </x:c>
      <x:c r="C366" s="2" t="str">
        <x:v>중복 변형 제거 검토</x:v>
      </x:c>
      <x:c r="D366" s="2" t="str">
        <x:v>중간</x:v>
      </x:c>
      <x:c r="E366" s="2" t="str">
        <x:v>N4</x:v>
      </x:c>
      <x:c r="F366" s="10" t="n">
        <x:v>33</x:v>
      </x:c>
      <x:c r="G366" s="2" t="str">
        <x:v>w_49b375af96425cbe</x:v>
      </x:c>
      <x:c r="H366" s="2" t="str">
        <x:v>明日</x:v>
      </x:c>
      <x:c r="I366" s="2" t="str">
        <x:v>あす</x:v>
      </x:c>
      <x:c r="J366" s="8" t="str">
        <x:v>내일</x:v>
      </x:c>
      <x:c r="K366" s="2" t="str">
        <x:v>noun</x:v>
      </x:c>
      <x:c r="L366" s="9" t="n">
        <x:v>5.2</x:v>
      </x:c>
      <x:c r="M366" s="2" t="str">
        <x:v>없음</x:v>
      </x:c>
      <x:c r="N366" s="11" t="n">
        <x:v>26</x:v>
      </x:c>
      <x:c r="O366" s="8" t="str">
        <x:v>검증된 예문 없음; 동일 JMdict 표제어의 표기·읽기 변형; 기존 데이터의 한국어 콘텐츠 보강 필요 태그</x:v>
      </x:c>
      <x:c r="P366" s="8" t="str">
        <x:v>no_example,same_jmdict_entry,weak_legacy_content</x:v>
      </x:c>
      <x:c r="Q366" s="2" t="str">
        <x:v>vg_049</x:v>
      </x:c>
      <x:c r="R366" s="2" t="str">
        <x:v>same_jmdict_entry</x:v>
      </x:c>
      <x:c r="S366" s="2" t="str">
        <x:v>w_a6b4b27691fedbcb</x:v>
      </x:c>
      <x:c r="T366" s="2" t="str">
        <x:v>明日</x:v>
      </x:c>
      <x:c r="U366" s="2" t="str">
        <x:v>あした</x:v>
      </x:c>
      <x:c r="V366" s="2" t="str">
        <x:v>아니오</x:v>
      </x:c>
      <x:c r="W366" s="2" t="str">
        <x:v>예</x:v>
      </x:c>
      <x:c r="X366" s="2" t="str">
        <x:v>ichi1,news1,nf05</x:v>
      </x:c>
      <x:c r="Y366" s="2" t="n">
        <x:v>100</x:v>
      </x:c>
      <x:c r="Z366" s="2" t="str">
        <x:v>ichi1,news1,nf05</x:v>
      </x:c>
      <x:c r="AA366" s="2" t="n">
        <x:v>100</x:v>
      </x:c>
      <x:c r="AB366" s="8" t="str">
        <x:v>gikun (meaning as reading) or jukujikun (special kanji reading)</x:v>
      </x:c>
      <x:c r="AC366" s="8" t="str"/>
      <x:c r="AD366" s="8" t="str">
        <x:v>["draft-ko-missing"]</x:v>
      </x:c>
      <x:c r="AE366" s="8" t="str">
        <x:v>검토 필요</x:v>
      </x:c>
      <x:c r="AF366" s="8" t="str"/>
    </x:row>
    <x:row r="367">
      <x:c r="A367" s="10" t="n">
        <x:v>366</x:v>
      </x:c>
      <x:c r="B367" s="2" t="str">
        <x:v>1차 검토 후보</x:v>
      </x:c>
      <x:c r="C367" s="2" t="str">
        <x:v>중복 변형 제거 검토</x:v>
      </x:c>
      <x:c r="D367" s="2" t="str">
        <x:v>중간</x:v>
      </x:c>
      <x:c r="E367" s="2" t="str">
        <x:v>N3</x:v>
      </x:c>
      <x:c r="F367" s="10" t="n">
        <x:v>44</x:v>
      </x:c>
      <x:c r="G367" s="2" t="str">
        <x:v>w_73e0fb95b7f90273</x:v>
      </x:c>
      <x:c r="H367" s="2" t="str">
        <x:v>行き</x:v>
      </x:c>
      <x:c r="I367" s="2" t="str">
        <x:v>いき</x:v>
      </x:c>
      <x:c r="J367" s="8" t="str">
        <x:v>감, (목적지)행</x:v>
      </x:c>
      <x:c r="K367" s="2" t="str">
        <x:v>noun</x:v>
      </x:c>
      <x:c r="L367" s="9" t="n">
        <x:v>5.33</x:v>
      </x:c>
      <x:c r="M367" s="2" t="str">
        <x:v>없음</x:v>
      </x:c>
      <x:c r="N367" s="11" t="n">
        <x:v>26</x:v>
      </x:c>
      <x:c r="O367" s="8" t="str">
        <x:v>검증된 예문 없음; 동일 JMdict 표제어의 표기·읽기 변형; 기존 데이터의 한국어 콘텐츠 보강 필요 태그</x:v>
      </x:c>
      <x:c r="P367" s="8" t="str">
        <x:v>no_example,same_jmdict_entry,weak_legacy_content</x:v>
      </x:c>
      <x:c r="Q367" s="2" t="str">
        <x:v>vg_077</x:v>
      </x:c>
      <x:c r="R367" s="2" t="str">
        <x:v>same_jmdict_entry</x:v>
      </x:c>
      <x:c r="S367" s="2" t="str">
        <x:v>w_fe4beb5b2e0412ed</x:v>
      </x:c>
      <x:c r="T367" s="2" t="str">
        <x:v>行き</x:v>
      </x:c>
      <x:c r="U367" s="2" t="str">
        <x:v>ゆき</x:v>
      </x:c>
      <x:c r="V367" s="2" t="str">
        <x:v>아니오</x:v>
      </x:c>
      <x:c r="W367" s="2" t="str">
        <x:v>예</x:v>
      </x:c>
      <x:c r="X367" s="2" t="str">
        <x:v>ichi1,news1,nf12</x:v>
      </x:c>
      <x:c r="Y367" s="2" t="n">
        <x:v>100</x:v>
      </x:c>
      <x:c r="Z367" s="2" t="str">
        <x:v>ichi1,news1,nf12</x:v>
      </x:c>
      <x:c r="AA367" s="2" t="n">
        <x:v>100</x:v>
      </x:c>
      <x:c r="AB367" s="8" t="str">
        <x:v>usu. ゆき</x:v>
      </x:c>
      <x:c r="AC367" s="8" t="str"/>
      <x:c r="AD367" s="8" t="str">
        <x:v>["draft-ko-missing"]</x:v>
      </x:c>
      <x:c r="AE367" s="8" t="str">
        <x:v>검토 필요</x:v>
      </x:c>
      <x:c r="AF367" s="8" t="str"/>
    </x:row>
    <x:row r="368">
      <x:c r="A368" s="10" t="n">
        <x:v>367</x:v>
      </x:c>
      <x:c r="B368" s="2" t="str">
        <x:v>1차 제외 추천</x:v>
      </x:c>
      <x:c r="C368" s="2" t="str">
        <x:v>중복 변형 제거 검토</x:v>
      </x:c>
      <x:c r="D368" s="2" t="str">
        <x:v>높음</x:v>
      </x:c>
      <x:c r="E368" s="2" t="str">
        <x:v>N1</x:v>
      </x:c>
      <x:c r="F368" s="10" t="n">
        <x:v>150</x:v>
      </x:c>
      <x:c r="G368" s="2" t="str">
        <x:v>w_fe67641683421c77</x:v>
      </x:c>
      <x:c r="H368" s="2" t="str">
        <x:v>頭</x:v>
      </x:c>
      <x:c r="I368" s="2" t="str">
        <x:v>かしら</x:v>
      </x:c>
      <x:c r="J368" s="8" t="str">
        <x:v>머리</x:v>
      </x:c>
      <x:c r="K368" s="2" t="str">
        <x:v>noun</x:v>
      </x:c>
      <x:c r="L368" s="9" t="n">
        <x:v>5.43</x:v>
      </x:c>
      <x:c r="M368" s="2" t="str">
        <x:v>없음</x:v>
      </x:c>
      <x:c r="N368" s="11" t="n">
        <x:v>26</x:v>
      </x:c>
      <x:c r="O368" s="8" t="str">
        <x:v>검증된 예문 없음; 동일 JMdict 표제어의 표기·읽기 변형; 기존 데이터의 한국어 콘텐츠 보강 필요 태그</x:v>
      </x:c>
      <x:c r="P368" s="8" t="str">
        <x:v>no_example,same_jmdict_entry,weak_legacy_content</x:v>
      </x:c>
      <x:c r="Q368" s="2" t="str">
        <x:v>vg_088</x:v>
      </x:c>
      <x:c r="R368" s="2" t="str">
        <x:v>same_jmdict_entry</x:v>
      </x:c>
      <x:c r="S368" s="2" t="str">
        <x:v>w_8c7c6614e2b0593f</x:v>
      </x:c>
      <x:c r="T368" s="2" t="str">
        <x:v>頭</x:v>
      </x:c>
      <x:c r="U368" s="2" t="str">
        <x:v>あたま</x:v>
      </x:c>
      <x:c r="V368" s="2" t="str">
        <x:v>예</x:v>
      </x:c>
      <x:c r="W368" s="2" t="str">
        <x:v>예</x:v>
      </x:c>
      <x:c r="X368" s="2" t="str">
        <x:v>ichi1</x:v>
      </x:c>
      <x:c r="Y368" s="2" t="n">
        <x:v>100</x:v>
      </x:c>
      <x:c r="Z368" s="2" t="str">
        <x:v>ichi1</x:v>
      </x:c>
      <x:c r="AA368" s="2" t="n">
        <x:v>100</x:v>
      </x:c>
      <x:c r="AB368" s="8" t="str">
        <x:v>abbreviation | colloquial</x:v>
      </x:c>
      <x:c r="AC368" s="8" t="str"/>
      <x:c r="AD368" s="8" t="str">
        <x:v>["draft-ko-missing"]</x:v>
      </x:c>
      <x:c r="AE368" s="8" t="str">
        <x:v>검토 필요</x:v>
      </x:c>
      <x:c r="AF368" s="8" t="str"/>
    </x:row>
    <x:row r="369">
      <x:c r="A369" s="10" t="n">
        <x:v>368</x:v>
      </x:c>
      <x:c r="B369" s="2" t="str">
        <x:v>1차 검토 후보</x:v>
      </x:c>
      <x:c r="C369" s="2" t="str">
        <x:v>표기 교정·교체 검토</x:v>
      </x:c>
      <x:c r="D369" s="2" t="str">
        <x:v>중간</x:v>
      </x:c>
      <x:c r="E369" s="2" t="str">
        <x:v>N3</x:v>
      </x:c>
      <x:c r="F369" s="10" t="n">
        <x:v>45</x:v>
      </x:c>
      <x:c r="G369" s="2" t="str">
        <x:v>w_9db786096f7cde8d</x:v>
      </x:c>
      <x:c r="H369" s="2" t="str">
        <x:v>位</x:v>
      </x:c>
      <x:c r="I369" s="2" t="str">
        <x:v>くらい</x:v>
      </x:c>
      <x:c r="J369" s="8" t="str">
        <x:v>지위, 등급; 정도</x:v>
      </x:c>
      <x:c r="K369" s="2" t="str">
        <x:v>suffix</x:v>
      </x:c>
      <x:c r="L369" s="9" t="n">
        <x:v>5.52</x:v>
      </x:c>
      <x:c r="M369" s="2" t="str">
        <x:v>없음</x:v>
      </x:c>
      <x:c r="N369" s="11" t="n">
        <x:v>26</x:v>
      </x:c>
      <x:c r="O369" s="8" t="str">
        <x:v>JMdict에서 희귀·비표준 표기로 표시; 기존 한국어 뜻 품질 감사 대상; 검증된 예문 없음; 기존 데이터의 한국어 콘텐츠 보강 필요 태그</x:v>
      </x:c>
      <x:c r="P369" s="8" t="str">
        <x:v>jmdict_uncommon_or_irregular,legacy_gloss_audit:senses_5_6,no_example,weak_legacy_content</x:v>
      </x:c>
      <x:c r="Q369" s="2" t="str"/>
      <x:c r="R369" s="2" t="str"/>
      <x:c r="S369" s="2" t="str"/>
      <x:c r="T369" s="2" t="str"/>
      <x:c r="U369" s="2" t="str"/>
      <x:c r="V369" s="2" t="str">
        <x:v>아니오</x:v>
      </x:c>
      <x:c r="W369" s="2" t="str">
        <x:v>예</x:v>
      </x:c>
      <x:c r="X369" s="2" t="str">
        <x:v>ichi1,spec1</x:v>
      </x:c>
      <x:c r="Y369" s="2" t="n">
        <x:v>100</x:v>
      </x:c>
      <x:c r="Z369" s="2" t="str">
        <x:v>ichi1</x:v>
      </x:c>
      <x:c r="AA369" s="2" t="n">
        <x:v>100</x:v>
      </x:c>
      <x:c r="AB369" s="8" t="str">
        <x:v>also written as 位 | orig. from 座居, meaning "seat" | search-only kanji form</x:v>
      </x:c>
      <x:c r="AC369" s="8" t="str">
        <x:v>senses_5_6</x:v>
      </x:c>
      <x:c r="AD369" s="8" t="str">
        <x:v>["draft-ko-missing"]</x:v>
      </x:c>
      <x:c r="AE369" s="8" t="str">
        <x:v>검토 필요</x:v>
      </x:c>
      <x:c r="AF369" s="8" t="str"/>
    </x:row>
    <x:row r="370">
      <x:c r="A370" s="10" t="n">
        <x:v>369</x:v>
      </x:c>
      <x:c r="B370" s="2" t="str">
        <x:v>1차 검토 후보</x:v>
      </x:c>
      <x:c r="C370" s="2" t="str">
        <x:v>중복 변형 제거 검토</x:v>
      </x:c>
      <x:c r="D370" s="2" t="str">
        <x:v>중간</x:v>
      </x:c>
      <x:c r="E370" s="2" t="str">
        <x:v>N3</x:v>
      </x:c>
      <x:c r="F370" s="10" t="n">
        <x:v>46</x:v>
      </x:c>
      <x:c r="G370" s="2" t="str">
        <x:v>w_6cebb24556eb94e7</x:v>
      </x:c>
      <x:c r="H370" s="2" t="str">
        <x:v>今日</x:v>
      </x:c>
      <x:c r="I370" s="2" t="str">
        <x:v>こんにち</x:v>
      </x:c>
      <x:c r="J370" s="8" t="str">
        <x:v>오늘</x:v>
      </x:c>
      <x:c r="K370" s="2" t="str">
        <x:v>noun</x:v>
      </x:c>
      <x:c r="L370" s="9" t="n">
        <x:v>5.57</x:v>
      </x:c>
      <x:c r="M370" s="2" t="str">
        <x:v>없음</x:v>
      </x:c>
      <x:c r="N370" s="11" t="n">
        <x:v>26</x:v>
      </x:c>
      <x:c r="O370" s="8" t="str">
        <x:v>검증된 예문 없음; 동일 JMdict 표제어의 표기·읽기 변형; 기존 데이터의 한국어 콘텐츠 보강 필요 태그</x:v>
      </x:c>
      <x:c r="P370" s="8" t="str">
        <x:v>no_example,same_jmdict_entry,weak_legacy_content</x:v>
      </x:c>
      <x:c r="Q370" s="2" t="str">
        <x:v>vg_073</x:v>
      </x:c>
      <x:c r="R370" s="2" t="str">
        <x:v>same_jmdict_entry</x:v>
      </x:c>
      <x:c r="S370" s="2" t="str">
        <x:v>w_821ee8e2dba46f70</x:v>
      </x:c>
      <x:c r="T370" s="2" t="str">
        <x:v>今日</x:v>
      </x:c>
      <x:c r="U370" s="2" t="str">
        <x:v>きょう</x:v>
      </x:c>
      <x:c r="V370" s="2" t="str">
        <x:v>아니오</x:v>
      </x:c>
      <x:c r="W370" s="2" t="str">
        <x:v>예</x:v>
      </x:c>
      <x:c r="X370" s="2" t="str">
        <x:v>ichi1,news1,nf02</x:v>
      </x:c>
      <x:c r="Y370" s="2" t="n">
        <x:v>100</x:v>
      </x:c>
      <x:c r="Z370" s="2" t="str">
        <x:v>ichi1,news1,nf02</x:v>
      </x:c>
      <x:c r="AA370" s="2" t="n">
        <x:v>100</x:v>
      </x:c>
      <x:c r="AB370" s="8" t="str"/>
      <x:c r="AC370" s="8" t="str"/>
      <x:c r="AD370" s="8" t="str">
        <x:v>["draft-ko-missing"]</x:v>
      </x:c>
      <x:c r="AE370" s="8" t="str">
        <x:v>검토 필요</x:v>
      </x:c>
      <x:c r="AF370" s="8" t="str"/>
    </x:row>
    <x:row r="371">
      <x:c r="A371" s="10" t="n">
        <x:v>370</x:v>
      </x:c>
      <x:c r="B371" s="2" t="str">
        <x:v>1차 제외 추천</x:v>
      </x:c>
      <x:c r="C371" s="2" t="str">
        <x:v>중복 변형 제거 검토</x:v>
      </x:c>
      <x:c r="D371" s="2" t="str">
        <x:v>높음</x:v>
      </x:c>
      <x:c r="E371" s="2" t="str">
        <x:v>N3</x:v>
      </x:c>
      <x:c r="F371" s="10" t="n">
        <x:v>47</x:v>
      </x:c>
      <x:c r="G371" s="2" t="str">
        <x:v>w_47bc3333b001338f</x:v>
      </x:c>
      <x:c r="H371" s="2" t="str">
        <x:v>円</x:v>
      </x:c>
      <x:c r="I371" s="2" t="str">
        <x:v>まる</x:v>
      </x:c>
      <x:c r="J371" s="8" t="str">
        <x:v>원, 동그라미</x:v>
      </x:c>
      <x:c r="K371" s="2" t="str">
        <x:v>noun</x:v>
      </x:c>
      <x:c r="L371" s="9" t="n">
        <x:v>5.8</x:v>
      </x:c>
      <x:c r="M371" s="2" t="str">
        <x:v>없음</x:v>
      </x:c>
      <x:c r="N371" s="11" t="n">
        <x:v>26</x:v>
      </x:c>
      <x:c r="O371" s="8" t="str">
        <x:v>검증된 예문 없음; 동일 JMdict 표제어의 표기·읽기 변형; 읽기와 한국어 뜻이 같은 표기 변형; 기존 데이터의 한국어 콘텐츠 보강 필요 태그</x:v>
      </x:c>
      <x:c r="P371" s="8" t="str">
        <x:v>no_example,same_jmdict_entry,same_reading_meaning,weak_legacy_content</x:v>
      </x:c>
      <x:c r="Q371" s="2" t="str">
        <x:v>vg_008</x:v>
      </x:c>
      <x:c r="R371" s="2" t="str">
        <x:v>same_jmdict_entry,same_reading_meaning</x:v>
      </x:c>
      <x:c r="S371" s="2" t="str">
        <x:v>w_05d9ab165f8c2010</x:v>
      </x:c>
      <x:c r="T371" s="2" t="str">
        <x:v>丸</x:v>
      </x:c>
      <x:c r="U371" s="2" t="str">
        <x:v>まる</x:v>
      </x:c>
      <x:c r="V371" s="2" t="str">
        <x:v>아니오</x:v>
      </x:c>
      <x:c r="W371" s="2" t="str">
        <x:v>예</x:v>
      </x:c>
      <x:c r="X371" s="2" t="str">
        <x:v>ichi1</x:v>
      </x:c>
      <x:c r="Y371" s="2" t="n">
        <x:v>100</x:v>
      </x:c>
      <x:c r="Z371" s="2" t="str"/>
      <x:c r="AA371" s="2" t="n">
        <x:v>0</x:v>
      </x:c>
      <x:c r="AB371" s="8" t="str">
        <x:v>esp. 丸 | slang</x:v>
      </x:c>
      <x:c r="AC371" s="8" t="str"/>
      <x:c r="AD371" s="8" t="str">
        <x:v>["draft-ko-missing"]</x:v>
      </x:c>
      <x:c r="AE371" s="8" t="str">
        <x:v>검토 필요</x:v>
      </x:c>
      <x:c r="AF371" s="8" t="str"/>
    </x:row>
    <x:row r="372">
      <x:c r="A372" s="10" t="n">
        <x:v>371</x:v>
      </x:c>
      <x:c r="B372" s="2" t="str">
        <x:v>2차 보류</x:v>
      </x:c>
      <x:c r="C372" s="2" t="str">
        <x:v>2차 보류</x:v>
      </x:c>
      <x:c r="D372" s="2" t="str">
        <x:v>낮음</x:v>
      </x:c>
      <x:c r="E372" s="2" t="str">
        <x:v>N1</x:v>
      </x:c>
      <x:c r="F372" s="10" t="n">
        <x:v>151</x:v>
      </x:c>
      <x:c r="G372" s="2" t="str">
        <x:v>w_54a9d82d72cbebcb</x:v>
      </x:c>
      <x:c r="H372" s="2" t="str">
        <x:v>報ずる</x:v>
      </x:c>
      <x:c r="I372" s="2" t="str">
        <x:v>ほうずる</x:v>
      </x:c>
      <x:c r="J372" s="8" t="str">
        <x:v>알리다, 보고하다</x:v>
      </x:c>
      <x:c r="K372" s="2" t="str">
        <x:v>verb</x:v>
      </x:c>
      <x:c r="L372" s="9" t="n">
        <x:v>1.6</x:v>
      </x:c>
      <x:c r="M372" s="2" t="str">
        <x:v>없음</x:v>
      </x:c>
      <x:c r="N372" s="11" t="n">
        <x:v>25</x:v>
      </x:c>
      <x:c r="O372" s="8" t="str">
        <x:v>일반 사용 빈도 매우 낮음(Zipf ≤ 2.0); 검증된 예문 없음; 기존 데이터의 한국어 콘텐츠 보강 필요 태그</x:v>
      </x:c>
      <x:c r="P372" s="8" t="str">
        <x:v>frequency_le_2_0,no_example,weak_legacy_content</x:v>
      </x:c>
      <x:c r="Q372" s="2" t="str"/>
      <x:c r="R372" s="2" t="str"/>
      <x:c r="S372" s="2" t="str"/>
      <x:c r="T372" s="2" t="str"/>
      <x:c r="U372" s="2" t="str"/>
      <x:c r="V372" s="2" t="str">
        <x:v>아니오</x:v>
      </x:c>
      <x:c r="W372" s="2" t="str">
        <x:v>예</x:v>
      </x:c>
      <x:c r="X372" s="2" t="str">
        <x:v>ichi2</x:v>
      </x:c>
      <x:c r="Y372" s="2" t="n">
        <x:v>70</x:v>
      </x:c>
      <x:c r="Z372" s="2" t="str">
        <x:v>ichi2</x:v>
      </x:c>
      <x:c r="AA372" s="2" t="n">
        <x:v>70</x:v>
      </x:c>
      <x:c r="AB372" s="8" t="str"/>
      <x:c r="AC372" s="8" t="str"/>
      <x:c r="AD372" s="8" t="str">
        <x:v>["draft-ko-missing"]</x:v>
      </x:c>
      <x:c r="AE372" s="8" t="str">
        <x:v>검토 필요</x:v>
      </x:c>
      <x:c r="AF372" s="8" t="str"/>
    </x:row>
    <x:row r="373">
      <x:c r="A373" s="10" t="n">
        <x:v>372</x:v>
      </x:c>
      <x:c r="B373" s="2" t="str">
        <x:v>2차 보류</x:v>
      </x:c>
      <x:c r="C373" s="2" t="str">
        <x:v>2차 보류</x:v>
      </x:c>
      <x:c r="D373" s="2" t="str">
        <x:v>낮음</x:v>
      </x:c>
      <x:c r="E373" s="2" t="str">
        <x:v>N1</x:v>
      </x:c>
      <x:c r="F373" s="10" t="n">
        <x:v>152</x:v>
      </x:c>
      <x:c r="G373" s="2" t="str">
        <x:v>w_b186b411d3378bf0</x:v>
      </x:c>
      <x:c r="H373" s="2" t="str">
        <x:v>空ろ</x:v>
      </x:c>
      <x:c r="I373" s="2" t="str">
        <x:v>うつろ</x:v>
      </x:c>
      <x:c r="J373" s="8" t="str">
        <x:v>공허함, 멍함</x:v>
      </x:c>
      <x:c r="K373" s="2" t="str">
        <x:v>noun</x:v>
      </x:c>
      <x:c r="L373" s="9" t="n">
        <x:v>1.21</x:v>
      </x:c>
      <x:c r="M373" s="2" t="str">
        <x:v>있음</x:v>
      </x:c>
      <x:c r="N373" s="11" t="n">
        <x:v>24</x:v>
      </x:c>
      <x:c r="O373" s="8" t="str">
        <x:v>일반 사용 빈도 매우 낮음(Zipf ≤ 1.5); JMdict 우선 어휘 표지 없음; 기존 데이터의 한국어 콘텐츠 보강 필요 태그</x:v>
      </x:c>
      <x:c r="P373" s="8" t="str">
        <x:v>frequency_le_1_5,no_jmdict_priority,weak_legacy_content</x:v>
      </x:c>
      <x:c r="Q373" s="2" t="str"/>
      <x:c r="R373" s="2" t="str"/>
      <x:c r="S373" s="2" t="str"/>
      <x:c r="T373" s="2" t="str"/>
      <x:c r="U373" s="2" t="str"/>
      <x:c r="V373" s="2" t="str">
        <x:v>아니오</x:v>
      </x:c>
      <x:c r="W373" s="2" t="str">
        <x:v>예</x:v>
      </x:c>
      <x:c r="X373" s="2" t="str"/>
      <x:c r="Y373" s="2" t="n">
        <x:v>0</x:v>
      </x:c>
      <x:c r="Z373" s="2" t="str"/>
      <x:c r="AA373" s="2" t="n">
        <x:v>0</x:v>
      </x:c>
      <x:c r="AB373" s="8" t="str"/>
      <x:c r="AC373" s="8" t="str"/>
      <x:c r="AD373" s="8" t="str">
        <x:v>["draft-ko-missing"]</x:v>
      </x:c>
      <x:c r="AE373" s="8" t="str">
        <x:v>검토 필요</x:v>
      </x:c>
      <x:c r="AF373" s="8" t="str"/>
    </x:row>
    <x:row r="374">
      <x:c r="A374" s="10" t="n">
        <x:v>373</x:v>
      </x:c>
      <x:c r="B374" s="2" t="str">
        <x:v>2차 보류</x:v>
      </x:c>
      <x:c r="C374" s="2" t="str">
        <x:v>2차 보류</x:v>
      </x:c>
      <x:c r="D374" s="2" t="str">
        <x:v>낮음</x:v>
      </x:c>
      <x:c r="E374" s="2" t="str">
        <x:v>N1</x:v>
      </x:c>
      <x:c r="F374" s="10" t="n">
        <x:v>153</x:v>
      </x:c>
      <x:c r="G374" s="2" t="str">
        <x:v>w_53f1086afec5bc5e</x:v>
      </x:c>
      <x:c r="H374" s="2" t="str">
        <x:v>けがらわしい</x:v>
      </x:c>
      <x:c r="I374" s="2" t="str">
        <x:v>けがらわしい</x:v>
      </x:c>
      <x:c r="J374" s="8" t="str">
        <x:v>더럽다, 추잡하다</x:v>
      </x:c>
      <x:c r="K374" s="2" t="str">
        <x:v>adjective</x:v>
      </x:c>
      <x:c r="L374" s="9" t="n">
        <x:v>1.24</x:v>
      </x:c>
      <x:c r="M374" s="2" t="str">
        <x:v>있음</x:v>
      </x:c>
      <x:c r="N374" s="11" t="n">
        <x:v>24</x:v>
      </x:c>
      <x:c r="O374" s="8" t="str">
        <x:v>일반 사용 빈도 매우 낮음(Zipf ≤ 1.5); JMdict 우선 어휘 표지 없음; 기존 데이터의 한국어 콘텐츠 보강 필요 태그</x:v>
      </x:c>
      <x:c r="P374" s="8" t="str">
        <x:v>frequency_le_1_5,no_jmdict_priority,weak_legacy_content</x:v>
      </x:c>
      <x:c r="Q374" s="2" t="str"/>
      <x:c r="R374" s="2" t="str"/>
      <x:c r="S374" s="2" t="str"/>
      <x:c r="T374" s="2" t="str"/>
      <x:c r="U374" s="2" t="str"/>
      <x:c r="V374" s="2" t="str">
        <x:v>아니오</x:v>
      </x:c>
      <x:c r="W374" s="2" t="str">
        <x:v>아니오</x:v>
      </x:c>
      <x:c r="X374" s="2" t="str"/>
      <x:c r="Y374" s="2" t="n">
        <x:v>0</x:v>
      </x:c>
      <x:c r="Z374" s="2" t="str"/>
      <x:c r="AA374" s="2" t="n">
        <x:v>0</x:v>
      </x:c>
      <x:c r="AB374" s="8" t="str"/>
      <x:c r="AC374" s="8" t="str"/>
      <x:c r="AD374" s="8" t="str">
        <x:v>["draft-ko-missing"]</x:v>
      </x:c>
      <x:c r="AE374" s="8" t="str">
        <x:v>검토 필요</x:v>
      </x:c>
      <x:c r="AF374" s="8" t="str"/>
    </x:row>
    <x:row r="375">
      <x:c r="A375" s="10" t="n">
        <x:v>374</x:v>
      </x:c>
      <x:c r="B375" s="2" t="str">
        <x:v>2차 보류</x:v>
      </x:c>
      <x:c r="C375" s="2" t="str">
        <x:v>2차 보류</x:v>
      </x:c>
      <x:c r="D375" s="2" t="str">
        <x:v>낮음</x:v>
      </x:c>
      <x:c r="E375" s="2" t="str">
        <x:v>N3</x:v>
      </x:c>
      <x:c r="F375" s="10" t="n">
        <x:v>48</x:v>
      </x:c>
      <x:c r="G375" s="2" t="str">
        <x:v>w_a819a4776c13596c</x:v>
      </x:c>
      <x:c r="H375" s="2" t="str">
        <x:v>いらいら</x:v>
      </x:c>
      <x:c r="I375" s="2" t="str">
        <x:v>いらいら</x:v>
      </x:c>
      <x:c r="J375" s="8" t="str">
        <x:v>초조함, 짜증</x:v>
      </x:c>
      <x:c r="K375" s="2" t="str">
        <x:v>verb</x:v>
      </x:c>
      <x:c r="L375" s="9" t="n">
        <x:v>3.01</x:v>
      </x:c>
      <x:c r="M375" s="2" t="str">
        <x:v>없음</x:v>
      </x:c>
      <x:c r="N375" s="11" t="n">
        <x:v>24</x:v>
      </x:c>
      <x:c r="O375" s="8" t="str">
        <x:v>일반 사용 빈도 보통 이하(Zipf ≤ 3.5); 검증된 예문 없음; JMdict 우선 어휘 표지 없음</x:v>
      </x:c>
      <x:c r="P375" s="8" t="str">
        <x:v>frequency_le_3_5,no_example,no_jmdict_priority</x:v>
      </x:c>
      <x:c r="Q375" s="2" t="str"/>
      <x:c r="R375" s="2" t="str"/>
      <x:c r="S375" s="2" t="str"/>
      <x:c r="T375" s="2" t="str"/>
      <x:c r="U375" s="2" t="str"/>
      <x:c r="V375" s="2" t="str">
        <x:v>아니오</x:v>
      </x:c>
      <x:c r="W375" s="2" t="str">
        <x:v>아니오</x:v>
      </x:c>
      <x:c r="X375" s="2" t="str"/>
      <x:c r="Y375" s="2" t="n">
        <x:v>0</x:v>
      </x:c>
      <x:c r="Z375" s="2" t="str"/>
      <x:c r="AA375" s="2" t="n">
        <x:v>0</x:v>
      </x:c>
      <x:c r="AB375" s="8" t="str"/>
      <x:c r="AC375" s="8" t="str"/>
      <x:c r="AD375" s="8" t="str">
        <x:v>["ko-reviewed"]</x:v>
      </x:c>
      <x:c r="AE375" s="8" t="str">
        <x:v>검토 필요</x:v>
      </x:c>
      <x:c r="AF375" s="8" t="str"/>
    </x:row>
    <x:row r="376">
      <x:c r="A376" s="10" t="n">
        <x:v>375</x:v>
      </x:c>
      <x:c r="B376" s="2" t="str">
        <x:v>2차 보류</x:v>
      </x:c>
      <x:c r="C376" s="2" t="str">
        <x:v>2차 보류</x:v>
      </x:c>
      <x:c r="D376" s="2" t="str">
        <x:v>낮음</x:v>
      </x:c>
      <x:c r="E376" s="2" t="str">
        <x:v>N3</x:v>
      </x:c>
      <x:c r="F376" s="10" t="n">
        <x:v>49</x:v>
      </x:c>
      <x:c r="G376" s="2" t="str">
        <x:v>w_051e61d56c947f64</x:v>
      </x:c>
      <x:c r="H376" s="2" t="str">
        <x:v>けち</x:v>
      </x:c>
      <x:c r="I376" s="2" t="str">
        <x:v>けち</x:v>
      </x:c>
      <x:c r="J376" s="8" t="str">
        <x:v>인색함, 구두쇠</x:v>
      </x:c>
      <x:c r="K376" s="2" t="str">
        <x:v>noun</x:v>
      </x:c>
      <x:c r="L376" s="9" t="n">
        <x:v>3.02</x:v>
      </x:c>
      <x:c r="M376" s="2" t="str">
        <x:v>없음</x:v>
      </x:c>
      <x:c r="N376" s="11" t="n">
        <x:v>24</x:v>
      </x:c>
      <x:c r="O376" s="8" t="str">
        <x:v>일반 사용 빈도 보통 이하(Zipf ≤ 3.5); 검증된 예문 없음; JMdict 우선 어휘 표지 없음</x:v>
      </x:c>
      <x:c r="P376" s="8" t="str">
        <x:v>frequency_le_3_5,no_example,no_jmdict_priority</x:v>
      </x:c>
      <x:c r="Q376" s="2" t="str"/>
      <x:c r="R376" s="2" t="str"/>
      <x:c r="S376" s="2" t="str"/>
      <x:c r="T376" s="2" t="str"/>
      <x:c r="U376" s="2" t="str"/>
      <x:c r="V376" s="2" t="str">
        <x:v>아니오</x:v>
      </x:c>
      <x:c r="W376" s="2" t="str">
        <x:v>아니오</x:v>
      </x:c>
      <x:c r="X376" s="2" t="str"/>
      <x:c r="Y376" s="2" t="n">
        <x:v>0</x:v>
      </x:c>
      <x:c r="Z376" s="2" t="str"/>
      <x:c r="AA376" s="2" t="n">
        <x:v>0</x:v>
      </x:c>
      <x:c r="AB376" s="8" t="str"/>
      <x:c r="AC376" s="8" t="str"/>
      <x:c r="AD376" s="8" t="str">
        <x:v>["ko-reviewed"]</x:v>
      </x:c>
      <x:c r="AE376" s="8" t="str">
        <x:v>검토 필요</x:v>
      </x:c>
      <x:c r="AF376" s="8" t="str"/>
    </x:row>
    <x:row r="377">
      <x:c r="A377" s="10" t="n">
        <x:v>376</x:v>
      </x:c>
      <x:c r="B377" s="2" t="str">
        <x:v>2차 보류</x:v>
      </x:c>
      <x:c r="C377" s="2" t="str">
        <x:v>2차 보류</x:v>
      </x:c>
      <x:c r="D377" s="2" t="str">
        <x:v>낮음</x:v>
      </x:c>
      <x:c r="E377" s="2" t="str">
        <x:v>N2</x:v>
      </x:c>
      <x:c r="F377" s="10" t="n">
        <x:v>135</x:v>
      </x:c>
      <x:c r="G377" s="2" t="str">
        <x:v>w_43c420f6bdcd573b</x:v>
      </x:c>
      <x:c r="H377" s="2" t="str">
        <x:v>堪える</x:v>
      </x:c>
      <x:c r="I377" s="2" t="str">
        <x:v>こらえる</x:v>
      </x:c>
      <x:c r="J377" s="8" t="str">
        <x:v>견디다, 참다</x:v>
      </x:c>
      <x:c r="K377" s="2" t="str">
        <x:v>verb</x:v>
      </x:c>
      <x:c r="L377" s="9" t="n">
        <x:v>3.03</x:v>
      </x:c>
      <x:c r="M377" s="2" t="str">
        <x:v>없음</x:v>
      </x:c>
      <x:c r="N377" s="11" t="n">
        <x:v>24</x:v>
      </x:c>
      <x:c r="O377" s="8" t="str">
        <x:v>일반 사용 빈도 보통 이하(Zipf ≤ 3.5); 검증된 예문 없음; JMdict 우선 어휘 표지 없음</x:v>
      </x:c>
      <x:c r="P377" s="8" t="str">
        <x:v>frequency_le_3_5,no_example,no_jmdict_priority</x:v>
      </x:c>
      <x:c r="Q377" s="2" t="str"/>
      <x:c r="R377" s="2" t="str"/>
      <x:c r="S377" s="2" t="str"/>
      <x:c r="T377" s="2" t="str"/>
      <x:c r="U377" s="2" t="str"/>
      <x:c r="V377" s="2" t="str">
        <x:v>아니오</x:v>
      </x:c>
      <x:c r="W377" s="2" t="str">
        <x:v>예</x:v>
      </x:c>
      <x:c r="X377" s="2" t="str"/>
      <x:c r="Y377" s="2" t="n">
        <x:v>0</x:v>
      </x:c>
      <x:c r="Z377" s="2" t="str"/>
      <x:c r="AA377" s="2" t="n">
        <x:v>0</x:v>
      </x:c>
      <x:c r="AB377" s="8" t="str">
        <x:v>word usually written using kana alone</x:v>
      </x:c>
      <x:c r="AC377" s="8" t="str"/>
      <x:c r="AD377" s="8" t="str">
        <x:v>["ko-reviewed"]</x:v>
      </x:c>
      <x:c r="AE377" s="8" t="str">
        <x:v>검토 필요</x:v>
      </x:c>
      <x:c r="AF377" s="8" t="str"/>
    </x:row>
    <x:row r="378">
      <x:c r="A378" s="10" t="n">
        <x:v>377</x:v>
      </x:c>
      <x:c r="B378" s="2" t="str">
        <x:v>2차 보류</x:v>
      </x:c>
      <x:c r="C378" s="2" t="str">
        <x:v>2차 보류</x:v>
      </x:c>
      <x:c r="D378" s="2" t="str">
        <x:v>낮음</x:v>
      </x:c>
      <x:c r="E378" s="2" t="str">
        <x:v>N2</x:v>
      </x:c>
      <x:c r="F378" s="10" t="n">
        <x:v>136</x:v>
      </x:c>
      <x:c r="G378" s="2" t="str">
        <x:v>w_56f095f563ebc113</x:v>
      </x:c>
      <x:c r="H378" s="2" t="str">
        <x:v>ぼろ</x:v>
      </x:c>
      <x:c r="I378" s="2" t="str">
        <x:v>ぼろ</x:v>
      </x:c>
      <x:c r="J378" s="8" t="str">
        <x:v>누더기, 낡은 옷</x:v>
      </x:c>
      <x:c r="K378" s="2" t="str">
        <x:v>noun</x:v>
      </x:c>
      <x:c r="L378" s="9" t="n">
        <x:v>3.06</x:v>
      </x:c>
      <x:c r="M378" s="2" t="str">
        <x:v>없음</x:v>
      </x:c>
      <x:c r="N378" s="11" t="n">
        <x:v>24</x:v>
      </x:c>
      <x:c r="O378" s="8" t="str">
        <x:v>일반 사용 빈도 보통 이하(Zipf ≤ 3.5); 검증된 예문 없음; JMdict 우선 어휘 표지 없음</x:v>
      </x:c>
      <x:c r="P378" s="8" t="str">
        <x:v>frequency_le_3_5,no_example,no_jmdict_priority</x:v>
      </x:c>
      <x:c r="Q378" s="2" t="str"/>
      <x:c r="R378" s="2" t="str"/>
      <x:c r="S378" s="2" t="str"/>
      <x:c r="T378" s="2" t="str"/>
      <x:c r="U378" s="2" t="str"/>
      <x:c r="V378" s="2" t="str">
        <x:v>아니오</x:v>
      </x:c>
      <x:c r="W378" s="2" t="str">
        <x:v>예</x:v>
      </x:c>
      <x:c r="X378" s="2" t="str"/>
      <x:c r="Y378" s="2" t="n">
        <x:v>0</x:v>
      </x:c>
      <x:c r="Z378" s="2" t="str"/>
      <x:c r="AA378" s="2" t="n">
        <x:v>0</x:v>
      </x:c>
      <x:c r="AB378" s="8" t="str"/>
      <x:c r="AC378" s="8" t="str"/>
      <x:c r="AD378" s="8" t="str">
        <x:v>["ko-reviewed"]</x:v>
      </x:c>
      <x:c r="AE378" s="8" t="str">
        <x:v>검토 필요</x:v>
      </x:c>
      <x:c r="AF378" s="8" t="str"/>
    </x:row>
    <x:row r="379">
      <x:c r="A379" s="10" t="n">
        <x:v>378</x:v>
      </x:c>
      <x:c r="B379" s="2" t="str">
        <x:v>2차 보류</x:v>
      </x:c>
      <x:c r="C379" s="2" t="str">
        <x:v>2차 보류</x:v>
      </x:c>
      <x:c r="D379" s="2" t="str">
        <x:v>낮음</x:v>
      </x:c>
      <x:c r="E379" s="2" t="str">
        <x:v>N2</x:v>
      </x:c>
      <x:c r="F379" s="10" t="n">
        <x:v>137</x:v>
      </x:c>
      <x:c r="G379" s="2" t="str">
        <x:v>w_bdcfe6897adc73a9</x:v>
      </x:c>
      <x:c r="H379" s="2" t="str">
        <x:v>よこす</x:v>
      </x:c>
      <x:c r="I379" s="2" t="str">
        <x:v>よこす</x:v>
      </x:c>
      <x:c r="J379" s="8" t="str">
        <x:v>보내다, 넘겨주다</x:v>
      </x:c>
      <x:c r="K379" s="2" t="str">
        <x:v>verb</x:v>
      </x:c>
      <x:c r="L379" s="9" t="n">
        <x:v>3.07</x:v>
      </x:c>
      <x:c r="M379" s="2" t="str">
        <x:v>없음</x:v>
      </x:c>
      <x:c r="N379" s="11" t="n">
        <x:v>24</x:v>
      </x:c>
      <x:c r="O379" s="8" t="str">
        <x:v>일반 사용 빈도 보통 이하(Zipf ≤ 3.5); 검증된 예문 없음; JMdict 우선 어휘 표지 없음</x:v>
      </x:c>
      <x:c r="P379" s="8" t="str">
        <x:v>frequency_le_3_5,no_example,no_jmdict_priority</x:v>
      </x:c>
      <x:c r="Q379" s="2" t="str"/>
      <x:c r="R379" s="2" t="str"/>
      <x:c r="S379" s="2" t="str"/>
      <x:c r="T379" s="2" t="str"/>
      <x:c r="U379" s="2" t="str"/>
      <x:c r="V379" s="2" t="str">
        <x:v>아니오</x:v>
      </x:c>
      <x:c r="W379" s="2" t="str">
        <x:v>아니오</x:v>
      </x:c>
      <x:c r="X379" s="2" t="str"/>
      <x:c r="Y379" s="2" t="n">
        <x:v>0</x:v>
      </x:c>
      <x:c r="Z379" s="2" t="str"/>
      <x:c r="AA379" s="2" t="n">
        <x:v>0</x:v>
      </x:c>
      <x:c r="AB379" s="8" t="str"/>
      <x:c r="AC379" s="8" t="str"/>
      <x:c r="AD379" s="8" t="str">
        <x:v>["backfill-replacement","assistant-ko-reviewed"]</x:v>
      </x:c>
      <x:c r="AE379" s="8" t="str">
        <x:v>검토 필요</x:v>
      </x:c>
      <x:c r="AF379" s="8" t="str"/>
    </x:row>
    <x:row r="380">
      <x:c r="A380" s="10" t="n">
        <x:v>379</x:v>
      </x:c>
      <x:c r="B380" s="2" t="str">
        <x:v>2차 보류</x:v>
      </x:c>
      <x:c r="C380" s="2" t="str">
        <x:v>2차 보류</x:v>
      </x:c>
      <x:c r="D380" s="2" t="str">
        <x:v>낮음</x:v>
      </x:c>
      <x:c r="E380" s="2" t="str">
        <x:v>N1</x:v>
      </x:c>
      <x:c r="F380" s="10" t="n">
        <x:v>154</x:v>
      </x:c>
      <x:c r="G380" s="2" t="str">
        <x:v>w_42b568d6309a6a1a</x:v>
      </x:c>
      <x:c r="H380" s="2" t="str">
        <x:v>瞬き</x:v>
      </x:c>
      <x:c r="I380" s="2" t="str">
        <x:v>まばたき</x:v>
      </x:c>
      <x:c r="J380" s="8" t="str">
        <x:v>깜박임, 반짝임</x:v>
      </x:c>
      <x:c r="K380" s="2" t="str">
        <x:v>noun</x:v>
      </x:c>
      <x:c r="L380" s="9" t="n">
        <x:v>3.08</x:v>
      </x:c>
      <x:c r="M380" s="2" t="str">
        <x:v>없음</x:v>
      </x:c>
      <x:c r="N380" s="11" t="n">
        <x:v>24</x:v>
      </x:c>
      <x:c r="O380" s="8" t="str">
        <x:v>일반 사용 빈도 보통 이하(Zipf ≤ 3.5); 검증된 예문 없음; JMdict 우선 어휘 표지 없음</x:v>
      </x:c>
      <x:c r="P380" s="8" t="str">
        <x:v>frequency_le_3_5,no_example,no_jmdict_priority</x:v>
      </x:c>
      <x:c r="Q380" s="2" t="str"/>
      <x:c r="R380" s="2" t="str"/>
      <x:c r="S380" s="2" t="str"/>
      <x:c r="T380" s="2" t="str"/>
      <x:c r="U380" s="2" t="str"/>
      <x:c r="V380" s="2" t="str">
        <x:v>아니오</x:v>
      </x:c>
      <x:c r="W380" s="2" t="str">
        <x:v>예</x:v>
      </x:c>
      <x:c r="X380" s="2" t="str"/>
      <x:c r="Y380" s="2" t="n">
        <x:v>0</x:v>
      </x:c>
      <x:c r="Z380" s="2" t="str"/>
      <x:c r="AA380" s="2" t="n">
        <x:v>0</x:v>
      </x:c>
      <x:c r="AB380" s="8" t="str"/>
      <x:c r="AC380" s="8" t="str"/>
      <x:c r="AD380" s="8" t="str">
        <x:v>["ko-reviewed"]</x:v>
      </x:c>
      <x:c r="AE380" s="8" t="str">
        <x:v>검토 필요</x:v>
      </x:c>
      <x:c r="AF380" s="8" t="str"/>
    </x:row>
    <x:row r="381">
      <x:c r="A381" s="10" t="n">
        <x:v>380</x:v>
      </x:c>
      <x:c r="B381" s="2" t="str">
        <x:v>2차 보류</x:v>
      </x:c>
      <x:c r="C381" s="2" t="str">
        <x:v>2차 보류</x:v>
      </x:c>
      <x:c r="D381" s="2" t="str">
        <x:v>낮음</x:v>
      </x:c>
      <x:c r="E381" s="2" t="str">
        <x:v>N1</x:v>
      </x:c>
      <x:c r="F381" s="10" t="n">
        <x:v>155</x:v>
      </x:c>
      <x:c r="G381" s="2" t="str">
        <x:v>w_3a0b7d9f26f839b0</x:v>
      </x:c>
      <x:c r="H381" s="2" t="str">
        <x:v>ほとり</x:v>
      </x:c>
      <x:c r="I381" s="2" t="str">
        <x:v>ほとり</x:v>
      </x:c>
      <x:c r="J381" s="8" t="str">
        <x:v>물가, 근처</x:v>
      </x:c>
      <x:c r="K381" s="2" t="str">
        <x:v>noun</x:v>
      </x:c>
      <x:c r="L381" s="9" t="n">
        <x:v>3.09</x:v>
      </x:c>
      <x:c r="M381" s="2" t="str">
        <x:v>없음</x:v>
      </x:c>
      <x:c r="N381" s="11" t="n">
        <x:v>24</x:v>
      </x:c>
      <x:c r="O381" s="8" t="str">
        <x:v>일반 사용 빈도 보통 이하(Zipf ≤ 3.5); 검증된 예문 없음; JMdict 우선 어휘 표지 없음</x:v>
      </x:c>
      <x:c r="P381" s="8" t="str">
        <x:v>frequency_le_3_5,no_example,no_jmdict_priority</x:v>
      </x:c>
      <x:c r="Q381" s="2" t="str"/>
      <x:c r="R381" s="2" t="str"/>
      <x:c r="S381" s="2" t="str"/>
      <x:c r="T381" s="2" t="str"/>
      <x:c r="U381" s="2" t="str"/>
      <x:c r="V381" s="2" t="str">
        <x:v>아니오</x:v>
      </x:c>
      <x:c r="W381" s="2" t="str">
        <x:v>아니오</x:v>
      </x:c>
      <x:c r="X381" s="2" t="str"/>
      <x:c r="Y381" s="2" t="n">
        <x:v>0</x:v>
      </x:c>
      <x:c r="Z381" s="2" t="str"/>
      <x:c r="AA381" s="2" t="n">
        <x:v>0</x:v>
      </x:c>
      <x:c r="AB381" s="8" t="str"/>
      <x:c r="AC381" s="8" t="str"/>
      <x:c r="AD381" s="8" t="str">
        <x:v>["ko-reviewed"]</x:v>
      </x:c>
      <x:c r="AE381" s="8" t="str">
        <x:v>검토 필요</x:v>
      </x:c>
      <x:c r="AF381" s="8" t="str"/>
    </x:row>
    <x:row r="382">
      <x:c r="A382" s="10" t="n">
        <x:v>381</x:v>
      </x:c>
      <x:c r="B382" s="2" t="str">
        <x:v>2차 보류</x:v>
      </x:c>
      <x:c r="C382" s="2" t="str">
        <x:v>2차 보류</x:v>
      </x:c>
      <x:c r="D382" s="2" t="str">
        <x:v>낮음</x:v>
      </x:c>
      <x:c r="E382" s="2" t="str">
        <x:v>N1</x:v>
      </x:c>
      <x:c r="F382" s="10" t="n">
        <x:v>156</x:v>
      </x:c>
      <x:c r="G382" s="2" t="str">
        <x:v>w_a3b3d3897a0ad9f5</x:v>
      </x:c>
      <x:c r="H382" s="2" t="str">
        <x:v>もてる</x:v>
      </x:c>
      <x:c r="I382" s="2" t="str">
        <x:v>もてる</x:v>
      </x:c>
      <x:c r="J382" s="8" t="str">
        <x:v>인기가 있다</x:v>
      </x:c>
      <x:c r="K382" s="2" t="str">
        <x:v>verb</x:v>
      </x:c>
      <x:c r="L382" s="9" t="n">
        <x:v>3.1</x:v>
      </x:c>
      <x:c r="M382" s="2" t="str">
        <x:v>없음</x:v>
      </x:c>
      <x:c r="N382" s="11" t="n">
        <x:v>24</x:v>
      </x:c>
      <x:c r="O382" s="8" t="str">
        <x:v>일반 사용 빈도 보통 이하(Zipf ≤ 3.5); 검증된 예문 없음; JMdict 우선 어휘 표지 없음</x:v>
      </x:c>
      <x:c r="P382" s="8" t="str">
        <x:v>frequency_le_3_5,no_example,no_jmdict_priority</x:v>
      </x:c>
      <x:c r="Q382" s="2" t="str"/>
      <x:c r="R382" s="2" t="str"/>
      <x:c r="S382" s="2" t="str"/>
      <x:c r="T382" s="2" t="str"/>
      <x:c r="U382" s="2" t="str"/>
      <x:c r="V382" s="2" t="str">
        <x:v>아니오</x:v>
      </x:c>
      <x:c r="W382" s="2" t="str">
        <x:v>아니오</x:v>
      </x:c>
      <x:c r="X382" s="2" t="str"/>
      <x:c r="Y382" s="2" t="n">
        <x:v>0</x:v>
      </x:c>
      <x:c r="Z382" s="2" t="str"/>
      <x:c r="AA382" s="2" t="n">
        <x:v>0</x:v>
      </x:c>
      <x:c r="AB382" s="8" t="str"/>
      <x:c r="AC382" s="8" t="str"/>
      <x:c r="AD382" s="8" t="str">
        <x:v>["ko-reviewed"]</x:v>
      </x:c>
      <x:c r="AE382" s="8" t="str">
        <x:v>검토 필요</x:v>
      </x:c>
      <x:c r="AF382" s="8" t="str"/>
    </x:row>
    <x:row r="383">
      <x:c r="A383" s="10" t="n">
        <x:v>382</x:v>
      </x:c>
      <x:c r="B383" s="2" t="str">
        <x:v>2차 보류</x:v>
      </x:c>
      <x:c r="C383" s="2" t="str">
        <x:v>2차 보류</x:v>
      </x:c>
      <x:c r="D383" s="2" t="str">
        <x:v>낮음</x:v>
      </x:c>
      <x:c r="E383" s="2" t="str">
        <x:v>N1</x:v>
      </x:c>
      <x:c r="F383" s="10" t="n">
        <x:v>157</x:v>
      </x:c>
      <x:c r="G383" s="2" t="str">
        <x:v>w_dbcb702661e86533</x:v>
      </x:c>
      <x:c r="H383" s="2" t="str">
        <x:v>辟易</x:v>
      </x:c>
      <x:c r="I383" s="2" t="str">
        <x:v>へきえき</x:v>
      </x:c>
      <x:c r="J383" s="8" t="str">
        <x:v>질림, 주춤함</x:v>
      </x:c>
      <x:c r="K383" s="2" t="str">
        <x:v>verb</x:v>
      </x:c>
      <x:c r="L383" s="9" t="n">
        <x:v>3.1</x:v>
      </x:c>
      <x:c r="M383" s="2" t="str">
        <x:v>없음</x:v>
      </x:c>
      <x:c r="N383" s="11" t="n">
        <x:v>24</x:v>
      </x:c>
      <x:c r="O383" s="8" t="str">
        <x:v>일반 사용 빈도 보통 이하(Zipf ≤ 3.5); 검증된 예문 없음; JMdict 우선 어휘 표지 없음</x:v>
      </x:c>
      <x:c r="P383" s="8" t="str">
        <x:v>frequency_le_3_5,no_example,no_jmdict_priority</x:v>
      </x:c>
      <x:c r="Q383" s="2" t="str"/>
      <x:c r="R383" s="2" t="str"/>
      <x:c r="S383" s="2" t="str"/>
      <x:c r="T383" s="2" t="str"/>
      <x:c r="U383" s="2" t="str"/>
      <x:c r="V383" s="2" t="str">
        <x:v>아니오</x:v>
      </x:c>
      <x:c r="W383" s="2" t="str">
        <x:v>예</x:v>
      </x:c>
      <x:c r="X383" s="2" t="str"/>
      <x:c r="Y383" s="2" t="n">
        <x:v>0</x:v>
      </x:c>
      <x:c r="Z383" s="2" t="str"/>
      <x:c r="AA383" s="2" t="n">
        <x:v>0</x:v>
      </x:c>
      <x:c r="AB383" s="8" t="str"/>
      <x:c r="AC383" s="8" t="str"/>
      <x:c r="AD383" s="8" t="str">
        <x:v>["ko-reviewed"]</x:v>
      </x:c>
      <x:c r="AE383" s="8" t="str">
        <x:v>검토 필요</x:v>
      </x:c>
      <x:c r="AF383" s="8" t="str"/>
    </x:row>
    <x:row r="384">
      <x:c r="A384" s="10" t="n">
        <x:v>383</x:v>
      </x:c>
      <x:c r="B384" s="2" t="str">
        <x:v>2차 보류</x:v>
      </x:c>
      <x:c r="C384" s="2" t="str">
        <x:v>2차 보류</x:v>
      </x:c>
      <x:c r="D384" s="2" t="str">
        <x:v>낮음</x:v>
      </x:c>
      <x:c r="E384" s="2" t="str">
        <x:v>N2</x:v>
      </x:c>
      <x:c r="F384" s="10" t="n">
        <x:v>138</x:v>
      </x:c>
      <x:c r="G384" s="2" t="str">
        <x:v>w_ab3596a72fdd9b3d</x:v>
      </x:c>
      <x:c r="H384" s="2" t="str">
        <x:v>かるた</x:v>
      </x:c>
      <x:c r="I384" s="2" t="str">
        <x:v>かるた</x:v>
      </x:c>
      <x:c r="J384" s="8" t="str">
        <x:v>가루타, 일본식 카드놀이</x:v>
      </x:c>
      <x:c r="K384" s="2" t="str">
        <x:v>noun</x:v>
      </x:c>
      <x:c r="L384" s="9" t="n">
        <x:v>3.13</x:v>
      </x:c>
      <x:c r="M384" s="2" t="str">
        <x:v>없음</x:v>
      </x:c>
      <x:c r="N384" s="11" t="n">
        <x:v>24</x:v>
      </x:c>
      <x:c r="O384" s="8" t="str">
        <x:v>일반 사용 빈도 보통 이하(Zipf ≤ 3.5); 검증된 예문 없음; JMdict 우선 어휘 표지 없음</x:v>
      </x:c>
      <x:c r="P384" s="8" t="str">
        <x:v>frequency_le_3_5,no_example,no_jmdict_priority</x:v>
      </x:c>
      <x:c r="Q384" s="2" t="str"/>
      <x:c r="R384" s="2" t="str"/>
      <x:c r="S384" s="2" t="str"/>
      <x:c r="T384" s="2" t="str"/>
      <x:c r="U384" s="2" t="str"/>
      <x:c r="V384" s="2" t="str">
        <x:v>아니오</x:v>
      </x:c>
      <x:c r="W384" s="2" t="str">
        <x:v>예</x:v>
      </x:c>
      <x:c r="X384" s="2" t="str"/>
      <x:c r="Y384" s="2" t="n">
        <x:v>0</x:v>
      </x:c>
      <x:c r="Z384" s="2" t="str"/>
      <x:c r="AA384" s="2" t="n">
        <x:v>0</x:v>
      </x:c>
      <x:c r="AB384" s="8" t="str">
        <x:v>word usually written using kana alone</x:v>
      </x:c>
      <x:c r="AC384" s="8" t="str"/>
      <x:c r="AD384" s="8" t="str">
        <x:v>["ko-reviewed"]</x:v>
      </x:c>
      <x:c r="AE384" s="8" t="str">
        <x:v>검토 필요</x:v>
      </x:c>
      <x:c r="AF384" s="8" t="str"/>
    </x:row>
    <x:row r="385">
      <x:c r="A385" s="10" t="n">
        <x:v>384</x:v>
      </x:c>
      <x:c r="B385" s="2" t="str">
        <x:v>2차 보류</x:v>
      </x:c>
      <x:c r="C385" s="2" t="str">
        <x:v>2차 보류</x:v>
      </x:c>
      <x:c r="D385" s="2" t="str">
        <x:v>낮음</x:v>
      </x:c>
      <x:c r="E385" s="2" t="str">
        <x:v>N2</x:v>
      </x:c>
      <x:c r="F385" s="10" t="n">
        <x:v>139</x:v>
      </x:c>
      <x:c r="G385" s="2" t="str">
        <x:v>w_07b281b0222afd29</x:v>
      </x:c>
      <x:c r="H385" s="2" t="str">
        <x:v>でたらめ</x:v>
      </x:c>
      <x:c r="I385" s="2" t="str">
        <x:v>でたらめ</x:v>
      </x:c>
      <x:c r="J385" s="8" t="str">
        <x:v>엉터리, 터무니없음</x:v>
      </x:c>
      <x:c r="K385" s="2" t="str">
        <x:v>noun</x:v>
      </x:c>
      <x:c r="L385" s="9" t="n">
        <x:v>3.14</x:v>
      </x:c>
      <x:c r="M385" s="2" t="str">
        <x:v>없음</x:v>
      </x:c>
      <x:c r="N385" s="11" t="n">
        <x:v>24</x:v>
      </x:c>
      <x:c r="O385" s="8" t="str">
        <x:v>일반 사용 빈도 보통 이하(Zipf ≤ 3.5); 검증된 예문 없음; JMdict 우선 어휘 표지 없음</x:v>
      </x:c>
      <x:c r="P385" s="8" t="str">
        <x:v>frequency_le_3_5,no_example,no_jmdict_priority</x:v>
      </x:c>
      <x:c r="Q385" s="2" t="str"/>
      <x:c r="R385" s="2" t="str"/>
      <x:c r="S385" s="2" t="str"/>
      <x:c r="T385" s="2" t="str"/>
      <x:c r="U385" s="2" t="str"/>
      <x:c r="V385" s="2" t="str">
        <x:v>아니오</x:v>
      </x:c>
      <x:c r="W385" s="2" t="str">
        <x:v>아니오</x:v>
      </x:c>
      <x:c r="X385" s="2" t="str"/>
      <x:c r="Y385" s="2" t="n">
        <x:v>0</x:v>
      </x:c>
      <x:c r="Z385" s="2" t="str"/>
      <x:c r="AA385" s="2" t="n">
        <x:v>0</x:v>
      </x:c>
      <x:c r="AB385" s="8" t="str"/>
      <x:c r="AC385" s="8" t="str"/>
      <x:c r="AD385" s="8" t="str">
        <x:v>["ko-reviewed"]</x:v>
      </x:c>
      <x:c r="AE385" s="8" t="str">
        <x:v>검토 필요</x:v>
      </x:c>
      <x:c r="AF385" s="8" t="str"/>
    </x:row>
    <x:row r="386">
      <x:c r="A386" s="10" t="n">
        <x:v>385</x:v>
      </x:c>
      <x:c r="B386" s="2" t="str">
        <x:v>2차 보류</x:v>
      </x:c>
      <x:c r="C386" s="2" t="str">
        <x:v>2차 보류</x:v>
      </x:c>
      <x:c r="D386" s="2" t="str">
        <x:v>낮음</x:v>
      </x:c>
      <x:c r="E386" s="2" t="str">
        <x:v>N1</x:v>
      </x:c>
      <x:c r="F386" s="10" t="n">
        <x:v>158</x:v>
      </x:c>
      <x:c r="G386" s="2" t="str">
        <x:v>w_1b2f05b45a208106</x:v>
      </x:c>
      <x:c r="H386" s="2" t="str">
        <x:v>華奢</x:v>
      </x:c>
      <x:c r="I386" s="2" t="str">
        <x:v>きゃしゃ</x:v>
      </x:c>
      <x:c r="J386" s="8" t="str">
        <x:v>가냘픔, 섬세함</x:v>
      </x:c>
      <x:c r="K386" s="2" t="str">
        <x:v>adjective</x:v>
      </x:c>
      <x:c r="L386" s="9" t="n">
        <x:v>3.14</x:v>
      </x:c>
      <x:c r="M386" s="2" t="str">
        <x:v>없음</x:v>
      </x:c>
      <x:c r="N386" s="11" t="n">
        <x:v>24</x:v>
      </x:c>
      <x:c r="O386" s="8" t="str">
        <x:v>일반 사용 빈도 보통 이하(Zipf ≤ 3.5); 검증된 예문 없음; JMdict 우선 어휘 표지 없음</x:v>
      </x:c>
      <x:c r="P386" s="8" t="str">
        <x:v>frequency_le_3_5,no_example,no_jmdict_priority</x:v>
      </x:c>
      <x:c r="Q386" s="2" t="str"/>
      <x:c r="R386" s="2" t="str"/>
      <x:c r="S386" s="2" t="str"/>
      <x:c r="T386" s="2" t="str"/>
      <x:c r="U386" s="2" t="str"/>
      <x:c r="V386" s="2" t="str">
        <x:v>아니오</x:v>
      </x:c>
      <x:c r="W386" s="2" t="str">
        <x:v>예</x:v>
      </x:c>
      <x:c r="X386" s="2" t="str"/>
      <x:c r="Y386" s="2" t="n">
        <x:v>0</x:v>
      </x:c>
      <x:c r="Z386" s="2" t="str"/>
      <x:c r="AA386" s="2" t="n">
        <x:v>0</x:v>
      </x:c>
      <x:c r="AB386" s="8" t="str"/>
      <x:c r="AC386" s="8" t="str"/>
      <x:c r="AD386" s="8" t="str">
        <x:v>["ko-reviewed"]</x:v>
      </x:c>
      <x:c r="AE386" s="8" t="str">
        <x:v>검토 필요</x:v>
      </x:c>
      <x:c r="AF386" s="8" t="str"/>
    </x:row>
    <x:row r="387">
      <x:c r="A387" s="10" t="n">
        <x:v>386</x:v>
      </x:c>
      <x:c r="B387" s="2" t="str">
        <x:v>2차 보류</x:v>
      </x:c>
      <x:c r="C387" s="2" t="str">
        <x:v>2차 보류</x:v>
      </x:c>
      <x:c r="D387" s="2" t="str">
        <x:v>낮음</x:v>
      </x:c>
      <x:c r="E387" s="2" t="str">
        <x:v>N2</x:v>
      </x:c>
      <x:c r="F387" s="10" t="n">
        <x:v>140</x:v>
      </x:c>
      <x:c r="G387" s="2" t="str">
        <x:v>w_d3af644a0668867b</x:v>
      </x:c>
      <x:c r="H387" s="2" t="str">
        <x:v>ろうそく</x:v>
      </x:c>
      <x:c r="I387" s="2" t="str">
        <x:v>ろうそく</x:v>
      </x:c>
      <x:c r="J387" s="8" t="str">
        <x:v>양초, 촛불</x:v>
      </x:c>
      <x:c r="K387" s="2" t="str">
        <x:v>noun</x:v>
      </x:c>
      <x:c r="L387" s="9" t="n">
        <x:v>3.15</x:v>
      </x:c>
      <x:c r="M387" s="2" t="str">
        <x:v>없음</x:v>
      </x:c>
      <x:c r="N387" s="11" t="n">
        <x:v>24</x:v>
      </x:c>
      <x:c r="O387" s="8" t="str">
        <x:v>일반 사용 빈도 보통 이하(Zipf ≤ 3.5); 검증된 예문 없음; JMdict 우선 어휘 표지 없음</x:v>
      </x:c>
      <x:c r="P387" s="8" t="str">
        <x:v>frequency_le_3_5,no_example,no_jmdict_priority</x:v>
      </x:c>
      <x:c r="Q387" s="2" t="str"/>
      <x:c r="R387" s="2" t="str"/>
      <x:c r="S387" s="2" t="str"/>
      <x:c r="T387" s="2" t="str"/>
      <x:c r="U387" s="2" t="str"/>
      <x:c r="V387" s="2" t="str">
        <x:v>아니오</x:v>
      </x:c>
      <x:c r="W387" s="2" t="str">
        <x:v>아니오</x:v>
      </x:c>
      <x:c r="X387" s="2" t="str"/>
      <x:c r="Y387" s="2" t="n">
        <x:v>0</x:v>
      </x:c>
      <x:c r="Z387" s="2" t="str"/>
      <x:c r="AA387" s="2" t="n">
        <x:v>0</x:v>
      </x:c>
      <x:c r="AB387" s="8" t="str"/>
      <x:c r="AC387" s="8" t="str"/>
      <x:c r="AD387" s="8" t="str">
        <x:v>["backfill-replacement","assistant-ko-reviewed"]</x:v>
      </x:c>
      <x:c r="AE387" s="8" t="str">
        <x:v>검토 필요</x:v>
      </x:c>
      <x:c r="AF387" s="8" t="str"/>
    </x:row>
    <x:row r="388">
      <x:c r="A388" s="10" t="n">
        <x:v>387</x:v>
      </x:c>
      <x:c r="B388" s="2" t="str">
        <x:v>2차 보류</x:v>
      </x:c>
      <x:c r="C388" s="2" t="str">
        <x:v>2차 보류</x:v>
      </x:c>
      <x:c r="D388" s="2" t="str">
        <x:v>낮음</x:v>
      </x:c>
      <x:c r="E388" s="2" t="str">
        <x:v>N1</x:v>
      </x:c>
      <x:c r="F388" s="10" t="n">
        <x:v>159</x:v>
      </x:c>
      <x:c r="G388" s="2" t="str">
        <x:v>w_b99f1a5fc01164cf</x:v>
      </x:c>
      <x:c r="H388" s="2" t="str">
        <x:v>くじびき</x:v>
      </x:c>
      <x:c r="I388" s="2" t="str">
        <x:v>くじびき</x:v>
      </x:c>
      <x:c r="J388" s="8" t="str">
        <x:v>제비뽑기, 추첨</x:v>
      </x:c>
      <x:c r="K388" s="2" t="str">
        <x:v>noun</x:v>
      </x:c>
      <x:c r="L388" s="9" t="n">
        <x:v>3.19</x:v>
      </x:c>
      <x:c r="M388" s="2" t="str">
        <x:v>없음</x:v>
      </x:c>
      <x:c r="N388" s="11" t="n">
        <x:v>24</x:v>
      </x:c>
      <x:c r="O388" s="8" t="str">
        <x:v>일반 사용 빈도 보통 이하(Zipf ≤ 3.5); 검증된 예문 없음; JMdict 우선 어휘 표지 없음</x:v>
      </x:c>
      <x:c r="P388" s="8" t="str">
        <x:v>frequency_le_3_5,no_example,no_jmdict_priority</x:v>
      </x:c>
      <x:c r="Q388" s="2" t="str"/>
      <x:c r="R388" s="2" t="str"/>
      <x:c r="S388" s="2" t="str"/>
      <x:c r="T388" s="2" t="str"/>
      <x:c r="U388" s="2" t="str"/>
      <x:c r="V388" s="2" t="str">
        <x:v>아니오</x:v>
      </x:c>
      <x:c r="W388" s="2" t="str">
        <x:v>아니오</x:v>
      </x:c>
      <x:c r="X388" s="2" t="str"/>
      <x:c r="Y388" s="2" t="n">
        <x:v>0</x:v>
      </x:c>
      <x:c r="Z388" s="2" t="str"/>
      <x:c r="AA388" s="2" t="n">
        <x:v>0</x:v>
      </x:c>
      <x:c r="AB388" s="8" t="str"/>
      <x:c r="AC388" s="8" t="str"/>
      <x:c r="AD388" s="8" t="str">
        <x:v>["ko-reviewed"]</x:v>
      </x:c>
      <x:c r="AE388" s="8" t="str">
        <x:v>검토 필요</x:v>
      </x:c>
      <x:c r="AF388" s="8" t="str"/>
    </x:row>
    <x:row r="389">
      <x:c r="A389" s="10" t="n">
        <x:v>388</x:v>
      </x:c>
      <x:c r="B389" s="2" t="str">
        <x:v>2차 보류</x:v>
      </x:c>
      <x:c r="C389" s="2" t="str">
        <x:v>2차 보류</x:v>
      </x:c>
      <x:c r="D389" s="2" t="str">
        <x:v>낮음</x:v>
      </x:c>
      <x:c r="E389" s="2" t="str">
        <x:v>N2</x:v>
      </x:c>
      <x:c r="F389" s="10" t="n">
        <x:v>141</x:v>
      </x:c>
      <x:c r="G389" s="2" t="str">
        <x:v>w_979f6dec031ed515</x:v>
      </x:c>
      <x:c r="H389" s="2" t="str">
        <x:v>ばね</x:v>
      </x:c>
      <x:c r="I389" s="2" t="str">
        <x:v>ばね</x:v>
      </x:c>
      <x:c r="J389" s="8" t="str">
        <x:v>용수철, 스프링</x:v>
      </x:c>
      <x:c r="K389" s="2" t="str">
        <x:v>noun</x:v>
      </x:c>
      <x:c r="L389" s="9" t="n">
        <x:v>3.21</x:v>
      </x:c>
      <x:c r="M389" s="2" t="str">
        <x:v>없음</x:v>
      </x:c>
      <x:c r="N389" s="11" t="n">
        <x:v>24</x:v>
      </x:c>
      <x:c r="O389" s="8" t="str">
        <x:v>일반 사용 빈도 보통 이하(Zipf ≤ 3.5); 검증된 예문 없음; JMdict 우선 어휘 표지 없음</x:v>
      </x:c>
      <x:c r="P389" s="8" t="str">
        <x:v>frequency_le_3_5,no_example,no_jmdict_priority</x:v>
      </x:c>
      <x:c r="Q389" s="2" t="str"/>
      <x:c r="R389" s="2" t="str"/>
      <x:c r="S389" s="2" t="str"/>
      <x:c r="T389" s="2" t="str"/>
      <x:c r="U389" s="2" t="str"/>
      <x:c r="V389" s="2" t="str">
        <x:v>아니오</x:v>
      </x:c>
      <x:c r="W389" s="2" t="str">
        <x:v>아니오</x:v>
      </x:c>
      <x:c r="X389" s="2" t="str"/>
      <x:c r="Y389" s="2" t="n">
        <x:v>0</x:v>
      </x:c>
      <x:c r="Z389" s="2" t="str"/>
      <x:c r="AA389" s="2" t="n">
        <x:v>0</x:v>
      </x:c>
      <x:c r="AB389" s="8" t="str"/>
      <x:c r="AC389" s="8" t="str"/>
      <x:c r="AD389" s="8" t="str">
        <x:v>["ko-reviewed"]</x:v>
      </x:c>
      <x:c r="AE389" s="8" t="str">
        <x:v>검토 필요</x:v>
      </x:c>
      <x:c r="AF389" s="8" t="str"/>
    </x:row>
    <x:row r="390">
      <x:c r="A390" s="10" t="n">
        <x:v>389</x:v>
      </x:c>
      <x:c r="B390" s="2" t="str">
        <x:v>2차 보류</x:v>
      </x:c>
      <x:c r="C390" s="2" t="str">
        <x:v>2차 보류</x:v>
      </x:c>
      <x:c r="D390" s="2" t="str">
        <x:v>낮음</x:v>
      </x:c>
      <x:c r="E390" s="2" t="str">
        <x:v>N2</x:v>
      </x:c>
      <x:c r="F390" s="10" t="n">
        <x:v>142</x:v>
      </x:c>
      <x:c r="G390" s="2" t="str">
        <x:v>w_dc6d7aaea9e4567e</x:v>
      </x:c>
      <x:c r="H390" s="2" t="str">
        <x:v>やかましい</x:v>
      </x:c>
      <x:c r="I390" s="2" t="str">
        <x:v>やかましい</x:v>
      </x:c>
      <x:c r="J390" s="8" t="str">
        <x:v>시끄럽다, 까다롭다</x:v>
      </x:c>
      <x:c r="K390" s="2" t="str">
        <x:v>adjective</x:v>
      </x:c>
      <x:c r="L390" s="9" t="n">
        <x:v>3.21</x:v>
      </x:c>
      <x:c r="M390" s="2" t="str">
        <x:v>없음</x:v>
      </x:c>
      <x:c r="N390" s="11" t="n">
        <x:v>24</x:v>
      </x:c>
      <x:c r="O390" s="8" t="str">
        <x:v>일반 사용 빈도 보통 이하(Zipf ≤ 3.5); 검증된 예문 없음; JMdict 우선 어휘 표지 없음</x:v>
      </x:c>
      <x:c r="P390" s="8" t="str">
        <x:v>frequency_le_3_5,no_example,no_jmdict_priority</x:v>
      </x:c>
      <x:c r="Q390" s="2" t="str"/>
      <x:c r="R390" s="2" t="str"/>
      <x:c r="S390" s="2" t="str"/>
      <x:c r="T390" s="2" t="str"/>
      <x:c r="U390" s="2" t="str"/>
      <x:c r="V390" s="2" t="str">
        <x:v>아니오</x:v>
      </x:c>
      <x:c r="W390" s="2" t="str">
        <x:v>아니오</x:v>
      </x:c>
      <x:c r="X390" s="2" t="str"/>
      <x:c r="Y390" s="2" t="n">
        <x:v>0</x:v>
      </x:c>
      <x:c r="Z390" s="2" t="str"/>
      <x:c r="AA390" s="2" t="n">
        <x:v>0</x:v>
      </x:c>
      <x:c r="AB390" s="8" t="str"/>
      <x:c r="AC390" s="8" t="str"/>
      <x:c r="AD390" s="8" t="str">
        <x:v>["backfill-replacement","assistant-ko-reviewed"]</x:v>
      </x:c>
      <x:c r="AE390" s="8" t="str">
        <x:v>검토 필요</x:v>
      </x:c>
      <x:c r="AF390" s="8" t="str"/>
    </x:row>
    <x:row r="391">
      <x:c r="A391" s="10" t="n">
        <x:v>390</x:v>
      </x:c>
      <x:c r="B391" s="2" t="str">
        <x:v>2차 보류</x:v>
      </x:c>
      <x:c r="C391" s="2" t="str">
        <x:v>2차 보류</x:v>
      </x:c>
      <x:c r="D391" s="2" t="str">
        <x:v>낮음</x:v>
      </x:c>
      <x:c r="E391" s="2" t="str">
        <x:v>N2</x:v>
      </x:c>
      <x:c r="F391" s="10" t="n">
        <x:v>143</x:v>
      </x:c>
      <x:c r="G391" s="2" t="str">
        <x:v>w_007680925f9898a2</x:v>
      </x:c>
      <x:c r="H391" s="2" t="str">
        <x:v>火口</x:v>
      </x:c>
      <x:c r="I391" s="2" t="str">
        <x:v>かこう</x:v>
      </x:c>
      <x:c r="J391" s="8" t="str">
        <x:v>분화구</x:v>
      </x:c>
      <x:c r="K391" s="2" t="str">
        <x:v>noun</x:v>
      </x:c>
      <x:c r="L391" s="9" t="n">
        <x:v>3.24</x:v>
      </x:c>
      <x:c r="M391" s="2" t="str">
        <x:v>없음</x:v>
      </x:c>
      <x:c r="N391" s="11" t="n">
        <x:v>24</x:v>
      </x:c>
      <x:c r="O391" s="8" t="str">
        <x:v>일반 사용 빈도 보통 이하(Zipf ≤ 3.5); 검증된 예문 없음; JMdict 우선 어휘 표지 없음</x:v>
      </x:c>
      <x:c r="P391" s="8" t="str">
        <x:v>frequency_le_3_5,no_example,no_jmdict_priority</x:v>
      </x:c>
      <x:c r="Q391" s="2" t="str"/>
      <x:c r="R391" s="2" t="str"/>
      <x:c r="S391" s="2" t="str"/>
      <x:c r="T391" s="2" t="str"/>
      <x:c r="U391" s="2" t="str"/>
      <x:c r="V391" s="2" t="str">
        <x:v>아니오</x:v>
      </x:c>
      <x:c r="W391" s="2" t="str">
        <x:v>예</x:v>
      </x:c>
      <x:c r="X391" s="2" t="str"/>
      <x:c r="Y391" s="2" t="n">
        <x:v>0</x:v>
      </x:c>
      <x:c r="Z391" s="2" t="str"/>
      <x:c r="AA391" s="2" t="n">
        <x:v>0</x:v>
      </x:c>
      <x:c r="AB391" s="8" t="str"/>
      <x:c r="AC391" s="8" t="str"/>
      <x:c r="AD391" s="8" t="str">
        <x:v>["ko-reviewed"]</x:v>
      </x:c>
      <x:c r="AE391" s="8" t="str">
        <x:v>검토 필요</x:v>
      </x:c>
      <x:c r="AF391" s="8" t="str"/>
    </x:row>
    <x:row r="392">
      <x:c r="A392" s="10" t="n">
        <x:v>391</x:v>
      </x:c>
      <x:c r="B392" s="2" t="str">
        <x:v>2차 보류</x:v>
      </x:c>
      <x:c r="C392" s="2" t="str">
        <x:v>2차 보류</x:v>
      </x:c>
      <x:c r="D392" s="2" t="str">
        <x:v>낮음</x:v>
      </x:c>
      <x:c r="E392" s="2" t="str">
        <x:v>N1</x:v>
      </x:c>
      <x:c r="F392" s="10" t="n">
        <x:v>160</x:v>
      </x:c>
      <x:c r="G392" s="2" t="str">
        <x:v>w_5fa085877beb296e</x:v>
      </x:c>
      <x:c r="H392" s="2" t="str">
        <x:v>かかと</x:v>
      </x:c>
      <x:c r="I392" s="2" t="str">
        <x:v>かかと</x:v>
      </x:c>
      <x:c r="J392" s="8" t="str">
        <x:v>발꿈치, 뒤꿈치</x:v>
      </x:c>
      <x:c r="K392" s="2" t="str">
        <x:v>noun</x:v>
      </x:c>
      <x:c r="L392" s="9" t="n">
        <x:v>3.26</x:v>
      </x:c>
      <x:c r="M392" s="2" t="str">
        <x:v>없음</x:v>
      </x:c>
      <x:c r="N392" s="11" t="n">
        <x:v>24</x:v>
      </x:c>
      <x:c r="O392" s="8" t="str">
        <x:v>일반 사용 빈도 보통 이하(Zipf ≤ 3.5); 검증된 예문 없음; JMdict 우선 어휘 표지 없음</x:v>
      </x:c>
      <x:c r="P392" s="8" t="str">
        <x:v>frequency_le_3_5,no_example,no_jmdict_priority</x:v>
      </x:c>
      <x:c r="Q392" s="2" t="str"/>
      <x:c r="R392" s="2" t="str"/>
      <x:c r="S392" s="2" t="str"/>
      <x:c r="T392" s="2" t="str"/>
      <x:c r="U392" s="2" t="str"/>
      <x:c r="V392" s="2" t="str">
        <x:v>아니오</x:v>
      </x:c>
      <x:c r="W392" s="2" t="str">
        <x:v>아니오</x:v>
      </x:c>
      <x:c r="X392" s="2" t="str"/>
      <x:c r="Y392" s="2" t="n">
        <x:v>0</x:v>
      </x:c>
      <x:c r="Z392" s="2" t="str"/>
      <x:c r="AA392" s="2" t="n">
        <x:v>0</x:v>
      </x:c>
      <x:c r="AB392" s="8" t="str"/>
      <x:c r="AC392" s="8" t="str"/>
      <x:c r="AD392" s="8" t="str">
        <x:v>["ko-reviewed"]</x:v>
      </x:c>
      <x:c r="AE392" s="8" t="str">
        <x:v>검토 필요</x:v>
      </x:c>
      <x:c r="AF392" s="8" t="str"/>
    </x:row>
    <x:row r="393">
      <x:c r="A393" s="10" t="n">
        <x:v>392</x:v>
      </x:c>
      <x:c r="B393" s="2" t="str">
        <x:v>2차 보류</x:v>
      </x:c>
      <x:c r="C393" s="2" t="str">
        <x:v>2차 보류</x:v>
      </x:c>
      <x:c r="D393" s="2" t="str">
        <x:v>낮음</x:v>
      </x:c>
      <x:c r="E393" s="2" t="str">
        <x:v>N2</x:v>
      </x:c>
      <x:c r="F393" s="10" t="n">
        <x:v>144</x:v>
      </x:c>
      <x:c r="G393" s="2" t="str">
        <x:v>w_3eb97be2190f77f7</x:v>
      </x:c>
      <x:c r="H393" s="2" t="str">
        <x:v>おめでたい</x:v>
      </x:c>
      <x:c r="I393" s="2" t="str">
        <x:v>おめでたい</x:v>
      </x:c>
      <x:c r="J393" s="8" t="str">
        <x:v>경사스럽다, 축하할 만하다</x:v>
      </x:c>
      <x:c r="K393" s="2" t="str">
        <x:v>adjective</x:v>
      </x:c>
      <x:c r="L393" s="9" t="n">
        <x:v>3.28</x:v>
      </x:c>
      <x:c r="M393" s="2" t="str">
        <x:v>없음</x:v>
      </x:c>
      <x:c r="N393" s="11" t="n">
        <x:v>24</x:v>
      </x:c>
      <x:c r="O393" s="8" t="str">
        <x:v>일반 사용 빈도 보통 이하(Zipf ≤ 3.5); 검증된 예문 없음; JMdict 우선 어휘 표지 없음</x:v>
      </x:c>
      <x:c r="P393" s="8" t="str">
        <x:v>frequency_le_3_5,no_example,no_jmdict_priority</x:v>
      </x:c>
      <x:c r="Q393" s="2" t="str"/>
      <x:c r="R393" s="2" t="str"/>
      <x:c r="S393" s="2" t="str"/>
      <x:c r="T393" s="2" t="str"/>
      <x:c r="U393" s="2" t="str"/>
      <x:c r="V393" s="2" t="str">
        <x:v>아니오</x:v>
      </x:c>
      <x:c r="W393" s="2" t="str">
        <x:v>아니오</x:v>
      </x:c>
      <x:c r="X393" s="2" t="str"/>
      <x:c r="Y393" s="2" t="n">
        <x:v>0</x:v>
      </x:c>
      <x:c r="Z393" s="2" t="str"/>
      <x:c r="AA393" s="2" t="n">
        <x:v>0</x:v>
      </x:c>
      <x:c r="AB393" s="8" t="str"/>
      <x:c r="AC393" s="8" t="str"/>
      <x:c r="AD393" s="8" t="str">
        <x:v>["ko-reviewed"]</x:v>
      </x:c>
      <x:c r="AE393" s="8" t="str">
        <x:v>검토 필요</x:v>
      </x:c>
      <x:c r="AF393" s="8" t="str"/>
    </x:row>
    <x:row r="394">
      <x:c r="A394" s="10" t="n">
        <x:v>393</x:v>
      </x:c>
      <x:c r="B394" s="2" t="str">
        <x:v>2차 보류</x:v>
      </x:c>
      <x:c r="C394" s="2" t="str">
        <x:v>2차 보류</x:v>
      </x:c>
      <x:c r="D394" s="2" t="str">
        <x:v>낮음</x:v>
      </x:c>
      <x:c r="E394" s="2" t="str">
        <x:v>N1</x:v>
      </x:c>
      <x:c r="F394" s="10" t="n">
        <x:v>161</x:v>
      </x:c>
      <x:c r="G394" s="2" t="str">
        <x:v>w_c500dd84abb9731c</x:v>
      </x:c>
      <x:c r="H394" s="2" t="str">
        <x:v>アルカリ</x:v>
      </x:c>
      <x:c r="I394" s="2" t="str">
        <x:v>アルカリ</x:v>
      </x:c>
      <x:c r="J394" s="8" t="str">
        <x:v>알칼리</x:v>
      </x:c>
      <x:c r="K394" s="2" t="str">
        <x:v>noun</x:v>
      </x:c>
      <x:c r="L394" s="9" t="n">
        <x:v>3.28</x:v>
      </x:c>
      <x:c r="M394" s="2" t="str">
        <x:v>없음</x:v>
      </x:c>
      <x:c r="N394" s="11" t="n">
        <x:v>24</x:v>
      </x:c>
      <x:c r="O394" s="8" t="str">
        <x:v>일반 사용 빈도 보통 이하(Zipf ≤ 3.5); 검증된 예문 없음; JMdict 우선 어휘 표지 없음</x:v>
      </x:c>
      <x:c r="P394" s="8" t="str">
        <x:v>frequency_le_3_5,no_example,no_jmdict_priority</x:v>
      </x:c>
      <x:c r="Q394" s="2" t="str"/>
      <x:c r="R394" s="2" t="str"/>
      <x:c r="S394" s="2" t="str"/>
      <x:c r="T394" s="2" t="str"/>
      <x:c r="U394" s="2" t="str"/>
      <x:c r="V394" s="2" t="str">
        <x:v>아니오</x:v>
      </x:c>
      <x:c r="W394" s="2" t="str">
        <x:v>아니오</x:v>
      </x:c>
      <x:c r="X394" s="2" t="str"/>
      <x:c r="Y394" s="2" t="n">
        <x:v>0</x:v>
      </x:c>
      <x:c r="Z394" s="2" t="str"/>
      <x:c r="AA394" s="2" t="n">
        <x:v>0</x:v>
      </x:c>
      <x:c r="AB394" s="8" t="str"/>
      <x:c r="AC394" s="8" t="str"/>
      <x:c r="AD394" s="8" t="str">
        <x:v>["ko-reviewed"]</x:v>
      </x:c>
      <x:c r="AE394" s="8" t="str">
        <x:v>검토 필요</x:v>
      </x:c>
      <x:c r="AF394" s="8" t="str"/>
    </x:row>
    <x:row r="395">
      <x:c r="A395" s="10" t="n">
        <x:v>394</x:v>
      </x:c>
      <x:c r="B395" s="2" t="str">
        <x:v>2차 보류</x:v>
      </x:c>
      <x:c r="C395" s="2" t="str">
        <x:v>2차 보류</x:v>
      </x:c>
      <x:c r="D395" s="2" t="str">
        <x:v>낮음</x:v>
      </x:c>
      <x:c r="E395" s="2" t="str">
        <x:v>N2</x:v>
      </x:c>
      <x:c r="F395" s="10" t="n">
        <x:v>145</x:v>
      </x:c>
      <x:c r="G395" s="2" t="str">
        <x:v>w_8a010002b3d10bc3</x:v>
      </x:c>
      <x:c r="H395" s="2" t="str">
        <x:v>斜</x:v>
      </x:c>
      <x:c r="I395" s="2" t="str">
        <x:v>はす</x:v>
      </x:c>
      <x:c r="J395" s="8" t="str">
        <x:v>비스듬함, 대각선</x:v>
      </x:c>
      <x:c r="K395" s="2" t="str">
        <x:v>adjective</x:v>
      </x:c>
      <x:c r="L395" s="9" t="n">
        <x:v>3.29</x:v>
      </x:c>
      <x:c r="M395" s="2" t="str">
        <x:v>없음</x:v>
      </x:c>
      <x:c r="N395" s="11" t="n">
        <x:v>24</x:v>
      </x:c>
      <x:c r="O395" s="8" t="str">
        <x:v>일반 사용 빈도 보통 이하(Zipf ≤ 3.5); 검증된 예문 없음; JMdict 우선 어휘 표지 없음</x:v>
      </x:c>
      <x:c r="P395" s="8" t="str">
        <x:v>frequency_le_3_5,no_example,no_jmdict_priority</x:v>
      </x:c>
      <x:c r="Q395" s="2" t="str"/>
      <x:c r="R395" s="2" t="str"/>
      <x:c r="S395" s="2" t="str"/>
      <x:c r="T395" s="2" t="str"/>
      <x:c r="U395" s="2" t="str"/>
      <x:c r="V395" s="2" t="str">
        <x:v>아니오</x:v>
      </x:c>
      <x:c r="W395" s="2" t="str">
        <x:v>예</x:v>
      </x:c>
      <x:c r="X395" s="2" t="str"/>
      <x:c r="Y395" s="2" t="n">
        <x:v>0</x:v>
      </x:c>
      <x:c r="Z395" s="2" t="str"/>
      <x:c r="AA395" s="2" t="n">
        <x:v>0</x:v>
      </x:c>
      <x:c r="AB395" s="8" t="str"/>
      <x:c r="AC395" s="8" t="str"/>
      <x:c r="AD395" s="8" t="str">
        <x:v>["ko-reviewed"]</x:v>
      </x:c>
      <x:c r="AE395" s="8" t="str">
        <x:v>검토 필요</x:v>
      </x:c>
      <x:c r="AF395" s="8" t="str"/>
    </x:row>
    <x:row r="396">
      <x:c r="A396" s="10" t="n">
        <x:v>395</x:v>
      </x:c>
      <x:c r="B396" s="2" t="str">
        <x:v>2차 보류</x:v>
      </x:c>
      <x:c r="C396" s="2" t="str">
        <x:v>2차 보류</x:v>
      </x:c>
      <x:c r="D396" s="2" t="str">
        <x:v>낮음</x:v>
      </x:c>
      <x:c r="E396" s="2" t="str">
        <x:v>N2</x:v>
      </x:c>
      <x:c r="F396" s="10" t="n">
        <x:v>146</x:v>
      </x:c>
      <x:c r="G396" s="2" t="str">
        <x:v>w_a65242ead39b8875</x:v>
      </x:c>
      <x:c r="H396" s="2" t="str">
        <x:v>みっともない</x:v>
      </x:c>
      <x:c r="I396" s="2" t="str">
        <x:v>みっともない</x:v>
      </x:c>
      <x:c r="J396" s="8" t="str">
        <x:v>보기 흉하다, 꼴사납다</x:v>
      </x:c>
      <x:c r="K396" s="2" t="str">
        <x:v>adjective</x:v>
      </x:c>
      <x:c r="L396" s="9" t="n">
        <x:v>3.29</x:v>
      </x:c>
      <x:c r="M396" s="2" t="str">
        <x:v>없음</x:v>
      </x:c>
      <x:c r="N396" s="11" t="n">
        <x:v>24</x:v>
      </x:c>
      <x:c r="O396" s="8" t="str">
        <x:v>일반 사용 빈도 보통 이하(Zipf ≤ 3.5); 검증된 예문 없음; JMdict 우선 어휘 표지 없음</x:v>
      </x:c>
      <x:c r="P396" s="8" t="str">
        <x:v>frequency_le_3_5,no_example,no_jmdict_priority</x:v>
      </x:c>
      <x:c r="Q396" s="2" t="str"/>
      <x:c r="R396" s="2" t="str"/>
      <x:c r="S396" s="2" t="str"/>
      <x:c r="T396" s="2" t="str"/>
      <x:c r="U396" s="2" t="str"/>
      <x:c r="V396" s="2" t="str">
        <x:v>아니오</x:v>
      </x:c>
      <x:c r="W396" s="2" t="str">
        <x:v>아니오</x:v>
      </x:c>
      <x:c r="X396" s="2" t="str"/>
      <x:c r="Y396" s="2" t="n">
        <x:v>0</x:v>
      </x:c>
      <x:c r="Z396" s="2" t="str"/>
      <x:c r="AA396" s="2" t="n">
        <x:v>0</x:v>
      </x:c>
      <x:c r="AB396" s="8" t="str"/>
      <x:c r="AC396" s="8" t="str"/>
      <x:c r="AD396" s="8" t="str">
        <x:v>["backfill-replacement","assistant-ko-reviewed"]</x:v>
      </x:c>
      <x:c r="AE396" s="8" t="str">
        <x:v>검토 필요</x:v>
      </x:c>
      <x:c r="AF396" s="8" t="str"/>
    </x:row>
    <x:row r="397">
      <x:c r="A397" s="10" t="n">
        <x:v>396</x:v>
      </x:c>
      <x:c r="B397" s="2" t="str">
        <x:v>2차 보류</x:v>
      </x:c>
      <x:c r="C397" s="2" t="str">
        <x:v>2차 보류</x:v>
      </x:c>
      <x:c r="D397" s="2" t="str">
        <x:v>낮음</x:v>
      </x:c>
      <x:c r="E397" s="2" t="str">
        <x:v>N1</x:v>
      </x:c>
      <x:c r="F397" s="10" t="n">
        <x:v>162</x:v>
      </x:c>
      <x:c r="G397" s="2" t="str">
        <x:v>w_08998e02affad7d8</x:v>
      </x:c>
      <x:c r="H397" s="2" t="str">
        <x:v>ずらっと</x:v>
      </x:c>
      <x:c r="I397" s="2" t="str">
        <x:v>ずらっと</x:v>
      </x:c>
      <x:c r="J397" s="8" t="str">
        <x:v>죽 늘어선 모양</x:v>
      </x:c>
      <x:c r="K397" s="2" t="str">
        <x:v>adverb</x:v>
      </x:c>
      <x:c r="L397" s="9" t="n">
        <x:v>3.34</x:v>
      </x:c>
      <x:c r="M397" s="2" t="str">
        <x:v>없음</x:v>
      </x:c>
      <x:c r="N397" s="11" t="n">
        <x:v>24</x:v>
      </x:c>
      <x:c r="O397" s="8" t="str">
        <x:v>일반 사용 빈도 보통 이하(Zipf ≤ 3.5); 검증된 예문 없음; JMdict 우선 어휘 표지 없음</x:v>
      </x:c>
      <x:c r="P397" s="8" t="str">
        <x:v>frequency_le_3_5,no_example,no_jmdict_priority</x:v>
      </x:c>
      <x:c r="Q397" s="2" t="str"/>
      <x:c r="R397" s="2" t="str"/>
      <x:c r="S397" s="2" t="str"/>
      <x:c r="T397" s="2" t="str"/>
      <x:c r="U397" s="2" t="str"/>
      <x:c r="V397" s="2" t="str">
        <x:v>아니오</x:v>
      </x:c>
      <x:c r="W397" s="2" t="str">
        <x:v>예</x:v>
      </x:c>
      <x:c r="X397" s="2" t="str"/>
      <x:c r="Y397" s="2" t="n">
        <x:v>0</x:v>
      </x:c>
      <x:c r="Z397" s="2" t="str"/>
      <x:c r="AA397" s="2" t="n">
        <x:v>0</x:v>
      </x:c>
      <x:c r="AB397" s="8" t="str">
        <x:v>onomatopoeic or mimetic word</x:v>
      </x:c>
      <x:c r="AC397" s="8" t="str"/>
      <x:c r="AD397" s="8" t="str">
        <x:v>["ko-reviewed"]</x:v>
      </x:c>
      <x:c r="AE397" s="8" t="str">
        <x:v>검토 필요</x:v>
      </x:c>
      <x:c r="AF397" s="8" t="str"/>
    </x:row>
    <x:row r="398">
      <x:c r="A398" s="10" t="n">
        <x:v>397</x:v>
      </x:c>
      <x:c r="B398" s="2" t="str">
        <x:v>2차 보류</x:v>
      </x:c>
      <x:c r="C398" s="2" t="str">
        <x:v>2차 보류</x:v>
      </x:c>
      <x:c r="D398" s="2" t="str">
        <x:v>낮음</x:v>
      </x:c>
      <x:c r="E398" s="2" t="str">
        <x:v>N1</x:v>
      </x:c>
      <x:c r="F398" s="10" t="n">
        <x:v>163</x:v>
      </x:c>
      <x:c r="G398" s="2" t="str">
        <x:v>w_932f720a8644cf94</x:v>
      </x:c>
      <x:c r="H398" s="2" t="str">
        <x:v>ねじまわし</x:v>
      </x:c>
      <x:c r="I398" s="2" t="str">
        <x:v>ねじまわし</x:v>
      </x:c>
      <x:c r="J398" s="8" t="str">
        <x:v>드라이버(나사돌리개)</x:v>
      </x:c>
      <x:c r="K398" s="2" t="str">
        <x:v>noun</x:v>
      </x:c>
      <x:c r="L398" s="9" t="n">
        <x:v>3.34</x:v>
      </x:c>
      <x:c r="M398" s="2" t="str">
        <x:v>없음</x:v>
      </x:c>
      <x:c r="N398" s="11" t="n">
        <x:v>24</x:v>
      </x:c>
      <x:c r="O398" s="8" t="str">
        <x:v>일반 사용 빈도 보통 이하(Zipf ≤ 3.5); 검증된 예문 없음; JMdict 우선 어휘 표지 없음</x:v>
      </x:c>
      <x:c r="P398" s="8" t="str">
        <x:v>frequency_le_3_5,no_example,no_jmdict_priority</x:v>
      </x:c>
      <x:c r="Q398" s="2" t="str"/>
      <x:c r="R398" s="2" t="str"/>
      <x:c r="S398" s="2" t="str"/>
      <x:c r="T398" s="2" t="str"/>
      <x:c r="U398" s="2" t="str"/>
      <x:c r="V398" s="2" t="str">
        <x:v>아니오</x:v>
      </x:c>
      <x:c r="W398" s="2" t="str">
        <x:v>아니오</x:v>
      </x:c>
      <x:c r="X398" s="2" t="str"/>
      <x:c r="Y398" s="2" t="n">
        <x:v>0</x:v>
      </x:c>
      <x:c r="Z398" s="2" t="str"/>
      <x:c r="AA398" s="2" t="n">
        <x:v>0</x:v>
      </x:c>
      <x:c r="AB398" s="8" t="str"/>
      <x:c r="AC398" s="8" t="str"/>
      <x:c r="AD398" s="8" t="str">
        <x:v>["ko-reviewed"]</x:v>
      </x:c>
      <x:c r="AE398" s="8" t="str">
        <x:v>검토 필요</x:v>
      </x:c>
      <x:c r="AF398" s="8" t="str"/>
    </x:row>
    <x:row r="399">
      <x:c r="A399" s="10" t="n">
        <x:v>398</x:v>
      </x:c>
      <x:c r="B399" s="2" t="str">
        <x:v>2차 보류</x:v>
      </x:c>
      <x:c r="C399" s="2" t="str">
        <x:v>2차 보류</x:v>
      </x:c>
      <x:c r="D399" s="2" t="str">
        <x:v>낮음</x:v>
      </x:c>
      <x:c r="E399" s="2" t="str">
        <x:v>N2</x:v>
      </x:c>
      <x:c r="F399" s="10" t="n">
        <x:v>147</x:v>
      </x:c>
      <x:c r="G399" s="2" t="str">
        <x:v>w_97b27f1e9fecf061</x:v>
      </x:c>
      <x:c r="H399" s="2" t="str">
        <x:v>やかん</x:v>
      </x:c>
      <x:c r="I399" s="2" t="str">
        <x:v>やかん</x:v>
      </x:c>
      <x:c r="J399" s="8" t="str">
        <x:v>주전자</x:v>
      </x:c>
      <x:c r="K399" s="2" t="str">
        <x:v>noun</x:v>
      </x:c>
      <x:c r="L399" s="9" t="n">
        <x:v>3.35</x:v>
      </x:c>
      <x:c r="M399" s="2" t="str">
        <x:v>없음</x:v>
      </x:c>
      <x:c r="N399" s="11" t="n">
        <x:v>24</x:v>
      </x:c>
      <x:c r="O399" s="8" t="str">
        <x:v>일반 사용 빈도 보통 이하(Zipf ≤ 3.5); 검증된 예문 없음; JMdict 우선 어휘 표지 없음</x:v>
      </x:c>
      <x:c r="P399" s="8" t="str">
        <x:v>frequency_le_3_5,no_example,no_jmdict_priority</x:v>
      </x:c>
      <x:c r="Q399" s="2" t="str"/>
      <x:c r="R399" s="2" t="str"/>
      <x:c r="S399" s="2" t="str"/>
      <x:c r="T399" s="2" t="str"/>
      <x:c r="U399" s="2" t="str"/>
      <x:c r="V399" s="2" t="str">
        <x:v>아니오</x:v>
      </x:c>
      <x:c r="W399" s="2" t="str">
        <x:v>아니오</x:v>
      </x:c>
      <x:c r="X399" s="2" t="str"/>
      <x:c r="Y399" s="2" t="n">
        <x:v>0</x:v>
      </x:c>
      <x:c r="Z399" s="2" t="str"/>
      <x:c r="AA399" s="2" t="n">
        <x:v>0</x:v>
      </x:c>
      <x:c r="AB399" s="8" t="str"/>
      <x:c r="AC399" s="8" t="str"/>
      <x:c r="AD399" s="8" t="str">
        <x:v>["backfill-replacement","assistant-ko-reviewed"]</x:v>
      </x:c>
      <x:c r="AE399" s="8" t="str">
        <x:v>검토 필요</x:v>
      </x:c>
      <x:c r="AF399" s="8" t="str"/>
    </x:row>
    <x:row r="400">
      <x:c r="A400" s="10" t="n">
        <x:v>399</x:v>
      </x:c>
      <x:c r="B400" s="2" t="str">
        <x:v>2차 보류</x:v>
      </x:c>
      <x:c r="C400" s="2" t="str">
        <x:v>2차 보류</x:v>
      </x:c>
      <x:c r="D400" s="2" t="str">
        <x:v>낮음</x:v>
      </x:c>
      <x:c r="E400" s="2" t="str">
        <x:v>N3</x:v>
      </x:c>
      <x:c r="F400" s="10" t="n">
        <x:v>50</x:v>
      </x:c>
      <x:c r="G400" s="2" t="str">
        <x:v>w_7dbf258739ff034a</x:v>
      </x:c>
      <x:c r="H400" s="2" t="str">
        <x:v>かゆい</x:v>
      </x:c>
      <x:c r="I400" s="2" t="str">
        <x:v>かゆい</x:v>
      </x:c>
      <x:c r="J400" s="8" t="str">
        <x:v>가렵다</x:v>
      </x:c>
      <x:c r="K400" s="2" t="str">
        <x:v>adjective</x:v>
      </x:c>
      <x:c r="L400" s="9" t="n">
        <x:v>3.36</x:v>
      </x:c>
      <x:c r="M400" s="2" t="str">
        <x:v>없음</x:v>
      </x:c>
      <x:c r="N400" s="11" t="n">
        <x:v>24</x:v>
      </x:c>
      <x:c r="O400" s="8" t="str">
        <x:v>일반 사용 빈도 보통 이하(Zipf ≤ 3.5); 검증된 예문 없음; JMdict 우선 어휘 표지 없음</x:v>
      </x:c>
      <x:c r="P400" s="8" t="str">
        <x:v>frequency_le_3_5,no_example,no_jmdict_priority</x:v>
      </x:c>
      <x:c r="Q400" s="2" t="str"/>
      <x:c r="R400" s="2" t="str"/>
      <x:c r="S400" s="2" t="str"/>
      <x:c r="T400" s="2" t="str"/>
      <x:c r="U400" s="2" t="str"/>
      <x:c r="V400" s="2" t="str">
        <x:v>아니오</x:v>
      </x:c>
      <x:c r="W400" s="2" t="str">
        <x:v>아니오</x:v>
      </x:c>
      <x:c r="X400" s="2" t="str"/>
      <x:c r="Y400" s="2" t="n">
        <x:v>0</x:v>
      </x:c>
      <x:c r="Z400" s="2" t="str"/>
      <x:c r="AA400" s="2" t="n">
        <x:v>0</x:v>
      </x:c>
      <x:c r="AB400" s="8" t="str"/>
      <x:c r="AC400" s="8" t="str"/>
      <x:c r="AD400" s="8" t="str">
        <x:v>["ko-reviewed"]</x:v>
      </x:c>
      <x:c r="AE400" s="8" t="str">
        <x:v>검토 필요</x:v>
      </x:c>
      <x:c r="AF400" s="8" t="str"/>
    </x:row>
    <x:row r="401">
      <x:c r="A401" s="10" t="n">
        <x:v>400</x:v>
      </x:c>
      <x:c r="B401" s="2" t="str">
        <x:v>2차 보류</x:v>
      </x:c>
      <x:c r="C401" s="2" t="str">
        <x:v>2차 보류</x:v>
      </x:c>
      <x:c r="D401" s="2" t="str">
        <x:v>낮음</x:v>
      </x:c>
      <x:c r="E401" s="2" t="str">
        <x:v>N3</x:v>
      </x:c>
      <x:c r="F401" s="10" t="n">
        <x:v>51</x:v>
      </x:c>
      <x:c r="G401" s="2" t="str">
        <x:v>w_2be090e750700206</x:v>
      </x:c>
      <x:c r="H401" s="2" t="str">
        <x:v>あいにく</x:v>
      </x:c>
      <x:c r="I401" s="2" t="str">
        <x:v>あいにく</x:v>
      </x:c>
      <x:c r="J401" s="8" t="str">
        <x:v>공교롭게도, 유감스럽게도</x:v>
      </x:c>
      <x:c r="K401" s="2" t="str">
        <x:v>adjective</x:v>
      </x:c>
      <x:c r="L401" s="9" t="n">
        <x:v>3.37</x:v>
      </x:c>
      <x:c r="M401" s="2" t="str">
        <x:v>없음</x:v>
      </x:c>
      <x:c r="N401" s="11" t="n">
        <x:v>24</x:v>
      </x:c>
      <x:c r="O401" s="8" t="str">
        <x:v>일반 사용 빈도 보통 이하(Zipf ≤ 3.5); 검증된 예문 없음; JMdict 우선 어휘 표지 없음</x:v>
      </x:c>
      <x:c r="P401" s="8" t="str">
        <x:v>frequency_le_3_5,no_example,no_jmdict_priority</x:v>
      </x:c>
      <x:c r="Q401" s="2" t="str"/>
      <x:c r="R401" s="2" t="str"/>
      <x:c r="S401" s="2" t="str"/>
      <x:c r="T401" s="2" t="str"/>
      <x:c r="U401" s="2" t="str"/>
      <x:c r="V401" s="2" t="str">
        <x:v>아니오</x:v>
      </x:c>
      <x:c r="W401" s="2" t="str">
        <x:v>아니오</x:v>
      </x:c>
      <x:c r="X401" s="2" t="str"/>
      <x:c r="Y401" s="2" t="n">
        <x:v>0</x:v>
      </x:c>
      <x:c r="Z401" s="2" t="str"/>
      <x:c r="AA401" s="2" t="n">
        <x:v>0</x:v>
      </x:c>
      <x:c r="AB401" s="8" t="str"/>
      <x:c r="AC401" s="8" t="str"/>
      <x:c r="AD401" s="8" t="str">
        <x:v>["ko-reviewed"]</x:v>
      </x:c>
      <x:c r="AE401" s="8" t="str">
        <x:v>검토 필요</x:v>
      </x:c>
      <x:c r="AF401" s="8" t="str"/>
    </x:row>
    <x:row r="402">
      <x:c r="A402" s="10" t="n">
        <x:v>401</x:v>
      </x:c>
      <x:c r="B402" s="2" t="str">
        <x:v>2차 보류</x:v>
      </x:c>
      <x:c r="C402" s="2" t="str">
        <x:v>2차 보류</x:v>
      </x:c>
      <x:c r="D402" s="2" t="str">
        <x:v>낮음</x:v>
      </x:c>
      <x:c r="E402" s="2" t="str">
        <x:v>N2</x:v>
      </x:c>
      <x:c r="F402" s="10" t="n">
        <x:v>148</x:v>
      </x:c>
      <x:c r="G402" s="2" t="str">
        <x:v>w_6de4c1af6340b81d</x:v>
      </x:c>
      <x:c r="H402" s="2" t="str">
        <x:v>くしゃみ</x:v>
      </x:c>
      <x:c r="I402" s="2" t="str">
        <x:v>くしゃみ</x:v>
      </x:c>
      <x:c r="J402" s="8" t="str">
        <x:v>재채기</x:v>
      </x:c>
      <x:c r="K402" s="2" t="str">
        <x:v>noun</x:v>
      </x:c>
      <x:c r="L402" s="9" t="n">
        <x:v>3.4</x:v>
      </x:c>
      <x:c r="M402" s="2" t="str">
        <x:v>없음</x:v>
      </x:c>
      <x:c r="N402" s="11" t="n">
        <x:v>24</x:v>
      </x:c>
      <x:c r="O402" s="8" t="str">
        <x:v>일반 사용 빈도 보통 이하(Zipf ≤ 3.5); 검증된 예문 없음; JMdict 우선 어휘 표지 없음</x:v>
      </x:c>
      <x:c r="P402" s="8" t="str">
        <x:v>frequency_le_3_5,no_example,no_jmdict_priority</x:v>
      </x:c>
      <x:c r="Q402" s="2" t="str"/>
      <x:c r="R402" s="2" t="str"/>
      <x:c r="S402" s="2" t="str"/>
      <x:c r="T402" s="2" t="str"/>
      <x:c r="U402" s="2" t="str"/>
      <x:c r="V402" s="2" t="str">
        <x:v>아니오</x:v>
      </x:c>
      <x:c r="W402" s="2" t="str">
        <x:v>아니오</x:v>
      </x:c>
      <x:c r="X402" s="2" t="str"/>
      <x:c r="Y402" s="2" t="n">
        <x:v>0</x:v>
      </x:c>
      <x:c r="Z402" s="2" t="str"/>
      <x:c r="AA402" s="2" t="n">
        <x:v>0</x:v>
      </x:c>
      <x:c r="AB402" s="8" t="str"/>
      <x:c r="AC402" s="8" t="str"/>
      <x:c r="AD402" s="8" t="str">
        <x:v>["ko-reviewed"]</x:v>
      </x:c>
      <x:c r="AE402" s="8" t="str">
        <x:v>검토 필요</x:v>
      </x:c>
      <x:c r="AF402" s="8" t="str"/>
    </x:row>
    <x:row r="403">
      <x:c r="A403" s="10" t="n">
        <x:v>402</x:v>
      </x:c>
      <x:c r="B403" s="2" t="str">
        <x:v>2차 보류</x:v>
      </x:c>
      <x:c r="C403" s="2" t="str">
        <x:v>2차 보류</x:v>
      </x:c>
      <x:c r="D403" s="2" t="str">
        <x:v>낮음</x:v>
      </x:c>
      <x:c r="E403" s="2" t="str">
        <x:v>N2</x:v>
      </x:c>
      <x:c r="F403" s="10" t="n">
        <x:v>149</x:v>
      </x:c>
      <x:c r="G403" s="2" t="str">
        <x:v>w_7438f55333a26e00</x:v>
      </x:c>
      <x:c r="H403" s="2" t="str">
        <x:v>めでたい</x:v>
      </x:c>
      <x:c r="I403" s="2" t="str">
        <x:v>めでたい</x:v>
      </x:c>
      <x:c r="J403" s="8" t="str">
        <x:v>경사스럽다, 기쁘다</x:v>
      </x:c>
      <x:c r="K403" s="2" t="str">
        <x:v>adjective</x:v>
      </x:c>
      <x:c r="L403" s="9" t="n">
        <x:v>3.4</x:v>
      </x:c>
      <x:c r="M403" s="2" t="str">
        <x:v>없음</x:v>
      </x:c>
      <x:c r="N403" s="11" t="n">
        <x:v>24</x:v>
      </x:c>
      <x:c r="O403" s="8" t="str">
        <x:v>일반 사용 빈도 보통 이하(Zipf ≤ 3.5); 검증된 예문 없음; JMdict 우선 어휘 표지 없음</x:v>
      </x:c>
      <x:c r="P403" s="8" t="str">
        <x:v>frequency_le_3_5,no_example,no_jmdict_priority</x:v>
      </x:c>
      <x:c r="Q403" s="2" t="str"/>
      <x:c r="R403" s="2" t="str"/>
      <x:c r="S403" s="2" t="str"/>
      <x:c r="T403" s="2" t="str"/>
      <x:c r="U403" s="2" t="str"/>
      <x:c r="V403" s="2" t="str">
        <x:v>아니오</x:v>
      </x:c>
      <x:c r="W403" s="2" t="str">
        <x:v>아니오</x:v>
      </x:c>
      <x:c r="X403" s="2" t="str"/>
      <x:c r="Y403" s="2" t="n">
        <x:v>0</x:v>
      </x:c>
      <x:c r="Z403" s="2" t="str"/>
      <x:c r="AA403" s="2" t="n">
        <x:v>0</x:v>
      </x:c>
      <x:c r="AB403" s="8" t="str"/>
      <x:c r="AC403" s="8" t="str"/>
      <x:c r="AD403" s="8" t="str">
        <x:v>["backfill-replacement","assistant-ko-reviewed"]</x:v>
      </x:c>
      <x:c r="AE403" s="8" t="str">
        <x:v>검토 필요</x:v>
      </x:c>
      <x:c r="AF403" s="8" t="str"/>
    </x:row>
    <x:row r="404">
      <x:c r="A404" s="10" t="n">
        <x:v>403</x:v>
      </x:c>
      <x:c r="B404" s="2" t="str">
        <x:v>2차 보류</x:v>
      </x:c>
      <x:c r="C404" s="2" t="str">
        <x:v>2차 보류</x:v>
      </x:c>
      <x:c r="D404" s="2" t="str">
        <x:v>낮음</x:v>
      </x:c>
      <x:c r="E404" s="2" t="str">
        <x:v>N2</x:v>
      </x:c>
      <x:c r="F404" s="10" t="n">
        <x:v>150</x:v>
      </x:c>
      <x:c r="G404" s="2" t="str">
        <x:v>w_02ca0f36affad16a</x:v>
      </x:c>
      <x:c r="H404" s="2" t="str">
        <x:v>たんす</x:v>
      </x:c>
      <x:c r="I404" s="2" t="str">
        <x:v>たんす</x:v>
      </x:c>
      <x:c r="J404" s="8" t="str">
        <x:v>장롱, 서랍장</x:v>
      </x:c>
      <x:c r="K404" s="2" t="str">
        <x:v>noun</x:v>
      </x:c>
      <x:c r="L404" s="9" t="n">
        <x:v>3.41</x:v>
      </x:c>
      <x:c r="M404" s="2" t="str">
        <x:v>없음</x:v>
      </x:c>
      <x:c r="N404" s="11" t="n">
        <x:v>24</x:v>
      </x:c>
      <x:c r="O404" s="8" t="str">
        <x:v>일반 사용 빈도 보통 이하(Zipf ≤ 3.5); 검증된 예문 없음; JMdict 우선 어휘 표지 없음</x:v>
      </x:c>
      <x:c r="P404" s="8" t="str">
        <x:v>frequency_le_3_5,no_example,no_jmdict_priority</x:v>
      </x:c>
      <x:c r="Q404" s="2" t="str"/>
      <x:c r="R404" s="2" t="str"/>
      <x:c r="S404" s="2" t="str"/>
      <x:c r="T404" s="2" t="str"/>
      <x:c r="U404" s="2" t="str"/>
      <x:c r="V404" s="2" t="str">
        <x:v>아니오</x:v>
      </x:c>
      <x:c r="W404" s="2" t="str">
        <x:v>아니오</x:v>
      </x:c>
      <x:c r="X404" s="2" t="str"/>
      <x:c r="Y404" s="2" t="n">
        <x:v>0</x:v>
      </x:c>
      <x:c r="Z404" s="2" t="str"/>
      <x:c r="AA404" s="2" t="n">
        <x:v>0</x:v>
      </x:c>
      <x:c r="AB404" s="8" t="str"/>
      <x:c r="AC404" s="8" t="str"/>
      <x:c r="AD404" s="8" t="str">
        <x:v>["ko-reviewed"]</x:v>
      </x:c>
      <x:c r="AE404" s="8" t="str">
        <x:v>검토 필요</x:v>
      </x:c>
      <x:c r="AF404" s="8" t="str"/>
    </x:row>
    <x:row r="405">
      <x:c r="A405" s="10" t="n">
        <x:v>404</x:v>
      </x:c>
      <x:c r="B405" s="2" t="str">
        <x:v>2차 보류</x:v>
      </x:c>
      <x:c r="C405" s="2" t="str">
        <x:v>2차 보류</x:v>
      </x:c>
      <x:c r="D405" s="2" t="str">
        <x:v>낮음</x:v>
      </x:c>
      <x:c r="E405" s="2" t="str">
        <x:v>N2</x:v>
      </x:c>
      <x:c r="F405" s="10" t="n">
        <x:v>151</x:v>
      </x:c>
      <x:c r="G405" s="2" t="str">
        <x:v>w_4f4d7595857b648b</x:v>
      </x:c>
      <x:c r="H405" s="2" t="str">
        <x:v>まぶた</x:v>
      </x:c>
      <x:c r="I405" s="2" t="str">
        <x:v>まぶた</x:v>
      </x:c>
      <x:c r="J405" s="8" t="str">
        <x:v>눈꺼풀</x:v>
      </x:c>
      <x:c r="K405" s="2" t="str">
        <x:v>noun</x:v>
      </x:c>
      <x:c r="L405" s="9" t="n">
        <x:v>3.41</x:v>
      </x:c>
      <x:c r="M405" s="2" t="str">
        <x:v>없음</x:v>
      </x:c>
      <x:c r="N405" s="11" t="n">
        <x:v>24</x:v>
      </x:c>
      <x:c r="O405" s="8" t="str">
        <x:v>일반 사용 빈도 보통 이하(Zipf ≤ 3.5); 검증된 예문 없음; JMdict 우선 어휘 표지 없음</x:v>
      </x:c>
      <x:c r="P405" s="8" t="str">
        <x:v>frequency_le_3_5,no_example,no_jmdict_priority</x:v>
      </x:c>
      <x:c r="Q405" s="2" t="str"/>
      <x:c r="R405" s="2" t="str"/>
      <x:c r="S405" s="2" t="str"/>
      <x:c r="T405" s="2" t="str"/>
      <x:c r="U405" s="2" t="str"/>
      <x:c r="V405" s="2" t="str">
        <x:v>아니오</x:v>
      </x:c>
      <x:c r="W405" s="2" t="str">
        <x:v>아니오</x:v>
      </x:c>
      <x:c r="X405" s="2" t="str"/>
      <x:c r="Y405" s="2" t="n">
        <x:v>0</x:v>
      </x:c>
      <x:c r="Z405" s="2" t="str"/>
      <x:c r="AA405" s="2" t="n">
        <x:v>0</x:v>
      </x:c>
      <x:c r="AB405" s="8" t="str"/>
      <x:c r="AC405" s="8" t="str"/>
      <x:c r="AD405" s="8" t="str">
        <x:v>["ko-reviewed"]</x:v>
      </x:c>
      <x:c r="AE405" s="8" t="str">
        <x:v>검토 필요</x:v>
      </x:c>
      <x:c r="AF405" s="8" t="str"/>
    </x:row>
    <x:row r="406">
      <x:c r="A406" s="10" t="n">
        <x:v>405</x:v>
      </x:c>
      <x:c r="B406" s="2" t="str">
        <x:v>2차 보류</x:v>
      </x:c>
      <x:c r="C406" s="2" t="str">
        <x:v>2차 보류</x:v>
      </x:c>
      <x:c r="D406" s="2" t="str">
        <x:v>낮음</x:v>
      </x:c>
      <x:c r="E406" s="2" t="str">
        <x:v>N2</x:v>
      </x:c>
      <x:c r="F406" s="10" t="n">
        <x:v>152</x:v>
      </x:c>
      <x:c r="G406" s="2" t="str">
        <x:v>w_fb87648c22fb2879</x:v>
      </x:c>
      <x:c r="H406" s="2" t="str">
        <x:v>ふざける</x:v>
      </x:c>
      <x:c r="I406" s="2" t="str">
        <x:v>ふざける</x:v>
      </x:c>
      <x:c r="J406" s="8" t="str">
        <x:v>장난치다, 까불다</x:v>
      </x:c>
      <x:c r="K406" s="2" t="str">
        <x:v>verb</x:v>
      </x:c>
      <x:c r="L406" s="9" t="n">
        <x:v>3.41</x:v>
      </x:c>
      <x:c r="M406" s="2" t="str">
        <x:v>없음</x:v>
      </x:c>
      <x:c r="N406" s="11" t="n">
        <x:v>24</x:v>
      </x:c>
      <x:c r="O406" s="8" t="str">
        <x:v>일반 사용 빈도 보통 이하(Zipf ≤ 3.5); 검증된 예문 없음; JMdict 우선 어휘 표지 없음</x:v>
      </x:c>
      <x:c r="P406" s="8" t="str">
        <x:v>frequency_le_3_5,no_example,no_jmdict_priority</x:v>
      </x:c>
      <x:c r="Q406" s="2" t="str"/>
      <x:c r="R406" s="2" t="str"/>
      <x:c r="S406" s="2" t="str"/>
      <x:c r="T406" s="2" t="str"/>
      <x:c r="U406" s="2" t="str"/>
      <x:c r="V406" s="2" t="str">
        <x:v>아니오</x:v>
      </x:c>
      <x:c r="W406" s="2" t="str">
        <x:v>아니오</x:v>
      </x:c>
      <x:c r="X406" s="2" t="str"/>
      <x:c r="Y406" s="2" t="n">
        <x:v>0</x:v>
      </x:c>
      <x:c r="Z406" s="2" t="str"/>
      <x:c r="AA406" s="2" t="n">
        <x:v>0</x:v>
      </x:c>
      <x:c r="AB406" s="8" t="str"/>
      <x:c r="AC406" s="8" t="str"/>
      <x:c r="AD406" s="8" t="str">
        <x:v>["ko-reviewed"]</x:v>
      </x:c>
      <x:c r="AE406" s="8" t="str">
        <x:v>검토 필요</x:v>
      </x:c>
      <x:c r="AF406" s="8" t="str"/>
    </x:row>
    <x:row r="407">
      <x:c r="A407" s="10" t="n">
        <x:v>406</x:v>
      </x:c>
      <x:c r="B407" s="2" t="str">
        <x:v>2차 보류</x:v>
      </x:c>
      <x:c r="C407" s="2" t="str">
        <x:v>2차 보류</x:v>
      </x:c>
      <x:c r="D407" s="2" t="str">
        <x:v>낮음</x:v>
      </x:c>
      <x:c r="E407" s="2" t="str">
        <x:v>N2</x:v>
      </x:c>
      <x:c r="F407" s="10" t="n">
        <x:v>153</x:v>
      </x:c>
      <x:c r="G407" s="2" t="str">
        <x:v>w_d0820b94a1686dbf</x:v>
      </x:c>
      <x:c r="H407" s="2" t="str">
        <x:v>へそ</x:v>
      </x:c>
      <x:c r="I407" s="2" t="str">
        <x:v>へそ</x:v>
      </x:c>
      <x:c r="J407" s="8" t="str">
        <x:v>배꼽</x:v>
      </x:c>
      <x:c r="K407" s="2" t="str">
        <x:v>noun</x:v>
      </x:c>
      <x:c r="L407" s="9" t="n">
        <x:v>3.44</x:v>
      </x:c>
      <x:c r="M407" s="2" t="str">
        <x:v>없음</x:v>
      </x:c>
      <x:c r="N407" s="11" t="n">
        <x:v>24</x:v>
      </x:c>
      <x:c r="O407" s="8" t="str">
        <x:v>일반 사용 빈도 보통 이하(Zipf ≤ 3.5); 검증된 예문 없음; JMdict 우선 어휘 표지 없음</x:v>
      </x:c>
      <x:c r="P407" s="8" t="str">
        <x:v>frequency_le_3_5,no_example,no_jmdict_priority</x:v>
      </x:c>
      <x:c r="Q407" s="2" t="str"/>
      <x:c r="R407" s="2" t="str"/>
      <x:c r="S407" s="2" t="str"/>
      <x:c r="T407" s="2" t="str"/>
      <x:c r="U407" s="2" t="str"/>
      <x:c r="V407" s="2" t="str">
        <x:v>아니오</x:v>
      </x:c>
      <x:c r="W407" s="2" t="str">
        <x:v>아니오</x:v>
      </x:c>
      <x:c r="X407" s="2" t="str"/>
      <x:c r="Y407" s="2" t="n">
        <x:v>0</x:v>
      </x:c>
      <x:c r="Z407" s="2" t="str"/>
      <x:c r="AA407" s="2" t="n">
        <x:v>0</x:v>
      </x:c>
      <x:c r="AB407" s="8" t="str"/>
      <x:c r="AC407" s="8" t="str"/>
      <x:c r="AD407" s="8" t="str">
        <x:v>["ko-reviewed"]</x:v>
      </x:c>
      <x:c r="AE407" s="8" t="str">
        <x:v>검토 필요</x:v>
      </x:c>
      <x:c r="AF407" s="8" t="str"/>
    </x:row>
    <x:row r="408">
      <x:c r="A408" s="10" t="n">
        <x:v>407</x:v>
      </x:c>
      <x:c r="B408" s="2" t="str">
        <x:v>2차 보류</x:v>
      </x:c>
      <x:c r="C408" s="2" t="str">
        <x:v>2차 보류</x:v>
      </x:c>
      <x:c r="D408" s="2" t="str">
        <x:v>낮음</x:v>
      </x:c>
      <x:c r="E408" s="2" t="str">
        <x:v>N2</x:v>
      </x:c>
      <x:c r="F408" s="10" t="n">
        <x:v>154</x:v>
      </x:c>
      <x:c r="G408" s="2" t="str">
        <x:v>w_8400b60c7b06f18c</x:v>
      </x:c>
      <x:c r="H408" s="2" t="str">
        <x:v>ぜひとも</x:v>
      </x:c>
      <x:c r="I408" s="2" t="str">
        <x:v>ぜひとも</x:v>
      </x:c>
      <x:c r="J408" s="8" t="str">
        <x:v>꼭, 반드시</x:v>
      </x:c>
      <x:c r="K408" s="2" t="str">
        <x:v>adverb</x:v>
      </x:c>
      <x:c r="L408" s="9" t="n">
        <x:v>3.46</x:v>
      </x:c>
      <x:c r="M408" s="2" t="str">
        <x:v>없음</x:v>
      </x:c>
      <x:c r="N408" s="11" t="n">
        <x:v>24</x:v>
      </x:c>
      <x:c r="O408" s="8" t="str">
        <x:v>일반 사용 빈도 보통 이하(Zipf ≤ 3.5); 검증된 예문 없음; JMdict 우선 어휘 표지 없음</x:v>
      </x:c>
      <x:c r="P408" s="8" t="str">
        <x:v>frequency_le_3_5,no_example,no_jmdict_priority</x:v>
      </x:c>
      <x:c r="Q408" s="2" t="str"/>
      <x:c r="R408" s="2" t="str"/>
      <x:c r="S408" s="2" t="str"/>
      <x:c r="T408" s="2" t="str"/>
      <x:c r="U408" s="2" t="str"/>
      <x:c r="V408" s="2" t="str">
        <x:v>아니오</x:v>
      </x:c>
      <x:c r="W408" s="2" t="str">
        <x:v>아니오</x:v>
      </x:c>
      <x:c r="X408" s="2" t="str"/>
      <x:c r="Y408" s="2" t="n">
        <x:v>0</x:v>
      </x:c>
      <x:c r="Z408" s="2" t="str"/>
      <x:c r="AA408" s="2" t="n">
        <x:v>0</x:v>
      </x:c>
      <x:c r="AB408" s="8" t="str"/>
      <x:c r="AC408" s="8" t="str"/>
      <x:c r="AD408" s="8" t="str">
        <x:v>["ko-reviewed"]</x:v>
      </x:c>
      <x:c r="AE408" s="8" t="str">
        <x:v>검토 필요</x:v>
      </x:c>
      <x:c r="AF408" s="8" t="str"/>
    </x:row>
    <x:row r="409">
      <x:c r="A409" s="10" t="n">
        <x:v>408</x:v>
      </x:c>
      <x:c r="B409" s="2" t="str">
        <x:v>2차 보류</x:v>
      </x:c>
      <x:c r="C409" s="2" t="str">
        <x:v>2차 보류</x:v>
      </x:c>
      <x:c r="D409" s="2" t="str">
        <x:v>낮음</x:v>
      </x:c>
      <x:c r="E409" s="2" t="str">
        <x:v>N1</x:v>
      </x:c>
      <x:c r="F409" s="10" t="n">
        <x:v>164</x:v>
      </x:c>
      <x:c r="G409" s="2" t="str">
        <x:v>w_75a7da2b41c7a096</x:v>
      </x:c>
      <x:c r="H409" s="2" t="str">
        <x:v>ろくな</x:v>
      </x:c>
      <x:c r="I409" s="2" t="str">
        <x:v>ろくな</x:v>
      </x:c>
      <x:c r="J409" s="8" t="str">
        <x:v>변변한</x:v>
      </x:c>
      <x:c r="K409" s="2" t="str">
        <x:v>adjective</x:v>
      </x:c>
      <x:c r="L409" s="9" t="n">
        <x:v>3.46</x:v>
      </x:c>
      <x:c r="M409" s="2" t="str">
        <x:v>없음</x:v>
      </x:c>
      <x:c r="N409" s="11" t="n">
        <x:v>24</x:v>
      </x:c>
      <x:c r="O409" s="8" t="str">
        <x:v>일반 사용 빈도 보통 이하(Zipf ≤ 3.5); 검증된 예문 없음; JMdict 우선 어휘 표지 없음</x:v>
      </x:c>
      <x:c r="P409" s="8" t="str">
        <x:v>frequency_le_3_5,no_example,no_jmdict_priority</x:v>
      </x:c>
      <x:c r="Q409" s="2" t="str"/>
      <x:c r="R409" s="2" t="str"/>
      <x:c r="S409" s="2" t="str"/>
      <x:c r="T409" s="2" t="str"/>
      <x:c r="U409" s="2" t="str"/>
      <x:c r="V409" s="2" t="str">
        <x:v>아니오</x:v>
      </x:c>
      <x:c r="W409" s="2" t="str">
        <x:v>아니오</x:v>
      </x:c>
      <x:c r="X409" s="2" t="str"/>
      <x:c r="Y409" s="2" t="n">
        <x:v>0</x:v>
      </x:c>
      <x:c r="Z409" s="2" t="str"/>
      <x:c r="AA409" s="2" t="n">
        <x:v>0</x:v>
      </x:c>
      <x:c r="AB409" s="8" t="str"/>
      <x:c r="AC409" s="8" t="str"/>
      <x:c r="AD409" s="8" t="str">
        <x:v>["ko-reviewed"]</x:v>
      </x:c>
      <x:c r="AE409" s="8" t="str">
        <x:v>검토 필요</x:v>
      </x:c>
      <x:c r="AF409" s="8" t="str"/>
    </x:row>
    <x:row r="410">
      <x:c r="A410" s="10" t="n">
        <x:v>409</x:v>
      </x:c>
      <x:c r="B410" s="2" t="str">
        <x:v>2차 보류</x:v>
      </x:c>
      <x:c r="C410" s="2" t="str">
        <x:v>2차 보류</x:v>
      </x:c>
      <x:c r="D410" s="2" t="str">
        <x:v>낮음</x:v>
      </x:c>
      <x:c r="E410" s="2" t="str">
        <x:v>N1</x:v>
      </x:c>
      <x:c r="F410" s="10" t="n">
        <x:v>165</x:v>
      </x:c>
      <x:c r="G410" s="2" t="str">
        <x:v>w_f6a5dec8e420f557</x:v>
      </x:c>
      <x:c r="H410" s="2" t="str">
        <x:v>世辞</x:v>
      </x:c>
      <x:c r="I410" s="2" t="str">
        <x:v>せじ</x:v>
      </x:c>
      <x:c r="J410" s="8" t="str">
        <x:v>아첨, 빈말</x:v>
      </x:c>
      <x:c r="K410" s="2" t="str">
        <x:v>noun</x:v>
      </x:c>
      <x:c r="L410" s="9" t="n">
        <x:v>3.46</x:v>
      </x:c>
      <x:c r="M410" s="2" t="str">
        <x:v>없음</x:v>
      </x:c>
      <x:c r="N410" s="11" t="n">
        <x:v>24</x:v>
      </x:c>
      <x:c r="O410" s="8" t="str">
        <x:v>일반 사용 빈도 보통 이하(Zipf ≤ 3.5); 검증된 예문 없음; JMdict 우선 어휘 표지 없음</x:v>
      </x:c>
      <x:c r="P410" s="8" t="str">
        <x:v>frequency_le_3_5,no_example,no_jmdict_priority</x:v>
      </x:c>
      <x:c r="Q410" s="2" t="str"/>
      <x:c r="R410" s="2" t="str"/>
      <x:c r="S410" s="2" t="str"/>
      <x:c r="T410" s="2" t="str"/>
      <x:c r="U410" s="2" t="str"/>
      <x:c r="V410" s="2" t="str">
        <x:v>아니오</x:v>
      </x:c>
      <x:c r="W410" s="2" t="str">
        <x:v>예</x:v>
      </x:c>
      <x:c r="X410" s="2" t="str"/>
      <x:c r="Y410" s="2" t="n">
        <x:v>0</x:v>
      </x:c>
      <x:c r="Z410" s="2" t="str"/>
      <x:c r="AA410" s="2" t="n">
        <x:v>0</x:v>
      </x:c>
      <x:c r="AB410" s="8" t="str">
        <x:v>usu. お〜</x:v>
      </x:c>
      <x:c r="AC410" s="8" t="str"/>
      <x:c r="AD410" s="8" t="str">
        <x:v>["ko-reviewed"]</x:v>
      </x:c>
      <x:c r="AE410" s="8" t="str">
        <x:v>검토 필요</x:v>
      </x:c>
      <x:c r="AF410" s="8" t="str"/>
    </x:row>
    <x:row r="411">
      <x:c r="A411" s="10" t="n">
        <x:v>410</x:v>
      </x:c>
      <x:c r="B411" s="2" t="str">
        <x:v>2차 보류</x:v>
      </x:c>
      <x:c r="C411" s="2" t="str">
        <x:v>2차 보류</x:v>
      </x:c>
      <x:c r="D411" s="2" t="str">
        <x:v>낮음</x:v>
      </x:c>
      <x:c r="E411" s="2" t="str">
        <x:v>N2</x:v>
      </x:c>
      <x:c r="F411" s="10" t="n">
        <x:v>155</x:v>
      </x:c>
      <x:c r="G411" s="2" t="str">
        <x:v>w_a32ce81d6a19a458</x:v>
      </x:c>
      <x:c r="H411" s="2" t="str">
        <x:v>めまい</x:v>
      </x:c>
      <x:c r="I411" s="2" t="str">
        <x:v>めまい</x:v>
      </x:c>
      <x:c r="J411" s="8" t="str">
        <x:v>어지럼증</x:v>
      </x:c>
      <x:c r="K411" s="2" t="str">
        <x:v>noun</x:v>
      </x:c>
      <x:c r="L411" s="9" t="n">
        <x:v>3.48</x:v>
      </x:c>
      <x:c r="M411" s="2" t="str">
        <x:v>없음</x:v>
      </x:c>
      <x:c r="N411" s="11" t="n">
        <x:v>24</x:v>
      </x:c>
      <x:c r="O411" s="8" t="str">
        <x:v>일반 사용 빈도 보통 이하(Zipf ≤ 3.5); 검증된 예문 없음; JMdict 우선 어휘 표지 없음</x:v>
      </x:c>
      <x:c r="P411" s="8" t="str">
        <x:v>frequency_le_3_5,no_example,no_jmdict_priority</x:v>
      </x:c>
      <x:c r="Q411" s="2" t="str"/>
      <x:c r="R411" s="2" t="str"/>
      <x:c r="S411" s="2" t="str"/>
      <x:c r="T411" s="2" t="str"/>
      <x:c r="U411" s="2" t="str"/>
      <x:c r="V411" s="2" t="str">
        <x:v>아니오</x:v>
      </x:c>
      <x:c r="W411" s="2" t="str">
        <x:v>아니오</x:v>
      </x:c>
      <x:c r="X411" s="2" t="str"/>
      <x:c r="Y411" s="2" t="n">
        <x:v>0</x:v>
      </x:c>
      <x:c r="Z411" s="2" t="str"/>
      <x:c r="AA411" s="2" t="n">
        <x:v>0</x:v>
      </x:c>
      <x:c r="AB411" s="8" t="str"/>
      <x:c r="AC411" s="8" t="str"/>
      <x:c r="AD411" s="8" t="str">
        <x:v>["backfill-replacement","assistant-ko-reviewed"]</x:v>
      </x:c>
      <x:c r="AE411" s="8" t="str">
        <x:v>검토 필요</x:v>
      </x:c>
      <x:c r="AF411" s="8" t="str"/>
    </x:row>
    <x:row r="412">
      <x:c r="A412" s="10" t="n">
        <x:v>411</x:v>
      </x:c>
      <x:c r="B412" s="2" t="str">
        <x:v>2차 보류</x:v>
      </x:c>
      <x:c r="C412" s="2" t="str">
        <x:v>2차 보류</x:v>
      </x:c>
      <x:c r="D412" s="2" t="str">
        <x:v>낮음</x:v>
      </x:c>
      <x:c r="E412" s="2" t="str">
        <x:v>N1</x:v>
      </x:c>
      <x:c r="F412" s="10" t="n">
        <x:v>166</x:v>
      </x:c>
      <x:c r="G412" s="2" t="str">
        <x:v>w_8d440df94f874e3d</x:v>
      </x:c>
      <x:c r="H412" s="2" t="str">
        <x:v>新入生</x:v>
      </x:c>
      <x:c r="I412" s="2" t="str">
        <x:v>しんにゅうせい</x:v>
      </x:c>
      <x:c r="J412" s="8" t="str">
        <x:v>신입생</x:v>
      </x:c>
      <x:c r="K412" s="2" t="str">
        <x:v>noun</x:v>
      </x:c>
      <x:c r="L412" s="9" t="n">
        <x:v>3.49</x:v>
      </x:c>
      <x:c r="M412" s="2" t="str">
        <x:v>없음</x:v>
      </x:c>
      <x:c r="N412" s="11" t="n">
        <x:v>24</x:v>
      </x:c>
      <x:c r="O412" s="8" t="str">
        <x:v>일반 사용 빈도 보통 이하(Zipf ≤ 3.5); 검증된 예문 없음; JMdict 우선 어휘 표지 없음</x:v>
      </x:c>
      <x:c r="P412" s="8" t="str">
        <x:v>frequency_le_3_5,no_example,no_jmdict_priority</x:v>
      </x:c>
      <x:c r="Q412" s="2" t="str"/>
      <x:c r="R412" s="2" t="str"/>
      <x:c r="S412" s="2" t="str"/>
      <x:c r="T412" s="2" t="str"/>
      <x:c r="U412" s="2" t="str"/>
      <x:c r="V412" s="2" t="str">
        <x:v>아니오</x:v>
      </x:c>
      <x:c r="W412" s="2" t="str">
        <x:v>예</x:v>
      </x:c>
      <x:c r="X412" s="2" t="str"/>
      <x:c r="Y412" s="2" t="n">
        <x:v>0</x:v>
      </x:c>
      <x:c r="Z412" s="2" t="str"/>
      <x:c r="AA412" s="2" t="n">
        <x:v>0</x:v>
      </x:c>
      <x:c r="AB412" s="8" t="str"/>
      <x:c r="AC412" s="8" t="str"/>
      <x:c r="AD412" s="8" t="str">
        <x:v>["ko-reviewed"]</x:v>
      </x:c>
      <x:c r="AE412" s="8" t="str">
        <x:v>검토 필요</x:v>
      </x:c>
      <x:c r="AF412" s="8" t="str"/>
    </x:row>
    <x:row r="413">
      <x:c r="A413" s="10" t="n">
        <x:v>412</x:v>
      </x:c>
      <x:c r="B413" s="2" t="str">
        <x:v>2차 보류</x:v>
      </x:c>
      <x:c r="C413" s="2" t="str">
        <x:v>2차 보류</x:v>
      </x:c>
      <x:c r="D413" s="2" t="str">
        <x:v>낮음</x:v>
      </x:c>
      <x:c r="E413" s="2" t="str">
        <x:v>N3</x:v>
      </x:c>
      <x:c r="F413" s="10" t="n">
        <x:v>52</x:v>
      </x:c>
      <x:c r="G413" s="2" t="str">
        <x:v>w_08c5eeb0438488cb</x:v>
      </x:c>
      <x:c r="H413" s="2" t="str">
        <x:v>粗</x:v>
      </x:c>
      <x:c r="I413" s="2" t="str">
        <x:v>あら</x:v>
      </x:c>
      <x:c r="J413" s="8" t="str">
        <x:v>흠, 결점</x:v>
      </x:c>
      <x:c r="K413" s="2" t="str">
        <x:v>noun</x:v>
      </x:c>
      <x:c r="L413" s="9" t="n">
        <x:v>3.53</x:v>
      </x:c>
      <x:c r="M413" s="2" t="str">
        <x:v>없음</x:v>
      </x:c>
      <x:c r="N413" s="11" t="n">
        <x:v>23</x:v>
      </x:c>
      <x:c r="O413" s="8" t="str">
        <x:v>검증된 예문 없음; JMdict 우선 어휘 표지 없음; 기존 데이터의 한국어 콘텐츠 보강 필요 태그</x:v>
      </x:c>
      <x:c r="P413" s="8" t="str">
        <x:v>no_example,no_jmdict_priority,weak_legacy_content</x:v>
      </x:c>
      <x:c r="Q413" s="2" t="str"/>
      <x:c r="R413" s="2" t="str"/>
      <x:c r="S413" s="2" t="str"/>
      <x:c r="T413" s="2" t="str"/>
      <x:c r="U413" s="2" t="str"/>
      <x:c r="V413" s="2" t="str">
        <x:v>아니오</x:v>
      </x:c>
      <x:c r="W413" s="2" t="str">
        <x:v>예</x:v>
      </x:c>
      <x:c r="X413" s="2" t="str"/>
      <x:c r="Y413" s="2" t="n">
        <x:v>0</x:v>
      </x:c>
      <x:c r="Z413" s="2" t="str"/>
      <x:c r="AA413" s="2" t="n">
        <x:v>0</x:v>
      </x:c>
      <x:c r="AB413" s="8" t="str">
        <x:v>usu. アラ | word usually written using kana alone</x:v>
      </x:c>
      <x:c r="AC413" s="8" t="str"/>
      <x:c r="AD413" s="8" t="str">
        <x:v>["draft-ko-missing"]</x:v>
      </x:c>
      <x:c r="AE413" s="8" t="str">
        <x:v>검토 필요</x:v>
      </x:c>
      <x:c r="AF413" s="8" t="str"/>
    </x:row>
    <x:row r="414">
      <x:c r="A414" s="10" t="n">
        <x:v>413</x:v>
      </x:c>
      <x:c r="B414" s="2" t="str">
        <x:v>2차 보류</x:v>
      </x:c>
      <x:c r="C414" s="2" t="str">
        <x:v>2차 보류</x:v>
      </x:c>
      <x:c r="D414" s="2" t="str">
        <x:v>낮음</x:v>
      </x:c>
      <x:c r="E414" s="2" t="str">
        <x:v>N1</x:v>
      </x:c>
      <x:c r="F414" s="10" t="n">
        <x:v>167</x:v>
      </x:c>
      <x:c r="G414" s="2" t="str">
        <x:v>w_10ef76d832dab2d9</x:v>
      </x:c>
      <x:c r="H414" s="2" t="str">
        <x:v>いじる</x:v>
      </x:c>
      <x:c r="I414" s="2" t="str">
        <x:v>いじる</x:v>
      </x:c>
      <x:c r="J414" s="8" t="str">
        <x:v>만지다, 함부로 건드리다</x:v>
      </x:c>
      <x:c r="K414" s="2" t="str">
        <x:v>verb</x:v>
      </x:c>
      <x:c r="L414" s="9" t="n">
        <x:v>3.54</x:v>
      </x:c>
      <x:c r="M414" s="2" t="str">
        <x:v>없음</x:v>
      </x:c>
      <x:c r="N414" s="11" t="n">
        <x:v>23</x:v>
      </x:c>
      <x:c r="O414" s="8" t="str">
        <x:v>검증된 예문 없음; JMdict 우선 어휘 표지 없음; 기존 데이터의 한국어 콘텐츠 보강 필요 태그</x:v>
      </x:c>
      <x:c r="P414" s="8" t="str">
        <x:v>no_example,no_jmdict_priority,weak_legacy_content</x:v>
      </x:c>
      <x:c r="Q414" s="2" t="str"/>
      <x:c r="R414" s="2" t="str"/>
      <x:c r="S414" s="2" t="str"/>
      <x:c r="T414" s="2" t="str"/>
      <x:c r="U414" s="2" t="str"/>
      <x:c r="V414" s="2" t="str">
        <x:v>아니오</x:v>
      </x:c>
      <x:c r="W414" s="2" t="str">
        <x:v>아니오</x:v>
      </x:c>
      <x:c r="X414" s="2" t="str"/>
      <x:c r="Y414" s="2" t="n">
        <x:v>0</x:v>
      </x:c>
      <x:c r="Z414" s="2" t="str"/>
      <x:c r="AA414" s="2" t="n">
        <x:v>0</x:v>
      </x:c>
      <x:c r="AB414" s="8" t="str"/>
      <x:c r="AC414" s="8" t="str"/>
      <x:c r="AD414" s="8" t="str">
        <x:v>["draft-ko-missing"]</x:v>
      </x:c>
      <x:c r="AE414" s="8" t="str">
        <x:v>검토 필요</x:v>
      </x:c>
      <x:c r="AF414" s="8" t="str"/>
    </x:row>
    <x:row r="415">
      <x:c r="A415" s="10" t="n">
        <x:v>414</x:v>
      </x:c>
      <x:c r="B415" s="2" t="str">
        <x:v>2차 보류</x:v>
      </x:c>
      <x:c r="C415" s="2" t="str">
        <x:v>2차 보류</x:v>
      </x:c>
      <x:c r="D415" s="2" t="str">
        <x:v>낮음</x:v>
      </x:c>
      <x:c r="E415" s="2" t="str">
        <x:v>N2</x:v>
      </x:c>
      <x:c r="F415" s="10" t="n">
        <x:v>156</x:v>
      </x:c>
      <x:c r="G415" s="2" t="str">
        <x:v>w_e3ae5a55091c61bf</x:v>
      </x:c>
      <x:c r="H415" s="2" t="str">
        <x:v>ねじ</x:v>
      </x:c>
      <x:c r="I415" s="2" t="str">
        <x:v>ねじ</x:v>
      </x:c>
      <x:c r="J415" s="8" t="str">
        <x:v>나사</x:v>
      </x:c>
      <x:c r="K415" s="2" t="str">
        <x:v>noun</x:v>
      </x:c>
      <x:c r="L415" s="9" t="n">
        <x:v>3.56</x:v>
      </x:c>
      <x:c r="M415" s="2" t="str">
        <x:v>없음</x:v>
      </x:c>
      <x:c r="N415" s="11" t="n">
        <x:v>23</x:v>
      </x:c>
      <x:c r="O415" s="8" t="str">
        <x:v>검증된 예문 없음; JMdict 우선 어휘 표지 없음; 기존 데이터의 한국어 콘텐츠 보강 필요 태그</x:v>
      </x:c>
      <x:c r="P415" s="8" t="str">
        <x:v>no_example,no_jmdict_priority,weak_legacy_content</x:v>
      </x:c>
      <x:c r="Q415" s="2" t="str"/>
      <x:c r="R415" s="2" t="str"/>
      <x:c r="S415" s="2" t="str"/>
      <x:c r="T415" s="2" t="str"/>
      <x:c r="U415" s="2" t="str"/>
      <x:c r="V415" s="2" t="str">
        <x:v>아니오</x:v>
      </x:c>
      <x:c r="W415" s="2" t="str">
        <x:v>아니오</x:v>
      </x:c>
      <x:c r="X415" s="2" t="str"/>
      <x:c r="Y415" s="2" t="n">
        <x:v>0</x:v>
      </x:c>
      <x:c r="Z415" s="2" t="str"/>
      <x:c r="AA415" s="2" t="n">
        <x:v>0</x:v>
      </x:c>
      <x:c r="AB415" s="8" t="str"/>
      <x:c r="AC415" s="8" t="str"/>
      <x:c r="AD415" s="8" t="str">
        <x:v>["draft-ko-missing"]</x:v>
      </x:c>
      <x:c r="AE415" s="8" t="str">
        <x:v>검토 필요</x:v>
      </x:c>
      <x:c r="AF415" s="8" t="str"/>
    </x:row>
    <x:row r="416">
      <x:c r="A416" s="10" t="n">
        <x:v>415</x:v>
      </x:c>
      <x:c r="B416" s="2" t="str">
        <x:v>2차 보류</x:v>
      </x:c>
      <x:c r="C416" s="2" t="str">
        <x:v>2차 보류</x:v>
      </x:c>
      <x:c r="D416" s="2" t="str">
        <x:v>낮음</x:v>
      </x:c>
      <x:c r="E416" s="2" t="str">
        <x:v>N1</x:v>
      </x:c>
      <x:c r="F416" s="10" t="n">
        <x:v>168</x:v>
      </x:c>
      <x:c r="G416" s="2" t="str">
        <x:v>w_9c7bc22b473216db</x:v>
      </x:c>
      <x:c r="H416" s="2" t="str">
        <x:v>フィルタ</x:v>
      </x:c>
      <x:c r="I416" s="2" t="str">
        <x:v>フィルタ</x:v>
      </x:c>
      <x:c r="J416" s="8" t="str">
        <x:v>필터, 거르다</x:v>
      </x:c>
      <x:c r="K416" s="2" t="str">
        <x:v>noun</x:v>
      </x:c>
      <x:c r="L416" s="9" t="n">
        <x:v>3.57</x:v>
      </x:c>
      <x:c r="M416" s="2" t="str">
        <x:v>없음</x:v>
      </x:c>
      <x:c r="N416" s="11" t="n">
        <x:v>23</x:v>
      </x:c>
      <x:c r="O416" s="8" t="str">
        <x:v>검증된 예문 없음; JMdict 우선 어휘 표지 없음; 기존 데이터의 한국어 콘텐츠 보강 필요 태그</x:v>
      </x:c>
      <x:c r="P416" s="8" t="str">
        <x:v>no_example,no_jmdict_priority,weak_legacy_content</x:v>
      </x:c>
      <x:c r="Q416" s="2" t="str"/>
      <x:c r="R416" s="2" t="str"/>
      <x:c r="S416" s="2" t="str"/>
      <x:c r="T416" s="2" t="str"/>
      <x:c r="U416" s="2" t="str"/>
      <x:c r="V416" s="2" t="str">
        <x:v>아니오</x:v>
      </x:c>
      <x:c r="W416" s="2" t="str">
        <x:v>예</x:v>
      </x:c>
      <x:c r="X416" s="2" t="str"/>
      <x:c r="Y416" s="2" t="n">
        <x:v>0</x:v>
      </x:c>
      <x:c r="Z416" s="2" t="str"/>
      <x:c r="AA416" s="2" t="n">
        <x:v>0</x:v>
      </x:c>
      <x:c r="AB416" s="8" t="str"/>
      <x:c r="AC416" s="8" t="str"/>
      <x:c r="AD416" s="8" t="str">
        <x:v>["draft-ko-missing"]</x:v>
      </x:c>
      <x:c r="AE416" s="8" t="str">
        <x:v>검토 필요</x:v>
      </x:c>
      <x:c r="AF416" s="8" t="str"/>
    </x:row>
    <x:row r="417">
      <x:c r="A417" s="10" t="n">
        <x:v>416</x:v>
      </x:c>
      <x:c r="B417" s="2" t="str">
        <x:v>2차 보류</x:v>
      </x:c>
      <x:c r="C417" s="2" t="str">
        <x:v>2차 보류</x:v>
      </x:c>
      <x:c r="D417" s="2" t="str">
        <x:v>낮음</x:v>
      </x:c>
      <x:c r="E417" s="2" t="str">
        <x:v>N4</x:v>
      </x:c>
      <x:c r="F417" s="10" t="n">
        <x:v>34</x:v>
      </x:c>
      <x:c r="G417" s="2" t="str">
        <x:v>w_ff72e3d70a94d51a</x:v>
      </x:c>
      <x:c r="H417" s="2" t="str">
        <x:v>けがする</x:v>
      </x:c>
      <x:c r="I417" s="2" t="str">
        <x:v>けがする</x:v>
      </x:c>
      <x:c r="J417" s="8" t="str">
        <x:v>다치다, 부상을 입다</x:v>
      </x:c>
      <x:c r="K417" s="2" t="str">
        <x:v>noun</x:v>
      </x:c>
      <x:c r="L417" s="9" t="n">
        <x:v>3.58</x:v>
      </x:c>
      <x:c r="M417" s="2" t="str">
        <x:v>없음</x:v>
      </x:c>
      <x:c r="N417" s="11" t="n">
        <x:v>23</x:v>
      </x:c>
      <x:c r="O417" s="8" t="str">
        <x:v>검증된 예문 없음; JMdict 우선 어휘 표지 없음; 기존 데이터의 한국어 콘텐츠 보강 필요 태그</x:v>
      </x:c>
      <x:c r="P417" s="8" t="str">
        <x:v>no_example,no_jmdict_priority,weak_legacy_content</x:v>
      </x:c>
      <x:c r="Q417" s="2" t="str"/>
      <x:c r="R417" s="2" t="str"/>
      <x:c r="S417" s="2" t="str"/>
      <x:c r="T417" s="2" t="str"/>
      <x:c r="U417" s="2" t="str"/>
      <x:c r="V417" s="2" t="str">
        <x:v>아니오</x:v>
      </x:c>
      <x:c r="W417" s="2" t="str">
        <x:v>아니오</x:v>
      </x:c>
      <x:c r="X417" s="2" t="str"/>
      <x:c r="Y417" s="2" t="n">
        <x:v>0</x:v>
      </x:c>
      <x:c r="Z417" s="2" t="str"/>
      <x:c r="AA417" s="2" t="n">
        <x:v>0</x:v>
      </x:c>
      <x:c r="AB417" s="8" t="str"/>
      <x:c r="AC417" s="8" t="str"/>
      <x:c r="AD417" s="8" t="str">
        <x:v>["draft-ko-missing"]</x:v>
      </x:c>
      <x:c r="AE417" s="8" t="str">
        <x:v>검토 필요</x:v>
      </x:c>
      <x:c r="AF417" s="8" t="str"/>
    </x:row>
    <x:row r="418">
      <x:c r="A418" s="10" t="n">
        <x:v>417</x:v>
      </x:c>
      <x:c r="B418" s="2" t="str">
        <x:v>2차 보류</x:v>
      </x:c>
      <x:c r="C418" s="2" t="str">
        <x:v>2차 보류</x:v>
      </x:c>
      <x:c r="D418" s="2" t="str">
        <x:v>낮음</x:v>
      </x:c>
      <x:c r="E418" s="2" t="str">
        <x:v>N2</x:v>
      </x:c>
      <x:c r="F418" s="10" t="n">
        <x:v>157</x:v>
      </x:c>
      <x:c r="G418" s="2" t="str">
        <x:v>w_d80dd58205199d07</x:v>
      </x:c>
      <x:c r="H418" s="2" t="str">
        <x:v>さわやか</x:v>
      </x:c>
      <x:c r="I418" s="2" t="str">
        <x:v>さわやか</x:v>
      </x:c>
      <x:c r="J418" s="8" t="str">
        <x:v>신선한, 상쾌한</x:v>
      </x:c>
      <x:c r="K418" s="2" t="str">
        <x:v>adjective</x:v>
      </x:c>
      <x:c r="L418" s="9" t="n">
        <x:v>3.62</x:v>
      </x:c>
      <x:c r="M418" s="2" t="str">
        <x:v>없음</x:v>
      </x:c>
      <x:c r="N418" s="11" t="n">
        <x:v>23</x:v>
      </x:c>
      <x:c r="O418" s="8" t="str">
        <x:v>검증된 예문 없음; JMdict 우선 어휘 표지 없음; 기존 데이터의 한국어 콘텐츠 보강 필요 태그</x:v>
      </x:c>
      <x:c r="P418" s="8" t="str">
        <x:v>no_example,no_jmdict_priority,weak_legacy_content</x:v>
      </x:c>
      <x:c r="Q418" s="2" t="str"/>
      <x:c r="R418" s="2" t="str"/>
      <x:c r="S418" s="2" t="str"/>
      <x:c r="T418" s="2" t="str"/>
      <x:c r="U418" s="2" t="str"/>
      <x:c r="V418" s="2" t="str">
        <x:v>아니오</x:v>
      </x:c>
      <x:c r="W418" s="2" t="str">
        <x:v>아니오</x:v>
      </x:c>
      <x:c r="X418" s="2" t="str"/>
      <x:c r="Y418" s="2" t="n">
        <x:v>0</x:v>
      </x:c>
      <x:c r="Z418" s="2" t="str"/>
      <x:c r="AA418" s="2" t="n">
        <x:v>0</x:v>
      </x:c>
      <x:c r="AB418" s="8" t="str"/>
      <x:c r="AC418" s="8" t="str"/>
      <x:c r="AD418" s="8" t="str">
        <x:v>["draft-ko-missing"]</x:v>
      </x:c>
      <x:c r="AE418" s="8" t="str">
        <x:v>검토 필요</x:v>
      </x:c>
      <x:c r="AF418" s="8" t="str"/>
    </x:row>
    <x:row r="419">
      <x:c r="A419" s="10" t="n">
        <x:v>418</x:v>
      </x:c>
      <x:c r="B419" s="2" t="str">
        <x:v>2차 보류</x:v>
      </x:c>
      <x:c r="C419" s="2" t="str">
        <x:v>2차 보류</x:v>
      </x:c>
      <x:c r="D419" s="2" t="str">
        <x:v>낮음</x:v>
      </x:c>
      <x:c r="E419" s="2" t="str">
        <x:v>N2</x:v>
      </x:c>
      <x:c r="F419" s="10" t="n">
        <x:v>158</x:v>
      </x:c>
      <x:c r="G419" s="2" t="str">
        <x:v>w_3b92a122efb08c4e</x:v>
      </x:c>
      <x:c r="H419" s="2" t="str">
        <x:v>それなのに</x:v>
      </x:c>
      <x:c r="I419" s="2" t="str">
        <x:v>それなのに</x:v>
      </x:c>
      <x:c r="J419" s="8" t="str">
        <x:v>비록 ~이지만</x:v>
      </x:c>
      <x:c r="K419" s="2" t="str">
        <x:v>conjunction</x:v>
      </x:c>
      <x:c r="L419" s="9" t="n">
        <x:v>3.63</x:v>
      </x:c>
      <x:c r="M419" s="2" t="str">
        <x:v>없음</x:v>
      </x:c>
      <x:c r="N419" s="11" t="n">
        <x:v>23</x:v>
      </x:c>
      <x:c r="O419" s="8" t="str">
        <x:v>검증된 예문 없음; JMdict 우선 어휘 표지 없음; 기존 데이터의 한국어 콘텐츠 보강 필요 태그</x:v>
      </x:c>
      <x:c r="P419" s="8" t="str">
        <x:v>no_example,no_jmdict_priority,weak_legacy_content</x:v>
      </x:c>
      <x:c r="Q419" s="2" t="str"/>
      <x:c r="R419" s="2" t="str"/>
      <x:c r="S419" s="2" t="str"/>
      <x:c r="T419" s="2" t="str"/>
      <x:c r="U419" s="2" t="str"/>
      <x:c r="V419" s="2" t="str">
        <x:v>아니오</x:v>
      </x:c>
      <x:c r="W419" s="2" t="str">
        <x:v>예</x:v>
      </x:c>
      <x:c r="X419" s="2" t="str"/>
      <x:c r="Y419" s="2" t="n">
        <x:v>0</x:v>
      </x:c>
      <x:c r="Z419" s="2" t="str"/>
      <x:c r="AA419" s="2" t="n">
        <x:v>0</x:v>
      </x:c>
      <x:c r="AB419" s="8" t="str"/>
      <x:c r="AC419" s="8" t="str"/>
      <x:c r="AD419" s="8" t="str">
        <x:v>["draft-ko-missing"]</x:v>
      </x:c>
      <x:c r="AE419" s="8" t="str">
        <x:v>검토 필요</x:v>
      </x:c>
      <x:c r="AF419" s="8" t="str"/>
    </x:row>
    <x:row r="420">
      <x:c r="A420" s="10" t="n">
        <x:v>419</x:v>
      </x:c>
      <x:c r="B420" s="2" t="str">
        <x:v>2차 보류</x:v>
      </x:c>
      <x:c r="C420" s="2" t="str">
        <x:v>2차 보류</x:v>
      </x:c>
      <x:c r="D420" s="2" t="str">
        <x:v>낮음</x:v>
      </x:c>
      <x:c r="E420" s="2" t="str">
        <x:v>N3</x:v>
      </x:c>
      <x:c r="F420" s="10" t="n">
        <x:v>53</x:v>
      </x:c>
      <x:c r="G420" s="2" t="str">
        <x:v>w_bb67651c404ff1ac</x:v>
      </x:c>
      <x:c r="H420" s="2" t="str">
        <x:v>いつのまにか</x:v>
      </x:c>
      <x:c r="I420" s="2" t="str">
        <x:v>いつのまにか</x:v>
      </x:c>
      <x:c r="J420" s="8" t="str">
        <x:v>어느새</x:v>
      </x:c>
      <x:c r="K420" s="2" t="str">
        <x:v>adverb</x:v>
      </x:c>
      <x:c r="L420" s="9" t="n">
        <x:v>3.65</x:v>
      </x:c>
      <x:c r="M420" s="2" t="str">
        <x:v>없음</x:v>
      </x:c>
      <x:c r="N420" s="11" t="n">
        <x:v>23</x:v>
      </x:c>
      <x:c r="O420" s="8" t="str">
        <x:v>검증된 예문 없음; JMdict 우선 어휘 표지 없음; 기존 데이터의 한국어 콘텐츠 보강 필요 태그</x:v>
      </x:c>
      <x:c r="P420" s="8" t="str">
        <x:v>no_example,no_jmdict_priority,weak_legacy_content</x:v>
      </x:c>
      <x:c r="Q420" s="2" t="str"/>
      <x:c r="R420" s="2" t="str"/>
      <x:c r="S420" s="2" t="str"/>
      <x:c r="T420" s="2" t="str"/>
      <x:c r="U420" s="2" t="str"/>
      <x:c r="V420" s="2" t="str">
        <x:v>아니오</x:v>
      </x:c>
      <x:c r="W420" s="2" t="str">
        <x:v>아니오</x:v>
      </x:c>
      <x:c r="X420" s="2" t="str"/>
      <x:c r="Y420" s="2" t="n">
        <x:v>0</x:v>
      </x:c>
      <x:c r="Z420" s="2" t="str"/>
      <x:c r="AA420" s="2" t="n">
        <x:v>0</x:v>
      </x:c>
      <x:c r="AB420" s="8" t="str"/>
      <x:c r="AC420" s="8" t="str"/>
      <x:c r="AD420" s="8" t="str">
        <x:v>["draft-ko-missing"]</x:v>
      </x:c>
      <x:c r="AE420" s="8" t="str">
        <x:v>검토 필요</x:v>
      </x:c>
      <x:c r="AF420" s="8" t="str"/>
    </x:row>
    <x:row r="421">
      <x:c r="A421" s="10" t="n">
        <x:v>420</x:v>
      </x:c>
      <x:c r="B421" s="2" t="str">
        <x:v>2차 보류</x:v>
      </x:c>
      <x:c r="C421" s="2" t="str">
        <x:v>2차 보류</x:v>
      </x:c>
      <x:c r="D421" s="2" t="str">
        <x:v>낮음</x:v>
      </x:c>
      <x:c r="E421" s="2" t="str">
        <x:v>N2</x:v>
      </x:c>
      <x:c r="F421" s="10" t="n">
        <x:v>159</x:v>
      </x:c>
      <x:c r="G421" s="2" t="str">
        <x:v>w_3d184fa003b93246</x:v>
      </x:c>
      <x:c r="H421" s="2" t="str">
        <x:v>バイバイ</x:v>
      </x:c>
      <x:c r="I421" s="2" t="str">
        <x:v>バイバイ</x:v>
      </x:c>
      <x:c r="J421" s="8" t="str">
        <x:v>안녕 안녕</x:v>
      </x:c>
      <x:c r="K421" s="2" t="str">
        <x:v>interjection</x:v>
      </x:c>
      <x:c r="L421" s="9" t="n">
        <x:v>3.65</x:v>
      </x:c>
      <x:c r="M421" s="2" t="str">
        <x:v>없음</x:v>
      </x:c>
      <x:c r="N421" s="11" t="n">
        <x:v>23</x:v>
      </x:c>
      <x:c r="O421" s="8" t="str">
        <x:v>검증된 예문 없음; JMdict 우선 어휘 표지 없음; 기존 데이터의 한국어 콘텐츠 보강 필요 태그</x:v>
      </x:c>
      <x:c r="P421" s="8" t="str">
        <x:v>no_example,no_jmdict_priority,weak_legacy_content</x:v>
      </x:c>
      <x:c r="Q421" s="2" t="str"/>
      <x:c r="R421" s="2" t="str"/>
      <x:c r="S421" s="2" t="str"/>
      <x:c r="T421" s="2" t="str"/>
      <x:c r="U421" s="2" t="str"/>
      <x:c r="V421" s="2" t="str">
        <x:v>아니오</x:v>
      </x:c>
      <x:c r="W421" s="2" t="str">
        <x:v>예</x:v>
      </x:c>
      <x:c r="X421" s="2" t="str"/>
      <x:c r="Y421" s="2" t="n">
        <x:v>0</x:v>
      </x:c>
      <x:c r="Z421" s="2" t="str"/>
      <x:c r="AA421" s="2" t="n">
        <x:v>0</x:v>
      </x:c>
      <x:c r="AB421" s="8" t="str">
        <x:v>colloquial</x:v>
      </x:c>
      <x:c r="AC421" s="8" t="str"/>
      <x:c r="AD421" s="8" t="str">
        <x:v>["draft-ko-missing"]</x:v>
      </x:c>
      <x:c r="AE421" s="8" t="str">
        <x:v>검토 필요</x:v>
      </x:c>
      <x:c r="AF421" s="8" t="str"/>
    </x:row>
    <x:row r="422">
      <x:c r="A422" s="10" t="n">
        <x:v>421</x:v>
      </x:c>
      <x:c r="B422" s="2" t="str">
        <x:v>2차 보류</x:v>
      </x:c>
      <x:c r="C422" s="2" t="str">
        <x:v>2차 보류</x:v>
      </x:c>
      <x:c r="D422" s="2" t="str">
        <x:v>낮음</x:v>
      </x:c>
      <x:c r="E422" s="2" t="str">
        <x:v>N1</x:v>
      </x:c>
      <x:c r="F422" s="10" t="n">
        <x:v>169</x:v>
      </x:c>
      <x:c r="G422" s="2" t="str">
        <x:v>w_d6fcc4d9c768c61a</x:v>
      </x:c>
      <x:c r="H422" s="2" t="str">
        <x:v>ありのまま</x:v>
      </x:c>
      <x:c r="I422" s="2" t="str">
        <x:v>ありのまま</x:v>
      </x:c>
      <x:c r="J422" s="8" t="str">
        <x:v>있는 그대로</x:v>
      </x:c>
      <x:c r="K422" s="2" t="str">
        <x:v>adjective</x:v>
      </x:c>
      <x:c r="L422" s="9" t="n">
        <x:v>3.66</x:v>
      </x:c>
      <x:c r="M422" s="2" t="str">
        <x:v>없음</x:v>
      </x:c>
      <x:c r="N422" s="11" t="n">
        <x:v>23</x:v>
      </x:c>
      <x:c r="O422" s="8" t="str">
        <x:v>검증된 예문 없음; JMdict 우선 어휘 표지 없음; 기존 데이터의 한국어 콘텐츠 보강 필요 태그</x:v>
      </x:c>
      <x:c r="P422" s="8" t="str">
        <x:v>no_example,no_jmdict_priority,weak_legacy_content</x:v>
      </x:c>
      <x:c r="Q422" s="2" t="str"/>
      <x:c r="R422" s="2" t="str"/>
      <x:c r="S422" s="2" t="str"/>
      <x:c r="T422" s="2" t="str"/>
      <x:c r="U422" s="2" t="str"/>
      <x:c r="V422" s="2" t="str">
        <x:v>아니오</x:v>
      </x:c>
      <x:c r="W422" s="2" t="str">
        <x:v>아니오</x:v>
      </x:c>
      <x:c r="X422" s="2" t="str"/>
      <x:c r="Y422" s="2" t="n">
        <x:v>0</x:v>
      </x:c>
      <x:c r="Z422" s="2" t="str"/>
      <x:c r="AA422" s="2" t="n">
        <x:v>0</x:v>
      </x:c>
      <x:c r="AB422" s="8" t="str"/>
      <x:c r="AC422" s="8" t="str"/>
      <x:c r="AD422" s="8" t="str">
        <x:v>["draft-ko-missing"]</x:v>
      </x:c>
      <x:c r="AE422" s="8" t="str">
        <x:v>검토 필요</x:v>
      </x:c>
      <x:c r="AF422" s="8" t="str"/>
    </x:row>
    <x:row r="423">
      <x:c r="A423" s="10" t="n">
        <x:v>422</x:v>
      </x:c>
      <x:c r="B423" s="2" t="str">
        <x:v>2차 보류</x:v>
      </x:c>
      <x:c r="C423" s="2" t="str">
        <x:v>2차 보류</x:v>
      </x:c>
      <x:c r="D423" s="2" t="str">
        <x:v>낮음</x:v>
      </x:c>
      <x:c r="E423" s="2" t="str">
        <x:v>N4</x:v>
      </x:c>
      <x:c r="F423" s="10" t="n">
        <x:v>35</x:v>
      </x:c>
      <x:c r="G423" s="2" t="str">
        <x:v>w_187aa2adfb841e8c</x:v>
      </x:c>
      <x:c r="H423" s="2" t="str">
        <x:v>お子さん</x:v>
      </x:c>
      <x:c r="I423" s="2" t="str">
        <x:v>おこさん</x:v>
      </x:c>
      <x:c r="J423" s="8" t="str">
        <x:v>(남의) 자녀</x:v>
      </x:c>
      <x:c r="K423" s="2" t="str">
        <x:v>noun</x:v>
      </x:c>
      <x:c r="L423" s="9" t="n">
        <x:v>3.68</x:v>
      </x:c>
      <x:c r="M423" s="2" t="str">
        <x:v>없음</x:v>
      </x:c>
      <x:c r="N423" s="11" t="n">
        <x:v>23</x:v>
      </x:c>
      <x:c r="O423" s="8" t="str">
        <x:v>검증된 예문 없음; JMdict 우선 어휘 표지 없음; 기존 데이터의 한국어 콘텐츠 보강 필요 태그</x:v>
      </x:c>
      <x:c r="P423" s="8" t="str">
        <x:v>no_example,no_jmdict_priority,weak_legacy_content</x:v>
      </x:c>
      <x:c r="Q423" s="2" t="str"/>
      <x:c r="R423" s="2" t="str"/>
      <x:c r="S423" s="2" t="str"/>
      <x:c r="T423" s="2" t="str"/>
      <x:c r="U423" s="2" t="str"/>
      <x:c r="V423" s="2" t="str">
        <x:v>아니오</x:v>
      </x:c>
      <x:c r="W423" s="2" t="str">
        <x:v>예</x:v>
      </x:c>
      <x:c r="X423" s="2" t="str"/>
      <x:c r="Y423" s="2" t="n">
        <x:v>0</x:v>
      </x:c>
      <x:c r="Z423" s="2" t="str"/>
      <x:c r="AA423" s="2" t="n">
        <x:v>0</x:v>
      </x:c>
      <x:c r="AB423" s="8" t="str">
        <x:v>honorific or respectful (sonkeigo) language</x:v>
      </x:c>
      <x:c r="AC423" s="8" t="str"/>
      <x:c r="AD423" s="8" t="str">
        <x:v>["draft-ko-missing"]</x:v>
      </x:c>
      <x:c r="AE423" s="8" t="str">
        <x:v>검토 필요</x:v>
      </x:c>
      <x:c r="AF423" s="8" t="str"/>
    </x:row>
    <x:row r="424">
      <x:c r="A424" s="10" t="n">
        <x:v>423</x:v>
      </x:c>
      <x:c r="B424" s="2" t="str">
        <x:v>2차 보류</x:v>
      </x:c>
      <x:c r="C424" s="2" t="str">
        <x:v>2차 보류</x:v>
      </x:c>
      <x:c r="D424" s="2" t="str">
        <x:v>낮음</x:v>
      </x:c>
      <x:c r="E424" s="2" t="str">
        <x:v>N1</x:v>
      </x:c>
      <x:c r="F424" s="10" t="n">
        <x:v>170</x:v>
      </x:c>
      <x:c r="G424" s="2" t="str">
        <x:v>w_884534075a14e899</x:v>
      </x:c>
      <x:c r="H424" s="2" t="str">
        <x:v>まさしく</x:v>
      </x:c>
      <x:c r="I424" s="2" t="str">
        <x:v>まさしく</x:v>
      </x:c>
      <x:c r="J424" s="8" t="str">
        <x:v>틀림없이, 바로</x:v>
      </x:c>
      <x:c r="K424" s="2" t="str">
        <x:v>adverb</x:v>
      </x:c>
      <x:c r="L424" s="9" t="n">
        <x:v>3.7</x:v>
      </x:c>
      <x:c r="M424" s="2" t="str">
        <x:v>없음</x:v>
      </x:c>
      <x:c r="N424" s="11" t="n">
        <x:v>23</x:v>
      </x:c>
      <x:c r="O424" s="8" t="str">
        <x:v>검증된 예문 없음; JMdict 우선 어휘 표지 없음; 기존 데이터의 한국어 콘텐츠 보강 필요 태그</x:v>
      </x:c>
      <x:c r="P424" s="8" t="str">
        <x:v>no_example,no_jmdict_priority,weak_legacy_content</x:v>
      </x:c>
      <x:c r="Q424" s="2" t="str"/>
      <x:c r="R424" s="2" t="str"/>
      <x:c r="S424" s="2" t="str"/>
      <x:c r="T424" s="2" t="str"/>
      <x:c r="U424" s="2" t="str"/>
      <x:c r="V424" s="2" t="str">
        <x:v>아니오</x:v>
      </x:c>
      <x:c r="W424" s="2" t="str">
        <x:v>아니오</x:v>
      </x:c>
      <x:c r="X424" s="2" t="str"/>
      <x:c r="Y424" s="2" t="n">
        <x:v>0</x:v>
      </x:c>
      <x:c r="Z424" s="2" t="str"/>
      <x:c r="AA424" s="2" t="n">
        <x:v>0</x:v>
      </x:c>
      <x:c r="AB424" s="8" t="str"/>
      <x:c r="AC424" s="8" t="str"/>
      <x:c r="AD424" s="8" t="str">
        <x:v>["draft-ko-missing"]</x:v>
      </x:c>
      <x:c r="AE424" s="8" t="str">
        <x:v>검토 필요</x:v>
      </x:c>
      <x:c r="AF424" s="8" t="str"/>
    </x:row>
    <x:row r="425">
      <x:c r="A425" s="10" t="n">
        <x:v>424</x:v>
      </x:c>
      <x:c r="B425" s="2" t="str">
        <x:v>2차 보류</x:v>
      </x:c>
      <x:c r="C425" s="2" t="str">
        <x:v>2차 보류</x:v>
      </x:c>
      <x:c r="D425" s="2" t="str">
        <x:v>낮음</x:v>
      </x:c>
      <x:c r="E425" s="2" t="str">
        <x:v>N4</x:v>
      </x:c>
      <x:c r="F425" s="10" t="n">
        <x:v>36</x:v>
      </x:c>
      <x:c r="G425" s="2" t="str">
        <x:v>w_231788f2e4be23bc</x:v>
      </x:c>
      <x:c r="H425" s="2" t="str">
        <x:v>おっしゃる</x:v>
      </x:c>
      <x:c r="I425" s="2" t="str">
        <x:v>おっしゃる</x:v>
      </x:c>
      <x:c r="J425" s="8" t="str">
        <x:v>말씀하시다(존경어)</x:v>
      </x:c>
      <x:c r="K425" s="2" t="str">
        <x:v>verb</x:v>
      </x:c>
      <x:c r="L425" s="9" t="n">
        <x:v>3.72</x:v>
      </x:c>
      <x:c r="M425" s="2" t="str">
        <x:v>없음</x:v>
      </x:c>
      <x:c r="N425" s="11" t="n">
        <x:v>23</x:v>
      </x:c>
      <x:c r="O425" s="8" t="str">
        <x:v>검증된 예문 없음; JMdict 우선 어휘 표지 없음; 기존 데이터의 한국어 콘텐츠 보강 필요 태그</x:v>
      </x:c>
      <x:c r="P425" s="8" t="str">
        <x:v>no_example,no_jmdict_priority,weak_legacy_content</x:v>
      </x:c>
      <x:c r="Q425" s="2" t="str"/>
      <x:c r="R425" s="2" t="str"/>
      <x:c r="S425" s="2" t="str"/>
      <x:c r="T425" s="2" t="str"/>
      <x:c r="U425" s="2" t="str"/>
      <x:c r="V425" s="2" t="str">
        <x:v>아니오</x:v>
      </x:c>
      <x:c r="W425" s="2" t="str">
        <x:v>아니오</x:v>
      </x:c>
      <x:c r="X425" s="2" t="str"/>
      <x:c r="Y425" s="2" t="n">
        <x:v>0</x:v>
      </x:c>
      <x:c r="Z425" s="2" t="str"/>
      <x:c r="AA425" s="2" t="n">
        <x:v>0</x:v>
      </x:c>
      <x:c r="AB425" s="8" t="str"/>
      <x:c r="AC425" s="8" t="str"/>
      <x:c r="AD425" s="8" t="str">
        <x:v>["draft-ko-missing"]</x:v>
      </x:c>
      <x:c r="AE425" s="8" t="str">
        <x:v>검토 필요</x:v>
      </x:c>
      <x:c r="AF425" s="8" t="str"/>
    </x:row>
    <x:row r="426">
      <x:c r="A426" s="10" t="n">
        <x:v>425</x:v>
      </x:c>
      <x:c r="B426" s="2" t="str">
        <x:v>2차 보류</x:v>
      </x:c>
      <x:c r="C426" s="2" t="str">
        <x:v>2차 보류</x:v>
      </x:c>
      <x:c r="D426" s="2" t="str">
        <x:v>낮음</x:v>
      </x:c>
      <x:c r="E426" s="2" t="str">
        <x:v>N2</x:v>
      </x:c>
      <x:c r="F426" s="10" t="n">
        <x:v>160</x:v>
      </x:c>
      <x:c r="G426" s="2" t="str">
        <x:v>w_4b35242caba159d7</x:v>
      </x:c>
      <x:c r="H426" s="2" t="str">
        <x:v>あふれる</x:v>
      </x:c>
      <x:c r="I426" s="2" t="str">
        <x:v>あふれる</x:v>
      </x:c>
      <x:c r="J426" s="8" t="str">
        <x:v>넘치다, 흘러넘치다</x:v>
      </x:c>
      <x:c r="K426" s="2" t="str">
        <x:v>verb</x:v>
      </x:c>
      <x:c r="L426" s="9" t="n">
        <x:v>3.74</x:v>
      </x:c>
      <x:c r="M426" s="2" t="str">
        <x:v>없음</x:v>
      </x:c>
      <x:c r="N426" s="11" t="n">
        <x:v>23</x:v>
      </x:c>
      <x:c r="O426" s="8" t="str">
        <x:v>검증된 예문 없음; JMdict 우선 어휘 표지 없음; 기존 데이터의 한국어 콘텐츠 보강 필요 태그</x:v>
      </x:c>
      <x:c r="P426" s="8" t="str">
        <x:v>no_example,no_jmdict_priority,weak_legacy_content</x:v>
      </x:c>
      <x:c r="Q426" s="2" t="str"/>
      <x:c r="R426" s="2" t="str"/>
      <x:c r="S426" s="2" t="str"/>
      <x:c r="T426" s="2" t="str"/>
      <x:c r="U426" s="2" t="str"/>
      <x:c r="V426" s="2" t="str">
        <x:v>아니오</x:v>
      </x:c>
      <x:c r="W426" s="2" t="str">
        <x:v>아니오</x:v>
      </x:c>
      <x:c r="X426" s="2" t="str"/>
      <x:c r="Y426" s="2" t="n">
        <x:v>0</x:v>
      </x:c>
      <x:c r="Z426" s="2" t="str"/>
      <x:c r="AA426" s="2" t="n">
        <x:v>0</x:v>
      </x:c>
      <x:c r="AB426" s="8" t="str"/>
      <x:c r="AC426" s="8" t="str"/>
      <x:c r="AD426" s="8" t="str">
        <x:v>["draft-ko-missing"]</x:v>
      </x:c>
      <x:c r="AE426" s="8" t="str">
        <x:v>검토 필요</x:v>
      </x:c>
      <x:c r="AF426" s="8" t="str"/>
    </x:row>
    <x:row r="427">
      <x:c r="A427" s="10" t="n">
        <x:v>426</x:v>
      </x:c>
      <x:c r="B427" s="2" t="str">
        <x:v>2차 보류</x:v>
      </x:c>
      <x:c r="C427" s="2" t="str">
        <x:v>2차 보류</x:v>
      </x:c>
      <x:c r="D427" s="2" t="str">
        <x:v>낮음</x:v>
      </x:c>
      <x:c r="E427" s="2" t="str">
        <x:v>N2</x:v>
      </x:c>
      <x:c r="F427" s="10" t="n">
        <x:v>161</x:v>
      </x:c>
      <x:c r="G427" s="2" t="str">
        <x:v>w_0aa0079bc4547987</x:v>
      </x:c>
      <x:c r="H427" s="2" t="str">
        <x:v>あちらこちら</x:v>
      </x:c>
      <x:c r="I427" s="2" t="str">
        <x:v>あちらこちら</x:v>
      </x:c>
      <x:c r="J427" s="8" t="str">
        <x:v>여기저기</x:v>
      </x:c>
      <x:c r="K427" s="2" t="str">
        <x:v>pronoun</x:v>
      </x:c>
      <x:c r="L427" s="9" t="n">
        <x:v>3.76</x:v>
      </x:c>
      <x:c r="M427" s="2" t="str">
        <x:v>없음</x:v>
      </x:c>
      <x:c r="N427" s="11" t="n">
        <x:v>23</x:v>
      </x:c>
      <x:c r="O427" s="8" t="str">
        <x:v>검증된 예문 없음; JMdict 우선 어휘 표지 없음; 기존 데이터의 한국어 콘텐츠 보강 필요 태그</x:v>
      </x:c>
      <x:c r="P427" s="8" t="str">
        <x:v>no_example,no_jmdict_priority,weak_legacy_content</x:v>
      </x:c>
      <x:c r="Q427" s="2" t="str"/>
      <x:c r="R427" s="2" t="str"/>
      <x:c r="S427" s="2" t="str"/>
      <x:c r="T427" s="2" t="str"/>
      <x:c r="U427" s="2" t="str"/>
      <x:c r="V427" s="2" t="str">
        <x:v>아니오</x:v>
      </x:c>
      <x:c r="W427" s="2" t="str">
        <x:v>아니오</x:v>
      </x:c>
      <x:c r="X427" s="2" t="str"/>
      <x:c r="Y427" s="2" t="n">
        <x:v>0</x:v>
      </x:c>
      <x:c r="Z427" s="2" t="str"/>
      <x:c r="AA427" s="2" t="n">
        <x:v>0</x:v>
      </x:c>
      <x:c r="AB427" s="8" t="str"/>
      <x:c r="AC427" s="8" t="str"/>
      <x:c r="AD427" s="8" t="str">
        <x:v>["draft-ko-missing"]</x:v>
      </x:c>
      <x:c r="AE427" s="8" t="str">
        <x:v>검토 필요</x:v>
      </x:c>
      <x:c r="AF427" s="8" t="str"/>
    </x:row>
    <x:row r="428">
      <x:c r="A428" s="10" t="n">
        <x:v>427</x:v>
      </x:c>
      <x:c r="B428" s="2" t="str">
        <x:v>2차 보류</x:v>
      </x:c>
      <x:c r="C428" s="2" t="str">
        <x:v>2차 보류</x:v>
      </x:c>
      <x:c r="D428" s="2" t="str">
        <x:v>낮음</x:v>
      </x:c>
      <x:c r="E428" s="2" t="str">
        <x:v>N2</x:v>
      </x:c>
      <x:c r="F428" s="10" t="n">
        <x:v>162</x:v>
      </x:c>
      <x:c r="G428" s="2" t="str">
        <x:v>w_847eb8c2c66cca90</x:v>
      </x:c>
      <x:c r="H428" s="2" t="str">
        <x:v>あれこれ</x:v>
      </x:c>
      <x:c r="I428" s="2" t="str">
        <x:v>あれこれ</x:v>
      </x:c>
      <x:c r="J428" s="8" t="str">
        <x:v>이것저것</x:v>
      </x:c>
      <x:c r="K428" s="2" t="str">
        <x:v>adverb</x:v>
      </x:c>
      <x:c r="L428" s="9" t="n">
        <x:v>3.79</x:v>
      </x:c>
      <x:c r="M428" s="2" t="str">
        <x:v>없음</x:v>
      </x:c>
      <x:c r="N428" s="11" t="n">
        <x:v>23</x:v>
      </x:c>
      <x:c r="O428" s="8" t="str">
        <x:v>검증된 예문 없음; JMdict 우선 어휘 표지 없음; 기존 데이터의 한국어 콘텐츠 보강 필요 태그</x:v>
      </x:c>
      <x:c r="P428" s="8" t="str">
        <x:v>no_example,no_jmdict_priority,weak_legacy_content</x:v>
      </x:c>
      <x:c r="Q428" s="2" t="str"/>
      <x:c r="R428" s="2" t="str"/>
      <x:c r="S428" s="2" t="str"/>
      <x:c r="T428" s="2" t="str"/>
      <x:c r="U428" s="2" t="str"/>
      <x:c r="V428" s="2" t="str">
        <x:v>아니오</x:v>
      </x:c>
      <x:c r="W428" s="2" t="str">
        <x:v>아니오</x:v>
      </x:c>
      <x:c r="X428" s="2" t="str"/>
      <x:c r="Y428" s="2" t="n">
        <x:v>0</x:v>
      </x:c>
      <x:c r="Z428" s="2" t="str"/>
      <x:c r="AA428" s="2" t="n">
        <x:v>0</x:v>
      </x:c>
      <x:c r="AB428" s="8" t="str"/>
      <x:c r="AC428" s="8" t="str"/>
      <x:c r="AD428" s="8" t="str">
        <x:v>["draft-ko-missing"]</x:v>
      </x:c>
      <x:c r="AE428" s="8" t="str">
        <x:v>검토 필요</x:v>
      </x:c>
      <x:c r="AF428" s="8" t="str"/>
    </x:row>
    <x:row r="429">
      <x:c r="A429" s="10" t="n">
        <x:v>428</x:v>
      </x:c>
      <x:c r="B429" s="2" t="str">
        <x:v>2차 보류</x:v>
      </x:c>
      <x:c r="C429" s="2" t="str">
        <x:v>2차 보류</x:v>
      </x:c>
      <x:c r="D429" s="2" t="str">
        <x:v>낮음</x:v>
      </x:c>
      <x:c r="E429" s="2" t="str">
        <x:v>N2</x:v>
      </x:c>
      <x:c r="F429" s="10" t="n">
        <x:v>163</x:v>
      </x:c>
      <x:c r="G429" s="2" t="str">
        <x:v>w_01d0a9e64e50bb37</x:v>
      </x:c>
      <x:c r="H429" s="2" t="str">
        <x:v>おかけください</x:v>
      </x:c>
      <x:c r="I429" s="2" t="str">
        <x:v>おかけください</x:v>
      </x:c>
      <x:c r="J429" s="8" t="str">
        <x:v>부디, 제발 앉다 아래로</x:v>
      </x:c>
      <x:c r="K429" s="2" t="str">
        <x:v>expression</x:v>
      </x:c>
      <x:c r="L429" s="9" t="n">
        <x:v>3.8</x:v>
      </x:c>
      <x:c r="M429" s="2" t="str">
        <x:v>없음</x:v>
      </x:c>
      <x:c r="N429" s="11" t="n">
        <x:v>23</x:v>
      </x:c>
      <x:c r="O429" s="8" t="str">
        <x:v>검증된 예문 없음; JMdict 우선 어휘 표지 없음; 기존 데이터의 한국어 콘텐츠 보강 필요 태그</x:v>
      </x:c>
      <x:c r="P429" s="8" t="str">
        <x:v>no_example,no_jmdict_priority,weak_legacy_content</x:v>
      </x:c>
      <x:c r="Q429" s="2" t="str"/>
      <x:c r="R429" s="2" t="str"/>
      <x:c r="S429" s="2" t="str"/>
      <x:c r="T429" s="2" t="str"/>
      <x:c r="U429" s="2" t="str"/>
      <x:c r="V429" s="2" t="str">
        <x:v>아니오</x:v>
      </x:c>
      <x:c r="W429" s="2" t="str">
        <x:v>아니오</x:v>
      </x:c>
      <x:c r="X429" s="2" t="str"/>
      <x:c r="Y429" s="2" t="n">
        <x:v>0</x:v>
      </x:c>
      <x:c r="Z429" s="2" t="str"/>
      <x:c r="AA429" s="2" t="n">
        <x:v>0</x:v>
      </x:c>
      <x:c r="AB429" s="8" t="str"/>
      <x:c r="AC429" s="8" t="str"/>
      <x:c r="AD429" s="8" t="str">
        <x:v>["draft-ko-missing"]</x:v>
      </x:c>
      <x:c r="AE429" s="8" t="str">
        <x:v>검토 필요</x:v>
      </x:c>
      <x:c r="AF429" s="8" t="str"/>
    </x:row>
    <x:row r="430">
      <x:c r="A430" s="10" t="n">
        <x:v>429</x:v>
      </x:c>
      <x:c r="B430" s="2" t="str">
        <x:v>2차 보류</x:v>
      </x:c>
      <x:c r="C430" s="2" t="str">
        <x:v>2차 보류</x:v>
      </x:c>
      <x:c r="D430" s="2" t="str">
        <x:v>낮음</x:v>
      </x:c>
      <x:c r="E430" s="2" t="str">
        <x:v>N3</x:v>
      </x:c>
      <x:c r="F430" s="10" t="n">
        <x:v>54</x:v>
      </x:c>
      <x:c r="G430" s="2" t="str">
        <x:v>w_c58699ef273c3ff5</x:v>
      </x:c>
      <x:c r="H430" s="2" t="str">
        <x:v>挙げる</x:v>
      </x:c>
      <x:c r="I430" s="2" t="str">
        <x:v>あげる</x:v>
      </x:c>
      <x:c r="J430" s="8" t="str">
        <x:v>(예를) 들다, 거론하다</x:v>
      </x:c>
      <x:c r="K430" s="2" t="str">
        <x:v>verb</x:v>
      </x:c>
      <x:c r="L430" s="9" t="n">
        <x:v>3.81</x:v>
      </x:c>
      <x:c r="M430" s="2" t="str">
        <x:v>없음</x:v>
      </x:c>
      <x:c r="N430" s="11" t="n">
        <x:v>23</x:v>
      </x:c>
      <x:c r="O430" s="8" t="str">
        <x:v>검증된 예문 없음; JMdict 우선 어휘 표지 없음; 기존 데이터의 한국어 콘텐츠 보강 필요 태그</x:v>
      </x:c>
      <x:c r="P430" s="8" t="str">
        <x:v>no_example,no_jmdict_priority,weak_legacy_content</x:v>
      </x:c>
      <x:c r="Q430" s="2" t="str"/>
      <x:c r="R430" s="2" t="str"/>
      <x:c r="S430" s="2" t="str"/>
      <x:c r="T430" s="2" t="str"/>
      <x:c r="U430" s="2" t="str"/>
      <x:c r="V430" s="2" t="str">
        <x:v>아니오</x:v>
      </x:c>
      <x:c r="W430" s="2" t="str">
        <x:v>예</x:v>
      </x:c>
      <x:c r="X430" s="2" t="str"/>
      <x:c r="Y430" s="2" t="n">
        <x:v>0</x:v>
      </x:c>
      <x:c r="Z430" s="2" t="str"/>
      <x:c r="AA430" s="2" t="n">
        <x:v>0</x:v>
      </x:c>
      <x:c r="AB430" s="8" t="str">
        <x:v>dated term</x:v>
      </x:c>
      <x:c r="AC430" s="8" t="str"/>
      <x:c r="AD430" s="8" t="str">
        <x:v>["draft-ko-missing"]</x:v>
      </x:c>
      <x:c r="AE430" s="8" t="str">
        <x:v>검토 필요</x:v>
      </x:c>
      <x:c r="AF430" s="8" t="str"/>
    </x:row>
    <x:row r="431">
      <x:c r="A431" s="10" t="n">
        <x:v>430</x:v>
      </x:c>
      <x:c r="B431" s="2" t="str">
        <x:v>2차 보류</x:v>
      </x:c>
      <x:c r="C431" s="2" t="str">
        <x:v>2차 보류</x:v>
      </x:c>
      <x:c r="D431" s="2" t="str">
        <x:v>낮음</x:v>
      </x:c>
      <x:c r="E431" s="2" t="str">
        <x:v>N2</x:v>
      </x:c>
      <x:c r="F431" s="10" t="n">
        <x:v>164</x:v>
      </x:c>
      <x:c r="G431" s="2" t="str">
        <x:v>w_276fd64e78b0496c</x:v>
      </x:c>
      <x:c r="H431" s="2" t="str">
        <x:v>お気の毒に</x:v>
      </x:c>
      <x:c r="I431" s="2" t="str">
        <x:v>おきのどくに</x:v>
      </x:c>
      <x:c r="J431" s="8" t="str">
        <x:v>나는 미안한 듣다 그것</x:v>
      </x:c>
      <x:c r="K431" s="2" t="str">
        <x:v>expression</x:v>
      </x:c>
      <x:c r="L431" s="9" t="n">
        <x:v>3.81</x:v>
      </x:c>
      <x:c r="M431" s="2" t="str">
        <x:v>없음</x:v>
      </x:c>
      <x:c r="N431" s="11" t="n">
        <x:v>23</x:v>
      </x:c>
      <x:c r="O431" s="8" t="str">
        <x:v>검증된 예문 없음; JMdict 우선 어휘 표지 없음; 기존 데이터의 한국어 콘텐츠 보강 필요 태그</x:v>
      </x:c>
      <x:c r="P431" s="8" t="str">
        <x:v>no_example,no_jmdict_priority,weak_legacy_content</x:v>
      </x:c>
      <x:c r="Q431" s="2" t="str"/>
      <x:c r="R431" s="2" t="str"/>
      <x:c r="S431" s="2" t="str"/>
      <x:c r="T431" s="2" t="str"/>
      <x:c r="U431" s="2" t="str"/>
      <x:c r="V431" s="2" t="str">
        <x:v>아니오</x:v>
      </x:c>
      <x:c r="W431" s="2" t="str">
        <x:v>예</x:v>
      </x:c>
      <x:c r="X431" s="2" t="str"/>
      <x:c r="Y431" s="2" t="n">
        <x:v>0</x:v>
      </x:c>
      <x:c r="Z431" s="2" t="str"/>
      <x:c r="AA431" s="2" t="n">
        <x:v>0</x:v>
      </x:c>
      <x:c r="AB431" s="8" t="str"/>
      <x:c r="AC431" s="8" t="str"/>
      <x:c r="AD431" s="8" t="str">
        <x:v>["draft-ko-missing"]</x:v>
      </x:c>
      <x:c r="AE431" s="8" t="str">
        <x:v>검토 필요</x:v>
      </x:c>
      <x:c r="AF431" s="8" t="str"/>
    </x:row>
    <x:row r="432">
      <x:c r="A432" s="10" t="n">
        <x:v>431</x:v>
      </x:c>
      <x:c r="B432" s="2" t="str">
        <x:v>2차 보류</x:v>
      </x:c>
      <x:c r="C432" s="2" t="str">
        <x:v>2차 보류</x:v>
      </x:c>
      <x:c r="D432" s="2" t="str">
        <x:v>낮음</x:v>
      </x:c>
      <x:c r="E432" s="2" t="str">
        <x:v>N1</x:v>
      </x:c>
      <x:c r="F432" s="10" t="n">
        <x:v>171</x:v>
      </x:c>
      <x:c r="G432" s="2" t="str">
        <x:v>w_3c4bb37b73540b8a</x:v>
      </x:c>
      <x:c r="H432" s="2" t="str">
        <x:v>いかにも</x:v>
      </x:c>
      <x:c r="I432" s="2" t="str">
        <x:v>いかにも</x:v>
      </x:c>
      <x:c r="J432" s="8" t="str">
        <x:v>정말, 과연</x:v>
      </x:c>
      <x:c r="K432" s="2" t="str">
        <x:v>adverb</x:v>
      </x:c>
      <x:c r="L432" s="9" t="n">
        <x:v>3.81</x:v>
      </x:c>
      <x:c r="M432" s="2" t="str">
        <x:v>없음</x:v>
      </x:c>
      <x:c r="N432" s="11" t="n">
        <x:v>23</x:v>
      </x:c>
      <x:c r="O432" s="8" t="str">
        <x:v>검증된 예문 없음; JMdict 우선 어휘 표지 없음; 기존 데이터의 한국어 콘텐츠 보강 필요 태그</x:v>
      </x:c>
      <x:c r="P432" s="8" t="str">
        <x:v>no_example,no_jmdict_priority,weak_legacy_content</x:v>
      </x:c>
      <x:c r="Q432" s="2" t="str"/>
      <x:c r="R432" s="2" t="str"/>
      <x:c r="S432" s="2" t="str"/>
      <x:c r="T432" s="2" t="str"/>
      <x:c r="U432" s="2" t="str"/>
      <x:c r="V432" s="2" t="str">
        <x:v>아니오</x:v>
      </x:c>
      <x:c r="W432" s="2" t="str">
        <x:v>아니오</x:v>
      </x:c>
      <x:c r="X432" s="2" t="str"/>
      <x:c r="Y432" s="2" t="n">
        <x:v>0</x:v>
      </x:c>
      <x:c r="Z432" s="2" t="str"/>
      <x:c r="AA432" s="2" t="n">
        <x:v>0</x:v>
      </x:c>
      <x:c r="AB432" s="8" t="str"/>
      <x:c r="AC432" s="8" t="str"/>
      <x:c r="AD432" s="8" t="str">
        <x:v>["draft-ko-missing"]</x:v>
      </x:c>
      <x:c r="AE432" s="8" t="str">
        <x:v>검토 필요</x:v>
      </x:c>
      <x:c r="AF432" s="8" t="str"/>
    </x:row>
    <x:row r="433">
      <x:c r="A433" s="10" t="n">
        <x:v>432</x:v>
      </x:c>
      <x:c r="B433" s="2" t="str">
        <x:v>2차 보류</x:v>
      </x:c>
      <x:c r="C433" s="2" t="str">
        <x:v>2차 보류</x:v>
      </x:c>
      <x:c r="D433" s="2" t="str">
        <x:v>낮음</x:v>
      </x:c>
      <x:c r="E433" s="2" t="str">
        <x:v>N3</x:v>
      </x:c>
      <x:c r="F433" s="10" t="n">
        <x:v>55</x:v>
      </x:c>
      <x:c r="G433" s="2" t="str">
        <x:v>w_16bc27b031413df0</x:v>
      </x:c>
      <x:c r="H433" s="2" t="str">
        <x:v>じっと</x:v>
      </x:c>
      <x:c r="I433" s="2" t="str">
        <x:v>じっと</x:v>
      </x:c>
      <x:c r="J433" s="8" t="str">
        <x:v>가만히, 참고</x:v>
      </x:c>
      <x:c r="K433" s="2" t="str">
        <x:v>adverb</x:v>
      </x:c>
      <x:c r="L433" s="9" t="n">
        <x:v>3.82</x:v>
      </x:c>
      <x:c r="M433" s="2" t="str">
        <x:v>없음</x:v>
      </x:c>
      <x:c r="N433" s="11" t="n">
        <x:v>23</x:v>
      </x:c>
      <x:c r="O433" s="8" t="str">
        <x:v>검증된 예문 없음; JMdict 우선 어휘 표지 없음; 기존 데이터의 한국어 콘텐츠 보강 필요 태그</x:v>
      </x:c>
      <x:c r="P433" s="8" t="str">
        <x:v>no_example,no_jmdict_priority,weak_legacy_content</x:v>
      </x:c>
      <x:c r="Q433" s="2" t="str"/>
      <x:c r="R433" s="2" t="str"/>
      <x:c r="S433" s="2" t="str"/>
      <x:c r="T433" s="2" t="str"/>
      <x:c r="U433" s="2" t="str"/>
      <x:c r="V433" s="2" t="str">
        <x:v>아니오</x:v>
      </x:c>
      <x:c r="W433" s="2" t="str">
        <x:v>아니오</x:v>
      </x:c>
      <x:c r="X433" s="2" t="str"/>
      <x:c r="Y433" s="2" t="n">
        <x:v>0</x:v>
      </x:c>
      <x:c r="Z433" s="2" t="str"/>
      <x:c r="AA433" s="2" t="n">
        <x:v>0</x:v>
      </x:c>
      <x:c r="AB433" s="8" t="str"/>
      <x:c r="AC433" s="8" t="str"/>
      <x:c r="AD433" s="8" t="str">
        <x:v>["draft-ko-missing"]</x:v>
      </x:c>
      <x:c r="AE433" s="8" t="str">
        <x:v>검토 필요</x:v>
      </x:c>
      <x:c r="AF433" s="8" t="str"/>
    </x:row>
    <x:row r="434">
      <x:c r="A434" s="10" t="n">
        <x:v>433</x:v>
      </x:c>
      <x:c r="B434" s="2" t="str">
        <x:v>2차 보류</x:v>
      </x:c>
      <x:c r="C434" s="2" t="str">
        <x:v>2차 보류</x:v>
      </x:c>
      <x:c r="D434" s="2" t="str">
        <x:v>낮음</x:v>
      </x:c>
      <x:c r="E434" s="2" t="str">
        <x:v>N1</x:v>
      </x:c>
      <x:c r="F434" s="10" t="n">
        <x:v>172</x:v>
      </x:c>
      <x:c r="G434" s="2" t="str">
        <x:v>w_b22a9c1d39252e48</x:v>
      </x:c>
      <x:c r="H434" s="2" t="str">
        <x:v>干し物</x:v>
      </x:c>
      <x:c r="I434" s="2" t="str">
        <x:v>ほしもの</x:v>
      </x:c>
      <x:c r="J434" s="8" t="str">
        <x:v>빨래(널어 말리는 것)</x:v>
      </x:c>
      <x:c r="K434" s="2" t="str">
        <x:v>noun</x:v>
      </x:c>
      <x:c r="L434" s="9" t="n">
        <x:v>3.83</x:v>
      </x:c>
      <x:c r="M434" s="2" t="str">
        <x:v>없음</x:v>
      </x:c>
      <x:c r="N434" s="11" t="n">
        <x:v>23</x:v>
      </x:c>
      <x:c r="O434" s="8" t="str">
        <x:v>검증된 예문 없음; JMdict 우선 어휘 표지 없음; 기존 데이터의 한국어 콘텐츠 보강 필요 태그</x:v>
      </x:c>
      <x:c r="P434" s="8" t="str">
        <x:v>no_example,no_jmdict_priority,weak_legacy_content</x:v>
      </x:c>
      <x:c r="Q434" s="2" t="str"/>
      <x:c r="R434" s="2" t="str"/>
      <x:c r="S434" s="2" t="str"/>
      <x:c r="T434" s="2" t="str"/>
      <x:c r="U434" s="2" t="str"/>
      <x:c r="V434" s="2" t="str">
        <x:v>아니오</x:v>
      </x:c>
      <x:c r="W434" s="2" t="str">
        <x:v>예</x:v>
      </x:c>
      <x:c r="X434" s="2" t="str"/>
      <x:c r="Y434" s="2" t="n">
        <x:v>0</x:v>
      </x:c>
      <x:c r="Z434" s="2" t="str"/>
      <x:c r="AA434" s="2" t="n">
        <x:v>0</x:v>
      </x:c>
      <x:c r="AB434" s="8" t="str"/>
      <x:c r="AC434" s="8" t="str"/>
      <x:c r="AD434" s="8" t="str">
        <x:v>["draft-ko-missing"]</x:v>
      </x:c>
      <x:c r="AE434" s="8" t="str">
        <x:v>검토 필요</x:v>
      </x:c>
      <x:c r="AF434" s="8" t="str"/>
    </x:row>
    <x:row r="435">
      <x:c r="A435" s="10" t="n">
        <x:v>434</x:v>
      </x:c>
      <x:c r="B435" s="2" t="str">
        <x:v>2차 보류</x:v>
      </x:c>
      <x:c r="C435" s="2" t="str">
        <x:v>2차 보류</x:v>
      </x:c>
      <x:c r="D435" s="2" t="str">
        <x:v>낮음</x:v>
      </x:c>
      <x:c r="E435" s="2" t="str">
        <x:v>N3</x:v>
      </x:c>
      <x:c r="F435" s="10" t="n">
        <x:v>56</x:v>
      </x:c>
      <x:c r="G435" s="2" t="str">
        <x:v>w_92699129dc469572</x:v>
      </x:c>
      <x:c r="H435" s="2" t="str">
        <x:v>すてき</x:v>
      </x:c>
      <x:c r="I435" s="2" t="str">
        <x:v>すてき</x:v>
      </x:c>
      <x:c r="J435" s="8" t="str">
        <x:v>사랑스러운, 큰, 훌륭한</x:v>
      </x:c>
      <x:c r="K435" s="2" t="str">
        <x:v>adjective</x:v>
      </x:c>
      <x:c r="L435" s="9" t="n">
        <x:v>3.84</x:v>
      </x:c>
      <x:c r="M435" s="2" t="str">
        <x:v>없음</x:v>
      </x:c>
      <x:c r="N435" s="11" t="n">
        <x:v>23</x:v>
      </x:c>
      <x:c r="O435" s="8" t="str">
        <x:v>검증된 예문 없음; JMdict 우선 어휘 표지 없음; 기존 데이터의 한국어 콘텐츠 보강 필요 태그</x:v>
      </x:c>
      <x:c r="P435" s="8" t="str">
        <x:v>no_example,no_jmdict_priority,weak_legacy_content</x:v>
      </x:c>
      <x:c r="Q435" s="2" t="str"/>
      <x:c r="R435" s="2" t="str"/>
      <x:c r="S435" s="2" t="str"/>
      <x:c r="T435" s="2" t="str"/>
      <x:c r="U435" s="2" t="str"/>
      <x:c r="V435" s="2" t="str">
        <x:v>아니오</x:v>
      </x:c>
      <x:c r="W435" s="2" t="str">
        <x:v>아니오</x:v>
      </x:c>
      <x:c r="X435" s="2" t="str"/>
      <x:c r="Y435" s="2" t="n">
        <x:v>0</x:v>
      </x:c>
      <x:c r="Z435" s="2" t="str"/>
      <x:c r="AA435" s="2" t="n">
        <x:v>0</x:v>
      </x:c>
      <x:c r="AB435" s="8" t="str"/>
      <x:c r="AC435" s="8" t="str"/>
      <x:c r="AD435" s="8" t="str">
        <x:v>["draft-ko-missing"]</x:v>
      </x:c>
      <x:c r="AE435" s="8" t="str">
        <x:v>검토 필요</x:v>
      </x:c>
      <x:c r="AF435" s="8" t="str"/>
    </x:row>
    <x:row r="436">
      <x:c r="A436" s="10" t="n">
        <x:v>435</x:v>
      </x:c>
      <x:c r="B436" s="2" t="str">
        <x:v>2차 보류</x:v>
      </x:c>
      <x:c r="C436" s="2" t="str">
        <x:v>2차 보류</x:v>
      </x:c>
      <x:c r="D436" s="2" t="str">
        <x:v>낮음</x:v>
      </x:c>
      <x:c r="E436" s="2" t="str">
        <x:v>N3</x:v>
      </x:c>
      <x:c r="F436" s="10" t="n">
        <x:v>57</x:v>
      </x:c>
      <x:c r="G436" s="2" t="str">
        <x:v>w_b7af60a2cd9d8234</x:v>
      </x:c>
      <x:c r="H436" s="2" t="str">
        <x:v>いたずら</x:v>
      </x:c>
      <x:c r="I436" s="2" t="str">
        <x:v>いたずら</x:v>
      </x:c>
      <x:c r="J436" s="8" t="str">
        <x:v>장난</x:v>
      </x:c>
      <x:c r="K436" s="2" t="str">
        <x:v>noun</x:v>
      </x:c>
      <x:c r="L436" s="9" t="n">
        <x:v>3.86</x:v>
      </x:c>
      <x:c r="M436" s="2" t="str">
        <x:v>없음</x:v>
      </x:c>
      <x:c r="N436" s="11" t="n">
        <x:v>23</x:v>
      </x:c>
      <x:c r="O436" s="8" t="str">
        <x:v>검증된 예문 없음; JMdict 우선 어휘 표지 없음; 기존 데이터의 한국어 콘텐츠 보강 필요 태그</x:v>
      </x:c>
      <x:c r="P436" s="8" t="str">
        <x:v>no_example,no_jmdict_priority,weak_legacy_content</x:v>
      </x:c>
      <x:c r="Q436" s="2" t="str"/>
      <x:c r="R436" s="2" t="str"/>
      <x:c r="S436" s="2" t="str"/>
      <x:c r="T436" s="2" t="str"/>
      <x:c r="U436" s="2" t="str"/>
      <x:c r="V436" s="2" t="str">
        <x:v>아니오</x:v>
      </x:c>
      <x:c r="W436" s="2" t="str">
        <x:v>아니오</x:v>
      </x:c>
      <x:c r="X436" s="2" t="str"/>
      <x:c r="Y436" s="2" t="n">
        <x:v>0</x:v>
      </x:c>
      <x:c r="Z436" s="2" t="str"/>
      <x:c r="AA436" s="2" t="n">
        <x:v>0</x:v>
      </x:c>
      <x:c r="AB436" s="8" t="str"/>
      <x:c r="AC436" s="8" t="str"/>
      <x:c r="AD436" s="8" t="str">
        <x:v>["draft-ko-missing"]</x:v>
      </x:c>
      <x:c r="AE436" s="8" t="str">
        <x:v>검토 필요</x:v>
      </x:c>
      <x:c r="AF436" s="8" t="str"/>
    </x:row>
    <x:row r="437">
      <x:c r="A437" s="10" t="n">
        <x:v>436</x:v>
      </x:c>
      <x:c r="B437" s="2" t="str">
        <x:v>2차 보류</x:v>
      </x:c>
      <x:c r="C437" s="2" t="str">
        <x:v>2차 보류</x:v>
      </x:c>
      <x:c r="D437" s="2" t="str">
        <x:v>낮음</x:v>
      </x:c>
      <x:c r="E437" s="2" t="str">
        <x:v>N3</x:v>
      </x:c>
      <x:c r="F437" s="10" t="n">
        <x:v>58</x:v>
      </x:c>
      <x:c r="G437" s="2" t="str">
        <x:v>w_60add9e2fe81065f</x:v>
      </x:c>
      <x:c r="H437" s="2" t="str">
        <x:v>したがって</x:v>
      </x:c>
      <x:c r="I437" s="2" t="str">
        <x:v>したがって</x:v>
      </x:c>
      <x:c r="J437" s="8" t="str">
        <x:v>따라서, 그러므로</x:v>
      </x:c>
      <x:c r="K437" s="2" t="str">
        <x:v>conjunction</x:v>
      </x:c>
      <x:c r="L437" s="9" t="n">
        <x:v>3.91</x:v>
      </x:c>
      <x:c r="M437" s="2" t="str">
        <x:v>없음</x:v>
      </x:c>
      <x:c r="N437" s="11" t="n">
        <x:v>23</x:v>
      </x:c>
      <x:c r="O437" s="8" t="str">
        <x:v>검증된 예문 없음; JMdict 우선 어휘 표지 없음; 기존 데이터의 한국어 콘텐츠 보강 필요 태그</x:v>
      </x:c>
      <x:c r="P437" s="8" t="str">
        <x:v>no_example,no_jmdict_priority,weak_legacy_content</x:v>
      </x:c>
      <x:c r="Q437" s="2" t="str"/>
      <x:c r="R437" s="2" t="str"/>
      <x:c r="S437" s="2" t="str"/>
      <x:c r="T437" s="2" t="str"/>
      <x:c r="U437" s="2" t="str"/>
      <x:c r="V437" s="2" t="str">
        <x:v>아니오</x:v>
      </x:c>
      <x:c r="W437" s="2" t="str">
        <x:v>아니오</x:v>
      </x:c>
      <x:c r="X437" s="2" t="str"/>
      <x:c r="Y437" s="2" t="n">
        <x:v>0</x:v>
      </x:c>
      <x:c r="Z437" s="2" t="str"/>
      <x:c r="AA437" s="2" t="n">
        <x:v>0</x:v>
      </x:c>
      <x:c r="AB437" s="8" t="str"/>
      <x:c r="AC437" s="8" t="str"/>
      <x:c r="AD437" s="8" t="str">
        <x:v>["draft-ko-missing"]</x:v>
      </x:c>
      <x:c r="AE437" s="8" t="str">
        <x:v>검토 필요</x:v>
      </x:c>
      <x:c r="AF437" s="8" t="str"/>
    </x:row>
    <x:row r="438">
      <x:c r="A438" s="10" t="n">
        <x:v>437</x:v>
      </x:c>
      <x:c r="B438" s="2" t="str">
        <x:v>2차 보류</x:v>
      </x:c>
      <x:c r="C438" s="2" t="str">
        <x:v>2차 보류</x:v>
      </x:c>
      <x:c r="D438" s="2" t="str">
        <x:v>낮음</x:v>
      </x:c>
      <x:c r="E438" s="2" t="str">
        <x:v>N2</x:v>
      </x:c>
      <x:c r="F438" s="10" t="n">
        <x:v>165</x:v>
      </x:c>
      <x:c r="G438" s="2" t="str">
        <x:v>w_36ea85c3b7fcc06f</x:v>
      </x:c>
      <x:c r="H438" s="2" t="str">
        <x:v>コンクリート</x:v>
      </x:c>
      <x:c r="I438" s="2" t="str">
        <x:v>コンクリート</x:v>
      </x:c>
      <x:c r="J438" s="8" t="str">
        <x:v>콘크리트, 구체적인</x:v>
      </x:c>
      <x:c r="K438" s="2" t="str">
        <x:v>noun</x:v>
      </x:c>
      <x:c r="L438" s="9" t="n">
        <x:v>3.91</x:v>
      </x:c>
      <x:c r="M438" s="2" t="str">
        <x:v>없음</x:v>
      </x:c>
      <x:c r="N438" s="11" t="n">
        <x:v>23</x:v>
      </x:c>
      <x:c r="O438" s="8" t="str">
        <x:v>검증된 예문 없음; JMdict 우선 어휘 표지 없음; 기존 데이터의 한국어 콘텐츠 보강 필요 태그</x:v>
      </x:c>
      <x:c r="P438" s="8" t="str">
        <x:v>no_example,no_jmdict_priority,weak_legacy_content</x:v>
      </x:c>
      <x:c r="Q438" s="2" t="str"/>
      <x:c r="R438" s="2" t="str"/>
      <x:c r="S438" s="2" t="str"/>
      <x:c r="T438" s="2" t="str"/>
      <x:c r="U438" s="2" t="str"/>
      <x:c r="V438" s="2" t="str">
        <x:v>아니오</x:v>
      </x:c>
      <x:c r="W438" s="2" t="str">
        <x:v>아니오</x:v>
      </x:c>
      <x:c r="X438" s="2" t="str"/>
      <x:c r="Y438" s="2" t="n">
        <x:v>0</x:v>
      </x:c>
      <x:c r="Z438" s="2" t="str"/>
      <x:c r="AA438" s="2" t="n">
        <x:v>0</x:v>
      </x:c>
      <x:c r="AB438" s="8" t="str"/>
      <x:c r="AC438" s="8" t="str"/>
      <x:c r="AD438" s="8" t="str">
        <x:v>["draft-ko-missing"]</x:v>
      </x:c>
      <x:c r="AE438" s="8" t="str">
        <x:v>검토 필요</x:v>
      </x:c>
      <x:c r="AF438" s="8" t="str"/>
    </x:row>
    <x:row r="439">
      <x:c r="A439" s="10" t="n">
        <x:v>438</x:v>
      </x:c>
      <x:c r="B439" s="2" t="str">
        <x:v>2차 보류</x:v>
      </x:c>
      <x:c r="C439" s="2" t="str">
        <x:v>2차 보류</x:v>
      </x:c>
      <x:c r="D439" s="2" t="str">
        <x:v>낮음</x:v>
      </x:c>
      <x:c r="E439" s="2" t="str">
        <x:v>N4</x:v>
      </x:c>
      <x:c r="F439" s="10" t="n">
        <x:v>37</x:v>
      </x:c>
      <x:c r="G439" s="2" t="str">
        <x:v>w_926081e6aef5ddde</x:v>
      </x:c>
      <x:c r="H439" s="2" t="str">
        <x:v>くださる</x:v>
      </x:c>
      <x:c r="I439" s="2" t="str">
        <x:v>くださる</x:v>
      </x:c>
      <x:c r="J439" s="8" t="str">
        <x:v>주다(존대), 수여하다</x:v>
      </x:c>
      <x:c r="K439" s="2" t="str">
        <x:v>verb</x:v>
      </x:c>
      <x:c r="L439" s="9" t="n">
        <x:v>3.96</x:v>
      </x:c>
      <x:c r="M439" s="2" t="str">
        <x:v>없음</x:v>
      </x:c>
      <x:c r="N439" s="11" t="n">
        <x:v>23</x:v>
      </x:c>
      <x:c r="O439" s="8" t="str">
        <x:v>검증된 예문 없음; JMdict 우선 어휘 표지 없음; 기존 데이터의 한국어 콘텐츠 보강 필요 태그</x:v>
      </x:c>
      <x:c r="P439" s="8" t="str">
        <x:v>no_example,no_jmdict_priority,weak_legacy_content</x:v>
      </x:c>
      <x:c r="Q439" s="2" t="str"/>
      <x:c r="R439" s="2" t="str"/>
      <x:c r="S439" s="2" t="str"/>
      <x:c r="T439" s="2" t="str"/>
      <x:c r="U439" s="2" t="str"/>
      <x:c r="V439" s="2" t="str">
        <x:v>아니오</x:v>
      </x:c>
      <x:c r="W439" s="2" t="str">
        <x:v>아니오</x:v>
      </x:c>
      <x:c r="X439" s="2" t="str"/>
      <x:c r="Y439" s="2" t="n">
        <x:v>0</x:v>
      </x:c>
      <x:c r="Z439" s="2" t="str"/>
      <x:c r="AA439" s="2" t="n">
        <x:v>0</x:v>
      </x:c>
      <x:c r="AB439" s="8" t="str"/>
      <x:c r="AC439" s="8" t="str"/>
      <x:c r="AD439" s="8" t="str">
        <x:v>["draft-ko-missing"]</x:v>
      </x:c>
      <x:c r="AE439" s="8" t="str">
        <x:v>검토 필요</x:v>
      </x:c>
      <x:c r="AF439" s="8" t="str"/>
    </x:row>
    <x:row r="440">
      <x:c r="A440" s="10" t="n">
        <x:v>439</x:v>
      </x:c>
      <x:c r="B440" s="2" t="str">
        <x:v>2차 보류</x:v>
      </x:c>
      <x:c r="C440" s="2" t="str">
        <x:v>2차 보류</x:v>
      </x:c>
      <x:c r="D440" s="2" t="str">
        <x:v>낮음</x:v>
      </x:c>
      <x:c r="E440" s="2" t="str">
        <x:v>N3</x:v>
      </x:c>
      <x:c r="F440" s="10" t="n">
        <x:v>59</x:v>
      </x:c>
      <x:c r="G440" s="2" t="str">
        <x:v>w_a92f3ba962ba4a0b</x:v>
      </x:c>
      <x:c r="H440" s="2" t="str">
        <x:v>お目に掛かる</x:v>
      </x:c>
      <x:c r="I440" s="2" t="str">
        <x:v>おめにかかる</x:v>
      </x:c>
      <x:c r="J440" s="8" t="str">
        <x:v>만나다 ~, 보다 ~</x:v>
      </x:c>
      <x:c r="K440" s="2" t="str">
        <x:v>verb</x:v>
      </x:c>
      <x:c r="L440" s="9" t="n">
        <x:v>3.97</x:v>
      </x:c>
      <x:c r="M440" s="2" t="str">
        <x:v>없음</x:v>
      </x:c>
      <x:c r="N440" s="11" t="n">
        <x:v>23</x:v>
      </x:c>
      <x:c r="O440" s="8" t="str">
        <x:v>검증된 예문 없음; JMdict 우선 어휘 표지 없음; 기존 데이터의 한국어 콘텐츠 보강 필요 태그</x:v>
      </x:c>
      <x:c r="P440" s="8" t="str">
        <x:v>no_example,no_jmdict_priority,weak_legacy_content</x:v>
      </x:c>
      <x:c r="Q440" s="2" t="str"/>
      <x:c r="R440" s="2" t="str"/>
      <x:c r="S440" s="2" t="str"/>
      <x:c r="T440" s="2" t="str"/>
      <x:c r="U440" s="2" t="str"/>
      <x:c r="V440" s="2" t="str">
        <x:v>아니오</x:v>
      </x:c>
      <x:c r="W440" s="2" t="str">
        <x:v>예</x:v>
      </x:c>
      <x:c r="X440" s="2" t="str"/>
      <x:c r="Y440" s="2" t="n">
        <x:v>0</x:v>
      </x:c>
      <x:c r="Z440" s="2" t="str"/>
      <x:c r="AA440" s="2" t="n">
        <x:v>0</x:v>
      </x:c>
      <x:c r="AB440" s="8" t="str">
        <x:v>archaic | humble (kenjougo) language</x:v>
      </x:c>
      <x:c r="AC440" s="8" t="str"/>
      <x:c r="AD440" s="8" t="str">
        <x:v>["draft-ko-missing"]</x:v>
      </x:c>
      <x:c r="AE440" s="8" t="str">
        <x:v>검토 필요</x:v>
      </x:c>
      <x:c r="AF440" s="8" t="str"/>
    </x:row>
    <x:row r="441">
      <x:c r="A441" s="10" t="n">
        <x:v>440</x:v>
      </x:c>
      <x:c r="B441" s="2" t="str">
        <x:v>2차 보류</x:v>
      </x:c>
      <x:c r="C441" s="2" t="str">
        <x:v>2차 보류</x:v>
      </x:c>
      <x:c r="D441" s="2" t="str">
        <x:v>낮음</x:v>
      </x:c>
      <x:c r="E441" s="2" t="str">
        <x:v>N3</x:v>
      </x:c>
      <x:c r="F441" s="10" t="n">
        <x:v>60</x:v>
      </x:c>
      <x:c r="G441" s="2" t="str">
        <x:v>w_a748f14f1dc74403</x:v>
      </x:c>
      <x:c r="H441" s="2" t="str">
        <x:v>しばしば</x:v>
      </x:c>
      <x:c r="I441" s="2" t="str">
        <x:v>しばしば</x:v>
      </x:c>
      <x:c r="J441" s="8" t="str">
        <x:v>자주, 다시 다시</x:v>
      </x:c>
      <x:c r="K441" s="2" t="str">
        <x:v>adverb</x:v>
      </x:c>
      <x:c r="L441" s="9" t="n">
        <x:v>3.98</x:v>
      </x:c>
      <x:c r="M441" s="2" t="str">
        <x:v>없음</x:v>
      </x:c>
      <x:c r="N441" s="11" t="n">
        <x:v>23</x:v>
      </x:c>
      <x:c r="O441" s="8" t="str">
        <x:v>검증된 예문 없음; JMdict 우선 어휘 표지 없음; 기존 데이터의 한국어 콘텐츠 보강 필요 태그</x:v>
      </x:c>
      <x:c r="P441" s="8" t="str">
        <x:v>no_example,no_jmdict_priority,weak_legacy_content</x:v>
      </x:c>
      <x:c r="Q441" s="2" t="str"/>
      <x:c r="R441" s="2" t="str"/>
      <x:c r="S441" s="2" t="str"/>
      <x:c r="T441" s="2" t="str"/>
      <x:c r="U441" s="2" t="str"/>
      <x:c r="V441" s="2" t="str">
        <x:v>아니오</x:v>
      </x:c>
      <x:c r="W441" s="2" t="str">
        <x:v>예</x:v>
      </x:c>
      <x:c r="X441" s="2" t="str"/>
      <x:c r="Y441" s="2" t="n">
        <x:v>0</x:v>
      </x:c>
      <x:c r="Z441" s="2" t="str"/>
      <x:c r="AA441" s="2" t="n">
        <x:v>0</x:v>
      </x:c>
      <x:c r="AB441" s="8" t="str">
        <x:v>onomatopoeic or mimetic word</x:v>
      </x:c>
      <x:c r="AC441" s="8" t="str"/>
      <x:c r="AD441" s="8" t="str">
        <x:v>["draft-ko-missing"]</x:v>
      </x:c>
      <x:c r="AE441" s="8" t="str">
        <x:v>검토 필요</x:v>
      </x:c>
      <x:c r="AF441" s="8" t="str"/>
    </x:row>
    <x:row r="442">
      <x:c r="A442" s="10" t="n">
        <x:v>441</x:v>
      </x:c>
      <x:c r="B442" s="2" t="str">
        <x:v>2차 보류</x:v>
      </x:c>
      <x:c r="C442" s="2" t="str">
        <x:v>2차 보류</x:v>
      </x:c>
      <x:c r="D442" s="2" t="str">
        <x:v>낮음</x:v>
      </x:c>
      <x:c r="E442" s="2" t="str">
        <x:v>N1</x:v>
      </x:c>
      <x:c r="F442" s="10" t="n">
        <x:v>173</x:v>
      </x:c>
      <x:c r="G442" s="2" t="str">
        <x:v>w_306e7e2e4af2935b</x:v>
      </x:c>
      <x:c r="H442" s="2" t="str">
        <x:v>玩具</x:v>
      </x:c>
      <x:c r="I442" s="2" t="str">
        <x:v>がんぐ</x:v>
      </x:c>
      <x:c r="J442" s="8" t="str">
        <x:v>장난감</x:v>
      </x:c>
      <x:c r="K442" s="2" t="str">
        <x:v>noun</x:v>
      </x:c>
      <x:c r="L442" s="9" t="n">
        <x:v>3.99</x:v>
      </x:c>
      <x:c r="M442" s="2" t="str">
        <x:v>없음</x:v>
      </x:c>
      <x:c r="N442" s="11" t="n">
        <x:v>23</x:v>
      </x:c>
      <x:c r="O442" s="8" t="str">
        <x:v>검증된 예문 없음; JMdict 우선 어휘 표지 없음; 기존 데이터의 한국어 콘텐츠 보강 필요 태그</x:v>
      </x:c>
      <x:c r="P442" s="8" t="str">
        <x:v>no_example,no_jmdict_priority,weak_legacy_content</x:v>
      </x:c>
      <x:c r="Q442" s="2" t="str"/>
      <x:c r="R442" s="2" t="str"/>
      <x:c r="S442" s="2" t="str"/>
      <x:c r="T442" s="2" t="str"/>
      <x:c r="U442" s="2" t="str"/>
      <x:c r="V442" s="2" t="str">
        <x:v>아니오</x:v>
      </x:c>
      <x:c r="W442" s="2" t="str">
        <x:v>예</x:v>
      </x:c>
      <x:c r="X442" s="2" t="str"/>
      <x:c r="Y442" s="2" t="n">
        <x:v>0</x:v>
      </x:c>
      <x:c r="Z442" s="2" t="str"/>
      <x:c r="AA442" s="2" t="n">
        <x:v>0</x:v>
      </x:c>
      <x:c r="AB442" s="8" t="str"/>
      <x:c r="AC442" s="8" t="str"/>
      <x:c r="AD442" s="8" t="str">
        <x:v>["draft-ko-missing"]</x:v>
      </x:c>
      <x:c r="AE442" s="8" t="str">
        <x:v>검토 필요</x:v>
      </x:c>
      <x:c r="AF442" s="8" t="str"/>
    </x:row>
    <x:row r="443">
      <x:c r="A443" s="10" t="n">
        <x:v>442</x:v>
      </x:c>
      <x:c r="B443" s="2" t="str">
        <x:v>2차 보류</x:v>
      </x:c>
      <x:c r="C443" s="2" t="str">
        <x:v>2차 보류</x:v>
      </x:c>
      <x:c r="D443" s="2" t="str">
        <x:v>낮음</x:v>
      </x:c>
      <x:c r="E443" s="2" t="str">
        <x:v>N1</x:v>
      </x:c>
      <x:c r="F443" s="10" t="n">
        <x:v>174</x:v>
      </x:c>
      <x:c r="G443" s="2" t="str">
        <x:v>w_61d9ca79f7ebd30f</x:v>
      </x:c>
      <x:c r="H443" s="2" t="str">
        <x:v>故</x:v>
      </x:c>
      <x:c r="I443" s="2" t="str">
        <x:v>ゆえ</x:v>
      </x:c>
      <x:c r="J443" s="8" t="str">
        <x:v>까닭, 이유</x:v>
      </x:c>
      <x:c r="K443" s="2" t="str">
        <x:v>noun</x:v>
      </x:c>
      <x:c r="L443" s="9" t="n">
        <x:v>4.02</x:v>
      </x:c>
      <x:c r="M443" s="2" t="str">
        <x:v>없음</x:v>
      </x:c>
      <x:c r="N443" s="11" t="n">
        <x:v>23</x:v>
      </x:c>
      <x:c r="O443" s="8" t="str">
        <x:v>검증된 예문 없음; JMdict 우선 어휘 표지 없음; 기존 데이터의 한국어 콘텐츠 보강 필요 태그</x:v>
      </x:c>
      <x:c r="P443" s="8" t="str">
        <x:v>no_example,no_jmdict_priority,weak_legacy_content</x:v>
      </x:c>
      <x:c r="Q443" s="2" t="str"/>
      <x:c r="R443" s="2" t="str"/>
      <x:c r="S443" s="2" t="str"/>
      <x:c r="T443" s="2" t="str"/>
      <x:c r="U443" s="2" t="str"/>
      <x:c r="V443" s="2" t="str">
        <x:v>아니오</x:v>
      </x:c>
      <x:c r="W443" s="2" t="str">
        <x:v>예</x:v>
      </x:c>
      <x:c r="X443" s="2" t="str"/>
      <x:c r="Y443" s="2" t="n">
        <x:v>0</x:v>
      </x:c>
      <x:c r="Z443" s="2" t="str"/>
      <x:c r="AA443" s="2" t="n">
        <x:v>0</x:v>
      </x:c>
      <x:c r="AB443" s="8" t="str">
        <x:v>word usually written using kana alone</x:v>
      </x:c>
      <x:c r="AC443" s="8" t="str"/>
      <x:c r="AD443" s="8" t="str">
        <x:v>["draft-ko-missing"]</x:v>
      </x:c>
      <x:c r="AE443" s="8" t="str">
        <x:v>검토 필요</x:v>
      </x:c>
      <x:c r="AF443" s="8" t="str"/>
    </x:row>
    <x:row r="444">
      <x:c r="A444" s="10" t="n">
        <x:v>443</x:v>
      </x:c>
      <x:c r="B444" s="2" t="str">
        <x:v>2차 보류</x:v>
      </x:c>
      <x:c r="C444" s="2" t="str">
        <x:v>2차 보류</x:v>
      </x:c>
      <x:c r="D444" s="2" t="str">
        <x:v>낮음</x:v>
      </x:c>
      <x:c r="E444" s="2" t="str">
        <x:v>N2</x:v>
      </x:c>
      <x:c r="F444" s="10" t="n">
        <x:v>166</x:v>
      </x:c>
      <x:c r="G444" s="2" t="str">
        <x:v>w_c4cb4233bcc47f0a</x:v>
      </x:c>
      <x:c r="H444" s="2" t="str">
        <x:v>いちいち</x:v>
      </x:c>
      <x:c r="I444" s="2" t="str">
        <x:v>いちいち</x:v>
      </x:c>
      <x:c r="J444" s="8" t="str">
        <x:v>하나 에 의해 하나, 따로</x:v>
      </x:c>
      <x:c r="K444" s="2" t="str">
        <x:v>noun</x:v>
      </x:c>
      <x:c r="L444" s="9" t="n">
        <x:v>4.03</x:v>
      </x:c>
      <x:c r="M444" s="2" t="str">
        <x:v>없음</x:v>
      </x:c>
      <x:c r="N444" s="11" t="n">
        <x:v>23</x:v>
      </x:c>
      <x:c r="O444" s="8" t="str">
        <x:v>검증된 예문 없음; JMdict 우선 어휘 표지 없음; 기존 데이터의 한국어 콘텐츠 보강 필요 태그</x:v>
      </x:c>
      <x:c r="P444" s="8" t="str">
        <x:v>no_example,no_jmdict_priority,weak_legacy_content</x:v>
      </x:c>
      <x:c r="Q444" s="2" t="str"/>
      <x:c r="R444" s="2" t="str"/>
      <x:c r="S444" s="2" t="str"/>
      <x:c r="T444" s="2" t="str"/>
      <x:c r="U444" s="2" t="str"/>
      <x:c r="V444" s="2" t="str">
        <x:v>아니오</x:v>
      </x:c>
      <x:c r="W444" s="2" t="str">
        <x:v>아니오</x:v>
      </x:c>
      <x:c r="X444" s="2" t="str"/>
      <x:c r="Y444" s="2" t="n">
        <x:v>0</x:v>
      </x:c>
      <x:c r="Z444" s="2" t="str"/>
      <x:c r="AA444" s="2" t="n">
        <x:v>0</x:v>
      </x:c>
      <x:c r="AB444" s="8" t="str"/>
      <x:c r="AC444" s="8" t="str"/>
      <x:c r="AD444" s="8" t="str">
        <x:v>["draft-ko-missing"]</x:v>
      </x:c>
      <x:c r="AE444" s="8" t="str">
        <x:v>검토 필요</x:v>
      </x:c>
      <x:c r="AF444" s="8" t="str"/>
    </x:row>
    <x:row r="445">
      <x:c r="A445" s="10" t="n">
        <x:v>444</x:v>
      </x:c>
      <x:c r="B445" s="2" t="str">
        <x:v>2차 보류</x:v>
      </x:c>
      <x:c r="C445" s="2" t="str">
        <x:v>2차 보류</x:v>
      </x:c>
      <x:c r="D445" s="2" t="str">
        <x:v>낮음</x:v>
      </x:c>
      <x:c r="E445" s="2" t="str">
        <x:v>N2</x:v>
      </x:c>
      <x:c r="F445" s="10" t="n">
        <x:v>167</x:v>
      </x:c>
      <x:c r="G445" s="2" t="str">
        <x:v>w_96b8135551933035</x:v>
      </x:c>
      <x:c r="H445" s="2" t="str">
        <x:v>ただいま</x:v>
      </x:c>
      <x:c r="I445" s="2" t="str">
        <x:v>ただいま</x:v>
      </x:c>
      <x:c r="J445" s="8" t="str">
        <x:v>다녀왔습니다; 지금</x:v>
      </x:c>
      <x:c r="K445" s="2" t="str">
        <x:v>interjection</x:v>
      </x:c>
      <x:c r="L445" s="9" t="n">
        <x:v>4.05</x:v>
      </x:c>
      <x:c r="M445" s="2" t="str">
        <x:v>없음</x:v>
      </x:c>
      <x:c r="N445" s="11" t="n">
        <x:v>23</x:v>
      </x:c>
      <x:c r="O445" s="8" t="str">
        <x:v>검증된 예문 없음; JMdict 우선 어휘 표지 없음; 기존 데이터의 한국어 콘텐츠 보강 필요 태그</x:v>
      </x:c>
      <x:c r="P445" s="8" t="str">
        <x:v>no_example,no_jmdict_priority,weak_legacy_content</x:v>
      </x:c>
      <x:c r="Q445" s="2" t="str"/>
      <x:c r="R445" s="2" t="str"/>
      <x:c r="S445" s="2" t="str"/>
      <x:c r="T445" s="2" t="str"/>
      <x:c r="U445" s="2" t="str"/>
      <x:c r="V445" s="2" t="str">
        <x:v>아니오</x:v>
      </x:c>
      <x:c r="W445" s="2" t="str">
        <x:v>아니오</x:v>
      </x:c>
      <x:c r="X445" s="2" t="str"/>
      <x:c r="Y445" s="2" t="n">
        <x:v>0</x:v>
      </x:c>
      <x:c r="Z445" s="2" t="str"/>
      <x:c r="AA445" s="2" t="n">
        <x:v>0</x:v>
      </x:c>
      <x:c r="AB445" s="8" t="str"/>
      <x:c r="AC445" s="8" t="str"/>
      <x:c r="AD445" s="8" t="str">
        <x:v>["draft-ko-missing"]</x:v>
      </x:c>
      <x:c r="AE445" s="8" t="str">
        <x:v>검토 필요</x:v>
      </x:c>
      <x:c r="AF445" s="8" t="str"/>
    </x:row>
    <x:row r="446">
      <x:c r="A446" s="10" t="n">
        <x:v>445</x:v>
      </x:c>
      <x:c r="B446" s="2" t="str">
        <x:v>2차 보류</x:v>
      </x:c>
      <x:c r="C446" s="2" t="str">
        <x:v>2차 보류</x:v>
      </x:c>
      <x:c r="D446" s="2" t="str">
        <x:v>낮음</x:v>
      </x:c>
      <x:c r="E446" s="2" t="str">
        <x:v>N2</x:v>
      </x:c>
      <x:c r="F446" s="10" t="n">
        <x:v>168</x:v>
      </x:c>
      <x:c r="G446" s="2" t="str">
        <x:v>w_e27d31e0e8e360af</x:v>
      </x:c>
      <x:c r="H446" s="2" t="str">
        <x:v>こないだ</x:v>
      </x:c>
      <x:c r="I446" s="2" t="str">
        <x:v>こないだ</x:v>
      </x:c>
      <x:c r="J446" s="8" t="str">
        <x:v>요전, 지난번</x:v>
      </x:c>
      <x:c r="K446" s="2" t="str">
        <x:v>noun</x:v>
      </x:c>
      <x:c r="L446" s="9" t="n">
        <x:v>4.08</x:v>
      </x:c>
      <x:c r="M446" s="2" t="str">
        <x:v>없음</x:v>
      </x:c>
      <x:c r="N446" s="11" t="n">
        <x:v>23</x:v>
      </x:c>
      <x:c r="O446" s="8" t="str">
        <x:v>검증된 예문 없음; JMdict 우선 어휘 표지 없음; 기존 데이터의 한국어 콘텐츠 보강 필요 태그</x:v>
      </x:c>
      <x:c r="P446" s="8" t="str">
        <x:v>no_example,no_jmdict_priority,weak_legacy_content</x:v>
      </x:c>
      <x:c r="Q446" s="2" t="str"/>
      <x:c r="R446" s="2" t="str"/>
      <x:c r="S446" s="2" t="str"/>
      <x:c r="T446" s="2" t="str"/>
      <x:c r="U446" s="2" t="str"/>
      <x:c r="V446" s="2" t="str">
        <x:v>아니오</x:v>
      </x:c>
      <x:c r="W446" s="2" t="str">
        <x:v>아니오</x:v>
      </x:c>
      <x:c r="X446" s="2" t="str"/>
      <x:c r="Y446" s="2" t="n">
        <x:v>0</x:v>
      </x:c>
      <x:c r="Z446" s="2" t="str"/>
      <x:c r="AA446" s="2" t="n">
        <x:v>0</x:v>
      </x:c>
      <x:c r="AB446" s="8" t="str"/>
      <x:c r="AC446" s="8" t="str"/>
      <x:c r="AD446" s="8" t="str">
        <x:v>["draft-ko-missing"]</x:v>
      </x:c>
      <x:c r="AE446" s="8" t="str">
        <x:v>검토 필요</x:v>
      </x:c>
      <x:c r="AF446" s="8" t="str"/>
    </x:row>
    <x:row r="447">
      <x:c r="A447" s="10" t="n">
        <x:v>446</x:v>
      </x:c>
      <x:c r="B447" s="2" t="str">
        <x:v>2차 보류</x:v>
      </x:c>
      <x:c r="C447" s="2" t="str">
        <x:v>2차 보류</x:v>
      </x:c>
      <x:c r="D447" s="2" t="str">
        <x:v>낮음</x:v>
      </x:c>
      <x:c r="E447" s="2" t="str">
        <x:v>N3</x:v>
      </x:c>
      <x:c r="F447" s="10" t="n">
        <x:v>61</x:v>
      </x:c>
      <x:c r="G447" s="2" t="str">
        <x:v>w_966f45a36d366db2</x:v>
      </x:c>
      <x:c r="H447" s="2" t="str">
        <x:v>あちこち</x:v>
      </x:c>
      <x:c r="I447" s="2" t="str">
        <x:v>あちこち</x:v>
      </x:c>
      <x:c r="J447" s="8" t="str">
        <x:v>여기저기</x:v>
      </x:c>
      <x:c r="K447" s="2" t="str">
        <x:v>pronoun</x:v>
      </x:c>
      <x:c r="L447" s="9" t="n">
        <x:v>4.09</x:v>
      </x:c>
      <x:c r="M447" s="2" t="str">
        <x:v>없음</x:v>
      </x:c>
      <x:c r="N447" s="11" t="n">
        <x:v>23</x:v>
      </x:c>
      <x:c r="O447" s="8" t="str">
        <x:v>검증된 예문 없음; JMdict 우선 어휘 표지 없음; 기존 데이터의 한국어 콘텐츠 보강 필요 태그</x:v>
      </x:c>
      <x:c r="P447" s="8" t="str">
        <x:v>no_example,no_jmdict_priority,weak_legacy_content</x:v>
      </x:c>
      <x:c r="Q447" s="2" t="str"/>
      <x:c r="R447" s="2" t="str"/>
      <x:c r="S447" s="2" t="str"/>
      <x:c r="T447" s="2" t="str"/>
      <x:c r="U447" s="2" t="str"/>
      <x:c r="V447" s="2" t="str">
        <x:v>아니오</x:v>
      </x:c>
      <x:c r="W447" s="2" t="str">
        <x:v>아니오</x:v>
      </x:c>
      <x:c r="X447" s="2" t="str"/>
      <x:c r="Y447" s="2" t="n">
        <x:v>0</x:v>
      </x:c>
      <x:c r="Z447" s="2" t="str"/>
      <x:c r="AA447" s="2" t="n">
        <x:v>0</x:v>
      </x:c>
      <x:c r="AB447" s="8" t="str"/>
      <x:c r="AC447" s="8" t="str"/>
      <x:c r="AD447" s="8" t="str">
        <x:v>["draft-ko-missing"]</x:v>
      </x:c>
      <x:c r="AE447" s="8" t="str">
        <x:v>검토 필요</x:v>
      </x:c>
      <x:c r="AF447" s="8" t="str"/>
    </x:row>
    <x:row r="448">
      <x:c r="A448" s="10" t="n">
        <x:v>447</x:v>
      </x:c>
      <x:c r="B448" s="2" t="str">
        <x:v>2차 보류</x:v>
      </x:c>
      <x:c r="C448" s="2" t="str">
        <x:v>2차 보류</x:v>
      </x:c>
      <x:c r="D448" s="2" t="str">
        <x:v>낮음</x:v>
      </x:c>
      <x:c r="E448" s="2" t="str">
        <x:v>N3</x:v>
      </x:c>
      <x:c r="F448" s="10" t="n">
        <x:v>62</x:v>
      </x:c>
      <x:c r="G448" s="2" t="str">
        <x:v>w_f7ff8b934526cfbf</x:v>
      </x:c>
      <x:c r="H448" s="2" t="str">
        <x:v>密</x:v>
      </x:c>
      <x:c r="I448" s="2" t="str">
        <x:v>みつ</x:v>
      </x:c>
      <x:c r="J448" s="8" t="str">
        <x:v>빽빽함, 밀접함</x:v>
      </x:c>
      <x:c r="K448" s="2" t="str">
        <x:v>adjective</x:v>
      </x:c>
      <x:c r="L448" s="9" t="n">
        <x:v>4.1</x:v>
      </x:c>
      <x:c r="M448" s="2" t="str">
        <x:v>없음</x:v>
      </x:c>
      <x:c r="N448" s="11" t="n">
        <x:v>23</x:v>
      </x:c>
      <x:c r="O448" s="8" t="str">
        <x:v>검증된 예문 없음; JMdict 우선 어휘 표지 없음; 기존 데이터의 한국어 콘텐츠 보강 필요 태그</x:v>
      </x:c>
      <x:c r="P448" s="8" t="str">
        <x:v>no_example,no_jmdict_priority,weak_legacy_content</x:v>
      </x:c>
      <x:c r="Q448" s="2" t="str"/>
      <x:c r="R448" s="2" t="str"/>
      <x:c r="S448" s="2" t="str"/>
      <x:c r="T448" s="2" t="str"/>
      <x:c r="U448" s="2" t="str"/>
      <x:c r="V448" s="2" t="str">
        <x:v>아니오</x:v>
      </x:c>
      <x:c r="W448" s="2" t="str">
        <x:v>예</x:v>
      </x:c>
      <x:c r="X448" s="2" t="str"/>
      <x:c r="Y448" s="2" t="n">
        <x:v>0</x:v>
      </x:c>
      <x:c r="Z448" s="2" t="str"/>
      <x:c r="AA448" s="2" t="n">
        <x:v>0</x:v>
      </x:c>
      <x:c r="AB448" s="8" t="str">
        <x:v>abbreviation</x:v>
      </x:c>
      <x:c r="AC448" s="8" t="str"/>
      <x:c r="AD448" s="8" t="str">
        <x:v>["draft-ko-missing"]</x:v>
      </x:c>
      <x:c r="AE448" s="8" t="str">
        <x:v>검토 필요</x:v>
      </x:c>
      <x:c r="AF448" s="8" t="str"/>
    </x:row>
    <x:row r="449">
      <x:c r="A449" s="10" t="n">
        <x:v>448</x:v>
      </x:c>
      <x:c r="B449" s="2" t="str">
        <x:v>2차 보류</x:v>
      </x:c>
      <x:c r="C449" s="2" t="str">
        <x:v>2차 보류</x:v>
      </x:c>
      <x:c r="D449" s="2" t="str">
        <x:v>낮음</x:v>
      </x:c>
      <x:c r="E449" s="2" t="str">
        <x:v>N3</x:v>
      </x:c>
      <x:c r="F449" s="10" t="n">
        <x:v>63</x:v>
      </x:c>
      <x:c r="G449" s="2" t="str">
        <x:v>w_bb0e4760b8f1abb5</x:v>
      </x:c>
      <x:c r="H449" s="2" t="str">
        <x:v>やがて</x:v>
      </x:c>
      <x:c r="I449" s="2" t="str">
        <x:v>やがて</x:v>
      </x:c>
      <x:c r="J449" s="8" t="str">
        <x:v>이윽고, 머지않아</x:v>
      </x:c>
      <x:c r="K449" s="2" t="str">
        <x:v>adverb</x:v>
      </x:c>
      <x:c r="L449" s="9" t="n">
        <x:v>4.14</x:v>
      </x:c>
      <x:c r="M449" s="2" t="str">
        <x:v>없음</x:v>
      </x:c>
      <x:c r="N449" s="11" t="n">
        <x:v>23</x:v>
      </x:c>
      <x:c r="O449" s="8" t="str">
        <x:v>검증된 예문 없음; JMdict 우선 어휘 표지 없음; 기존 데이터의 한국어 콘텐츠 보강 필요 태그</x:v>
      </x:c>
      <x:c r="P449" s="8" t="str">
        <x:v>no_example,no_jmdict_priority,weak_legacy_content</x:v>
      </x:c>
      <x:c r="Q449" s="2" t="str"/>
      <x:c r="R449" s="2" t="str"/>
      <x:c r="S449" s="2" t="str"/>
      <x:c r="T449" s="2" t="str"/>
      <x:c r="U449" s="2" t="str"/>
      <x:c r="V449" s="2" t="str">
        <x:v>아니오</x:v>
      </x:c>
      <x:c r="W449" s="2" t="str">
        <x:v>아니오</x:v>
      </x:c>
      <x:c r="X449" s="2" t="str"/>
      <x:c r="Y449" s="2" t="n">
        <x:v>0</x:v>
      </x:c>
      <x:c r="Z449" s="2" t="str"/>
      <x:c r="AA449" s="2" t="n">
        <x:v>0</x:v>
      </x:c>
      <x:c r="AB449" s="8" t="str"/>
      <x:c r="AC449" s="8" t="str"/>
      <x:c r="AD449" s="8" t="str">
        <x:v>["draft-ko-missing"]</x:v>
      </x:c>
      <x:c r="AE449" s="8" t="str">
        <x:v>검토 필요</x:v>
      </x:c>
      <x:c r="AF449" s="8" t="str"/>
    </x:row>
    <x:row r="450">
      <x:c r="A450" s="10" t="n">
        <x:v>449</x:v>
      </x:c>
      <x:c r="B450" s="2" t="str">
        <x:v>2차 보류</x:v>
      </x:c>
      <x:c r="C450" s="2" t="str">
        <x:v>2차 보류</x:v>
      </x:c>
      <x:c r="D450" s="2" t="str">
        <x:v>낮음</x:v>
      </x:c>
      <x:c r="E450" s="2" t="str">
        <x:v>N2</x:v>
      </x:c>
      <x:c r="F450" s="10" t="n">
        <x:v>169</x:v>
      </x:c>
      <x:c r="G450" s="2" t="str">
        <x:v>w_1b8e13af3bb28051</x:v>
      </x:c>
      <x:c r="H450" s="2" t="str">
        <x:v>おまちどおさま</x:v>
      </x:c>
      <x:c r="I450" s="2" t="str">
        <x:v>おまちどおさま</x:v>
      </x:c>
      <x:c r="J450" s="8" t="str">
        <x:v>미안한 가지다, 있다 유지된 당신, 너 기다리다</x:v>
      </x:c>
      <x:c r="K450" s="2" t="str">
        <x:v>expression</x:v>
      </x:c>
      <x:c r="L450" s="9" t="n">
        <x:v>4.15</x:v>
      </x:c>
      <x:c r="M450" s="2" t="str">
        <x:v>없음</x:v>
      </x:c>
      <x:c r="N450" s="11" t="n">
        <x:v>23</x:v>
      </x:c>
      <x:c r="O450" s="8" t="str">
        <x:v>검증된 예문 없음; JMdict 우선 어휘 표지 없음; 기존 데이터의 한국어 콘텐츠 보강 필요 태그</x:v>
      </x:c>
      <x:c r="P450" s="8" t="str">
        <x:v>no_example,no_jmdict_priority,weak_legacy_content</x:v>
      </x:c>
      <x:c r="Q450" s="2" t="str"/>
      <x:c r="R450" s="2" t="str"/>
      <x:c r="S450" s="2" t="str"/>
      <x:c r="T450" s="2" t="str"/>
      <x:c r="U450" s="2" t="str"/>
      <x:c r="V450" s="2" t="str">
        <x:v>아니오</x:v>
      </x:c>
      <x:c r="W450" s="2" t="str">
        <x:v>아니오</x:v>
      </x:c>
      <x:c r="X450" s="2" t="str"/>
      <x:c r="Y450" s="2" t="n">
        <x:v>0</x:v>
      </x:c>
      <x:c r="Z450" s="2" t="str"/>
      <x:c r="AA450" s="2" t="n">
        <x:v>0</x:v>
      </x:c>
      <x:c r="AB450" s="8" t="str"/>
      <x:c r="AC450" s="8" t="str"/>
      <x:c r="AD450" s="8" t="str">
        <x:v>["draft-ko-missing"]</x:v>
      </x:c>
      <x:c r="AE450" s="8" t="str">
        <x:v>검토 필요</x:v>
      </x:c>
      <x:c r="AF450" s="8" t="str"/>
    </x:row>
    <x:row r="451">
      <x:c r="A451" s="10" t="n">
        <x:v>450</x:v>
      </x:c>
      <x:c r="B451" s="2" t="str">
        <x:v>2차 보류</x:v>
      </x:c>
      <x:c r="C451" s="2" t="str">
        <x:v>2차 보류</x:v>
      </x:c>
      <x:c r="D451" s="2" t="str">
        <x:v>낮음</x:v>
      </x:c>
      <x:c r="E451" s="2" t="str">
        <x:v>N3</x:v>
      </x:c>
      <x:c r="F451" s="10" t="n">
        <x:v>64</x:v>
      </x:c>
      <x:c r="G451" s="2" t="str">
        <x:v>w_e66a2fdb4f75789d</x:v>
      </x:c>
      <x:c r="H451" s="2" t="str">
        <x:v>すなわち</x:v>
      </x:c>
      <x:c r="I451" s="2" t="str">
        <x:v>すなわち</x:v>
      </x:c>
      <x:c r="J451" s="8" t="str">
        <x:v>즉</x:v>
      </x:c>
      <x:c r="K451" s="2" t="str">
        <x:v>conjunction</x:v>
      </x:c>
      <x:c r="L451" s="9" t="n">
        <x:v>4.16</x:v>
      </x:c>
      <x:c r="M451" s="2" t="str">
        <x:v>없음</x:v>
      </x:c>
      <x:c r="N451" s="11" t="n">
        <x:v>23</x:v>
      </x:c>
      <x:c r="O451" s="8" t="str">
        <x:v>검증된 예문 없음; JMdict 우선 어휘 표지 없음; 기존 데이터의 한국어 콘텐츠 보강 필요 태그</x:v>
      </x:c>
      <x:c r="P451" s="8" t="str">
        <x:v>no_example,no_jmdict_priority,weak_legacy_content</x:v>
      </x:c>
      <x:c r="Q451" s="2" t="str"/>
      <x:c r="R451" s="2" t="str"/>
      <x:c r="S451" s="2" t="str"/>
      <x:c r="T451" s="2" t="str"/>
      <x:c r="U451" s="2" t="str"/>
      <x:c r="V451" s="2" t="str">
        <x:v>아니오</x:v>
      </x:c>
      <x:c r="W451" s="2" t="str">
        <x:v>아니오</x:v>
      </x:c>
      <x:c r="X451" s="2" t="str"/>
      <x:c r="Y451" s="2" t="n">
        <x:v>0</x:v>
      </x:c>
      <x:c r="Z451" s="2" t="str"/>
      <x:c r="AA451" s="2" t="n">
        <x:v>0</x:v>
      </x:c>
      <x:c r="AB451" s="8" t="str"/>
      <x:c r="AC451" s="8" t="str"/>
      <x:c r="AD451" s="8" t="str">
        <x:v>["draft-ko-missing"]</x:v>
      </x:c>
      <x:c r="AE451" s="8" t="str">
        <x:v>검토 필요</x:v>
      </x:c>
      <x:c r="AF451" s="8" t="str"/>
    </x:row>
    <x:row r="452">
      <x:c r="A452" s="10" t="n">
        <x:v>451</x:v>
      </x:c>
      <x:c r="B452" s="2" t="str">
        <x:v>2차 보류</x:v>
      </x:c>
      <x:c r="C452" s="2" t="str">
        <x:v>2차 보류</x:v>
      </x:c>
      <x:c r="D452" s="2" t="str">
        <x:v>낮음</x:v>
      </x:c>
      <x:c r="E452" s="2" t="str">
        <x:v>N2</x:v>
      </x:c>
      <x:c r="F452" s="10" t="n">
        <x:v>170</x:v>
      </x:c>
      <x:c r="G452" s="2" t="str">
        <x:v>w_02c1921b2f224dc5</x:v>
      </x:c>
      <x:c r="H452" s="2" t="str">
        <x:v>ともかく</x:v>
      </x:c>
      <x:c r="I452" s="2" t="str">
        <x:v>ともかく</x:v>
      </x:c>
      <x:c r="J452" s="8" t="str">
        <x:v>어쨌든, 에서 어떤, 아무 비율, 요금</x:v>
      </x:c>
      <x:c r="K452" s="2" t="str">
        <x:v>adverb</x:v>
      </x:c>
      <x:c r="L452" s="9" t="n">
        <x:v>4.17</x:v>
      </x:c>
      <x:c r="M452" s="2" t="str">
        <x:v>없음</x:v>
      </x:c>
      <x:c r="N452" s="11" t="n">
        <x:v>23</x:v>
      </x:c>
      <x:c r="O452" s="8" t="str">
        <x:v>검증된 예문 없음; JMdict 우선 어휘 표지 없음; 기존 데이터의 한국어 콘텐츠 보강 필요 태그</x:v>
      </x:c>
      <x:c r="P452" s="8" t="str">
        <x:v>no_example,no_jmdict_priority,weak_legacy_content</x:v>
      </x:c>
      <x:c r="Q452" s="2" t="str"/>
      <x:c r="R452" s="2" t="str"/>
      <x:c r="S452" s="2" t="str"/>
      <x:c r="T452" s="2" t="str"/>
      <x:c r="U452" s="2" t="str"/>
      <x:c r="V452" s="2" t="str">
        <x:v>아니오</x:v>
      </x:c>
      <x:c r="W452" s="2" t="str">
        <x:v>아니오</x:v>
      </x:c>
      <x:c r="X452" s="2" t="str"/>
      <x:c r="Y452" s="2" t="n">
        <x:v>0</x:v>
      </x:c>
      <x:c r="Z452" s="2" t="str"/>
      <x:c r="AA452" s="2" t="n">
        <x:v>0</x:v>
      </x:c>
      <x:c r="AB452" s="8" t="str"/>
      <x:c r="AC452" s="8" t="str"/>
      <x:c r="AD452" s="8" t="str">
        <x:v>["draft-ko-missing"]</x:v>
      </x:c>
      <x:c r="AE452" s="8" t="str">
        <x:v>검토 필요</x:v>
      </x:c>
      <x:c r="AF452" s="8" t="str"/>
    </x:row>
    <x:row r="453">
      <x:c r="A453" s="10" t="n">
        <x:v>452</x:v>
      </x:c>
      <x:c r="B453" s="2" t="str">
        <x:v>2차 보류</x:v>
      </x:c>
      <x:c r="C453" s="2" t="str">
        <x:v>2차 보류</x:v>
      </x:c>
      <x:c r="D453" s="2" t="str">
        <x:v>낮음</x:v>
      </x:c>
      <x:c r="E453" s="2" t="str">
        <x:v>N2</x:v>
      </x:c>
      <x:c r="F453" s="10" t="n">
        <x:v>171</x:v>
      </x:c>
      <x:c r="G453" s="2" t="str">
        <x:v>w_c946987b5631709a</x:v>
      </x:c>
      <x:c r="H453" s="2" t="str">
        <x:v>ゴム</x:v>
      </x:c>
      <x:c r="I453" s="2" t="str">
        <x:v>ゴム</x:v>
      </x:c>
      <x:c r="J453" s="8" t="str">
        <x:v>고무</x:v>
      </x:c>
      <x:c r="K453" s="2" t="str">
        <x:v>noun</x:v>
      </x:c>
      <x:c r="L453" s="9" t="n">
        <x:v>4.18</x:v>
      </x:c>
      <x:c r="M453" s="2" t="str">
        <x:v>없음</x:v>
      </x:c>
      <x:c r="N453" s="11" t="n">
        <x:v>23</x:v>
      </x:c>
      <x:c r="O453" s="8" t="str">
        <x:v>검증된 예문 없음; JMdict 우선 어휘 표지 없음; 기존 데이터의 한국어 콘텐츠 보강 필요 태그</x:v>
      </x:c>
      <x:c r="P453" s="8" t="str">
        <x:v>no_example,no_jmdict_priority,weak_legacy_content</x:v>
      </x:c>
      <x:c r="Q453" s="2" t="str"/>
      <x:c r="R453" s="2" t="str"/>
      <x:c r="S453" s="2" t="str"/>
      <x:c r="T453" s="2" t="str"/>
      <x:c r="U453" s="2" t="str"/>
      <x:c r="V453" s="2" t="str">
        <x:v>아니오</x:v>
      </x:c>
      <x:c r="W453" s="2" t="str">
        <x:v>아니오</x:v>
      </x:c>
      <x:c r="X453" s="2" t="str"/>
      <x:c r="Y453" s="2" t="n">
        <x:v>0</x:v>
      </x:c>
      <x:c r="Z453" s="2" t="str"/>
      <x:c r="AA453" s="2" t="n">
        <x:v>0</x:v>
      </x:c>
      <x:c r="AB453" s="8" t="str"/>
      <x:c r="AC453" s="8" t="str"/>
      <x:c r="AD453" s="8" t="str">
        <x:v>["draft-ko-missing"]</x:v>
      </x:c>
      <x:c r="AE453" s="8" t="str">
        <x:v>검토 필요</x:v>
      </x:c>
      <x:c r="AF453" s="8" t="str"/>
    </x:row>
    <x:row r="454">
      <x:c r="A454" s="10" t="n">
        <x:v>453</x:v>
      </x:c>
      <x:c r="B454" s="2" t="str">
        <x:v>2차 보류</x:v>
      </x:c>
      <x:c r="C454" s="2" t="str">
        <x:v>2차 보류</x:v>
      </x:c>
      <x:c r="D454" s="2" t="str">
        <x:v>낮음</x:v>
      </x:c>
      <x:c r="E454" s="2" t="str">
        <x:v>N4</x:v>
      </x:c>
      <x:c r="F454" s="10" t="n">
        <x:v>38</x:v>
      </x:c>
      <x:c r="G454" s="2" t="str">
        <x:v>w_91eb3bbc909ca1a6</x:v>
      </x:c>
      <x:c r="H454" s="2" t="str">
        <x:v>いただく</x:v>
      </x:c>
      <x:c r="I454" s="2" t="str">
        <x:v>頂く</x:v>
      </x:c>
      <x:c r="J454" s="8" t="str">
        <x:v>받다/먹다(겸양어)</x:v>
      </x:c>
      <x:c r="K454" s="2" t="str">
        <x:v>verb</x:v>
      </x:c>
      <x:c r="L454" s="9" t="n">
        <x:v>4.19</x:v>
      </x:c>
      <x:c r="M454" s="2" t="str">
        <x:v>없음</x:v>
      </x:c>
      <x:c r="N454" s="11" t="n">
        <x:v>23</x:v>
      </x:c>
      <x:c r="O454" s="8" t="str">
        <x:v>검증된 예문 없음; JMdict 우선 어휘 표지 없음; 기존 데이터의 한국어 콘텐츠 보강 필요 태그</x:v>
      </x:c>
      <x:c r="P454" s="8" t="str">
        <x:v>no_example,no_jmdict_priority,weak_legacy_content</x:v>
      </x:c>
      <x:c r="Q454" s="2" t="str"/>
      <x:c r="R454" s="2" t="str"/>
      <x:c r="S454" s="2" t="str"/>
      <x:c r="T454" s="2" t="str"/>
      <x:c r="U454" s="2" t="str"/>
      <x:c r="V454" s="2" t="str">
        <x:v>아니오</x:v>
      </x:c>
      <x:c r="W454" s="2" t="str">
        <x:v>아니오</x:v>
      </x:c>
      <x:c r="X454" s="2" t="str"/>
      <x:c r="Y454" s="2" t="n">
        <x:v>0</x:v>
      </x:c>
      <x:c r="Z454" s="2" t="str"/>
      <x:c r="AA454" s="2" t="n">
        <x:v>0</x:v>
      </x:c>
      <x:c r="AB454" s="8" t="str"/>
      <x:c r="AC454" s="8" t="str"/>
      <x:c r="AD454" s="8" t="str">
        <x:v>["draft-ko-missing"]</x:v>
      </x:c>
      <x:c r="AE454" s="8" t="str">
        <x:v>검토 필요</x:v>
      </x:c>
      <x:c r="AF454" s="8" t="str"/>
    </x:row>
    <x:row r="455">
      <x:c r="A455" s="10" t="n">
        <x:v>454</x:v>
      </x:c>
      <x:c r="B455" s="2" t="str">
        <x:v>2차 보류</x:v>
      </x:c>
      <x:c r="C455" s="2" t="str">
        <x:v>2차 보류</x:v>
      </x:c>
      <x:c r="D455" s="2" t="str">
        <x:v>낮음</x:v>
      </x:c>
      <x:c r="E455" s="2" t="str">
        <x:v>N3</x:v>
      </x:c>
      <x:c r="F455" s="10" t="n">
        <x:v>65</x:v>
      </x:c>
      <x:c r="G455" s="2" t="str">
        <x:v>w_e54a70b56626a03a</x:v>
      </x:c>
      <x:c r="H455" s="2" t="str">
        <x:v>もしも</x:v>
      </x:c>
      <x:c r="I455" s="2" t="str">
        <x:v>もしも</x:v>
      </x:c>
      <x:c r="J455" s="8" t="str">
        <x:v>만약</x:v>
      </x:c>
      <x:c r="K455" s="2" t="str">
        <x:v>adverb</x:v>
      </x:c>
      <x:c r="L455" s="9" t="n">
        <x:v>4.2</x:v>
      </x:c>
      <x:c r="M455" s="2" t="str">
        <x:v>없음</x:v>
      </x:c>
      <x:c r="N455" s="11" t="n">
        <x:v>23</x:v>
      </x:c>
      <x:c r="O455" s="8" t="str">
        <x:v>검증된 예문 없음; JMdict 우선 어휘 표지 없음; 기존 데이터의 한국어 콘텐츠 보강 필요 태그</x:v>
      </x:c>
      <x:c r="P455" s="8" t="str">
        <x:v>no_example,no_jmdict_priority,weak_legacy_content</x:v>
      </x:c>
      <x:c r="Q455" s="2" t="str"/>
      <x:c r="R455" s="2" t="str"/>
      <x:c r="S455" s="2" t="str"/>
      <x:c r="T455" s="2" t="str"/>
      <x:c r="U455" s="2" t="str"/>
      <x:c r="V455" s="2" t="str">
        <x:v>아니오</x:v>
      </x:c>
      <x:c r="W455" s="2" t="str">
        <x:v>아니오</x:v>
      </x:c>
      <x:c r="X455" s="2" t="str"/>
      <x:c r="Y455" s="2" t="n">
        <x:v>0</x:v>
      </x:c>
      <x:c r="Z455" s="2" t="str"/>
      <x:c r="AA455" s="2" t="n">
        <x:v>0</x:v>
      </x:c>
      <x:c r="AB455" s="8" t="str"/>
      <x:c r="AC455" s="8" t="str"/>
      <x:c r="AD455" s="8" t="str">
        <x:v>["draft-ko-missing"]</x:v>
      </x:c>
      <x:c r="AE455" s="8" t="str">
        <x:v>검토 필요</x:v>
      </x:c>
      <x:c r="AF455" s="8" t="str"/>
    </x:row>
    <x:row r="456">
      <x:c r="A456" s="10" t="n">
        <x:v>455</x:v>
      </x:c>
      <x:c r="B456" s="2" t="str">
        <x:v>2차 보류</x:v>
      </x:c>
      <x:c r="C456" s="2" t="str">
        <x:v>2차 보류</x:v>
      </x:c>
      <x:c r="D456" s="2" t="str">
        <x:v>낮음</x:v>
      </x:c>
      <x:c r="E456" s="2" t="str">
        <x:v>N2</x:v>
      </x:c>
      <x:c r="F456" s="10" t="n">
        <x:v>172</x:v>
      </x:c>
      <x:c r="G456" s="2" t="str">
        <x:v>w_57a011ab09afca76</x:v>
      </x:c>
      <x:c r="H456" s="2" t="str">
        <x:v>すまない</x:v>
      </x:c>
      <x:c r="I456" s="2" t="str">
        <x:v>すまない</x:v>
      </x:c>
      <x:c r="J456" s="8" t="str">
        <x:v>미안하다</x:v>
      </x:c>
      <x:c r="K456" s="2" t="str">
        <x:v>adjective</x:v>
      </x:c>
      <x:c r="L456" s="9" t="n">
        <x:v>4.24</x:v>
      </x:c>
      <x:c r="M456" s="2" t="str">
        <x:v>없음</x:v>
      </x:c>
      <x:c r="N456" s="11" t="n">
        <x:v>23</x:v>
      </x:c>
      <x:c r="O456" s="8" t="str">
        <x:v>검증된 예문 없음; JMdict 우선 어휘 표지 없음; 기존 데이터의 한국어 콘텐츠 보강 필요 태그</x:v>
      </x:c>
      <x:c r="P456" s="8" t="str">
        <x:v>no_example,no_jmdict_priority,weak_legacy_content</x:v>
      </x:c>
      <x:c r="Q456" s="2" t="str"/>
      <x:c r="R456" s="2" t="str"/>
      <x:c r="S456" s="2" t="str"/>
      <x:c r="T456" s="2" t="str"/>
      <x:c r="U456" s="2" t="str"/>
      <x:c r="V456" s="2" t="str">
        <x:v>아니오</x:v>
      </x:c>
      <x:c r="W456" s="2" t="str">
        <x:v>아니오</x:v>
      </x:c>
      <x:c r="X456" s="2" t="str"/>
      <x:c r="Y456" s="2" t="n">
        <x:v>0</x:v>
      </x:c>
      <x:c r="Z456" s="2" t="str"/>
      <x:c r="AA456" s="2" t="n">
        <x:v>0</x:v>
      </x:c>
      <x:c r="AB456" s="8" t="str"/>
      <x:c r="AC456" s="8" t="str"/>
      <x:c r="AD456" s="8" t="str">
        <x:v>["draft-ko-missing"]</x:v>
      </x:c>
      <x:c r="AE456" s="8" t="str">
        <x:v>검토 필요</x:v>
      </x:c>
      <x:c r="AF456" s="8" t="str"/>
    </x:row>
    <x:row r="457">
      <x:c r="A457" s="10" t="n">
        <x:v>456</x:v>
      </x:c>
      <x:c r="B457" s="2" t="str">
        <x:v>2차 보류</x:v>
      </x:c>
      <x:c r="C457" s="2" t="str">
        <x:v>2차 보류</x:v>
      </x:c>
      <x:c r="D457" s="2" t="str">
        <x:v>낮음</x:v>
      </x:c>
      <x:c r="E457" s="2" t="str">
        <x:v>N1</x:v>
      </x:c>
      <x:c r="F457" s="10" t="n">
        <x:v>175</x:v>
      </x:c>
      <x:c r="G457" s="2" t="str">
        <x:v>w_a8b1d7357bf5c843</x:v>
      </x:c>
      <x:c r="H457" s="2" t="str">
        <x:v>いざ</x:v>
      </x:c>
      <x:c r="I457" s="2" t="str">
        <x:v>いざ</x:v>
      </x:c>
      <x:c r="J457" s="8" t="str">
        <x:v>막상; 자, 어서</x:v>
      </x:c>
      <x:c r="K457" s="2" t="str">
        <x:v>adverb</x:v>
      </x:c>
      <x:c r="L457" s="9" t="n">
        <x:v>4.24</x:v>
      </x:c>
      <x:c r="M457" s="2" t="str">
        <x:v>없음</x:v>
      </x:c>
      <x:c r="N457" s="11" t="n">
        <x:v>23</x:v>
      </x:c>
      <x:c r="O457" s="8" t="str">
        <x:v>검증된 예문 없음; JMdict 우선 어휘 표지 없음; 기존 데이터의 한국어 콘텐츠 보강 필요 태그</x:v>
      </x:c>
      <x:c r="P457" s="8" t="str">
        <x:v>no_example,no_jmdict_priority,weak_legacy_content</x:v>
      </x:c>
      <x:c r="Q457" s="2" t="str"/>
      <x:c r="R457" s="2" t="str"/>
      <x:c r="S457" s="2" t="str"/>
      <x:c r="T457" s="2" t="str"/>
      <x:c r="U457" s="2" t="str"/>
      <x:c r="V457" s="2" t="str">
        <x:v>아니오</x:v>
      </x:c>
      <x:c r="W457" s="2" t="str">
        <x:v>예</x:v>
      </x:c>
      <x:c r="X457" s="2" t="str"/>
      <x:c r="Y457" s="2" t="n">
        <x:v>0</x:v>
      </x:c>
      <x:c r="Z457" s="2" t="str"/>
      <x:c r="AA457" s="2" t="n">
        <x:v>0</x:v>
      </x:c>
      <x:c r="AB457" s="8" t="str"/>
      <x:c r="AC457" s="8" t="str"/>
      <x:c r="AD457" s="8" t="str">
        <x:v>["draft-ko-missing"]</x:v>
      </x:c>
      <x:c r="AE457" s="8" t="str">
        <x:v>검토 필요</x:v>
      </x:c>
      <x:c r="AF457" s="8" t="str"/>
    </x:row>
    <x:row r="458">
      <x:c r="A458" s="10" t="n">
        <x:v>457</x:v>
      </x:c>
      <x:c r="B458" s="2" t="str">
        <x:v>2차 보류</x:v>
      </x:c>
      <x:c r="C458" s="2" t="str">
        <x:v>2차 보류</x:v>
      </x:c>
      <x:c r="D458" s="2" t="str">
        <x:v>낮음</x:v>
      </x:c>
      <x:c r="E458" s="2" t="str">
        <x:v>N2</x:v>
      </x:c>
      <x:c r="F458" s="10" t="n">
        <x:v>173</x:v>
      </x:c>
      <x:c r="G458" s="2" t="str">
        <x:v>w_cf2e9e651b239828</x:v>
      </x:c>
      <x:c r="H458" s="2" t="str">
        <x:v>おかまいなく</x:v>
      </x:c>
      <x:c r="I458" s="2" t="str">
        <x:v>おかまいなく</x:v>
      </x:c>
      <x:c r="J458" s="8" t="str">
        <x:v>부디, 제발 하지 않다 소란 넘어, 위에 나를</x:v>
      </x:c>
      <x:c r="K458" s="2" t="str">
        <x:v>expression</x:v>
      </x:c>
      <x:c r="L458" s="9" t="n">
        <x:v>4.26</x:v>
      </x:c>
      <x:c r="M458" s="2" t="str">
        <x:v>없음</x:v>
      </x:c>
      <x:c r="N458" s="11" t="n">
        <x:v>23</x:v>
      </x:c>
      <x:c r="O458" s="8" t="str">
        <x:v>검증된 예문 없음; JMdict 우선 어휘 표지 없음; 기존 데이터의 한국어 콘텐츠 보강 필요 태그</x:v>
      </x:c>
      <x:c r="P458" s="8" t="str">
        <x:v>no_example,no_jmdict_priority,weak_legacy_content</x:v>
      </x:c>
      <x:c r="Q458" s="2" t="str"/>
      <x:c r="R458" s="2" t="str"/>
      <x:c r="S458" s="2" t="str"/>
      <x:c r="T458" s="2" t="str"/>
      <x:c r="U458" s="2" t="str"/>
      <x:c r="V458" s="2" t="str">
        <x:v>아니오</x:v>
      </x:c>
      <x:c r="W458" s="2" t="str">
        <x:v>아니오</x:v>
      </x:c>
      <x:c r="X458" s="2" t="str"/>
      <x:c r="Y458" s="2" t="n">
        <x:v>0</x:v>
      </x:c>
      <x:c r="Z458" s="2" t="str"/>
      <x:c r="AA458" s="2" t="n">
        <x:v>0</x:v>
      </x:c>
      <x:c r="AB458" s="8" t="str"/>
      <x:c r="AC458" s="8" t="str"/>
      <x:c r="AD458" s="8" t="str">
        <x:v>["draft-ko-missing"]</x:v>
      </x:c>
      <x:c r="AE458" s="8" t="str">
        <x:v>검토 필요</x:v>
      </x:c>
      <x:c r="AF458" s="8" t="str"/>
    </x:row>
    <x:row r="459">
      <x:c r="A459" s="10" t="n">
        <x:v>458</x:v>
      </x:c>
      <x:c r="B459" s="2" t="str">
        <x:v>2차 보류</x:v>
      </x:c>
      <x:c r="C459" s="2" t="str">
        <x:v>2차 보류</x:v>
      </x:c>
      <x:c r="D459" s="2" t="str">
        <x:v>낮음</x:v>
      </x:c>
      <x:c r="E459" s="2" t="str">
        <x:v>N4</x:v>
      </x:c>
      <x:c r="F459" s="10" t="n">
        <x:v>39</x:v>
      </x:c>
      <x:c r="G459" s="2" t="str">
        <x:v>w_09596ca95ad863e9</x:v>
      </x:c>
      <x:c r="H459" s="2" t="str">
        <x:v>よろしい</x:v>
      </x:c>
      <x:c r="I459" s="2" t="str">
        <x:v>よろしい</x:v>
      </x:c>
      <x:c r="J459" s="8" t="str">
        <x:v>좋음, 좋은(존대), 괜찮음</x:v>
      </x:c>
      <x:c r="K459" s="2" t="str">
        <x:v>adjective</x:v>
      </x:c>
      <x:c r="L459" s="9" t="n">
        <x:v>4.27</x:v>
      </x:c>
      <x:c r="M459" s="2" t="str">
        <x:v>없음</x:v>
      </x:c>
      <x:c r="N459" s="11" t="n">
        <x:v>23</x:v>
      </x:c>
      <x:c r="O459" s="8" t="str">
        <x:v>검증된 예문 없음; JMdict 우선 어휘 표지 없음; 기존 데이터의 한국어 콘텐츠 보강 필요 태그</x:v>
      </x:c>
      <x:c r="P459" s="8" t="str">
        <x:v>no_example,no_jmdict_priority,weak_legacy_content</x:v>
      </x:c>
      <x:c r="Q459" s="2" t="str"/>
      <x:c r="R459" s="2" t="str"/>
      <x:c r="S459" s="2" t="str"/>
      <x:c r="T459" s="2" t="str"/>
      <x:c r="U459" s="2" t="str"/>
      <x:c r="V459" s="2" t="str">
        <x:v>아니오</x:v>
      </x:c>
      <x:c r="W459" s="2" t="str">
        <x:v>아니오</x:v>
      </x:c>
      <x:c r="X459" s="2" t="str"/>
      <x:c r="Y459" s="2" t="n">
        <x:v>0</x:v>
      </x:c>
      <x:c r="Z459" s="2" t="str"/>
      <x:c r="AA459" s="2" t="n">
        <x:v>0</x:v>
      </x:c>
      <x:c r="AB459" s="8" t="str"/>
      <x:c r="AC459" s="8" t="str"/>
      <x:c r="AD459" s="8" t="str">
        <x:v>["draft-ko-missing"]</x:v>
      </x:c>
      <x:c r="AE459" s="8" t="str">
        <x:v>검토 필요</x:v>
      </x:c>
      <x:c r="AF459" s="8" t="str"/>
    </x:row>
    <x:row r="460">
      <x:c r="A460" s="10" t="n">
        <x:v>459</x:v>
      </x:c>
      <x:c r="B460" s="2" t="str">
        <x:v>2차 보류</x:v>
      </x:c>
      <x:c r="C460" s="2" t="str">
        <x:v>2차 보류</x:v>
      </x:c>
      <x:c r="D460" s="2" t="str">
        <x:v>낮음</x:v>
      </x:c>
      <x:c r="E460" s="2" t="str">
        <x:v>N3</x:v>
      </x:c>
      <x:c r="F460" s="10" t="n">
        <x:v>66</x:v>
      </x:c>
      <x:c r="G460" s="2" t="str">
        <x:v>w_cd94ea8ce1292469</x:v>
      </x:c>
      <x:c r="H460" s="2" t="str">
        <x:v>およそ</x:v>
      </x:c>
      <x:c r="I460" s="2" t="str">
        <x:v>およそ</x:v>
      </x:c>
      <x:c r="J460" s="8" t="str">
        <x:v>대략, 대체로</x:v>
      </x:c>
      <x:c r="K460" s="2" t="str">
        <x:v>adverb</x:v>
      </x:c>
      <x:c r="L460" s="9" t="n">
        <x:v>4.27</x:v>
      </x:c>
      <x:c r="M460" s="2" t="str">
        <x:v>없음</x:v>
      </x:c>
      <x:c r="N460" s="11" t="n">
        <x:v>23</x:v>
      </x:c>
      <x:c r="O460" s="8" t="str">
        <x:v>검증된 예문 없음; JMdict 우선 어휘 표지 없음; 기존 데이터의 한국어 콘텐츠 보강 필요 태그</x:v>
      </x:c>
      <x:c r="P460" s="8" t="str">
        <x:v>no_example,no_jmdict_priority,weak_legacy_content</x:v>
      </x:c>
      <x:c r="Q460" s="2" t="str"/>
      <x:c r="R460" s="2" t="str"/>
      <x:c r="S460" s="2" t="str"/>
      <x:c r="T460" s="2" t="str"/>
      <x:c r="U460" s="2" t="str"/>
      <x:c r="V460" s="2" t="str">
        <x:v>아니오</x:v>
      </x:c>
      <x:c r="W460" s="2" t="str">
        <x:v>아니오</x:v>
      </x:c>
      <x:c r="X460" s="2" t="str"/>
      <x:c r="Y460" s="2" t="n">
        <x:v>0</x:v>
      </x:c>
      <x:c r="Z460" s="2" t="str"/>
      <x:c r="AA460" s="2" t="n">
        <x:v>0</x:v>
      </x:c>
      <x:c r="AB460" s="8" t="str"/>
      <x:c r="AC460" s="8" t="str"/>
      <x:c r="AD460" s="8" t="str">
        <x:v>["draft-ko-missing"]</x:v>
      </x:c>
      <x:c r="AE460" s="8" t="str">
        <x:v>검토 필요</x:v>
      </x:c>
      <x:c r="AF460" s="8" t="str"/>
    </x:row>
    <x:row r="461">
      <x:c r="A461" s="10" t="n">
        <x:v>460</x:v>
      </x:c>
      <x:c r="B461" s="2" t="str">
        <x:v>2차 보류</x:v>
      </x:c>
      <x:c r="C461" s="2" t="str">
        <x:v>2차 보류</x:v>
      </x:c>
      <x:c r="D461" s="2" t="str">
        <x:v>낮음</x:v>
      </x:c>
      <x:c r="E461" s="2" t="str">
        <x:v>N2</x:v>
      </x:c>
      <x:c r="F461" s="10" t="n">
        <x:v>174</x:v>
      </x:c>
      <x:c r="G461" s="2" t="str">
        <x:v>w_e0ea97ad746be36f</x:v>
      </x:c>
      <x:c r="H461" s="2" t="str">
        <x:v>しょうがない</x:v>
      </x:c>
      <x:c r="I461" s="2" t="str">
        <x:v>しょうがない</x:v>
      </x:c>
      <x:c r="J461" s="8" t="str">
        <x:v>어쩔 수 없다</x:v>
      </x:c>
      <x:c r="K461" s="2" t="str">
        <x:v>adjective</x:v>
      </x:c>
      <x:c r="L461" s="9" t="n">
        <x:v>4.29</x:v>
      </x:c>
      <x:c r="M461" s="2" t="str">
        <x:v>없음</x:v>
      </x:c>
      <x:c r="N461" s="11" t="n">
        <x:v>23</x:v>
      </x:c>
      <x:c r="O461" s="8" t="str">
        <x:v>검증된 예문 없음; JMdict 우선 어휘 표지 없음; 기존 데이터의 한국어 콘텐츠 보강 필요 태그</x:v>
      </x:c>
      <x:c r="P461" s="8" t="str">
        <x:v>no_example,no_jmdict_priority,weak_legacy_content</x:v>
      </x:c>
      <x:c r="Q461" s="2" t="str"/>
      <x:c r="R461" s="2" t="str"/>
      <x:c r="S461" s="2" t="str"/>
      <x:c r="T461" s="2" t="str"/>
      <x:c r="U461" s="2" t="str"/>
      <x:c r="V461" s="2" t="str">
        <x:v>아니오</x:v>
      </x:c>
      <x:c r="W461" s="2" t="str">
        <x:v>아니오</x:v>
      </x:c>
      <x:c r="X461" s="2" t="str"/>
      <x:c r="Y461" s="2" t="n">
        <x:v>0</x:v>
      </x:c>
      <x:c r="Z461" s="2" t="str"/>
      <x:c r="AA461" s="2" t="n">
        <x:v>0</x:v>
      </x:c>
      <x:c r="AB461" s="8" t="str"/>
      <x:c r="AC461" s="8" t="str"/>
      <x:c r="AD461" s="8" t="str">
        <x:v>["draft-ko-missing"]</x:v>
      </x:c>
      <x:c r="AE461" s="8" t="str">
        <x:v>검토 필요</x:v>
      </x:c>
      <x:c r="AF461" s="8" t="str"/>
    </x:row>
    <x:row r="462">
      <x:c r="A462" s="10" t="n">
        <x:v>461</x:v>
      </x:c>
      <x:c r="B462" s="2" t="str">
        <x:v>2차 보류</x:v>
      </x:c>
      <x:c r="C462" s="2" t="str">
        <x:v>2차 보류</x:v>
      </x:c>
      <x:c r="D462" s="2" t="str">
        <x:v>낮음</x:v>
      </x:c>
      <x:c r="E462" s="2" t="str">
        <x:v>N1</x:v>
      </x:c>
      <x:c r="F462" s="10" t="n">
        <x:v>176</x:v>
      </x:c>
      <x:c r="G462" s="2" t="str">
        <x:v>w_dd2e5667291d8b49</x:v>
      </x:c>
      <x:c r="H462" s="2" t="str">
        <x:v>もしかして</x:v>
      </x:c>
      <x:c r="I462" s="2" t="str">
        <x:v>もしかして</x:v>
      </x:c>
      <x:c r="J462" s="8" t="str">
        <x:v>아마, 어쩌면</x:v>
      </x:c>
      <x:c r="K462" s="2" t="str">
        <x:v>adverb</x:v>
      </x:c>
      <x:c r="L462" s="9" t="n">
        <x:v>4.29</x:v>
      </x:c>
      <x:c r="M462" s="2" t="str">
        <x:v>없음</x:v>
      </x:c>
      <x:c r="N462" s="11" t="n">
        <x:v>23</x:v>
      </x:c>
      <x:c r="O462" s="8" t="str">
        <x:v>검증된 예문 없음; JMdict 우선 어휘 표지 없음; 기존 데이터의 한국어 콘텐츠 보강 필요 태그</x:v>
      </x:c>
      <x:c r="P462" s="8" t="str">
        <x:v>no_example,no_jmdict_priority,weak_legacy_content</x:v>
      </x:c>
      <x:c r="Q462" s="2" t="str"/>
      <x:c r="R462" s="2" t="str"/>
      <x:c r="S462" s="2" t="str"/>
      <x:c r="T462" s="2" t="str"/>
      <x:c r="U462" s="2" t="str"/>
      <x:c r="V462" s="2" t="str">
        <x:v>아니오</x:v>
      </x:c>
      <x:c r="W462" s="2" t="str">
        <x:v>아니오</x:v>
      </x:c>
      <x:c r="X462" s="2" t="str"/>
      <x:c r="Y462" s="2" t="n">
        <x:v>0</x:v>
      </x:c>
      <x:c r="Z462" s="2" t="str"/>
      <x:c r="AA462" s="2" t="n">
        <x:v>0</x:v>
      </x:c>
      <x:c r="AB462" s="8" t="str"/>
      <x:c r="AC462" s="8" t="str"/>
      <x:c r="AD462" s="8" t="str">
        <x:v>["draft-ko-missing"]</x:v>
      </x:c>
      <x:c r="AE462" s="8" t="str">
        <x:v>검토 필요</x:v>
      </x:c>
      <x:c r="AF462" s="8" t="str"/>
    </x:row>
    <x:row r="463">
      <x:c r="A463" s="10" t="n">
        <x:v>462</x:v>
      </x:c>
      <x:c r="B463" s="2" t="str">
        <x:v>2차 보류</x:v>
      </x:c>
      <x:c r="C463" s="2" t="str">
        <x:v>2차 보류</x:v>
      </x:c>
      <x:c r="D463" s="2" t="str">
        <x:v>낮음</x:v>
      </x:c>
      <x:c r="E463" s="2" t="str">
        <x:v>N2</x:v>
      </x:c>
      <x:c r="F463" s="10" t="n">
        <x:v>175</x:v>
      </x:c>
      <x:c r="G463" s="2" t="str">
        <x:v>w_946ea69fd5cfd9ec</x:v>
      </x:c>
      <x:c r="H463" s="2" t="str">
        <x:v>いよいよ</x:v>
      </x:c>
      <x:c r="I463" s="2" t="str">
        <x:v>いよいよ</x:v>
      </x:c>
      <x:c r="J463" s="8" t="str">
        <x:v>마침내, 드디어</x:v>
      </x:c>
      <x:c r="K463" s="2" t="str">
        <x:v>adverb</x:v>
      </x:c>
      <x:c r="L463" s="9" t="n">
        <x:v>4.3</x:v>
      </x:c>
      <x:c r="M463" s="2" t="str">
        <x:v>없음</x:v>
      </x:c>
      <x:c r="N463" s="11" t="n">
        <x:v>23</x:v>
      </x:c>
      <x:c r="O463" s="8" t="str">
        <x:v>검증된 예문 없음; JMdict 우선 어휘 표지 없음; 기존 데이터의 한국어 콘텐츠 보강 필요 태그</x:v>
      </x:c>
      <x:c r="P463" s="8" t="str">
        <x:v>no_example,no_jmdict_priority,weak_legacy_content</x:v>
      </x:c>
      <x:c r="Q463" s="2" t="str"/>
      <x:c r="R463" s="2" t="str"/>
      <x:c r="S463" s="2" t="str"/>
      <x:c r="T463" s="2" t="str"/>
      <x:c r="U463" s="2" t="str"/>
      <x:c r="V463" s="2" t="str">
        <x:v>아니오</x:v>
      </x:c>
      <x:c r="W463" s="2" t="str">
        <x:v>아니오</x:v>
      </x:c>
      <x:c r="X463" s="2" t="str"/>
      <x:c r="Y463" s="2" t="n">
        <x:v>0</x:v>
      </x:c>
      <x:c r="Z463" s="2" t="str"/>
      <x:c r="AA463" s="2" t="n">
        <x:v>0</x:v>
      </x:c>
      <x:c r="AB463" s="8" t="str"/>
      <x:c r="AC463" s="8" t="str"/>
      <x:c r="AD463" s="8" t="str">
        <x:v>["draft-ko-missing"]</x:v>
      </x:c>
      <x:c r="AE463" s="8" t="str">
        <x:v>검토 필요</x:v>
      </x:c>
      <x:c r="AF463" s="8" t="str"/>
    </x:row>
    <x:row r="464">
      <x:c r="A464" s="10" t="n">
        <x:v>463</x:v>
      </x:c>
      <x:c r="B464" s="2" t="str">
        <x:v>2차 보류</x:v>
      </x:c>
      <x:c r="C464" s="2" t="str">
        <x:v>2차 보류</x:v>
      </x:c>
      <x:c r="D464" s="2" t="str">
        <x:v>낮음</x:v>
      </x:c>
      <x:c r="E464" s="2" t="str">
        <x:v>N4</x:v>
      </x:c>
      <x:c r="F464" s="10" t="n">
        <x:v>40</x:v>
      </x:c>
      <x:c r="G464" s="2" t="str">
        <x:v>w_d6a5cf39dd557c41</x:v>
      </x:c>
      <x:c r="H464" s="2" t="str">
        <x:v>それほど</x:v>
      </x:c>
      <x:c r="I464" s="2" t="str">
        <x:v>それほど</x:v>
      </x:c>
      <x:c r="J464" s="8" t="str">
        <x:v>그 정도, 그렇게까지</x:v>
      </x:c>
      <x:c r="K464" s="2" t="str">
        <x:v>adverb</x:v>
      </x:c>
      <x:c r="L464" s="9" t="n">
        <x:v>4.35</x:v>
      </x:c>
      <x:c r="M464" s="2" t="str">
        <x:v>없음</x:v>
      </x:c>
      <x:c r="N464" s="11" t="n">
        <x:v>23</x:v>
      </x:c>
      <x:c r="O464" s="8" t="str">
        <x:v>검증된 예문 없음; JMdict 우선 어휘 표지 없음; 기존 데이터의 한국어 콘텐츠 보강 필요 태그</x:v>
      </x:c>
      <x:c r="P464" s="8" t="str">
        <x:v>no_example,no_jmdict_priority,weak_legacy_content</x:v>
      </x:c>
      <x:c r="Q464" s="2" t="str"/>
      <x:c r="R464" s="2" t="str"/>
      <x:c r="S464" s="2" t="str"/>
      <x:c r="T464" s="2" t="str"/>
      <x:c r="U464" s="2" t="str"/>
      <x:c r="V464" s="2" t="str">
        <x:v>아니오</x:v>
      </x:c>
      <x:c r="W464" s="2" t="str">
        <x:v>아니오</x:v>
      </x:c>
      <x:c r="X464" s="2" t="str"/>
      <x:c r="Y464" s="2" t="n">
        <x:v>0</x:v>
      </x:c>
      <x:c r="Z464" s="2" t="str"/>
      <x:c r="AA464" s="2" t="n">
        <x:v>0</x:v>
      </x:c>
      <x:c r="AB464" s="8" t="str"/>
      <x:c r="AC464" s="8" t="str"/>
      <x:c r="AD464" s="8" t="str">
        <x:v>["draft-ko-missing"]</x:v>
      </x:c>
      <x:c r="AE464" s="8" t="str">
        <x:v>검토 필요</x:v>
      </x:c>
      <x:c r="AF464" s="8" t="str"/>
    </x:row>
    <x:row r="465">
      <x:c r="A465" s="10" t="n">
        <x:v>464</x:v>
      </x:c>
      <x:c r="B465" s="2" t="str">
        <x:v>2차 보류</x:v>
      </x:c>
      <x:c r="C465" s="2" t="str">
        <x:v>2차 보류</x:v>
      </x:c>
      <x:c r="D465" s="2" t="str">
        <x:v>낮음</x:v>
      </x:c>
      <x:c r="E465" s="2" t="str">
        <x:v>N2</x:v>
      </x:c>
      <x:c r="F465" s="10" t="n">
        <x:v>176</x:v>
      </x:c>
      <x:c r="G465" s="2" t="str">
        <x:v>w_87dece8a34ad7f12</x:v>
      </x:c>
      <x:c r="H465" s="2" t="str">
        <x:v>ついで</x:v>
      </x:c>
      <x:c r="I465" s="2" t="str">
        <x:v>ついで</x:v>
      </x:c>
      <x:c r="J465" s="8" t="str">
        <x:v>기회, 경우, 행사</x:v>
      </x:c>
      <x:c r="K465" s="2" t="str">
        <x:v>adverb</x:v>
      </x:c>
      <x:c r="L465" s="9" t="n">
        <x:v>4.36</x:v>
      </x:c>
      <x:c r="M465" s="2" t="str">
        <x:v>없음</x:v>
      </x:c>
      <x:c r="N465" s="11" t="n">
        <x:v>23</x:v>
      </x:c>
      <x:c r="O465" s="8" t="str">
        <x:v>검증된 예문 없음; JMdict 우선 어휘 표지 없음; 기존 데이터의 한국어 콘텐츠 보강 필요 태그</x:v>
      </x:c>
      <x:c r="P465" s="8" t="str">
        <x:v>no_example,no_jmdict_priority,weak_legacy_content</x:v>
      </x:c>
      <x:c r="Q465" s="2" t="str"/>
      <x:c r="R465" s="2" t="str"/>
      <x:c r="S465" s="2" t="str"/>
      <x:c r="T465" s="2" t="str"/>
      <x:c r="U465" s="2" t="str"/>
      <x:c r="V465" s="2" t="str">
        <x:v>아니오</x:v>
      </x:c>
      <x:c r="W465" s="2" t="str">
        <x:v>아니오</x:v>
      </x:c>
      <x:c r="X465" s="2" t="str"/>
      <x:c r="Y465" s="2" t="n">
        <x:v>0</x:v>
      </x:c>
      <x:c r="Z465" s="2" t="str"/>
      <x:c r="AA465" s="2" t="n">
        <x:v>0</x:v>
      </x:c>
      <x:c r="AB465" s="8" t="str"/>
      <x:c r="AC465" s="8" t="str"/>
      <x:c r="AD465" s="8" t="str">
        <x:v>["draft-ko-missing"]</x:v>
      </x:c>
      <x:c r="AE465" s="8" t="str">
        <x:v>검토 필요</x:v>
      </x:c>
      <x:c r="AF465" s="8" t="str"/>
    </x:row>
    <x:row r="466">
      <x:c r="A466" s="10" t="n">
        <x:v>465</x:v>
      </x:c>
      <x:c r="B466" s="2" t="str">
        <x:v>2차 보류</x:v>
      </x:c>
      <x:c r="C466" s="2" t="str">
        <x:v>2차 보류</x:v>
      </x:c>
      <x:c r="D466" s="2" t="str">
        <x:v>낮음</x:v>
      </x:c>
      <x:c r="E466" s="2" t="str">
        <x:v>N3</x:v>
      </x:c>
      <x:c r="F466" s="10" t="n">
        <x:v>67</x:v>
      </x:c>
      <x:c r="G466" s="2" t="str">
        <x:v>w_62d8dd6802f680a6</x:v>
      </x:c>
      <x:c r="H466" s="2" t="str">
        <x:v>もしかすると</x:v>
      </x:c>
      <x:c r="I466" s="2" t="str">
        <x:v>もしかすると</x:v>
      </x:c>
      <x:c r="J466" s="8" t="str">
        <x:v>아마, 에 의해 몇몇, 약간 기회, 우연</x:v>
      </x:c>
      <x:c r="K466" s="2" t="str">
        <x:v>adverb</x:v>
      </x:c>
      <x:c r="L466" s="9" t="n">
        <x:v>4.38</x:v>
      </x:c>
      <x:c r="M466" s="2" t="str">
        <x:v>없음</x:v>
      </x:c>
      <x:c r="N466" s="11" t="n">
        <x:v>23</x:v>
      </x:c>
      <x:c r="O466" s="8" t="str">
        <x:v>검증된 예문 없음; JMdict 우선 어휘 표지 없음; 기존 데이터의 한국어 콘텐츠 보강 필요 태그</x:v>
      </x:c>
      <x:c r="P466" s="8" t="str">
        <x:v>no_example,no_jmdict_priority,weak_legacy_content</x:v>
      </x:c>
      <x:c r="Q466" s="2" t="str"/>
      <x:c r="R466" s="2" t="str"/>
      <x:c r="S466" s="2" t="str"/>
      <x:c r="T466" s="2" t="str"/>
      <x:c r="U466" s="2" t="str"/>
      <x:c r="V466" s="2" t="str">
        <x:v>아니오</x:v>
      </x:c>
      <x:c r="W466" s="2" t="str">
        <x:v>아니오</x:v>
      </x:c>
      <x:c r="X466" s="2" t="str"/>
      <x:c r="Y466" s="2" t="n">
        <x:v>0</x:v>
      </x:c>
      <x:c r="Z466" s="2" t="str"/>
      <x:c r="AA466" s="2" t="n">
        <x:v>0</x:v>
      </x:c>
      <x:c r="AB466" s="8" t="str"/>
      <x:c r="AC466" s="8" t="str"/>
      <x:c r="AD466" s="8" t="str">
        <x:v>["draft-ko-missing"]</x:v>
      </x:c>
      <x:c r="AE466" s="8" t="str">
        <x:v>검토 필요</x:v>
      </x:c>
      <x:c r="AF466" s="8" t="str"/>
    </x:row>
    <x:row r="467">
      <x:c r="A467" s="10" t="n">
        <x:v>466</x:v>
      </x:c>
      <x:c r="B467" s="2" t="str">
        <x:v>2차 보류</x:v>
      </x:c>
      <x:c r="C467" s="2" t="str">
        <x:v>2차 보류</x:v>
      </x:c>
      <x:c r="D467" s="2" t="str">
        <x:v>낮음</x:v>
      </x:c>
      <x:c r="E467" s="2" t="str">
        <x:v>N4</x:v>
      </x:c>
      <x:c r="F467" s="10" t="n">
        <x:v>41</x:v>
      </x:c>
      <x:c r="G467" s="2" t="str">
        <x:v>w_98c5ecbe9b1af8f0</x:v>
      </x:c>
      <x:c r="H467" s="2" t="str">
        <x:v>ひげ</x:v>
      </x:c>
      <x:c r="I467" s="2" t="str">
        <x:v>ひげ</x:v>
      </x:c>
      <x:c r="J467" s="8" t="str">
        <x:v>수염</x:v>
      </x:c>
      <x:c r="K467" s="2" t="str">
        <x:v>noun</x:v>
      </x:c>
      <x:c r="L467" s="9" t="n">
        <x:v>4.41</x:v>
      </x:c>
      <x:c r="M467" s="2" t="str">
        <x:v>없음</x:v>
      </x:c>
      <x:c r="N467" s="11" t="n">
        <x:v>23</x:v>
      </x:c>
      <x:c r="O467" s="8" t="str">
        <x:v>검증된 예문 없음; JMdict 우선 어휘 표지 없음; 기존 데이터의 한국어 콘텐츠 보강 필요 태그</x:v>
      </x:c>
      <x:c r="P467" s="8" t="str">
        <x:v>no_example,no_jmdict_priority,weak_legacy_content</x:v>
      </x:c>
      <x:c r="Q467" s="2" t="str"/>
      <x:c r="R467" s="2" t="str"/>
      <x:c r="S467" s="2" t="str"/>
      <x:c r="T467" s="2" t="str"/>
      <x:c r="U467" s="2" t="str"/>
      <x:c r="V467" s="2" t="str">
        <x:v>아니오</x:v>
      </x:c>
      <x:c r="W467" s="2" t="str">
        <x:v>아니오</x:v>
      </x:c>
      <x:c r="X467" s="2" t="str"/>
      <x:c r="Y467" s="2" t="n">
        <x:v>0</x:v>
      </x:c>
      <x:c r="Z467" s="2" t="str"/>
      <x:c r="AA467" s="2" t="n">
        <x:v>0</x:v>
      </x:c>
      <x:c r="AB467" s="8" t="str"/>
      <x:c r="AC467" s="8" t="str"/>
      <x:c r="AD467" s="8" t="str">
        <x:v>["draft-ko-missing"]</x:v>
      </x:c>
      <x:c r="AE467" s="8" t="str">
        <x:v>검토 필요</x:v>
      </x:c>
      <x:c r="AF467" s="8" t="str"/>
    </x:row>
    <x:row r="468">
      <x:c r="A468" s="10" t="n">
        <x:v>467</x:v>
      </x:c>
      <x:c r="B468" s="2" t="str">
        <x:v>2차 보류</x:v>
      </x:c>
      <x:c r="C468" s="2" t="str">
        <x:v>2차 보류</x:v>
      </x:c>
      <x:c r="D468" s="2" t="str">
        <x:v>낮음</x:v>
      </x:c>
      <x:c r="E468" s="2" t="str">
        <x:v>N1</x:v>
      </x:c>
      <x:c r="F468" s="10" t="n">
        <x:v>177</x:v>
      </x:c>
      <x:c r="G468" s="2" t="str">
        <x:v>w_584b74bd400fd74a</x:v>
      </x:c>
      <x:c r="H468" s="2" t="str">
        <x:v>縁</x:v>
      </x:c>
      <x:c r="I468" s="2" t="str">
        <x:v>へり</x:v>
      </x:c>
      <x:c r="J468" s="8" t="str">
        <x:v>가장자리</x:v>
      </x:c>
      <x:c r="K468" s="2" t="str">
        <x:v>noun</x:v>
      </x:c>
      <x:c r="L468" s="9" t="n">
        <x:v>4.45</x:v>
      </x:c>
      <x:c r="M468" s="2" t="str">
        <x:v>없음</x:v>
      </x:c>
      <x:c r="N468" s="11" t="n">
        <x:v>23</x:v>
      </x:c>
      <x:c r="O468" s="8" t="str">
        <x:v>검증된 예문 없음; JMdict 우선 어휘 표지 없음; 기존 데이터의 한국어 콘텐츠 보강 필요 태그</x:v>
      </x:c>
      <x:c r="P468" s="8" t="str">
        <x:v>no_example,no_jmdict_priority,weak_legacy_content</x:v>
      </x:c>
      <x:c r="Q468" s="2" t="str"/>
      <x:c r="R468" s="2" t="str"/>
      <x:c r="S468" s="2" t="str"/>
      <x:c r="T468" s="2" t="str"/>
      <x:c r="U468" s="2" t="str"/>
      <x:c r="V468" s="2" t="str">
        <x:v>아니오</x:v>
      </x:c>
      <x:c r="W468" s="2" t="str">
        <x:v>예</x:v>
      </x:c>
      <x:c r="X468" s="2" t="str"/>
      <x:c r="Y468" s="2" t="n">
        <x:v>0</x:v>
      </x:c>
      <x:c r="Z468" s="2" t="str"/>
      <x:c r="AA468" s="2" t="n">
        <x:v>0</x:v>
      </x:c>
      <x:c r="AB468" s="8" t="str">
        <x:v>sometimes べり as a suffix | word usually written using kana alone</x:v>
      </x:c>
      <x:c r="AC468" s="8" t="str"/>
      <x:c r="AD468" s="8" t="str">
        <x:v>["draft-ko-missing"]</x:v>
      </x:c>
      <x:c r="AE468" s="8" t="str">
        <x:v>검토 필요</x:v>
      </x:c>
      <x:c r="AF468" s="8" t="str"/>
    </x:row>
    <x:row r="469">
      <x:c r="A469" s="10" t="n">
        <x:v>468</x:v>
      </x:c>
      <x:c r="B469" s="2" t="str">
        <x:v>2차 보류</x:v>
      </x:c>
      <x:c r="C469" s="2" t="str">
        <x:v>2차 보류</x:v>
      </x:c>
      <x:c r="D469" s="2" t="str">
        <x:v>낮음</x:v>
      </x:c>
      <x:c r="E469" s="2" t="str">
        <x:v>N4</x:v>
      </x:c>
      <x:c r="F469" s="10" t="n">
        <x:v>42</x:v>
      </x:c>
      <x:c r="G469" s="2" t="str">
        <x:v>w_bb1925cf5d1e272c</x:v>
      </x:c>
      <x:c r="H469" s="2" t="str">
        <x:v>おる</x:v>
      </x:c>
      <x:c r="I469" s="2" t="str">
        <x:v>おる</x:v>
      </x:c>
      <x:c r="J469" s="8" t="str">
        <x:v>있다(겸양어)</x:v>
      </x:c>
      <x:c r="K469" s="2" t="str">
        <x:v>verb</x:v>
      </x:c>
      <x:c r="L469" s="9" t="n">
        <x:v>4.49</x:v>
      </x:c>
      <x:c r="M469" s="2" t="str">
        <x:v>없음</x:v>
      </x:c>
      <x:c r="N469" s="11" t="n">
        <x:v>23</x:v>
      </x:c>
      <x:c r="O469" s="8" t="str">
        <x:v>검증된 예문 없음; JMdict 우선 어휘 표지 없음; 기존 데이터의 한국어 콘텐츠 보강 필요 태그</x:v>
      </x:c>
      <x:c r="P469" s="8" t="str">
        <x:v>no_example,no_jmdict_priority,weak_legacy_content</x:v>
      </x:c>
      <x:c r="Q469" s="2" t="str"/>
      <x:c r="R469" s="2" t="str"/>
      <x:c r="S469" s="2" t="str"/>
      <x:c r="T469" s="2" t="str"/>
      <x:c r="U469" s="2" t="str"/>
      <x:c r="V469" s="2" t="str">
        <x:v>아니오</x:v>
      </x:c>
      <x:c r="W469" s="2" t="str">
        <x:v>아니오</x:v>
      </x:c>
      <x:c r="X469" s="2" t="str"/>
      <x:c r="Y469" s="2" t="n">
        <x:v>0</x:v>
      </x:c>
      <x:c r="Z469" s="2" t="str"/>
      <x:c r="AA469" s="2" t="n">
        <x:v>0</x:v>
      </x:c>
      <x:c r="AB469" s="8" t="str"/>
      <x:c r="AC469" s="8" t="str"/>
      <x:c r="AD469" s="8" t="str">
        <x:v>["draft-ko-missing"]</x:v>
      </x:c>
      <x:c r="AE469" s="8" t="str">
        <x:v>검토 필요</x:v>
      </x:c>
      <x:c r="AF469" s="8" t="str"/>
    </x:row>
    <x:row r="470">
      <x:c r="A470" s="10" t="n">
        <x:v>469</x:v>
      </x:c>
      <x:c r="B470" s="2" t="str">
        <x:v>2차 보류</x:v>
      </x:c>
      <x:c r="C470" s="2" t="str">
        <x:v>2차 보류</x:v>
      </x:c>
      <x:c r="D470" s="2" t="str">
        <x:v>낮음</x:v>
      </x:c>
      <x:c r="E470" s="2" t="str">
        <x:v>N2</x:v>
      </x:c>
      <x:c r="F470" s="10" t="n">
        <x:v>177</x:v>
      </x:c>
      <x:c r="G470" s="2" t="str">
        <x:v>w_96f283bc16791012</x:v>
      </x:c>
      <x:c r="H470" s="2" t="str">
        <x:v>掃く</x:v>
      </x:c>
      <x:c r="I470" s="2" t="str">
        <x:v>はく</x:v>
      </x:c>
      <x:c r="J470" s="8" t="str">
        <x:v>(빗자루로) 쓸다</x:v>
      </x:c>
      <x:c r="K470" s="2" t="str">
        <x:v>verb</x:v>
      </x:c>
      <x:c r="L470" s="9" t="n">
        <x:v>1.99</x:v>
      </x:c>
      <x:c r="M470" s="2" t="str">
        <x:v>없음</x:v>
      </x:c>
      <x:c r="N470" s="11" t="n">
        <x:v>22</x:v>
      </x:c>
      <x:c r="O470" s="8" t="str">
        <x:v>일반 사용 빈도 매우 낮음(Zipf ≤ 2.0); 기존 한국어 뜻 품질 감사 대상; 검증된 예문 없음; 기존 데이터의 한국어 콘텐츠 보강 필요 태그</x:v>
      </x:c>
      <x:c r="P470" s="8" t="str">
        <x:v>frequency_le_2_0,legacy_gloss_audit:mt_noise_token,no_example,weak_legacy_content</x:v>
      </x:c>
      <x:c r="Q470" s="2" t="str"/>
      <x:c r="R470" s="2" t="str"/>
      <x:c r="S470" s="2" t="str"/>
      <x:c r="T470" s="2" t="str"/>
      <x:c r="U470" s="2" t="str"/>
      <x:c r="V470" s="2" t="str">
        <x:v>아니오</x:v>
      </x:c>
      <x:c r="W470" s="2" t="str">
        <x:v>예</x:v>
      </x:c>
      <x:c r="X470" s="2" t="str">
        <x:v>ichi1</x:v>
      </x:c>
      <x:c r="Y470" s="2" t="n">
        <x:v>100</x:v>
      </x:c>
      <x:c r="Z470" s="2" t="str">
        <x:v>ichi1</x:v>
      </x:c>
      <x:c r="AA470" s="2" t="n">
        <x:v>100</x:v>
      </x:c>
      <x:c r="AB470" s="8" t="str"/>
      <x:c r="AC470" s="8" t="str">
        <x:v>mt_noise_token</x:v>
      </x:c>
      <x:c r="AD470" s="8" t="str">
        <x:v>["draft-ko-missing"]</x:v>
      </x:c>
      <x:c r="AE470" s="8" t="str">
        <x:v>검토 필요</x:v>
      </x:c>
      <x:c r="AF470" s="8" t="str"/>
    </x:row>
    <x:row r="471">
      <x:c r="A471" s="10" t="n">
        <x:v>470</x:v>
      </x:c>
      <x:c r="B471" s="2" t="str">
        <x:v>2차 보류</x:v>
      </x:c>
      <x:c r="C471" s="2" t="str">
        <x:v>2차 보류</x:v>
      </x:c>
      <x:c r="D471" s="2" t="str">
        <x:v>낮음</x:v>
      </x:c>
      <x:c r="E471" s="2" t="str">
        <x:v>N5</x:v>
      </x:c>
      <x:c r="F471" s="10" t="n">
        <x:v>7</x:v>
      </x:c>
      <x:c r="G471" s="2" t="str">
        <x:v>w_039c519fd62d3882</x:v>
      </x:c>
      <x:c r="H471" s="2" t="str">
        <x:v>新聞</x:v>
      </x:c>
      <x:c r="I471" s="2" t="str">
        <x:v>しんぶん</x:v>
      </x:c>
      <x:c r="J471" s="8" t="str">
        <x:v>신문</x:v>
      </x:c>
      <x:c r="K471" s="2" t="str">
        <x:v>noun</x:v>
      </x:c>
      <x:c r="L471" s="9"/>
      <x:c r="M471" s="2" t="str">
        <x:v>없음</x:v>
      </x:c>
      <x:c r="N471" s="11" t="n">
        <x:v>21</x:v>
      </x:c>
      <x:c r="O471" s="8" t="str">
        <x:v>일반 사용 빈도가 없거나 0; 검증된 예문 없음</x:v>
      </x:c>
      <x:c r="P471" s="8" t="str">
        <x:v>frequency_missing_or_zero,no_example</x:v>
      </x:c>
      <x:c r="Q471" s="2" t="str"/>
      <x:c r="R471" s="2" t="str"/>
      <x:c r="S471" s="2" t="str"/>
      <x:c r="T471" s="2" t="str"/>
      <x:c r="U471" s="2" t="str"/>
      <x:c r="V471" s="2" t="str">
        <x:v>아니오</x:v>
      </x:c>
      <x:c r="W471" s="2" t="str">
        <x:v>예</x:v>
      </x:c>
      <x:c r="X471" s="2" t="str">
        <x:v>ichi1,news1,nf01</x:v>
      </x:c>
      <x:c r="Y471" s="2" t="n">
        <x:v>100</x:v>
      </x:c>
      <x:c r="Z471" s="2" t="str">
        <x:v>ichi1,news1,nf01</x:v>
      </x:c>
      <x:c r="AA471" s="2" t="n">
        <x:v>100</x:v>
      </x:c>
      <x:c r="AB471" s="8" t="str"/>
      <x:c r="AC471" s="8" t="str"/>
      <x:c r="AD471" s="8" t="str">
        <x:v>["backfill-replacement","assistant-ko-reviewed"]</x:v>
      </x:c>
      <x:c r="AE471" s="8" t="str">
        <x:v>검토 필요</x:v>
      </x:c>
      <x:c r="AF471" s="8" t="str"/>
    </x:row>
    <x:row r="472">
      <x:c r="A472" s="10" t="n">
        <x:v>471</x:v>
      </x:c>
      <x:c r="B472" s="2" t="str">
        <x:v>2차 보류</x:v>
      </x:c>
      <x:c r="C472" s="2" t="str">
        <x:v>2차 보류</x:v>
      </x:c>
      <x:c r="D472" s="2" t="str">
        <x:v>낮음</x:v>
      </x:c>
      <x:c r="E472" s="2" t="str">
        <x:v>N5</x:v>
      </x:c>
      <x:c r="F472" s="10" t="n">
        <x:v>8</x:v>
      </x:c>
      <x:c r="G472" s="2" t="str">
        <x:v>w_04b88ff845b036d7</x:v>
      </x:c>
      <x:c r="H472" s="2" t="str">
        <x:v>吸う</x:v>
      </x:c>
      <x:c r="I472" s="2" t="str">
        <x:v>すう</x:v>
      </x:c>
      <x:c r="J472" s="8" t="str">
        <x:v>마시다, 들이쉬다, 빨다</x:v>
      </x:c>
      <x:c r="K472" s="2" t="str">
        <x:v>verb</x:v>
      </x:c>
      <x:c r="L472" s="9"/>
      <x:c r="M472" s="2" t="str">
        <x:v>없음</x:v>
      </x:c>
      <x:c r="N472" s="11" t="n">
        <x:v>21</x:v>
      </x:c>
      <x:c r="O472" s="8" t="str">
        <x:v>일반 사용 빈도가 없거나 0; 검증된 예문 없음</x:v>
      </x:c>
      <x:c r="P472" s="8" t="str">
        <x:v>frequency_missing_or_zero,no_example</x:v>
      </x:c>
      <x:c r="Q472" s="2" t="str"/>
      <x:c r="R472" s="2" t="str"/>
      <x:c r="S472" s="2" t="str"/>
      <x:c r="T472" s="2" t="str"/>
      <x:c r="U472" s="2" t="str"/>
      <x:c r="V472" s="2" t="str">
        <x:v>아니오</x:v>
      </x:c>
      <x:c r="W472" s="2" t="str">
        <x:v>예</x:v>
      </x:c>
      <x:c r="X472" s="2" t="str">
        <x:v>ichi1,news2,nf34</x:v>
      </x:c>
      <x:c r="Y472" s="2" t="n">
        <x:v>100</x:v>
      </x:c>
      <x:c r="Z472" s="2" t="str">
        <x:v>ichi1,news2,nf34</x:v>
      </x:c>
      <x:c r="AA472" s="2" t="n">
        <x:v>100</x:v>
      </x:c>
      <x:c r="AB472" s="8" t="str"/>
      <x:c r="AC472" s="8" t="str"/>
      <x:c r="AD472" s="8" t="str">
        <x:v>["backfill-replacement","assistant-ko-reviewed"]</x:v>
      </x:c>
      <x:c r="AE472" s="8" t="str">
        <x:v>검토 필요</x:v>
      </x:c>
      <x:c r="AF472" s="8" t="str"/>
    </x:row>
    <x:row r="473">
      <x:c r="A473" s="10" t="n">
        <x:v>472</x:v>
      </x:c>
      <x:c r="B473" s="2" t="str">
        <x:v>2차 보류</x:v>
      </x:c>
      <x:c r="C473" s="2" t="str">
        <x:v>2차 보류</x:v>
      </x:c>
      <x:c r="D473" s="2" t="str">
        <x:v>낮음</x:v>
      </x:c>
      <x:c r="E473" s="2" t="str">
        <x:v>N5</x:v>
      </x:c>
      <x:c r="F473" s="10" t="n">
        <x:v>9</x:v>
      </x:c>
      <x:c r="G473" s="2" t="str">
        <x:v>w_14c62e58ed734277</x:v>
      </x:c>
      <x:c r="H473" s="2" t="str">
        <x:v>丈夫</x:v>
      </x:c>
      <x:c r="I473" s="2" t="str">
        <x:v>じょうぶ</x:v>
      </x:c>
      <x:c r="J473" s="8" t="str">
        <x:v>튼튼함, 건강함</x:v>
      </x:c>
      <x:c r="K473" s="2" t="str">
        <x:v>adjective</x:v>
      </x:c>
      <x:c r="L473" s="9"/>
      <x:c r="M473" s="2" t="str">
        <x:v>없음</x:v>
      </x:c>
      <x:c r="N473" s="11" t="n">
        <x:v>21</x:v>
      </x:c>
      <x:c r="O473" s="8" t="str">
        <x:v>일반 사용 빈도가 없거나 0; 검증된 예문 없음</x:v>
      </x:c>
      <x:c r="P473" s="8" t="str">
        <x:v>frequency_missing_or_zero,no_example</x:v>
      </x:c>
      <x:c r="Q473" s="2" t="str"/>
      <x:c r="R473" s="2" t="str"/>
      <x:c r="S473" s="2" t="str"/>
      <x:c r="T473" s="2" t="str"/>
      <x:c r="U473" s="2" t="str"/>
      <x:c r="V473" s="2" t="str">
        <x:v>아니오</x:v>
      </x:c>
      <x:c r="W473" s="2" t="str">
        <x:v>예</x:v>
      </x:c>
      <x:c r="X473" s="2" t="str">
        <x:v>ichi1,news1,nf15</x:v>
      </x:c>
      <x:c r="Y473" s="2" t="n">
        <x:v>100</x:v>
      </x:c>
      <x:c r="Z473" s="2" t="str">
        <x:v>ichi1,news1,nf15</x:v>
      </x:c>
      <x:c r="AA473" s="2" t="n">
        <x:v>100</x:v>
      </x:c>
      <x:c r="AB473" s="8" t="str">
        <x:v>sometimes じょうふ</x:v>
      </x:c>
      <x:c r="AC473" s="8" t="str"/>
      <x:c r="AD473" s="8" t="str">
        <x:v>["backfill-replacement","assistant-ko-reviewed"]</x:v>
      </x:c>
      <x:c r="AE473" s="8" t="str">
        <x:v>검토 필요</x:v>
      </x:c>
      <x:c r="AF473" s="8" t="str"/>
    </x:row>
    <x:row r="474">
      <x:c r="A474" s="10" t="n">
        <x:v>473</x:v>
      </x:c>
      <x:c r="B474" s="2" t="str">
        <x:v>2차 보류</x:v>
      </x:c>
      <x:c r="C474" s="2" t="str">
        <x:v>2차 보류</x:v>
      </x:c>
      <x:c r="D474" s="2" t="str">
        <x:v>낮음</x:v>
      </x:c>
      <x:c r="E474" s="2" t="str">
        <x:v>N5</x:v>
      </x:c>
      <x:c r="F474" s="10" t="n">
        <x:v>10</x:v>
      </x:c>
      <x:c r="G474" s="2" t="str">
        <x:v>w_27a9b1487ee58f95</x:v>
      </x:c>
      <x:c r="H474" s="2" t="str">
        <x:v>スプーン</x:v>
      </x:c>
      <x:c r="I474" s="2" t="str">
        <x:v>スプーン</x:v>
      </x:c>
      <x:c r="J474" s="8" t="str">
        <x:v>숟가락, 스푼</x:v>
      </x:c>
      <x:c r="K474" s="2" t="str">
        <x:v>noun</x:v>
      </x:c>
      <x:c r="L474" s="9"/>
      <x:c r="M474" s="2" t="str">
        <x:v>없음</x:v>
      </x:c>
      <x:c r="N474" s="11" t="n">
        <x:v>21</x:v>
      </x:c>
      <x:c r="O474" s="8" t="str">
        <x:v>일반 사용 빈도가 없거나 0; 검증된 예문 없음</x:v>
      </x:c>
      <x:c r="P474" s="8" t="str">
        <x:v>frequency_missing_or_zero,no_example</x:v>
      </x:c>
      <x:c r="Q474" s="2" t="str"/>
      <x:c r="R474" s="2" t="str"/>
      <x:c r="S474" s="2" t="str"/>
      <x:c r="T474" s="2" t="str"/>
      <x:c r="U474" s="2" t="str"/>
      <x:c r="V474" s="2" t="str">
        <x:v>아니오</x:v>
      </x:c>
      <x:c r="W474" s="2" t="str">
        <x:v>예</x:v>
      </x:c>
      <x:c r="X474" s="2" t="str">
        <x:v>gai1,ichi1</x:v>
      </x:c>
      <x:c r="Y474" s="2" t="n">
        <x:v>100</x:v>
      </x:c>
      <x:c r="Z474" s="2" t="str">
        <x:v>gai1,ichi1</x:v>
      </x:c>
      <x:c r="AA474" s="2" t="n">
        <x:v>100</x:v>
      </x:c>
      <x:c r="AB474" s="8" t="str"/>
      <x:c r="AC474" s="8" t="str"/>
      <x:c r="AD474" s="8" t="str">
        <x:v>["backfill-replacement","assistant-ko-reviewed"]</x:v>
      </x:c>
      <x:c r="AE474" s="8" t="str">
        <x:v>검토 필요</x:v>
      </x:c>
      <x:c r="AF474" s="8" t="str"/>
    </x:row>
    <x:row r="475">
      <x:c r="A475" s="10" t="n">
        <x:v>474</x:v>
      </x:c>
      <x:c r="B475" s="2" t="str">
        <x:v>2차 보류</x:v>
      </x:c>
      <x:c r="C475" s="2" t="str">
        <x:v>2차 보류</x:v>
      </x:c>
      <x:c r="D475" s="2" t="str">
        <x:v>낮음</x:v>
      </x:c>
      <x:c r="E475" s="2" t="str">
        <x:v>N5</x:v>
      </x:c>
      <x:c r="F475" s="10" t="n">
        <x:v>11</x:v>
      </x:c>
      <x:c r="G475" s="2" t="str">
        <x:v>w_29fa67b5b004d0f3</x:v>
      </x:c>
      <x:c r="H475" s="2" t="str">
        <x:v>好き</x:v>
      </x:c>
      <x:c r="I475" s="2" t="str">
        <x:v>すき</x:v>
      </x:c>
      <x:c r="J475" s="8" t="str">
        <x:v>좋아함, 좋아하다</x:v>
      </x:c>
      <x:c r="K475" s="2" t="str">
        <x:v>adjective</x:v>
      </x:c>
      <x:c r="L475" s="9"/>
      <x:c r="M475" s="2" t="str">
        <x:v>없음</x:v>
      </x:c>
      <x:c r="N475" s="11" t="n">
        <x:v>21</x:v>
      </x:c>
      <x:c r="O475" s="8" t="str">
        <x:v>일반 사용 빈도가 없거나 0; 검증된 예문 없음</x:v>
      </x:c>
      <x:c r="P475" s="8" t="str">
        <x:v>frequency_missing_or_zero,no_example</x:v>
      </x:c>
      <x:c r="Q475" s="2" t="str"/>
      <x:c r="R475" s="2" t="str"/>
      <x:c r="S475" s="2" t="str"/>
      <x:c r="T475" s="2" t="str"/>
      <x:c r="U475" s="2" t="str"/>
      <x:c r="V475" s="2" t="str">
        <x:v>아니오</x:v>
      </x:c>
      <x:c r="W475" s="2" t="str">
        <x:v>예</x:v>
      </x:c>
      <x:c r="X475" s="2" t="str">
        <x:v>ichi1</x:v>
      </x:c>
      <x:c r="Y475" s="2" t="n">
        <x:v>100</x:v>
      </x:c>
      <x:c r="Z475" s="2" t="str">
        <x:v>ichi1</x:v>
      </x:c>
      <x:c r="AA475" s="2" t="n">
        <x:v>100</x:v>
      </x:c>
      <x:c r="AB475" s="8" t="str"/>
      <x:c r="AC475" s="8" t="str"/>
      <x:c r="AD475" s="8" t="str">
        <x:v>["backfill-replacement","assistant-ko-reviewed"]</x:v>
      </x:c>
      <x:c r="AE475" s="8" t="str">
        <x:v>검토 필요</x:v>
      </x:c>
      <x:c r="AF475" s="8" t="str"/>
    </x:row>
    <x:row r="476">
      <x:c r="A476" s="10" t="n">
        <x:v>475</x:v>
      </x:c>
      <x:c r="B476" s="2" t="str">
        <x:v>2차 보류</x:v>
      </x:c>
      <x:c r="C476" s="2" t="str">
        <x:v>2차 보류</x:v>
      </x:c>
      <x:c r="D476" s="2" t="str">
        <x:v>낮음</x:v>
      </x:c>
      <x:c r="E476" s="2" t="str">
        <x:v>N5</x:v>
      </x:c>
      <x:c r="F476" s="10" t="n">
        <x:v>12</x:v>
      </x:c>
      <x:c r="G476" s="2" t="str">
        <x:v>w_4c61acba86c4d604</x:v>
      </x:c>
      <x:c r="H476" s="2" t="str">
        <x:v>水曜日</x:v>
      </x:c>
      <x:c r="I476" s="2" t="str">
        <x:v>すいようび</x:v>
      </x:c>
      <x:c r="J476" s="8" t="str">
        <x:v>수요일</x:v>
      </x:c>
      <x:c r="K476" s="2" t="str">
        <x:v>noun</x:v>
      </x:c>
      <x:c r="L476" s="9"/>
      <x:c r="M476" s="2" t="str">
        <x:v>없음</x:v>
      </x:c>
      <x:c r="N476" s="11" t="n">
        <x:v>21</x:v>
      </x:c>
      <x:c r="O476" s="8" t="str">
        <x:v>일반 사용 빈도가 없거나 0; 검증된 예문 없음</x:v>
      </x:c>
      <x:c r="P476" s="8" t="str">
        <x:v>frequency_missing_or_zero,no_example</x:v>
      </x:c>
      <x:c r="Q476" s="2" t="str"/>
      <x:c r="R476" s="2" t="str"/>
      <x:c r="S476" s="2" t="str"/>
      <x:c r="T476" s="2" t="str"/>
      <x:c r="U476" s="2" t="str"/>
      <x:c r="V476" s="2" t="str">
        <x:v>아니오</x:v>
      </x:c>
      <x:c r="W476" s="2" t="str">
        <x:v>예</x:v>
      </x:c>
      <x:c r="X476" s="2" t="str">
        <x:v>ichi1</x:v>
      </x:c>
      <x:c r="Y476" s="2" t="n">
        <x:v>100</x:v>
      </x:c>
      <x:c r="Z476" s="2" t="str">
        <x:v>ichi1</x:v>
      </x:c>
      <x:c r="AA476" s="2" t="n">
        <x:v>100</x:v>
      </x:c>
      <x:c r="AB476" s="8" t="str"/>
      <x:c r="AC476" s="8" t="str"/>
      <x:c r="AD476" s="8" t="str">
        <x:v>["backfill-replacement","assistant-ko-reviewed"]</x:v>
      </x:c>
      <x:c r="AE476" s="8" t="str">
        <x:v>검토 필요</x:v>
      </x:c>
      <x:c r="AF476" s="8" t="str"/>
    </x:row>
    <x:row r="477">
      <x:c r="A477" s="10" t="n">
        <x:v>476</x:v>
      </x:c>
      <x:c r="B477" s="2" t="str">
        <x:v>2차 보류</x:v>
      </x:c>
      <x:c r="C477" s="2" t="str">
        <x:v>2차 보류</x:v>
      </x:c>
      <x:c r="D477" s="2" t="str">
        <x:v>낮음</x:v>
      </x:c>
      <x:c r="E477" s="2" t="str">
        <x:v>N5</x:v>
      </x:c>
      <x:c r="F477" s="10" t="n">
        <x:v>13</x:v>
      </x:c>
      <x:c r="G477" s="2" t="str">
        <x:v>w_65b969c52dc19ac2</x:v>
      </x:c>
      <x:c r="H477" s="2" t="str">
        <x:v>少し</x:v>
      </x:c>
      <x:c r="I477" s="2" t="str">
        <x:v>すこし</x:v>
      </x:c>
      <x:c r="J477" s="8" t="str">
        <x:v>조금, 약간</x:v>
      </x:c>
      <x:c r="K477" s="2" t="str">
        <x:v>adverb</x:v>
      </x:c>
      <x:c r="L477" s="9"/>
      <x:c r="M477" s="2" t="str">
        <x:v>없음</x:v>
      </x:c>
      <x:c r="N477" s="11" t="n">
        <x:v>21</x:v>
      </x:c>
      <x:c r="O477" s="8" t="str">
        <x:v>일반 사용 빈도가 없거나 0; 검증된 예문 없음</x:v>
      </x:c>
      <x:c r="P477" s="8" t="str">
        <x:v>frequency_missing_or_zero,no_example</x:v>
      </x:c>
      <x:c r="Q477" s="2" t="str"/>
      <x:c r="R477" s="2" t="str"/>
      <x:c r="S477" s="2" t="str"/>
      <x:c r="T477" s="2" t="str"/>
      <x:c r="U477" s="2" t="str"/>
      <x:c r="V477" s="2" t="str">
        <x:v>아니오</x:v>
      </x:c>
      <x:c r="W477" s="2" t="str">
        <x:v>예</x:v>
      </x:c>
      <x:c r="X477" s="2" t="str">
        <x:v>ichi1,news1,nf01</x:v>
      </x:c>
      <x:c r="Y477" s="2" t="n">
        <x:v>100</x:v>
      </x:c>
      <x:c r="Z477" s="2" t="str">
        <x:v>ichi1,news1,nf01</x:v>
      </x:c>
      <x:c r="AA477" s="2" t="n">
        <x:v>100</x:v>
      </x:c>
      <x:c r="AB477" s="8" t="str"/>
      <x:c r="AC477" s="8" t="str"/>
      <x:c r="AD477" s="8" t="str">
        <x:v>["backfill-replacement","assistant-ko-reviewed"]</x:v>
      </x:c>
      <x:c r="AE477" s="8" t="str">
        <x:v>검토 필요</x:v>
      </x:c>
      <x:c r="AF477" s="8" t="str"/>
    </x:row>
    <x:row r="478">
      <x:c r="A478" s="10" t="n">
        <x:v>477</x:v>
      </x:c>
      <x:c r="B478" s="2" t="str">
        <x:v>2차 보류</x:v>
      </x:c>
      <x:c r="C478" s="2" t="str">
        <x:v>2차 보류</x:v>
      </x:c>
      <x:c r="D478" s="2" t="str">
        <x:v>낮음</x:v>
      </x:c>
      <x:c r="E478" s="2" t="str">
        <x:v>N5</x:v>
      </x:c>
      <x:c r="F478" s="10" t="n">
        <x:v>14</x:v>
      </x:c>
      <x:c r="G478" s="2" t="str">
        <x:v>w_abb63267199e597d</x:v>
      </x:c>
      <x:c r="H478" s="2" t="str">
        <x:v>醤油</x:v>
      </x:c>
      <x:c r="I478" s="2" t="str">
        <x:v>しょうゆ</x:v>
      </x:c>
      <x:c r="J478" s="8" t="str">
        <x:v>간장</x:v>
      </x:c>
      <x:c r="K478" s="2" t="str">
        <x:v>noun</x:v>
      </x:c>
      <x:c r="L478" s="9"/>
      <x:c r="M478" s="2" t="str">
        <x:v>없음</x:v>
      </x:c>
      <x:c r="N478" s="11" t="n">
        <x:v>21</x:v>
      </x:c>
      <x:c r="O478" s="8" t="str">
        <x:v>일반 사용 빈도가 없거나 0; 검증된 예문 없음</x:v>
      </x:c>
      <x:c r="P478" s="8" t="str">
        <x:v>frequency_missing_or_zero,no_example</x:v>
      </x:c>
      <x:c r="Q478" s="2" t="str"/>
      <x:c r="R478" s="2" t="str"/>
      <x:c r="S478" s="2" t="str"/>
      <x:c r="T478" s="2" t="str"/>
      <x:c r="U478" s="2" t="str"/>
      <x:c r="V478" s="2" t="str">
        <x:v>아니오</x:v>
      </x:c>
      <x:c r="W478" s="2" t="str">
        <x:v>예</x:v>
      </x:c>
      <x:c r="X478" s="2" t="str">
        <x:v>ichi1,news2,nf31</x:v>
      </x:c>
      <x:c r="Y478" s="2" t="n">
        <x:v>100</x:v>
      </x:c>
      <x:c r="Z478" s="2" t="str">
        <x:v>ichi1,news2,nf31</x:v>
      </x:c>
      <x:c r="AA478" s="2" t="n">
        <x:v>100</x:v>
      </x:c>
      <x:c r="AB478" s="8" t="str"/>
      <x:c r="AC478" s="8" t="str"/>
      <x:c r="AD478" s="8" t="str">
        <x:v>["backfill-replacement","assistant-ko-reviewed"]</x:v>
      </x:c>
      <x:c r="AE478" s="8" t="str">
        <x:v>검토 필요</x:v>
      </x:c>
      <x:c r="AF478" s="8" t="str"/>
    </x:row>
    <x:row r="479">
      <x:c r="A479" s="10" t="n">
        <x:v>478</x:v>
      </x:c>
      <x:c r="B479" s="2" t="str">
        <x:v>2차 보류</x:v>
      </x:c>
      <x:c r="C479" s="2" t="str">
        <x:v>2차 보류</x:v>
      </x:c>
      <x:c r="D479" s="2" t="str">
        <x:v>낮음</x:v>
      </x:c>
      <x:c r="E479" s="2" t="str">
        <x:v>N5</x:v>
      </x:c>
      <x:c r="F479" s="10" t="n">
        <x:v>15</x:v>
      </x:c>
      <x:c r="G479" s="2" t="str">
        <x:v>w_aee488186f66c2a2</x:v>
      </x:c>
      <x:c r="H479" s="2" t="str">
        <x:v>白</x:v>
      </x:c>
      <x:c r="I479" s="2" t="str">
        <x:v>しろ</x:v>
      </x:c>
      <x:c r="J479" s="8" t="str">
        <x:v>흰색, 하양</x:v>
      </x:c>
      <x:c r="K479" s="2" t="str">
        <x:v>noun</x:v>
      </x:c>
      <x:c r="L479" s="9"/>
      <x:c r="M479" s="2" t="str">
        <x:v>없음</x:v>
      </x:c>
      <x:c r="N479" s="11" t="n">
        <x:v>21</x:v>
      </x:c>
      <x:c r="O479" s="8" t="str">
        <x:v>일반 사용 빈도가 없거나 0; 검증된 예문 없음</x:v>
      </x:c>
      <x:c r="P479" s="8" t="str">
        <x:v>frequency_missing_or_zero,no_example</x:v>
      </x:c>
      <x:c r="Q479" s="2" t="str"/>
      <x:c r="R479" s="2" t="str"/>
      <x:c r="S479" s="2" t="str"/>
      <x:c r="T479" s="2" t="str"/>
      <x:c r="U479" s="2" t="str"/>
      <x:c r="V479" s="2" t="str">
        <x:v>아니오</x:v>
      </x:c>
      <x:c r="W479" s="2" t="str">
        <x:v>예</x:v>
      </x:c>
      <x:c r="X479" s="2" t="str">
        <x:v>ichi1,news1,nf03</x:v>
      </x:c>
      <x:c r="Y479" s="2" t="n">
        <x:v>100</x:v>
      </x:c>
      <x:c r="Z479" s="2" t="str">
        <x:v>ichi1,news1,nf03</x:v>
      </x:c>
      <x:c r="AA479" s="2" t="n">
        <x:v>100</x:v>
      </x:c>
      <x:c r="AB479" s="8" t="str"/>
      <x:c r="AC479" s="8" t="str"/>
      <x:c r="AD479" s="8" t="str">
        <x:v>["backfill-replacement","assistant-ko-reviewed"]</x:v>
      </x:c>
      <x:c r="AE479" s="8" t="str">
        <x:v>검토 필요</x:v>
      </x:c>
      <x:c r="AF479" s="8" t="str"/>
    </x:row>
    <x:row r="480">
      <x:c r="A480" s="10" t="n">
        <x:v>479</x:v>
      </x:c>
      <x:c r="B480" s="2" t="str">
        <x:v>2차 보류</x:v>
      </x:c>
      <x:c r="C480" s="2" t="str">
        <x:v>2차 보류</x:v>
      </x:c>
      <x:c r="D480" s="2" t="str">
        <x:v>낮음</x:v>
      </x:c>
      <x:c r="E480" s="2" t="str">
        <x:v>N5</x:v>
      </x:c>
      <x:c r="F480" s="10" t="n">
        <x:v>16</x:v>
      </x:c>
      <x:c r="G480" s="2" t="str">
        <x:v>w_e4039a5d243b5880</x:v>
      </x:c>
      <x:c r="H480" s="2" t="str">
        <x:v>涼しい</x:v>
      </x:c>
      <x:c r="I480" s="2" t="str">
        <x:v>すずしい</x:v>
      </x:c>
      <x:c r="J480" s="8" t="str">
        <x:v>시원하다, 서늘하다</x:v>
      </x:c>
      <x:c r="K480" s="2" t="str">
        <x:v>adjective</x:v>
      </x:c>
      <x:c r="L480" s="9"/>
      <x:c r="M480" s="2" t="str">
        <x:v>없음</x:v>
      </x:c>
      <x:c r="N480" s="11" t="n">
        <x:v>21</x:v>
      </x:c>
      <x:c r="O480" s="8" t="str">
        <x:v>일반 사용 빈도가 없거나 0; 검증된 예문 없음</x:v>
      </x:c>
      <x:c r="P480" s="8" t="str">
        <x:v>frequency_missing_or_zero,no_example</x:v>
      </x:c>
      <x:c r="Q480" s="2" t="str"/>
      <x:c r="R480" s="2" t="str"/>
      <x:c r="S480" s="2" t="str"/>
      <x:c r="T480" s="2" t="str"/>
      <x:c r="U480" s="2" t="str"/>
      <x:c r="V480" s="2" t="str">
        <x:v>아니오</x:v>
      </x:c>
      <x:c r="W480" s="2" t="str">
        <x:v>예</x:v>
      </x:c>
      <x:c r="X480" s="2" t="str">
        <x:v>ichi1,news2,nf30</x:v>
      </x:c>
      <x:c r="Y480" s="2" t="n">
        <x:v>100</x:v>
      </x:c>
      <x:c r="Z480" s="2" t="str">
        <x:v>ichi1,news2,nf30</x:v>
      </x:c>
      <x:c r="AA480" s="2" t="n">
        <x:v>100</x:v>
      </x:c>
      <x:c r="AB480" s="8" t="str">
        <x:v>archaic</x:v>
      </x:c>
      <x:c r="AC480" s="8" t="str"/>
      <x:c r="AD480" s="8" t="str">
        <x:v>["backfill-replacement","assistant-ko-reviewed"]</x:v>
      </x:c>
      <x:c r="AE480" s="8" t="str">
        <x:v>검토 필요</x:v>
      </x:c>
      <x:c r="AF480" s="8" t="str"/>
    </x:row>
    <x:row r="481">
      <x:c r="A481" s="10" t="n">
        <x:v>480</x:v>
      </x:c>
      <x:c r="B481" s="2" t="str">
        <x:v>2차 보류</x:v>
      </x:c>
      <x:c r="C481" s="2" t="str">
        <x:v>2차 보류</x:v>
      </x:c>
      <x:c r="D481" s="2" t="str">
        <x:v>낮음</x:v>
      </x:c>
      <x:c r="E481" s="2" t="str">
        <x:v>N4</x:v>
      </x:c>
      <x:c r="F481" s="10" t="n">
        <x:v>43</x:v>
      </x:c>
      <x:c r="G481" s="2" t="str">
        <x:v>w_53bb3cf73ffdb8b6</x:v>
      </x:c>
      <x:c r="H481" s="2" t="str">
        <x:v>湯</x:v>
      </x:c>
      <x:c r="I481" s="2" t="str">
        <x:v>ゆ</x:v>
      </x:c>
      <x:c r="J481" s="8" t="str">
        <x:v>뜨거운 물, 목욕물</x:v>
      </x:c>
      <x:c r="K481" s="2" t="str">
        <x:v>noun</x:v>
      </x:c>
      <x:c r="L481" s="9"/>
      <x:c r="M481" s="2" t="str">
        <x:v>없음</x:v>
      </x:c>
      <x:c r="N481" s="11" t="n">
        <x:v>21</x:v>
      </x:c>
      <x:c r="O481" s="8" t="str">
        <x:v>일반 사용 빈도가 없거나 0; 검증된 예문 없음</x:v>
      </x:c>
      <x:c r="P481" s="8" t="str">
        <x:v>frequency_missing_or_zero,no_example</x:v>
      </x:c>
      <x:c r="Q481" s="2" t="str"/>
      <x:c r="R481" s="2" t="str"/>
      <x:c r="S481" s="2" t="str"/>
      <x:c r="T481" s="2" t="str"/>
      <x:c r="U481" s="2" t="str"/>
      <x:c r="V481" s="2" t="str">
        <x:v>아니오</x:v>
      </x:c>
      <x:c r="W481" s="2" t="str">
        <x:v>예</x:v>
      </x:c>
      <x:c r="X481" s="2" t="str">
        <x:v>ichi1,news1,nf06</x:v>
      </x:c>
      <x:c r="Y481" s="2" t="n">
        <x:v>100</x:v>
      </x:c>
      <x:c r="Z481" s="2" t="str">
        <x:v>ichi1,news1,nf06</x:v>
      </x:c>
      <x:c r="AA481" s="2" t="n">
        <x:v>100</x:v>
      </x:c>
      <x:c r="AB481" s="8" t="str"/>
      <x:c r="AC481" s="8" t="str"/>
      <x:c r="AD481" s="8" t="str">
        <x:v>["backfill-replacement","assistant-ko-reviewed"]</x:v>
      </x:c>
      <x:c r="AE481" s="8" t="str">
        <x:v>검토 필요</x:v>
      </x:c>
      <x:c r="AF481" s="8" t="str"/>
    </x:row>
    <x:row r="482">
      <x:c r="A482" s="10" t="n">
        <x:v>481</x:v>
      </x:c>
      <x:c r="B482" s="2" t="str">
        <x:v>2차 보류</x:v>
      </x:c>
      <x:c r="C482" s="2" t="str">
        <x:v>2차 보류</x:v>
      </x:c>
      <x:c r="D482" s="2" t="str">
        <x:v>낮음</x:v>
      </x:c>
      <x:c r="E482" s="2" t="str">
        <x:v>N4</x:v>
      </x:c>
      <x:c r="F482" s="10" t="n">
        <x:v>44</x:v>
      </x:c>
      <x:c r="G482" s="2" t="str">
        <x:v>w_6a95b86178733f43</x:v>
      </x:c>
      <x:c r="H482" s="2" t="str">
        <x:v>娘</x:v>
      </x:c>
      <x:c r="I482" s="2" t="str">
        <x:v>むすめ</x:v>
      </x:c>
      <x:c r="J482" s="8" t="str">
        <x:v>딸, 아가씨</x:v>
      </x:c>
      <x:c r="K482" s="2" t="str">
        <x:v>noun</x:v>
      </x:c>
      <x:c r="L482" s="9"/>
      <x:c r="M482" s="2" t="str">
        <x:v>없음</x:v>
      </x:c>
      <x:c r="N482" s="11" t="n">
        <x:v>21</x:v>
      </x:c>
      <x:c r="O482" s="8" t="str">
        <x:v>일반 사용 빈도가 없거나 0; 검증된 예문 없음</x:v>
      </x:c>
      <x:c r="P482" s="8" t="str">
        <x:v>frequency_missing_or_zero,no_example</x:v>
      </x:c>
      <x:c r="Q482" s="2" t="str"/>
      <x:c r="R482" s="2" t="str"/>
      <x:c r="S482" s="2" t="str"/>
      <x:c r="T482" s="2" t="str"/>
      <x:c r="U482" s="2" t="str"/>
      <x:c r="V482" s="2" t="str">
        <x:v>아니오</x:v>
      </x:c>
      <x:c r="W482" s="2" t="str">
        <x:v>예</x:v>
      </x:c>
      <x:c r="X482" s="2" t="str">
        <x:v>ichi1,news1,nf02</x:v>
      </x:c>
      <x:c r="Y482" s="2" t="n">
        <x:v>100</x:v>
      </x:c>
      <x:c r="Z482" s="2" t="str">
        <x:v>ichi1,news1,nf02</x:v>
      </x:c>
      <x:c r="AA482" s="2" t="n">
        <x:v>100</x:v>
      </x:c>
      <x:c r="AB482" s="8" t="str"/>
      <x:c r="AC482" s="8" t="str"/>
      <x:c r="AD482" s="8" t="str">
        <x:v>["backfill-replacement","assistant-ko-reviewed"]</x:v>
      </x:c>
      <x:c r="AE482" s="8" t="str">
        <x:v>검토 필요</x:v>
      </x:c>
      <x:c r="AF482" s="8" t="str"/>
    </x:row>
    <x:row r="483">
      <x:c r="A483" s="10" t="n">
        <x:v>482</x:v>
      </x:c>
      <x:c r="B483" s="2" t="str">
        <x:v>2차 보류</x:v>
      </x:c>
      <x:c r="C483" s="2" t="str">
        <x:v>2차 보류</x:v>
      </x:c>
      <x:c r="D483" s="2" t="str">
        <x:v>낮음</x:v>
      </x:c>
      <x:c r="E483" s="2" t="str">
        <x:v>N4</x:v>
      </x:c>
      <x:c r="F483" s="10" t="n">
        <x:v>45</x:v>
      </x:c>
      <x:c r="G483" s="2" t="str">
        <x:v>w_6d129de0dacae5bb</x:v>
      </x:c>
      <x:c r="H483" s="2" t="str">
        <x:v>会議</x:v>
      </x:c>
      <x:c r="I483" s="2" t="str">
        <x:v>かいぎ</x:v>
      </x:c>
      <x:c r="J483" s="8" t="str">
        <x:v>회의, 회합</x:v>
      </x:c>
      <x:c r="K483" s="2" t="str">
        <x:v>noun</x:v>
      </x:c>
      <x:c r="L483" s="9"/>
      <x:c r="M483" s="2" t="str">
        <x:v>없음</x:v>
      </x:c>
      <x:c r="N483" s="11" t="n">
        <x:v>21</x:v>
      </x:c>
      <x:c r="O483" s="8" t="str">
        <x:v>일반 사용 빈도가 없거나 0; 검증된 예문 없음</x:v>
      </x:c>
      <x:c r="P483" s="8" t="str">
        <x:v>frequency_missing_or_zero,no_example</x:v>
      </x:c>
      <x:c r="Q483" s="2" t="str"/>
      <x:c r="R483" s="2" t="str"/>
      <x:c r="S483" s="2" t="str"/>
      <x:c r="T483" s="2" t="str"/>
      <x:c r="U483" s="2" t="str"/>
      <x:c r="V483" s="2" t="str">
        <x:v>아니오</x:v>
      </x:c>
      <x:c r="W483" s="2" t="str">
        <x:v>예</x:v>
      </x:c>
      <x:c r="X483" s="2" t="str">
        <x:v>ichi1,news1,nf01</x:v>
      </x:c>
      <x:c r="Y483" s="2" t="n">
        <x:v>100</x:v>
      </x:c>
      <x:c r="Z483" s="2" t="str">
        <x:v>ichi1,news1,nf01</x:v>
      </x:c>
      <x:c r="AA483" s="2" t="n">
        <x:v>100</x:v>
      </x:c>
      <x:c r="AB483" s="8" t="str"/>
      <x:c r="AC483" s="8" t="str"/>
      <x:c r="AD483" s="8" t="str">
        <x:v>["backfill-replacement","assistant-ko-reviewed"]</x:v>
      </x:c>
      <x:c r="AE483" s="8" t="str">
        <x:v>검토 필요</x:v>
      </x:c>
      <x:c r="AF483" s="8" t="str"/>
    </x:row>
    <x:row r="484">
      <x:c r="A484" s="10" t="n">
        <x:v>483</x:v>
      </x:c>
      <x:c r="B484" s="2" t="str">
        <x:v>2차 보류</x:v>
      </x:c>
      <x:c r="C484" s="2" t="str">
        <x:v>2차 보류</x:v>
      </x:c>
      <x:c r="D484" s="2" t="str">
        <x:v>낮음</x:v>
      </x:c>
      <x:c r="E484" s="2" t="str">
        <x:v>N3</x:v>
      </x:c>
      <x:c r="F484" s="10" t="n">
        <x:v>68</x:v>
      </x:c>
      <x:c r="G484" s="2" t="str">
        <x:v>w_9a19281a2bb79e1b</x:v>
      </x:c>
      <x:c r="H484" s="2" t="str">
        <x:v>曜日</x:v>
      </x:c>
      <x:c r="I484" s="2" t="str">
        <x:v>ようび</x:v>
      </x:c>
      <x:c r="J484" s="8" t="str">
        <x:v>요일</x:v>
      </x:c>
      <x:c r="K484" s="2" t="str">
        <x:v>noun</x:v>
      </x:c>
      <x:c r="L484" s="9"/>
      <x:c r="M484" s="2" t="str">
        <x:v>없음</x:v>
      </x:c>
      <x:c r="N484" s="11" t="n">
        <x:v>21</x:v>
      </x:c>
      <x:c r="O484" s="8" t="str">
        <x:v>일반 사용 빈도가 없거나 0; 검증된 예문 없음</x:v>
      </x:c>
      <x:c r="P484" s="8" t="str">
        <x:v>frequency_missing_or_zero,no_example</x:v>
      </x:c>
      <x:c r="Q484" s="2" t="str"/>
      <x:c r="R484" s="2" t="str"/>
      <x:c r="S484" s="2" t="str"/>
      <x:c r="T484" s="2" t="str"/>
      <x:c r="U484" s="2" t="str"/>
      <x:c r="V484" s="2" t="str">
        <x:v>아니오</x:v>
      </x:c>
      <x:c r="W484" s="2" t="str">
        <x:v>예</x:v>
      </x:c>
      <x:c r="X484" s="2" t="str">
        <x:v>ichi1,news1,nf04</x:v>
      </x:c>
      <x:c r="Y484" s="2" t="n">
        <x:v>100</x:v>
      </x:c>
      <x:c r="Z484" s="2" t="str">
        <x:v>ichi1,news1,nf04</x:v>
      </x:c>
      <x:c r="AA484" s="2" t="n">
        <x:v>100</x:v>
      </x:c>
      <x:c r="AB484" s="8" t="str"/>
      <x:c r="AC484" s="8" t="str"/>
      <x:c r="AD484" s="8" t="str">
        <x:v>["backfill-replacement","assistant-ko-reviewed"]</x:v>
      </x:c>
      <x:c r="AE484" s="8" t="str">
        <x:v>검토 필요</x:v>
      </x:c>
      <x:c r="AF484" s="8" t="str"/>
    </x:row>
    <x:row r="485">
      <x:c r="A485" s="10" t="n">
        <x:v>484</x:v>
      </x:c>
      <x:c r="B485" s="2" t="str">
        <x:v>2차 보류</x:v>
      </x:c>
      <x:c r="C485" s="2" t="str">
        <x:v>2차 보류</x:v>
      </x:c>
      <x:c r="D485" s="2" t="str">
        <x:v>낮음</x:v>
      </x:c>
      <x:c r="E485" s="2" t="str">
        <x:v>N3</x:v>
      </x:c>
      <x:c r="F485" s="10" t="n">
        <x:v>69</x:v>
      </x:c>
      <x:c r="G485" s="2" t="str">
        <x:v>w_cee02ce8918a94e7</x:v>
      </x:c>
      <x:c r="H485" s="2" t="str">
        <x:v>止す</x:v>
      </x:c>
      <x:c r="I485" s="2" t="str">
        <x:v>よす</x:v>
      </x:c>
      <x:c r="J485" s="8" t="str">
        <x:v>그만두다, 포기하다</x:v>
      </x:c>
      <x:c r="K485" s="2" t="str">
        <x:v>verb</x:v>
      </x:c>
      <x:c r="L485" s="9"/>
      <x:c r="M485" s="2" t="str">
        <x:v>없음</x:v>
      </x:c>
      <x:c r="N485" s="11" t="n">
        <x:v>21</x:v>
      </x:c>
      <x:c r="O485" s="8" t="str">
        <x:v>일반 사용 빈도가 없거나 0; 검증된 예문 없음</x:v>
      </x:c>
      <x:c r="P485" s="8" t="str">
        <x:v>frequency_missing_or_zero,no_example</x:v>
      </x:c>
      <x:c r="Q485" s="2" t="str"/>
      <x:c r="R485" s="2" t="str"/>
      <x:c r="S485" s="2" t="str"/>
      <x:c r="T485" s="2" t="str"/>
      <x:c r="U485" s="2" t="str"/>
      <x:c r="V485" s="2" t="str">
        <x:v>아니오</x:v>
      </x:c>
      <x:c r="W485" s="2" t="str">
        <x:v>예</x:v>
      </x:c>
      <x:c r="X485" s="2" t="str">
        <x:v>ichi1</x:v>
      </x:c>
      <x:c r="Y485" s="2" t="n">
        <x:v>100</x:v>
      </x:c>
      <x:c r="Z485" s="2" t="str">
        <x:v>ichi1</x:v>
      </x:c>
      <x:c r="AA485" s="2" t="n">
        <x:v>100</x:v>
      </x:c>
      <x:c r="AB485" s="8" t="str">
        <x:v>word usually written using kana alone</x:v>
      </x:c>
      <x:c r="AC485" s="8" t="str"/>
      <x:c r="AD485" s="8" t="str">
        <x:v>["backfill-replacement","assistant-ko-reviewed"]</x:v>
      </x:c>
      <x:c r="AE485" s="8" t="str">
        <x:v>검토 필요</x:v>
      </x:c>
      <x:c r="AF485" s="8" t="str"/>
    </x:row>
    <x:row r="486">
      <x:c r="A486" s="10" t="n">
        <x:v>485</x:v>
      </x:c>
      <x:c r="B486" s="2" t="str">
        <x:v>2차 보류</x:v>
      </x:c>
      <x:c r="C486" s="2" t="str">
        <x:v>2차 보류</x:v>
      </x:c>
      <x:c r="D486" s="2" t="str">
        <x:v>낮음</x:v>
      </x:c>
      <x:c r="E486" s="2" t="str">
        <x:v>N2</x:v>
      </x:c>
      <x:c r="F486" s="10" t="n">
        <x:v>178</x:v>
      </x:c>
      <x:c r="G486" s="2" t="str">
        <x:v>w_1a974daef1d619c3</x:v>
      </x:c>
      <x:c r="H486" s="2" t="str">
        <x:v>縮れる</x:v>
      </x:c>
      <x:c r="I486" s="2" t="str">
        <x:v>ちぢれる</x:v>
      </x:c>
      <x:c r="J486" s="8" t="str">
        <x:v>곱슬거리다, 오그라들다</x:v>
      </x:c>
      <x:c r="K486" s="2" t="str">
        <x:v>verb</x:v>
      </x:c>
      <x:c r="L486" s="9" t="n">
        <x:v>0</x:v>
      </x:c>
      <x:c r="M486" s="2" t="str">
        <x:v>없음</x:v>
      </x:c>
      <x:c r="N486" s="11" t="n">
        <x:v>21</x:v>
      </x:c>
      <x:c r="O486" s="8" t="str">
        <x:v>일반 사용 빈도가 없거나 0; 검증된 예문 없음</x:v>
      </x:c>
      <x:c r="P486" s="8" t="str">
        <x:v>frequency_missing_or_zero,no_example</x:v>
      </x:c>
      <x:c r="Q486" s="2" t="str"/>
      <x:c r="R486" s="2" t="str"/>
      <x:c r="S486" s="2" t="str"/>
      <x:c r="T486" s="2" t="str"/>
      <x:c r="U486" s="2" t="str"/>
      <x:c r="V486" s="2" t="str">
        <x:v>아니오</x:v>
      </x:c>
      <x:c r="W486" s="2" t="str">
        <x:v>예</x:v>
      </x:c>
      <x:c r="X486" s="2" t="str">
        <x:v>ichi1</x:v>
      </x:c>
      <x:c r="Y486" s="2" t="n">
        <x:v>100</x:v>
      </x:c>
      <x:c r="Z486" s="2" t="str">
        <x:v>ichi1</x:v>
      </x:c>
      <x:c r="AA486" s="2" t="n">
        <x:v>100</x:v>
      </x:c>
      <x:c r="AB486" s="8" t="str"/>
      <x:c r="AC486" s="8" t="str"/>
      <x:c r="AD486" s="8" t="str">
        <x:v>["ko-reviewed"]</x:v>
      </x:c>
      <x:c r="AE486" s="8" t="str">
        <x:v>검토 필요</x:v>
      </x:c>
      <x:c r="AF486" s="8" t="str"/>
    </x:row>
    <x:row r="487">
      <x:c r="A487" s="10" t="n">
        <x:v>486</x:v>
      </x:c>
      <x:c r="B487" s="2" t="str">
        <x:v>2차 보류</x:v>
      </x:c>
      <x:c r="C487" s="2" t="str">
        <x:v>2차 보류</x:v>
      </x:c>
      <x:c r="D487" s="2" t="str">
        <x:v>낮음</x:v>
      </x:c>
      <x:c r="E487" s="2" t="str">
        <x:v>N1</x:v>
      </x:c>
      <x:c r="F487" s="10" t="n">
        <x:v>178</x:v>
      </x:c>
      <x:c r="G487" s="2" t="str">
        <x:v>w_7eb2a233a41069c6</x:v>
      </x:c>
      <x:c r="H487" s="2" t="str">
        <x:v>綻びる</x:v>
      </x:c>
      <x:c r="I487" s="2" t="str">
        <x:v>ほころびる</x:v>
      </x:c>
      <x:c r="J487" s="8" t="str">
        <x:v>터지다, 벌어지다, 미소짓다</x:v>
      </x:c>
      <x:c r="K487" s="2" t="str">
        <x:v>verb</x:v>
      </x:c>
      <x:c r="L487" s="9" t="n">
        <x:v>0</x:v>
      </x:c>
      <x:c r="M487" s="2" t="str">
        <x:v>없음</x:v>
      </x:c>
      <x:c r="N487" s="11" t="n">
        <x:v>21</x:v>
      </x:c>
      <x:c r="O487" s="8" t="str">
        <x:v>일반 사용 빈도가 없거나 0; 검증된 예문 없음</x:v>
      </x:c>
      <x:c r="P487" s="8" t="str">
        <x:v>frequency_missing_or_zero,no_example</x:v>
      </x:c>
      <x:c r="Q487" s="2" t="str"/>
      <x:c r="R487" s="2" t="str"/>
      <x:c r="S487" s="2" t="str"/>
      <x:c r="T487" s="2" t="str"/>
      <x:c r="U487" s="2" t="str"/>
      <x:c r="V487" s="2" t="str">
        <x:v>아니오</x:v>
      </x:c>
      <x:c r="W487" s="2" t="str">
        <x:v>예</x:v>
      </x:c>
      <x:c r="X487" s="2" t="str">
        <x:v>ichi1</x:v>
      </x:c>
      <x:c r="Y487" s="2" t="n">
        <x:v>100</x:v>
      </x:c>
      <x:c r="Z487" s="2" t="str">
        <x:v>ichi1</x:v>
      </x:c>
      <x:c r="AA487" s="2" t="n">
        <x:v>100</x:v>
      </x:c>
      <x:c r="AB487" s="8" t="str">
        <x:v>word usually written using kana alone</x:v>
      </x:c>
      <x:c r="AC487" s="8" t="str"/>
      <x:c r="AD487" s="8" t="str">
        <x:v>["ko-reviewed"]</x:v>
      </x:c>
      <x:c r="AE487" s="8" t="str">
        <x:v>검토 필요</x:v>
      </x:c>
      <x:c r="AF487" s="8" t="str"/>
    </x:row>
    <x:row r="488">
      <x:c r="A488" s="10" t="n">
        <x:v>487</x:v>
      </x:c>
      <x:c r="B488" s="2" t="str">
        <x:v>2차 보류</x:v>
      </x:c>
      <x:c r="C488" s="2" t="str">
        <x:v>2차 보류</x:v>
      </x:c>
      <x:c r="D488" s="2" t="str">
        <x:v>낮음</x:v>
      </x:c>
      <x:c r="E488" s="2" t="str">
        <x:v>N1</x:v>
      </x:c>
      <x:c r="F488" s="10" t="n">
        <x:v>179</x:v>
      </x:c>
      <x:c r="G488" s="2" t="str">
        <x:v>w_0ad350a08c148e38</x:v>
      </x:c>
      <x:c r="H488" s="2" t="str">
        <x:v>召す</x:v>
      </x:c>
      <x:c r="I488" s="2" t="str">
        <x:v>めす</x:v>
      </x:c>
      <x:c r="J488" s="8" t="str">
        <x:v>드시다/입으시다(높임말)</x:v>
      </x:c>
      <x:c r="K488" s="2" t="str">
        <x:v>verb</x:v>
      </x:c>
      <x:c r="L488" s="9" t="n">
        <x:v>2.64</x:v>
      </x:c>
      <x:c r="M488" s="2" t="str">
        <x:v>없음</x:v>
      </x:c>
      <x:c r="N488" s="11" t="n">
        <x:v>21</x:v>
      </x:c>
      <x:c r="O488" s="8" t="str">
        <x:v>일반 사용 빈도 낮은 편(Zipf ≤ 3.0); 기존 한국어 뜻 품질 감사 대상; 검증된 예문 없음; 기존 데이터의 한국어 콘텐츠 보강 필요 태그</x:v>
      </x:c>
      <x:c r="P488" s="8" t="str">
        <x:v>frequency_le_3_0,legacy_gloss_audit:senses_5_6,no_example,weak_legacy_content</x:v>
      </x:c>
      <x:c r="Q488" s="2" t="str"/>
      <x:c r="R488" s="2" t="str"/>
      <x:c r="S488" s="2" t="str"/>
      <x:c r="T488" s="2" t="str"/>
      <x:c r="U488" s="2" t="str"/>
      <x:c r="V488" s="2" t="str">
        <x:v>아니오</x:v>
      </x:c>
      <x:c r="W488" s="2" t="str">
        <x:v>예</x:v>
      </x:c>
      <x:c r="X488" s="2" t="str">
        <x:v>news2,nf47,spec2</x:v>
      </x:c>
      <x:c r="Y488" s="2" t="n">
        <x:v>70</x:v>
      </x:c>
      <x:c r="Z488" s="2" t="str">
        <x:v>news2,nf47,spec2</x:v>
      </x:c>
      <x:c r="AA488" s="2" t="n">
        <x:v>70</x:v>
      </x:c>
      <x:c r="AB488" s="8" t="str">
        <x:v>after -masu stem of verb | as お年を召す | as お気に召す | as お腹を召す | honorific or respectful (sonkeigo) language</x:v>
      </x:c>
      <x:c r="AC488" s="8" t="str">
        <x:v>senses_5_6</x:v>
      </x:c>
      <x:c r="AD488" s="8" t="str">
        <x:v>["draft-ko-missing"]</x:v>
      </x:c>
      <x:c r="AE488" s="8" t="str">
        <x:v>검토 필요</x:v>
      </x:c>
      <x:c r="AF488" s="8" t="str"/>
    </x:row>
    <x:row r="489">
      <x:c r="A489" s="10" t="n">
        <x:v>488</x:v>
      </x:c>
      <x:c r="B489" s="2" t="str">
        <x:v>2차 보류</x:v>
      </x:c>
      <x:c r="C489" s="2" t="str">
        <x:v>2차 보류</x:v>
      </x:c>
      <x:c r="D489" s="2" t="str">
        <x:v>낮음</x:v>
      </x:c>
      <x:c r="E489" s="2" t="str">
        <x:v>N1</x:v>
      </x:c>
      <x:c r="F489" s="10" t="n">
        <x:v>180</x:v>
      </x:c>
      <x:c r="G489" s="2" t="str">
        <x:v>w_e5f7cf7e405e3c68</x:v>
      </x:c>
      <x:c r="H489" s="2" t="str">
        <x:v>素っ気無い</x:v>
      </x:c>
      <x:c r="I489" s="2" t="str">
        <x:v>そっけない</x:v>
      </x:c>
      <x:c r="J489" s="8" t="str">
        <x:v>쌀쌀맞다, 무뚝뚝하다</x:v>
      </x:c>
      <x:c r="K489" s="2" t="str">
        <x:v>adjective</x:v>
      </x:c>
      <x:c r="L489" s="9" t="n">
        <x:v>2.96</x:v>
      </x:c>
      <x:c r="M489" s="2" t="str">
        <x:v>없음</x:v>
      </x:c>
      <x:c r="N489" s="11" t="n">
        <x:v>21</x:v>
      </x:c>
      <x:c r="O489" s="8" t="str">
        <x:v>일반 사용 빈도 낮은 편(Zipf ≤ 3.0); 기존 한국어 뜻 품질 감사 대상; 검증된 예문 없음; 기존 데이터의 한국어 콘텐츠 보강 필요 태그</x:v>
      </x:c>
      <x:c r="P489" s="8" t="str">
        <x:v>frequency_le_3_0,legacy_gloss_audit:senses_5_6,no_example,weak_legacy_content</x:v>
      </x:c>
      <x:c r="Q489" s="2" t="str"/>
      <x:c r="R489" s="2" t="str"/>
      <x:c r="S489" s="2" t="str"/>
      <x:c r="T489" s="2" t="str"/>
      <x:c r="U489" s="2" t="str"/>
      <x:c r="V489" s="2" t="str">
        <x:v>아니오</x:v>
      </x:c>
      <x:c r="W489" s="2" t="str">
        <x:v>예</x:v>
      </x:c>
      <x:c r="X489" s="2" t="str">
        <x:v>news2,nf41</x:v>
      </x:c>
      <x:c r="Y489" s="2" t="n">
        <x:v>70</x:v>
      </x:c>
      <x:c r="Z489" s="2" t="str"/>
      <x:c r="AA489" s="2" t="n">
        <x:v>0</x:v>
      </x:c>
      <x:c r="AB489" s="8" t="str">
        <x:v>word usually written using kana alone</x:v>
      </x:c>
      <x:c r="AC489" s="8" t="str">
        <x:v>senses_5_6</x:v>
      </x:c>
      <x:c r="AD489" s="8" t="str">
        <x:v>["draft-ko-missing"]</x:v>
      </x:c>
      <x:c r="AE489" s="8" t="str">
        <x:v>검토 필요</x:v>
      </x:c>
      <x:c r="AF489" s="8" t="str"/>
    </x:row>
    <x:row r="490">
      <x:c r="A490" s="10" t="n">
        <x:v>489</x:v>
      </x:c>
      <x:c r="B490" s="2" t="str">
        <x:v>1차 제외 추천</x:v>
      </x:c>
      <x:c r="C490" s="2" t="str">
        <x:v>중복 변형 제거 검토</x:v>
      </x:c>
      <x:c r="D490" s="2" t="str">
        <x:v>높음</x:v>
      </x:c>
      <x:c r="E490" s="2" t="str">
        <x:v>N2</x:v>
      </x:c>
      <x:c r="F490" s="10" t="n">
        <x:v>179</x:v>
      </x:c>
      <x:c r="G490" s="2" t="str">
        <x:v>w_b6692781d912a8ce</x:v>
      </x:c>
      <x:c r="H490" s="2" t="str">
        <x:v>初めに</x:v>
      </x:c>
      <x:c r="I490" s="2" t="str">
        <x:v>はじめに</x:v>
      </x:c>
      <x:c r="J490" s="8" t="str">
        <x:v>처음에, 먼저</x:v>
      </x:c>
      <x:c r="K490" s="2" t="str">
        <x:v>expression</x:v>
      </x:c>
      <x:c r="L490" s="9" t="n">
        <x:v>4.6</x:v>
      </x:c>
      <x:c r="M490" s="2" t="str">
        <x:v>없음</x:v>
      </x:c>
      <x:c r="N490" s="11" t="n">
        <x:v>21</x:v>
      </x:c>
      <x:c r="O490" s="8" t="str">
        <x:v>검증된 예문 없음; 동일 JMdict 표제어의 표기·읽기 변형; 읽기와 한국어 뜻이 같은 표기 변형</x:v>
      </x:c>
      <x:c r="P490" s="8" t="str">
        <x:v>no_example,same_jmdict_entry,same_reading_meaning</x:v>
      </x:c>
      <x:c r="Q490" s="2" t="str">
        <x:v>vg_030</x:v>
      </x:c>
      <x:c r="R490" s="2" t="str">
        <x:v>same_jmdict_entry,same_reading_meaning</x:v>
      </x:c>
      <x:c r="S490" s="2" t="str">
        <x:v>w_213905929b42e976</x:v>
      </x:c>
      <x:c r="T490" s="2" t="str">
        <x:v>始めに</x:v>
      </x:c>
      <x:c r="U490" s="2" t="str">
        <x:v>はじめに</x:v>
      </x:c>
      <x:c r="V490" s="2" t="str">
        <x:v>아니오</x:v>
      </x:c>
      <x:c r="W490" s="2" t="str">
        <x:v>예</x:v>
      </x:c>
      <x:c r="X490" s="2" t="str">
        <x:v>ichi1,spec1</x:v>
      </x:c>
      <x:c r="Y490" s="2" t="n">
        <x:v>100</x:v>
      </x:c>
      <x:c r="Z490" s="2" t="str">
        <x:v>spec1</x:v>
      </x:c>
      <x:c r="AA490" s="2" t="n">
        <x:v>100</x:v>
      </x:c>
      <x:c r="AB490" s="8" t="str">
        <x:v>as the section heading of a book, etc. | word usually written using kana alone</x:v>
      </x:c>
      <x:c r="AC490" s="8" t="str"/>
      <x:c r="AD490" s="8" t="str">
        <x:v>["ko-reviewed"]</x:v>
      </x:c>
      <x:c r="AE490" s="8" t="str">
        <x:v>검토 필요</x:v>
      </x:c>
      <x:c r="AF490" s="8" t="str"/>
    </x:row>
    <x:row r="491">
      <x:c r="A491" s="10" t="n">
        <x:v>490</x:v>
      </x:c>
      <x:c r="B491" s="2" t="str">
        <x:v>2차 보류</x:v>
      </x:c>
      <x:c r="C491" s="2" t="str">
        <x:v>2차 보류</x:v>
      </x:c>
      <x:c r="D491" s="2" t="str">
        <x:v>낮음</x:v>
      </x:c>
      <x:c r="E491" s="2" t="str">
        <x:v>N1</x:v>
      </x:c>
      <x:c r="F491" s="10" t="n">
        <x:v>181</x:v>
      </x:c>
      <x:c r="G491" s="2" t="str">
        <x:v>w_2c436e55ab8f8e47</x:v>
      </x:c>
      <x:c r="H491" s="2" t="str">
        <x:v>釣り鐘</x:v>
      </x:c>
      <x:c r="I491" s="2" t="str">
        <x:v>つりがね</x:v>
      </x:c>
      <x:c r="J491" s="8" t="str">
        <x:v>범종</x:v>
      </x:c>
      <x:c r="K491" s="2" t="str">
        <x:v>noun</x:v>
      </x:c>
      <x:c r="L491" s="9" t="n">
        <x:v>1.6</x:v>
      </x:c>
      <x:c r="M491" s="2" t="str">
        <x:v>없음</x:v>
      </x:c>
      <x:c r="N491" s="11" t="n">
        <x:v>20</x:v>
      </x:c>
      <x:c r="O491" s="8" t="str">
        <x:v>일반 사용 빈도 매우 낮음(Zipf ≤ 2.0); 검증된 예문 없음</x:v>
      </x:c>
      <x:c r="P491" s="8" t="str">
        <x:v>frequency_le_2_0,no_example</x:v>
      </x:c>
      <x:c r="Q491" s="2" t="str"/>
      <x:c r="R491" s="2" t="str"/>
      <x:c r="S491" s="2" t="str"/>
      <x:c r="T491" s="2" t="str"/>
      <x:c r="U491" s="2" t="str"/>
      <x:c r="V491" s="2" t="str">
        <x:v>아니오</x:v>
      </x:c>
      <x:c r="W491" s="2" t="str">
        <x:v>예</x:v>
      </x:c>
      <x:c r="X491" s="2" t="str">
        <x:v>news2,nf42</x:v>
      </x:c>
      <x:c r="Y491" s="2" t="n">
        <x:v>70</x:v>
      </x:c>
      <x:c r="Z491" s="2" t="str">
        <x:v>news2,nf42</x:v>
      </x:c>
      <x:c r="AA491" s="2" t="n">
        <x:v>70</x:v>
      </x:c>
      <x:c r="AB491" s="8" t="str"/>
      <x:c r="AC491" s="8" t="str"/>
      <x:c r="AD491" s="8" t="str">
        <x:v>["ko-reviewed"]</x:v>
      </x:c>
      <x:c r="AE491" s="8" t="str">
        <x:v>검토 필요</x:v>
      </x:c>
      <x:c r="AF491" s="8" t="str"/>
    </x:row>
    <x:row r="492">
      <x:c r="A492" s="10" t="n">
        <x:v>491</x:v>
      </x:c>
      <x:c r="B492" s="2" t="str">
        <x:v>2차 보류</x:v>
      </x:c>
      <x:c r="C492" s="2" t="str">
        <x:v>2차 보류</x:v>
      </x:c>
      <x:c r="D492" s="2" t="str">
        <x:v>낮음</x:v>
      </x:c>
      <x:c r="E492" s="2" t="str">
        <x:v>N1</x:v>
      </x:c>
      <x:c r="F492" s="10" t="n">
        <x:v>182</x:v>
      </x:c>
      <x:c r="G492" s="2" t="str">
        <x:v>w_7b6acb6e00cd294a</x:v>
      </x:c>
      <x:c r="H492" s="2" t="str">
        <x:v>継目</x:v>
      </x:c>
      <x:c r="I492" s="2" t="str">
        <x:v>つぎめ</x:v>
      </x:c>
      <x:c r="J492" s="8" t="str">
        <x:v>이음매</x:v>
      </x:c>
      <x:c r="K492" s="2" t="str">
        <x:v>noun</x:v>
      </x:c>
      <x:c r="L492" s="9" t="n">
        <x:v>1.72</x:v>
      </x:c>
      <x:c r="M492" s="2" t="str">
        <x:v>없음</x:v>
      </x:c>
      <x:c r="N492" s="11" t="n">
        <x:v>20</x:v>
      </x:c>
      <x:c r="O492" s="8" t="str">
        <x:v>일반 사용 빈도 매우 낮음(Zipf ≤ 2.0); 검증된 예문 없음</x:v>
      </x:c>
      <x:c r="P492" s="8" t="str">
        <x:v>frequency_le_2_0,no_example</x:v>
      </x:c>
      <x:c r="Q492" s="2" t="str"/>
      <x:c r="R492" s="2" t="str"/>
      <x:c r="S492" s="2" t="str"/>
      <x:c r="T492" s="2" t="str"/>
      <x:c r="U492" s="2" t="str"/>
      <x:c r="V492" s="2" t="str">
        <x:v>아니오</x:v>
      </x:c>
      <x:c r="W492" s="2" t="str">
        <x:v>예</x:v>
      </x:c>
      <x:c r="X492" s="2" t="str">
        <x:v>news2,nf36</x:v>
      </x:c>
      <x:c r="Y492" s="2" t="n">
        <x:v>70</x:v>
      </x:c>
      <x:c r="Z492" s="2" t="str"/>
      <x:c r="AA492" s="2" t="n">
        <x:v>0</x:v>
      </x:c>
      <x:c r="AB492" s="8" t="str"/>
      <x:c r="AC492" s="8" t="str"/>
      <x:c r="AD492" s="8" t="str">
        <x:v>["ko-reviewed"]</x:v>
      </x:c>
      <x:c r="AE492" s="8" t="str">
        <x:v>검토 필요</x:v>
      </x:c>
      <x:c r="AF492" s="8" t="str"/>
    </x:row>
    <x:row r="493">
      <x:c r="A493" s="10" t="n">
        <x:v>492</x:v>
      </x:c>
      <x:c r="B493" s="2" t="str">
        <x:v>2차 보류</x:v>
      </x:c>
      <x:c r="C493" s="2" t="str">
        <x:v>2차 보류</x:v>
      </x:c>
      <x:c r="D493" s="2" t="str">
        <x:v>낮음</x:v>
      </x:c>
      <x:c r="E493" s="2" t="str">
        <x:v>N1</x:v>
      </x:c>
      <x:c r="F493" s="10" t="n">
        <x:v>183</x:v>
      </x:c>
      <x:c r="G493" s="2" t="str">
        <x:v>w_5f021602114fb122</x:v>
      </x:c>
      <x:c r="H493" s="2" t="str">
        <x:v>持ち切り</x:v>
      </x:c>
      <x:c r="I493" s="2" t="str">
        <x:v>もちきり</x:v>
      </x:c>
      <x:c r="J493" s="8" t="str">
        <x:v>온통 그 이야기뿐임</x:v>
      </x:c>
      <x:c r="K493" s="2" t="str">
        <x:v>noun</x:v>
      </x:c>
      <x:c r="L493" s="9" t="n">
        <x:v>1.74</x:v>
      </x:c>
      <x:c r="M493" s="2" t="str">
        <x:v>없음</x:v>
      </x:c>
      <x:c r="N493" s="11" t="n">
        <x:v>20</x:v>
      </x:c>
      <x:c r="O493" s="8" t="str">
        <x:v>일반 사용 빈도 매우 낮음(Zipf ≤ 2.0); 검증된 예문 없음</x:v>
      </x:c>
      <x:c r="P493" s="8" t="str">
        <x:v>frequency_le_2_0,no_example</x:v>
      </x:c>
      <x:c r="Q493" s="2" t="str"/>
      <x:c r="R493" s="2" t="str"/>
      <x:c r="S493" s="2" t="str"/>
      <x:c r="T493" s="2" t="str"/>
      <x:c r="U493" s="2" t="str"/>
      <x:c r="V493" s="2" t="str">
        <x:v>아니오</x:v>
      </x:c>
      <x:c r="W493" s="2" t="str">
        <x:v>예</x:v>
      </x:c>
      <x:c r="X493" s="2" t="str">
        <x:v>news2,nf46</x:v>
      </x:c>
      <x:c r="Y493" s="2" t="n">
        <x:v>70</x:v>
      </x:c>
      <x:c r="Z493" s="2" t="str">
        <x:v>news2,nf46</x:v>
      </x:c>
      <x:c r="AA493" s="2" t="n">
        <x:v>70</x:v>
      </x:c>
      <x:c r="AB493" s="8" t="str"/>
      <x:c r="AC493" s="8" t="str"/>
      <x:c r="AD493" s="8" t="str">
        <x:v>["ko-reviewed"]</x:v>
      </x:c>
      <x:c r="AE493" s="8" t="str">
        <x:v>검토 필요</x:v>
      </x:c>
      <x:c r="AF493" s="8" t="str"/>
    </x:row>
    <x:row r="494">
      <x:c r="A494" s="10" t="n">
        <x:v>493</x:v>
      </x:c>
      <x:c r="B494" s="2" t="str">
        <x:v>2차 보류</x:v>
      </x:c>
      <x:c r="C494" s="2" t="str">
        <x:v>2차 보류</x:v>
      </x:c>
      <x:c r="D494" s="2" t="str">
        <x:v>낮음</x:v>
      </x:c>
      <x:c r="E494" s="2" t="str">
        <x:v>N1</x:v>
      </x:c>
      <x:c r="F494" s="10" t="n">
        <x:v>184</x:v>
      </x:c>
      <x:c r="G494" s="2" t="str">
        <x:v>w_f35cf25072c98b1c</x:v>
      </x:c>
      <x:c r="H494" s="2" t="str">
        <x:v>雑木</x:v>
      </x:c>
      <x:c r="I494" s="2" t="str">
        <x:v>ぞうき</x:v>
      </x:c>
      <x:c r="J494" s="8" t="str">
        <x:v>잡목</x:v>
      </x:c>
      <x:c r="K494" s="2" t="str">
        <x:v>noun</x:v>
      </x:c>
      <x:c r="L494" s="9" t="n">
        <x:v>1.88</x:v>
      </x:c>
      <x:c r="M494" s="2" t="str">
        <x:v>없음</x:v>
      </x:c>
      <x:c r="N494" s="11" t="n">
        <x:v>20</x:v>
      </x:c>
      <x:c r="O494" s="8" t="str">
        <x:v>일반 사용 빈도 매우 낮음(Zipf ≤ 2.0); 검증된 예문 없음</x:v>
      </x:c>
      <x:c r="P494" s="8" t="str">
        <x:v>frequency_le_2_0,no_example</x:v>
      </x:c>
      <x:c r="Q494" s="2" t="str"/>
      <x:c r="R494" s="2" t="str"/>
      <x:c r="S494" s="2" t="str"/>
      <x:c r="T494" s="2" t="str"/>
      <x:c r="U494" s="2" t="str"/>
      <x:c r="V494" s="2" t="str">
        <x:v>아니오</x:v>
      </x:c>
      <x:c r="W494" s="2" t="str">
        <x:v>예</x:v>
      </x:c>
      <x:c r="X494" s="2" t="str">
        <x:v>news2,nf41</x:v>
      </x:c>
      <x:c r="Y494" s="2" t="n">
        <x:v>70</x:v>
      </x:c>
      <x:c r="Z494" s="2" t="str">
        <x:v>news2,nf41</x:v>
      </x:c>
      <x:c r="AA494" s="2" t="n">
        <x:v>70</x:v>
      </x:c>
      <x:c r="AB494" s="8" t="str"/>
      <x:c r="AC494" s="8" t="str"/>
      <x:c r="AD494" s="8" t="str">
        <x:v>["ko-reviewed"]</x:v>
      </x:c>
      <x:c r="AE494" s="8" t="str">
        <x:v>검토 필요</x:v>
      </x:c>
      <x:c r="AF494" s="8" t="str"/>
    </x:row>
    <x:row r="495">
      <x:c r="A495" s="10" t="n">
        <x:v>494</x:v>
      </x:c>
      <x:c r="B495" s="2" t="str">
        <x:v>1차 검토 후보</x:v>
      </x:c>
      <x:c r="C495" s="2" t="str">
        <x:v>표기 교정·교체 검토</x:v>
      </x:c>
      <x:c r="D495" s="2" t="str">
        <x:v>중간</x:v>
      </x:c>
      <x:c r="E495" s="2" t="str">
        <x:v>N1</x:v>
      </x:c>
      <x:c r="F495" s="10" t="n">
        <x:v>185</x:v>
      </x:c>
      <x:c r="G495" s="2" t="str">
        <x:v>w_52884ca8975b7037</x:v>
      </x:c>
      <x:c r="H495" s="2" t="str">
        <x:v>にせ物</x:v>
      </x:c>
      <x:c r="I495" s="2" t="str">
        <x:v>にせもの</x:v>
      </x:c>
      <x:c r="J495" s="8" t="str">
        <x:v>가짜, 모조품</x:v>
      </x:c>
      <x:c r="K495" s="2" t="str">
        <x:v>noun</x:v>
      </x:c>
      <x:c r="L495" s="9" t="n">
        <x:v>2.28</x:v>
      </x:c>
      <x:c r="M495" s="2" t="str">
        <x:v>있음</x:v>
      </x:c>
      <x:c r="N495" s="11" t="n">
        <x:v>20</x:v>
      </x:c>
      <x:c r="O495" s="8" t="str">
        <x:v>일반 사용 빈도 낮음(Zipf ≤ 2.5); JMdict에서 희귀·비표준 표기로 표시</x:v>
      </x:c>
      <x:c r="P495" s="8" t="str">
        <x:v>frequency_le_2_5,jmdict_uncommon_or_irregular</x:v>
      </x:c>
      <x:c r="Q495" s="2" t="str"/>
      <x:c r="R495" s="2" t="str"/>
      <x:c r="S495" s="2" t="str"/>
      <x:c r="T495" s="2" t="str"/>
      <x:c r="U495" s="2" t="str"/>
      <x:c r="V495" s="2" t="str">
        <x:v>아니오</x:v>
      </x:c>
      <x:c r="W495" s="2" t="str">
        <x:v>예</x:v>
      </x:c>
      <x:c r="X495" s="2" t="str">
        <x:v>ichi1,news1,nf24</x:v>
      </x:c>
      <x:c r="Y495" s="2" t="n">
        <x:v>100</x:v>
      </x:c>
      <x:c r="Z495" s="2" t="str"/>
      <x:c r="AA495" s="2" t="n">
        <x:v>0</x:v>
      </x:c>
      <x:c r="AB495" s="8" t="str">
        <x:v>search-only kanji form</x:v>
      </x:c>
      <x:c r="AC495" s="8" t="str"/>
      <x:c r="AD495" s="8" t="str">
        <x:v>["ko-reviewed"]</x:v>
      </x:c>
      <x:c r="AE495" s="8" t="str">
        <x:v>검토 필요</x:v>
      </x:c>
      <x:c r="AF495" s="8" t="str"/>
    </x:row>
    <x:row r="496">
      <x:c r="A496" s="10" t="n">
        <x:v>495</x:v>
      </x:c>
      <x:c r="B496" s="2" t="str">
        <x:v>2차 보류</x:v>
      </x:c>
      <x:c r="C496" s="2" t="str">
        <x:v>2차 보류</x:v>
      </x:c>
      <x:c r="D496" s="2" t="str">
        <x:v>낮음</x:v>
      </x:c>
      <x:c r="E496" s="2" t="str">
        <x:v>N1</x:v>
      </x:c>
      <x:c r="F496" s="10" t="n">
        <x:v>186</x:v>
      </x:c>
      <x:c r="G496" s="2" t="str">
        <x:v>w_2640d4011edf7e2c</x:v>
      </x:c>
      <x:c r="H496" s="2" t="str">
        <x:v>とぎれる</x:v>
      </x:c>
      <x:c r="I496" s="2" t="str">
        <x:v>とぎれる</x:v>
      </x:c>
      <x:c r="J496" s="8" t="str">
        <x:v>끊기다, 중단되다</x:v>
      </x:c>
      <x:c r="K496" s="2" t="str">
        <x:v>verb</x:v>
      </x:c>
      <x:c r="L496" s="9" t="n">
        <x:v>1.06</x:v>
      </x:c>
      <x:c r="M496" s="2" t="str">
        <x:v>있음</x:v>
      </x:c>
      <x:c r="N496" s="11" t="n">
        <x:v>19</x:v>
      </x:c>
      <x:c r="O496" s="8" t="str">
        <x:v>일반 사용 빈도 매우 낮음(Zipf ≤ 1.5); JMdict 우선 어휘 표지 없음</x:v>
      </x:c>
      <x:c r="P496" s="8" t="str">
        <x:v>frequency_le_1_5,no_jmdict_priority</x:v>
      </x:c>
      <x:c r="Q496" s="2" t="str"/>
      <x:c r="R496" s="2" t="str"/>
      <x:c r="S496" s="2" t="str"/>
      <x:c r="T496" s="2" t="str"/>
      <x:c r="U496" s="2" t="str"/>
      <x:c r="V496" s="2" t="str">
        <x:v>아니오</x:v>
      </x:c>
      <x:c r="W496" s="2" t="str">
        <x:v>아니오</x:v>
      </x:c>
      <x:c r="X496" s="2" t="str"/>
      <x:c r="Y496" s="2" t="n">
        <x:v>0</x:v>
      </x:c>
      <x:c r="Z496" s="2" t="str"/>
      <x:c r="AA496" s="2" t="n">
        <x:v>0</x:v>
      </x:c>
      <x:c r="AB496" s="8" t="str"/>
      <x:c r="AC496" s="8" t="str"/>
      <x:c r="AD496" s="8" t="str">
        <x:v>["ko-reviewed"]</x:v>
      </x:c>
      <x:c r="AE496" s="8" t="str">
        <x:v>검토 필요</x:v>
      </x:c>
      <x:c r="AF496" s="8" t="str"/>
    </x:row>
    <x:row r="497">
      <x:c r="A497" s="10" t="n">
        <x:v>496</x:v>
      </x:c>
      <x:c r="B497" s="2" t="str">
        <x:v>2차 보류</x:v>
      </x:c>
      <x:c r="C497" s="2" t="str">
        <x:v>2차 보류</x:v>
      </x:c>
      <x:c r="D497" s="2" t="str">
        <x:v>낮음</x:v>
      </x:c>
      <x:c r="E497" s="2" t="str">
        <x:v>N1</x:v>
      </x:c>
      <x:c r="F497" s="10" t="n">
        <x:v>187</x:v>
      </x:c>
      <x:c r="G497" s="2" t="str">
        <x:v>w_f087c05295412417</x:v>
      </x:c>
      <x:c r="H497" s="2" t="str">
        <x:v>いやに</x:v>
      </x:c>
      <x:c r="I497" s="2" t="str">
        <x:v>いやに</x:v>
      </x:c>
      <x:c r="J497" s="8" t="str">
        <x:v>몹시, 이상하게</x:v>
      </x:c>
      <x:c r="K497" s="2" t="str">
        <x:v>adverb</x:v>
      </x:c>
      <x:c r="L497" s="9" t="n">
        <x:v>1.09</x:v>
      </x:c>
      <x:c r="M497" s="2" t="str">
        <x:v>있음</x:v>
      </x:c>
      <x:c r="N497" s="11" t="n">
        <x:v>19</x:v>
      </x:c>
      <x:c r="O497" s="8" t="str">
        <x:v>일반 사용 빈도 매우 낮음(Zipf ≤ 1.5); JMdict 우선 어휘 표지 없음</x:v>
      </x:c>
      <x:c r="P497" s="8" t="str">
        <x:v>frequency_le_1_5,no_jmdict_priority</x:v>
      </x:c>
      <x:c r="Q497" s="2" t="str"/>
      <x:c r="R497" s="2" t="str"/>
      <x:c r="S497" s="2" t="str"/>
      <x:c r="T497" s="2" t="str"/>
      <x:c r="U497" s="2" t="str"/>
      <x:c r="V497" s="2" t="str">
        <x:v>아니오</x:v>
      </x:c>
      <x:c r="W497" s="2" t="str">
        <x:v>아니오</x:v>
      </x:c>
      <x:c r="X497" s="2" t="str"/>
      <x:c r="Y497" s="2" t="n">
        <x:v>0</x:v>
      </x:c>
      <x:c r="Z497" s="2" t="str"/>
      <x:c r="AA497" s="2" t="n">
        <x:v>0</x:v>
      </x:c>
      <x:c r="AB497" s="8" t="str"/>
      <x:c r="AC497" s="8" t="str"/>
      <x:c r="AD497" s="8" t="str">
        <x:v>["ko-reviewed"]</x:v>
      </x:c>
      <x:c r="AE497" s="8" t="str">
        <x:v>검토 필요</x:v>
      </x:c>
      <x:c r="AF497" s="8" t="str"/>
    </x:row>
    <x:row r="498">
      <x:c r="A498" s="10" t="n">
        <x:v>497</x:v>
      </x:c>
      <x:c r="B498" s="2" t="str">
        <x:v>2차 보류</x:v>
      </x:c>
      <x:c r="C498" s="2" t="str">
        <x:v>2차 보류</x:v>
      </x:c>
      <x:c r="D498" s="2" t="str">
        <x:v>낮음</x:v>
      </x:c>
      <x:c r="E498" s="2" t="str">
        <x:v>N1</x:v>
      </x:c>
      <x:c r="F498" s="10" t="n">
        <x:v>188</x:v>
      </x:c>
      <x:c r="G498" s="2" t="str">
        <x:v>w_fce82908165994a3</x:v>
      </x:c>
      <x:c r="H498" s="2" t="str">
        <x:v>窮乏</x:v>
      </x:c>
      <x:c r="I498" s="2" t="str">
        <x:v>きゅうぼう</x:v>
      </x:c>
      <x:c r="J498" s="8" t="str">
        <x:v>궁핍</x:v>
      </x:c>
      <x:c r="K498" s="2" t="str">
        <x:v>noun</x:v>
      </x:c>
      <x:c r="L498" s="9" t="n">
        <x:v>2.13</x:v>
      </x:c>
      <x:c r="M498" s="2" t="str">
        <x:v>없음</x:v>
      </x:c>
      <x:c r="N498" s="11" t="n">
        <x:v>19</x:v>
      </x:c>
      <x:c r="O498" s="8" t="str">
        <x:v>일반 사용 빈도 낮음(Zipf ≤ 2.5); 검증된 예문 없음; 기존 데이터의 한국어 콘텐츠 보강 필요 태그</x:v>
      </x:c>
      <x:c r="P498" s="8" t="str">
        <x:v>frequency_le_2_5,no_example,weak_legacy_content</x:v>
      </x:c>
      <x:c r="Q498" s="2" t="str"/>
      <x:c r="R498" s="2" t="str"/>
      <x:c r="S498" s="2" t="str"/>
      <x:c r="T498" s="2" t="str"/>
      <x:c r="U498" s="2" t="str"/>
      <x:c r="V498" s="2" t="str">
        <x:v>아니오</x:v>
      </x:c>
      <x:c r="W498" s="2" t="str">
        <x:v>예</x:v>
      </x:c>
      <x:c r="X498" s="2" t="str">
        <x:v>news2,nf35,spec2</x:v>
      </x:c>
      <x:c r="Y498" s="2" t="n">
        <x:v>70</x:v>
      </x:c>
      <x:c r="Z498" s="2" t="str">
        <x:v>news2,nf35,spec2</x:v>
      </x:c>
      <x:c r="AA498" s="2" t="n">
        <x:v>70</x:v>
      </x:c>
      <x:c r="AB498" s="8" t="str"/>
      <x:c r="AC498" s="8" t="str"/>
      <x:c r="AD498" s="8" t="str">
        <x:v>["draft-ko-missing"]</x:v>
      </x:c>
      <x:c r="AE498" s="8" t="str">
        <x:v>검토 필요</x:v>
      </x:c>
      <x:c r="AF498" s="8" t="str"/>
    </x:row>
    <x:row r="499">
      <x:c r="A499" s="10" t="n">
        <x:v>498</x:v>
      </x:c>
      <x:c r="B499" s="2" t="str">
        <x:v>2차 보류</x:v>
      </x:c>
      <x:c r="C499" s="2" t="str">
        <x:v>2차 보류</x:v>
      </x:c>
      <x:c r="D499" s="2" t="str">
        <x:v>낮음</x:v>
      </x:c>
      <x:c r="E499" s="2" t="str">
        <x:v>N1</x:v>
      </x:c>
      <x:c r="F499" s="10" t="n">
        <x:v>189</x:v>
      </x:c>
      <x:c r="G499" s="2" t="str">
        <x:v>w_a54696c7ba3c4f41</x:v>
      </x:c>
      <x:c r="H499" s="2" t="str">
        <x:v>見せ物</x:v>
      </x:c>
      <x:c r="I499" s="2" t="str">
        <x:v>みせもの</x:v>
      </x:c>
      <x:c r="J499" s="8" t="str">
        <x:v>구경거리, 볼거리</x:v>
      </x:c>
      <x:c r="K499" s="2" t="str">
        <x:v>noun</x:v>
      </x:c>
      <x:c r="L499" s="9" t="n">
        <x:v>2.28</x:v>
      </x:c>
      <x:c r="M499" s="2" t="str">
        <x:v>없음</x:v>
      </x:c>
      <x:c r="N499" s="11" t="n">
        <x:v>19</x:v>
      </x:c>
      <x:c r="O499" s="8" t="str">
        <x:v>일반 사용 빈도 낮음(Zipf ≤ 2.5); 검증된 예문 없음; 기존 데이터의 한국어 콘텐츠 보강 필요 태그</x:v>
      </x:c>
      <x:c r="P499" s="8" t="str">
        <x:v>frequency_le_2_5,no_example,weak_legacy_content</x:v>
      </x:c>
      <x:c r="Q499" s="2" t="str"/>
      <x:c r="R499" s="2" t="str"/>
      <x:c r="S499" s="2" t="str"/>
      <x:c r="T499" s="2" t="str"/>
      <x:c r="U499" s="2" t="str"/>
      <x:c r="V499" s="2" t="str">
        <x:v>아니오</x:v>
      </x:c>
      <x:c r="W499" s="2" t="str">
        <x:v>예</x:v>
      </x:c>
      <x:c r="X499" s="2" t="str">
        <x:v>news2,nf47</x:v>
      </x:c>
      <x:c r="Y499" s="2" t="n">
        <x:v>70</x:v>
      </x:c>
      <x:c r="Z499" s="2" t="str"/>
      <x:c r="AA499" s="2" t="n">
        <x:v>0</x:v>
      </x:c>
      <x:c r="AB499" s="8" t="str">
        <x:v>historical term</x:v>
      </x:c>
      <x:c r="AC499" s="8" t="str"/>
      <x:c r="AD499" s="8" t="str">
        <x:v>["draft-ko-missing"]</x:v>
      </x:c>
      <x:c r="AE499" s="8" t="str">
        <x:v>검토 필요</x:v>
      </x:c>
      <x:c r="AF499" s="8" t="str"/>
    </x:row>
    <x:row r="500">
      <x:c r="A500" s="10" t="n">
        <x:v>499</x:v>
      </x:c>
      <x:c r="B500" s="2" t="str">
        <x:v>2차 보류</x:v>
      </x:c>
      <x:c r="C500" s="2" t="str">
        <x:v>2차 보류</x:v>
      </x:c>
      <x:c r="D500" s="2" t="str">
        <x:v>낮음</x:v>
      </x:c>
      <x:c r="E500" s="2" t="str">
        <x:v>N2</x:v>
      </x:c>
      <x:c r="F500" s="10" t="n">
        <x:v>180</x:v>
      </x:c>
      <x:c r="G500" s="2" t="str">
        <x:v>w_4eed37011d8730c8</x:v>
      </x:c>
      <x:c r="H500" s="2" t="str">
        <x:v>捩る</x:v>
      </x:c>
      <x:c r="I500" s="2" t="str">
        <x:v>ねじる</x:v>
      </x:c>
      <x:c r="J500" s="8" t="str">
        <x:v>비틀다, 꼬임</x:v>
      </x:c>
      <x:c r="K500" s="2" t="str">
        <x:v>verb</x:v>
      </x:c>
      <x:c r="L500" s="9" t="n">
        <x:v>2.34</x:v>
      </x:c>
      <x:c r="M500" s="2" t="str">
        <x:v>없음</x:v>
      </x:c>
      <x:c r="N500" s="11" t="n">
        <x:v>19</x:v>
      </x:c>
      <x:c r="O500" s="8" t="str">
        <x:v>일반 사용 빈도 낮음(Zipf ≤ 2.5); 검증된 예문 없음; 기존 데이터의 한국어 콘텐츠 보강 필요 태그</x:v>
      </x:c>
      <x:c r="P500" s="8" t="str">
        <x:v>frequency_le_2_5,no_example,weak_legacy_content</x:v>
      </x:c>
      <x:c r="Q500" s="2" t="str"/>
      <x:c r="R500" s="2" t="str"/>
      <x:c r="S500" s="2" t="str"/>
      <x:c r="T500" s="2" t="str"/>
      <x:c r="U500" s="2" t="str"/>
      <x:c r="V500" s="2" t="str">
        <x:v>아니오</x:v>
      </x:c>
      <x:c r="W500" s="2" t="str">
        <x:v>예</x:v>
      </x:c>
      <x:c r="X500" s="2" t="str">
        <x:v>ichi2</x:v>
      </x:c>
      <x:c r="Y500" s="2" t="n">
        <x:v>70</x:v>
      </x:c>
      <x:c r="Z500" s="2" t="str"/>
      <x:c r="AA500" s="2" t="n">
        <x:v>0</x:v>
      </x:c>
      <x:c r="AB500" s="8" t="str">
        <x:v>word usually written using kana alone</x:v>
      </x:c>
      <x:c r="AC500" s="8" t="str"/>
      <x:c r="AD500" s="8" t="str">
        <x:v>["draft-ko-missing"]</x:v>
      </x:c>
      <x:c r="AE500" s="8" t="str">
        <x:v>검토 필요</x:v>
      </x:c>
      <x:c r="AF500" s="8" t="str"/>
    </x:row>
    <x:row r="501">
      <x:c r="A501" s="10" t="n">
        <x:v>500</x:v>
      </x:c>
      <x:c r="B501" s="2" t="str">
        <x:v>2차 보류</x:v>
      </x:c>
      <x:c r="C501" s="2" t="str">
        <x:v>2차 보류</x:v>
      </x:c>
      <x:c r="D501" s="2" t="str">
        <x:v>낮음</x:v>
      </x:c>
      <x:c r="E501" s="2" t="str">
        <x:v>N1</x:v>
      </x:c>
      <x:c r="F501" s="10" t="n">
        <x:v>190</x:v>
      </x:c>
      <x:c r="G501" s="2" t="str">
        <x:v>w_a19e3233add10b0c</x:v>
      </x:c>
      <x:c r="H501" s="2" t="str">
        <x:v>痛切</x:v>
      </x:c>
      <x:c r="I501" s="2" t="str">
        <x:v>つうせつ</x:v>
      </x:c>
      <x:c r="J501" s="8" t="str">
        <x:v>통절함, 절실함</x:v>
      </x:c>
      <x:c r="K501" s="2" t="str">
        <x:v>adjective</x:v>
      </x:c>
      <x:c r="L501" s="9" t="n">
        <x:v>2.36</x:v>
      </x:c>
      <x:c r="M501" s="2" t="str">
        <x:v>없음</x:v>
      </x:c>
      <x:c r="N501" s="11" t="n">
        <x:v>19</x:v>
      </x:c>
      <x:c r="O501" s="8" t="str">
        <x:v>일반 사용 빈도 낮음(Zipf ≤ 2.5); 검증된 예문 없음; 기존 데이터의 한국어 콘텐츠 보강 필요 태그</x:v>
      </x:c>
      <x:c r="P501" s="8" t="str">
        <x:v>frequency_le_2_5,no_example,weak_legacy_content</x:v>
      </x:c>
      <x:c r="Q501" s="2" t="str"/>
      <x:c r="R501" s="2" t="str"/>
      <x:c r="S501" s="2" t="str"/>
      <x:c r="T501" s="2" t="str"/>
      <x:c r="U501" s="2" t="str"/>
      <x:c r="V501" s="2" t="str">
        <x:v>아니오</x:v>
      </x:c>
      <x:c r="W501" s="2" t="str">
        <x:v>예</x:v>
      </x:c>
      <x:c r="X501" s="2" t="str">
        <x:v>news2,nf26</x:v>
      </x:c>
      <x:c r="Y501" s="2" t="n">
        <x:v>70</x:v>
      </x:c>
      <x:c r="Z501" s="2" t="str">
        <x:v>news2,nf26</x:v>
      </x:c>
      <x:c r="AA501" s="2" t="n">
        <x:v>70</x:v>
      </x:c>
      <x:c r="AB501" s="8" t="str"/>
      <x:c r="AC501" s="8" t="str"/>
      <x:c r="AD501" s="8" t="str">
        <x:v>["draft-ko-missing"]</x:v>
      </x:c>
      <x:c r="AE501" s="8" t="str">
        <x:v>검토 필요</x:v>
      </x:c>
      <x:c r="AF501" s="8" t="str"/>
    </x:row>
    <x:row r="502">
      <x:c r="A502" s="10" t="n">
        <x:v>501</x:v>
      </x:c>
      <x:c r="B502" s="2" t="str">
        <x:v>2차 보류</x:v>
      </x:c>
      <x:c r="C502" s="2" t="str">
        <x:v>2차 보류</x:v>
      </x:c>
      <x:c r="D502" s="2" t="str">
        <x:v>낮음</x:v>
      </x:c>
      <x:c r="E502" s="2" t="str">
        <x:v>N1</x:v>
      </x:c>
      <x:c r="F502" s="10" t="n">
        <x:v>191</x:v>
      </x:c>
      <x:c r="G502" s="2" t="str">
        <x:v>w_da6e5c98561e048c</x:v>
      </x:c>
      <x:c r="H502" s="2" t="str">
        <x:v>修学</x:v>
      </x:c>
      <x:c r="I502" s="2" t="str">
        <x:v>しゅうがく</x:v>
      </x:c>
      <x:c r="J502" s="8" t="str">
        <x:v>수학(修學), 학업</x:v>
      </x:c>
      <x:c r="K502" s="2" t="str">
        <x:v>noun</x:v>
      </x:c>
      <x:c r="L502" s="9" t="n">
        <x:v>2.37</x:v>
      </x:c>
      <x:c r="M502" s="2" t="str">
        <x:v>없음</x:v>
      </x:c>
      <x:c r="N502" s="11" t="n">
        <x:v>19</x:v>
      </x:c>
      <x:c r="O502" s="8" t="str">
        <x:v>일반 사용 빈도 낮음(Zipf ≤ 2.5); 검증된 예문 없음; 기존 데이터의 한국어 콘텐츠 보강 필요 태그</x:v>
      </x:c>
      <x:c r="P502" s="8" t="str">
        <x:v>frequency_le_2_5,no_example,weak_legacy_content</x:v>
      </x:c>
      <x:c r="Q502" s="2" t="str"/>
      <x:c r="R502" s="2" t="str"/>
      <x:c r="S502" s="2" t="str"/>
      <x:c r="T502" s="2" t="str"/>
      <x:c r="U502" s="2" t="str"/>
      <x:c r="V502" s="2" t="str">
        <x:v>아니오</x:v>
      </x:c>
      <x:c r="W502" s="2" t="str">
        <x:v>예</x:v>
      </x:c>
      <x:c r="X502" s="2" t="str">
        <x:v>news2,nf42</x:v>
      </x:c>
      <x:c r="Y502" s="2" t="n">
        <x:v>70</x:v>
      </x:c>
      <x:c r="Z502" s="2" t="str">
        <x:v>news2,nf42</x:v>
      </x:c>
      <x:c r="AA502" s="2" t="n">
        <x:v>70</x:v>
      </x:c>
      <x:c r="AB502" s="8" t="str"/>
      <x:c r="AC502" s="8" t="str"/>
      <x:c r="AD502" s="8" t="str">
        <x:v>["draft-ko-missing"]</x:v>
      </x:c>
      <x:c r="AE502" s="8" t="str">
        <x:v>검토 필요</x:v>
      </x:c>
      <x:c r="AF502" s="8" t="str"/>
    </x:row>
    <x:row r="503">
      <x:c r="A503" s="10" t="n">
        <x:v>502</x:v>
      </x:c>
      <x:c r="B503" s="2" t="str">
        <x:v>2차 보류</x:v>
      </x:c>
      <x:c r="C503" s="2" t="str">
        <x:v>2차 보류</x:v>
      </x:c>
      <x:c r="D503" s="2" t="str">
        <x:v>낮음</x:v>
      </x:c>
      <x:c r="E503" s="2" t="str">
        <x:v>N1</x:v>
      </x:c>
      <x:c r="F503" s="10" t="n">
        <x:v>192</x:v>
      </x:c>
      <x:c r="G503" s="2" t="str">
        <x:v>w_2ae72e1db8570e58</x:v>
      </x:c>
      <x:c r="H503" s="2" t="str">
        <x:v>庶務</x:v>
      </x:c>
      <x:c r="I503" s="2" t="str">
        <x:v>しょむ</x:v>
      </x:c>
      <x:c r="J503" s="8" t="str">
        <x:v>일반적인 일, 사무</x:v>
      </x:c>
      <x:c r="K503" s="2" t="str">
        <x:v>noun</x:v>
      </x:c>
      <x:c r="L503" s="9" t="n">
        <x:v>2.4</x:v>
      </x:c>
      <x:c r="M503" s="2" t="str">
        <x:v>없음</x:v>
      </x:c>
      <x:c r="N503" s="11" t="n">
        <x:v>19</x:v>
      </x:c>
      <x:c r="O503" s="8" t="str">
        <x:v>일반 사용 빈도 낮음(Zipf ≤ 2.5); 검증된 예문 없음; 기존 데이터의 한국어 콘텐츠 보강 필요 태그</x:v>
      </x:c>
      <x:c r="P503" s="8" t="str">
        <x:v>frequency_le_2_5,no_example,weak_legacy_content</x:v>
      </x:c>
      <x:c r="Q503" s="2" t="str"/>
      <x:c r="R503" s="2" t="str"/>
      <x:c r="S503" s="2" t="str"/>
      <x:c r="T503" s="2" t="str"/>
      <x:c r="U503" s="2" t="str"/>
      <x:c r="V503" s="2" t="str">
        <x:v>아니오</x:v>
      </x:c>
      <x:c r="W503" s="2" t="str">
        <x:v>예</x:v>
      </x:c>
      <x:c r="X503" s="2" t="str">
        <x:v>news2,nf29,spec2</x:v>
      </x:c>
      <x:c r="Y503" s="2" t="n">
        <x:v>70</x:v>
      </x:c>
      <x:c r="Z503" s="2" t="str">
        <x:v>news2,nf29,spec2</x:v>
      </x:c>
      <x:c r="AA503" s="2" t="n">
        <x:v>70</x:v>
      </x:c>
      <x:c r="AB503" s="8" t="str"/>
      <x:c r="AC503" s="8" t="str"/>
      <x:c r="AD503" s="8" t="str">
        <x:v>["draft-ko-missing"]</x:v>
      </x:c>
      <x:c r="AE503" s="8" t="str">
        <x:v>검토 필요</x:v>
      </x:c>
      <x:c r="AF503" s="8" t="str"/>
    </x:row>
    <x:row r="504">
      <x:c r="A504" s="10" t="n">
        <x:v>503</x:v>
      </x:c>
      <x:c r="B504" s="2" t="str">
        <x:v>2차 보류</x:v>
      </x:c>
      <x:c r="C504" s="2" t="str">
        <x:v>2차 보류</x:v>
      </x:c>
      <x:c r="D504" s="2" t="str">
        <x:v>낮음</x:v>
      </x:c>
      <x:c r="E504" s="2" t="str">
        <x:v>N1</x:v>
      </x:c>
      <x:c r="F504" s="10" t="n">
        <x:v>193</x:v>
      </x:c>
      <x:c r="G504" s="2" t="str">
        <x:v>w_70544c524f0b574a</x:v>
      </x:c>
      <x:c r="H504" s="2" t="str">
        <x:v>海路</x:v>
      </x:c>
      <x:c r="I504" s="2" t="str">
        <x:v>かいろ</x:v>
      </x:c>
      <x:c r="J504" s="8" t="str">
        <x:v>항로, 바닷길</x:v>
      </x:c>
      <x:c r="K504" s="2" t="str">
        <x:v>noun</x:v>
      </x:c>
      <x:c r="L504" s="9" t="n">
        <x:v>2.41</x:v>
      </x:c>
      <x:c r="M504" s="2" t="str">
        <x:v>없음</x:v>
      </x:c>
      <x:c r="N504" s="11" t="n">
        <x:v>19</x:v>
      </x:c>
      <x:c r="O504" s="8" t="str">
        <x:v>일반 사용 빈도 낮음(Zipf ≤ 2.5); 검증된 예문 없음; 기존 데이터의 한국어 콘텐츠 보강 필요 태그</x:v>
      </x:c>
      <x:c r="P504" s="8" t="str">
        <x:v>frequency_le_2_5,no_example,weak_legacy_content</x:v>
      </x:c>
      <x:c r="Q504" s="2" t="str"/>
      <x:c r="R504" s="2" t="str"/>
      <x:c r="S504" s="2" t="str"/>
      <x:c r="T504" s="2" t="str"/>
      <x:c r="U504" s="2" t="str"/>
      <x:c r="V504" s="2" t="str">
        <x:v>아니오</x:v>
      </x:c>
      <x:c r="W504" s="2" t="str">
        <x:v>예</x:v>
      </x:c>
      <x:c r="X504" s="2" t="str">
        <x:v>news2,nf31,spec2</x:v>
      </x:c>
      <x:c r="Y504" s="2" t="n">
        <x:v>70</x:v>
      </x:c>
      <x:c r="Z504" s="2" t="str">
        <x:v>news2,nf31,spec2</x:v>
      </x:c>
      <x:c r="AA504" s="2" t="n">
        <x:v>70</x:v>
      </x:c>
      <x:c r="AB504" s="8" t="str"/>
      <x:c r="AC504" s="8" t="str"/>
      <x:c r="AD504" s="8" t="str">
        <x:v>["draft-ko-missing"]</x:v>
      </x:c>
      <x:c r="AE504" s="8" t="str">
        <x:v>검토 필요</x:v>
      </x:c>
      <x:c r="AF504" s="8" t="str"/>
    </x:row>
    <x:row r="505">
      <x:c r="A505" s="10" t="n">
        <x:v>504</x:v>
      </x:c>
      <x:c r="B505" s="2" t="str">
        <x:v>2차 보류</x:v>
      </x:c>
      <x:c r="C505" s="2" t="str">
        <x:v>2차 보류</x:v>
      </x:c>
      <x:c r="D505" s="2" t="str">
        <x:v>낮음</x:v>
      </x:c>
      <x:c r="E505" s="2" t="str">
        <x:v>N1</x:v>
      </x:c>
      <x:c r="F505" s="10" t="n">
        <x:v>194</x:v>
      </x:c>
      <x:c r="G505" s="2" t="str">
        <x:v>w_fa7073b27e7981c3</x:v>
      </x:c>
      <x:c r="H505" s="2" t="str">
        <x:v>漏る</x:v>
      </x:c>
      <x:c r="I505" s="2" t="str">
        <x:v>もる</x:v>
      </x:c>
      <x:c r="J505" s="8" t="str">
        <x:v>(물이) 새다</x:v>
      </x:c>
      <x:c r="K505" s="2" t="str">
        <x:v>verb</x:v>
      </x:c>
      <x:c r="L505" s="9" t="n">
        <x:v>1.06</x:v>
      </x:c>
      <x:c r="M505" s="2" t="str">
        <x:v>없음</x:v>
      </x:c>
      <x:c r="N505" s="11" t="n">
        <x:v>18</x:v>
      </x:c>
      <x:c r="O505" s="8" t="str">
        <x:v>일반 사용 빈도 매우 낮음(Zipf ≤ 1.5); 검증된 예문 없음; 기존 데이터의 한국어 콘텐츠 보강 필요 태그</x:v>
      </x:c>
      <x:c r="P505" s="8" t="str">
        <x:v>frequency_le_1_5,no_example,weak_legacy_content</x:v>
      </x:c>
      <x:c r="Q505" s="2" t="str"/>
      <x:c r="R505" s="2" t="str"/>
      <x:c r="S505" s="2" t="str"/>
      <x:c r="T505" s="2" t="str"/>
      <x:c r="U505" s="2" t="str"/>
      <x:c r="V505" s="2" t="str">
        <x:v>아니오</x:v>
      </x:c>
      <x:c r="W505" s="2" t="str">
        <x:v>예</x:v>
      </x:c>
      <x:c r="X505" s="2" t="str">
        <x:v>ichi1</x:v>
      </x:c>
      <x:c r="Y505" s="2" t="n">
        <x:v>100</x:v>
      </x:c>
      <x:c r="Z505" s="2" t="str">
        <x:v>ichi1</x:v>
      </x:c>
      <x:c r="AA505" s="2" t="n">
        <x:v>100</x:v>
      </x:c>
      <x:c r="AB505" s="8" t="str"/>
      <x:c r="AC505" s="8" t="str"/>
      <x:c r="AD505" s="8" t="str">
        <x:v>["draft-ko-missing"]</x:v>
      </x:c>
      <x:c r="AE505" s="8" t="str">
        <x:v>검토 필요</x:v>
      </x:c>
      <x:c r="AF505" s="8" t="str"/>
    </x:row>
    <x:row r="506">
      <x:c r="A506" s="10" t="n">
        <x:v>505</x:v>
      </x:c>
      <x:c r="B506" s="2" t="str">
        <x:v>2차 보류</x:v>
      </x:c>
      <x:c r="C506" s="2" t="str">
        <x:v>2차 보류</x:v>
      </x:c>
      <x:c r="D506" s="2" t="str">
        <x:v>낮음</x:v>
      </x:c>
      <x:c r="E506" s="2" t="str">
        <x:v>N2</x:v>
      </x:c>
      <x:c r="F506" s="10" t="n">
        <x:v>181</x:v>
      </x:c>
      <x:c r="G506" s="2" t="str">
        <x:v>w_40cb634a27283bc3</x:v>
      </x:c>
      <x:c r="H506" s="2" t="str">
        <x:v>払い込む</x:v>
      </x:c>
      <x:c r="I506" s="2" t="str">
        <x:v>はらいこむ</x:v>
      </x:c>
      <x:c r="J506" s="8" t="str">
        <x:v>납입하다, 불입하다</x:v>
      </x:c>
      <x:c r="K506" s="2" t="str">
        <x:v>verb</x:v>
      </x:c>
      <x:c r="L506" s="9" t="n">
        <x:v>1.17</x:v>
      </x:c>
      <x:c r="M506" s="2" t="str">
        <x:v>없음</x:v>
      </x:c>
      <x:c r="N506" s="11" t="n">
        <x:v>18</x:v>
      </x:c>
      <x:c r="O506" s="8" t="str">
        <x:v>일반 사용 빈도 매우 낮음(Zipf ≤ 1.5); 검증된 예문 없음; 기존 데이터의 한국어 콘텐츠 보강 필요 태그</x:v>
      </x:c>
      <x:c r="P506" s="8" t="str">
        <x:v>frequency_le_1_5,no_example,weak_legacy_content</x:v>
      </x:c>
      <x:c r="Q506" s="2" t="str"/>
      <x:c r="R506" s="2" t="str"/>
      <x:c r="S506" s="2" t="str"/>
      <x:c r="T506" s="2" t="str"/>
      <x:c r="U506" s="2" t="str"/>
      <x:c r="V506" s="2" t="str">
        <x:v>아니오</x:v>
      </x:c>
      <x:c r="W506" s="2" t="str">
        <x:v>예</x:v>
      </x:c>
      <x:c r="X506" s="2" t="str">
        <x:v>ichi1,news2,nf41</x:v>
      </x:c>
      <x:c r="Y506" s="2" t="n">
        <x:v>100</x:v>
      </x:c>
      <x:c r="Z506" s="2" t="str">
        <x:v>ichi1,news2,nf41</x:v>
      </x:c>
      <x:c r="AA506" s="2" t="n">
        <x:v>100</x:v>
      </x:c>
      <x:c r="AB506" s="8" t="str"/>
      <x:c r="AC506" s="8" t="str"/>
      <x:c r="AD506" s="8" t="str">
        <x:v>["draft-ko-missing"]</x:v>
      </x:c>
      <x:c r="AE506" s="8" t="str">
        <x:v>검토 필요</x:v>
      </x:c>
      <x:c r="AF506" s="8" t="str"/>
    </x:row>
    <x:row r="507">
      <x:c r="A507" s="10" t="n">
        <x:v>506</x:v>
      </x:c>
      <x:c r="B507" s="2" t="str">
        <x:v>2차 보류</x:v>
      </x:c>
      <x:c r="C507" s="2" t="str">
        <x:v>2차 보류</x:v>
      </x:c>
      <x:c r="D507" s="2" t="str">
        <x:v>낮음</x:v>
      </x:c>
      <x:c r="E507" s="2" t="str">
        <x:v>N1</x:v>
      </x:c>
      <x:c r="F507" s="10" t="n">
        <x:v>195</x:v>
      </x:c>
      <x:c r="G507" s="2" t="str">
        <x:v>w_dd024497e7d085ad</x:v>
      </x:c>
      <x:c r="H507" s="2" t="str">
        <x:v>弛む</x:v>
      </x:c>
      <x:c r="I507" s="2" t="str">
        <x:v>たるむ</x:v>
      </x:c>
      <x:c r="J507" s="8" t="str">
        <x:v>느슨해지다</x:v>
      </x:c>
      <x:c r="K507" s="2" t="str">
        <x:v>verb</x:v>
      </x:c>
      <x:c r="L507" s="9" t="n">
        <x:v>1.23</x:v>
      </x:c>
      <x:c r="M507" s="2" t="str">
        <x:v>없음</x:v>
      </x:c>
      <x:c r="N507" s="11" t="n">
        <x:v>18</x:v>
      </x:c>
      <x:c r="O507" s="8" t="str">
        <x:v>일반 사용 빈도 매우 낮음(Zipf ≤ 1.5); 검증된 예문 없음; 기존 데이터의 한국어 콘텐츠 보강 필요 태그</x:v>
      </x:c>
      <x:c r="P507" s="8" t="str">
        <x:v>frequency_le_1_5,no_example,weak_legacy_content</x:v>
      </x:c>
      <x:c r="Q507" s="2" t="str"/>
      <x:c r="R507" s="2" t="str"/>
      <x:c r="S507" s="2" t="str"/>
      <x:c r="T507" s="2" t="str"/>
      <x:c r="U507" s="2" t="str"/>
      <x:c r="V507" s="2" t="str">
        <x:v>아니오</x:v>
      </x:c>
      <x:c r="W507" s="2" t="str">
        <x:v>예</x:v>
      </x:c>
      <x:c r="X507" s="2" t="str">
        <x:v>ichi1</x:v>
      </x:c>
      <x:c r="Y507" s="2" t="n">
        <x:v>100</x:v>
      </x:c>
      <x:c r="Z507" s="2" t="str">
        <x:v>ichi1</x:v>
      </x:c>
      <x:c r="AA507" s="2" t="n">
        <x:v>100</x:v>
      </x:c>
      <x:c r="AB507" s="8" t="str">
        <x:v>word usually written using kana alone</x:v>
      </x:c>
      <x:c r="AC507" s="8" t="str"/>
      <x:c r="AD507" s="8" t="str">
        <x:v>["draft-ko-missing"]</x:v>
      </x:c>
      <x:c r="AE507" s="8" t="str">
        <x:v>검토 필요</x:v>
      </x:c>
      <x:c r="AF507" s="8" t="str"/>
    </x:row>
    <x:row r="508">
      <x:c r="A508" s="10" t="n">
        <x:v>507</x:v>
      </x:c>
      <x:c r="B508" s="2" t="str">
        <x:v>2차 보류</x:v>
      </x:c>
      <x:c r="C508" s="2" t="str">
        <x:v>2차 보류</x:v>
      </x:c>
      <x:c r="D508" s="2" t="str">
        <x:v>낮음</x:v>
      </x:c>
      <x:c r="E508" s="2" t="str">
        <x:v>N1</x:v>
      </x:c>
      <x:c r="F508" s="10" t="n">
        <x:v>196</x:v>
      </x:c>
      <x:c r="G508" s="2" t="str">
        <x:v>w_c1c3af750431b8f1</x:v>
      </x:c>
      <x:c r="H508" s="2" t="str">
        <x:v>だぶだぶ</x:v>
      </x:c>
      <x:c r="I508" s="2" t="str">
        <x:v>だぶだぶ</x:v>
      </x:c>
      <x:c r="J508" s="8" t="str">
        <x:v>느슨한</x:v>
      </x:c>
      <x:c r="K508" s="2" t="str">
        <x:v>adjective</x:v>
      </x:c>
      <x:c r="L508" s="9" t="n">
        <x:v>1.36</x:v>
      </x:c>
      <x:c r="M508" s="2" t="str">
        <x:v>없음</x:v>
      </x:c>
      <x:c r="N508" s="11" t="n">
        <x:v>18</x:v>
      </x:c>
      <x:c r="O508" s="8" t="str">
        <x:v>일반 사용 빈도 매우 낮음(Zipf ≤ 1.5); 검증된 예문 없음; 기존 데이터의 한국어 콘텐츠 보강 필요 태그</x:v>
      </x:c>
      <x:c r="P508" s="8" t="str">
        <x:v>frequency_le_1_5,no_example,weak_legacy_content</x:v>
      </x:c>
      <x:c r="Q508" s="2" t="str"/>
      <x:c r="R508" s="2" t="str"/>
      <x:c r="S508" s="2" t="str"/>
      <x:c r="T508" s="2" t="str"/>
      <x:c r="U508" s="2" t="str"/>
      <x:c r="V508" s="2" t="str">
        <x:v>아니오</x:v>
      </x:c>
      <x:c r="W508" s="2" t="str">
        <x:v>예</x:v>
      </x:c>
      <x:c r="X508" s="2" t="str">
        <x:v>ichi1</x:v>
      </x:c>
      <x:c r="Y508" s="2" t="n">
        <x:v>100</x:v>
      </x:c>
      <x:c r="Z508" s="2" t="str">
        <x:v>ichi1</x:v>
      </x:c>
      <x:c r="AA508" s="2" t="n">
        <x:v>100</x:v>
      </x:c>
      <x:c r="AB508" s="8" t="str">
        <x:v>onomatopoeic or mimetic word</x:v>
      </x:c>
      <x:c r="AC508" s="8" t="str"/>
      <x:c r="AD508" s="8" t="str">
        <x:v>["draft-ko-missing"]</x:v>
      </x:c>
      <x:c r="AE508" s="8" t="str">
        <x:v>검토 필요</x:v>
      </x:c>
      <x:c r="AF508" s="8" t="str"/>
    </x:row>
    <x:row r="509">
      <x:c r="A509" s="10" t="n">
        <x:v>508</x:v>
      </x:c>
      <x:c r="B509" s="2" t="str">
        <x:v>2차 보류</x:v>
      </x:c>
      <x:c r="C509" s="2" t="str">
        <x:v>2차 보류</x:v>
      </x:c>
      <x:c r="D509" s="2" t="str">
        <x:v>낮음</x:v>
      </x:c>
      <x:c r="E509" s="2" t="str">
        <x:v>N1</x:v>
      </x:c>
      <x:c r="F509" s="10" t="n">
        <x:v>197</x:v>
      </x:c>
      <x:c r="G509" s="2" t="str">
        <x:v>w_c97b11e6ab1be52d</x:v>
      </x:c>
      <x:c r="H509" s="2" t="str">
        <x:v>言付け</x:v>
      </x:c>
      <x:c r="I509" s="2" t="str">
        <x:v>ことづけ</x:v>
      </x:c>
      <x:c r="J509" s="8" t="str">
        <x:v>전언, 전갈</x:v>
      </x:c>
      <x:c r="K509" s="2" t="str">
        <x:v>noun</x:v>
      </x:c>
      <x:c r="L509" s="9" t="n">
        <x:v>1.71</x:v>
      </x:c>
      <x:c r="M509" s="2" t="str">
        <x:v>있음</x:v>
      </x:c>
      <x:c r="N509" s="11" t="n">
        <x:v>18</x:v>
      </x:c>
      <x:c r="O509" s="8" t="str">
        <x:v>일반 사용 빈도 매우 낮음(Zipf ≤ 2.0); JMdict 우선 어휘 표지 없음; 기존 데이터의 한국어 콘텐츠 보강 필요 태그</x:v>
      </x:c>
      <x:c r="P509" s="8" t="str">
        <x:v>frequency_le_2_0,no_jmdict_priority,weak_legacy_content</x:v>
      </x:c>
      <x:c r="Q509" s="2" t="str"/>
      <x:c r="R509" s="2" t="str"/>
      <x:c r="S509" s="2" t="str"/>
      <x:c r="T509" s="2" t="str"/>
      <x:c r="U509" s="2" t="str"/>
      <x:c r="V509" s="2" t="str">
        <x:v>아니오</x:v>
      </x:c>
      <x:c r="W509" s="2" t="str">
        <x:v>예</x:v>
      </x:c>
      <x:c r="X509" s="2" t="str"/>
      <x:c r="Y509" s="2" t="n">
        <x:v>0</x:v>
      </x:c>
      <x:c r="Z509" s="2" t="str"/>
      <x:c r="AA509" s="2" t="n">
        <x:v>0</x:v>
      </x:c>
      <x:c r="AB509" s="8" t="str">
        <x:v>archaic</x:v>
      </x:c>
      <x:c r="AC509" s="8" t="str"/>
      <x:c r="AD509" s="8" t="str">
        <x:v>["draft-ko-missing"]</x:v>
      </x:c>
      <x:c r="AE509" s="8" t="str">
        <x:v>검토 필요</x:v>
      </x:c>
      <x:c r="AF509" s="8" t="str"/>
    </x:row>
    <x:row r="510">
      <x:c r="A510" s="10" t="n">
        <x:v>509</x:v>
      </x:c>
      <x:c r="B510" s="2" t="str">
        <x:v>2차 보류</x:v>
      </x:c>
      <x:c r="C510" s="2" t="str">
        <x:v>2차 보류</x:v>
      </x:c>
      <x:c r="D510" s="2" t="str">
        <x:v>낮음</x:v>
      </x:c>
      <x:c r="E510" s="2" t="str">
        <x:v>N1</x:v>
      </x:c>
      <x:c r="F510" s="10" t="n">
        <x:v>198</x:v>
      </x:c>
      <x:c r="G510" s="2" t="str">
        <x:v>w_4449a3e240899014</x:v>
      </x:c>
      <x:c r="H510" s="2" t="str">
        <x:v>詰る</x:v>
      </x:c>
      <x:c r="I510" s="2" t="str">
        <x:v>なじる</x:v>
      </x:c>
      <x:c r="J510" s="8" t="str">
        <x:v>힐난하다, 따지다</x:v>
      </x:c>
      <x:c r="K510" s="2" t="str">
        <x:v>verb</x:v>
      </x:c>
      <x:c r="L510" s="9" t="n">
        <x:v>1.74</x:v>
      </x:c>
      <x:c r="M510" s="2" t="str">
        <x:v>있음</x:v>
      </x:c>
      <x:c r="N510" s="11" t="n">
        <x:v>18</x:v>
      </x:c>
      <x:c r="O510" s="8" t="str">
        <x:v>일반 사용 빈도 매우 낮음(Zipf ≤ 2.0); JMdict 우선 어휘 표지 없음; 기존 데이터의 한국어 콘텐츠 보강 필요 태그</x:v>
      </x:c>
      <x:c r="P510" s="8" t="str">
        <x:v>frequency_le_2_0,no_jmdict_priority,weak_legacy_content</x:v>
      </x:c>
      <x:c r="Q510" s="2" t="str"/>
      <x:c r="R510" s="2" t="str"/>
      <x:c r="S510" s="2" t="str"/>
      <x:c r="T510" s="2" t="str"/>
      <x:c r="U510" s="2" t="str"/>
      <x:c r="V510" s="2" t="str">
        <x:v>아니오</x:v>
      </x:c>
      <x:c r="W510" s="2" t="str">
        <x:v>예</x:v>
      </x:c>
      <x:c r="X510" s="2" t="str"/>
      <x:c r="Y510" s="2" t="n">
        <x:v>0</x:v>
      </x:c>
      <x:c r="Z510" s="2" t="str"/>
      <x:c r="AA510" s="2" t="n">
        <x:v>0</x:v>
      </x:c>
      <x:c r="AB510" s="8" t="str">
        <x:v>word usually written using kana alone</x:v>
      </x:c>
      <x:c r="AC510" s="8" t="str"/>
      <x:c r="AD510" s="8" t="str">
        <x:v>["draft-ko-missing"]</x:v>
      </x:c>
      <x:c r="AE510" s="8" t="str">
        <x:v>검토 필요</x:v>
      </x:c>
      <x:c r="AF510" s="8" t="str"/>
    </x:row>
    <x:row r="511">
      <x:c r="A511" s="10" t="n">
        <x:v>510</x:v>
      </x:c>
      <x:c r="B511" s="2" t="str">
        <x:v>2차 보류</x:v>
      </x:c>
      <x:c r="C511" s="2" t="str">
        <x:v>2차 보류</x:v>
      </x:c>
      <x:c r="D511" s="2" t="str">
        <x:v>낮음</x:v>
      </x:c>
      <x:c r="E511" s="2" t="str">
        <x:v>N1</x:v>
      </x:c>
      <x:c r="F511" s="10" t="n">
        <x:v>199</x:v>
      </x:c>
      <x:c r="G511" s="2" t="str">
        <x:v>w_d1644a92a042226a</x:v>
      </x:c>
      <x:c r="H511" s="2" t="str">
        <x:v>さえずる</x:v>
      </x:c>
      <x:c r="I511" s="2" t="str">
        <x:v>さえずる</x:v>
      </x:c>
      <x:c r="J511" s="8" t="str">
        <x:v>지저귀다</x:v>
      </x:c>
      <x:c r="K511" s="2" t="str">
        <x:v>verb</x:v>
      </x:c>
      <x:c r="L511" s="9" t="n">
        <x:v>1.93</x:v>
      </x:c>
      <x:c r="M511" s="2" t="str">
        <x:v>있음</x:v>
      </x:c>
      <x:c r="N511" s="11" t="n">
        <x:v>18</x:v>
      </x:c>
      <x:c r="O511" s="8" t="str">
        <x:v>일반 사용 빈도 매우 낮음(Zipf ≤ 2.0); JMdict 우선 어휘 표지 없음; 기존 데이터의 한국어 콘텐츠 보강 필요 태그</x:v>
      </x:c>
      <x:c r="P511" s="8" t="str">
        <x:v>frequency_le_2_0,no_jmdict_priority,weak_legacy_content</x:v>
      </x:c>
      <x:c r="Q511" s="2" t="str"/>
      <x:c r="R511" s="2" t="str"/>
      <x:c r="S511" s="2" t="str"/>
      <x:c r="T511" s="2" t="str"/>
      <x:c r="U511" s="2" t="str"/>
      <x:c r="V511" s="2" t="str">
        <x:v>아니오</x:v>
      </x:c>
      <x:c r="W511" s="2" t="str">
        <x:v>아니오</x:v>
      </x:c>
      <x:c r="X511" s="2" t="str"/>
      <x:c r="Y511" s="2" t="n">
        <x:v>0</x:v>
      </x:c>
      <x:c r="Z511" s="2" t="str"/>
      <x:c r="AA511" s="2" t="n">
        <x:v>0</x:v>
      </x:c>
      <x:c r="AB511" s="8" t="str"/>
      <x:c r="AC511" s="8" t="str"/>
      <x:c r="AD511" s="8" t="str">
        <x:v>["draft-ko-missing"]</x:v>
      </x:c>
      <x:c r="AE511" s="8" t="str">
        <x:v>검토 필요</x:v>
      </x:c>
      <x:c r="AF511" s="8" t="str"/>
    </x:row>
    <x:row r="512">
      <x:c r="A512" s="10" t="n">
        <x:v>511</x:v>
      </x:c>
      <x:c r="B512" s="2" t="str">
        <x:v>2차 보류</x:v>
      </x:c>
      <x:c r="C512" s="2" t="str">
        <x:v>2차 보류</x:v>
      </x:c>
      <x:c r="D512" s="2" t="str">
        <x:v>낮음</x:v>
      </x:c>
      <x:c r="E512" s="2" t="str">
        <x:v>N1</x:v>
      </x:c>
      <x:c r="F512" s="10" t="n">
        <x:v>200</x:v>
      </x:c>
      <x:c r="G512" s="2" t="str">
        <x:v>w_9bd39afbdbd2966b</x:v>
      </x:c>
      <x:c r="H512" s="2" t="str">
        <x:v>かなわない</x:v>
      </x:c>
      <x:c r="I512" s="2" t="str">
        <x:v>かなわない</x:v>
      </x:c>
      <x:c r="J512" s="8" t="str">
        <x:v>당해낼 수 없다, 견딜 수 없다</x:v>
      </x:c>
      <x:c r="K512" s="2" t="str">
        <x:v>adjective</x:v>
      </x:c>
      <x:c r="L512" s="9" t="n">
        <x:v>3.52</x:v>
      </x:c>
      <x:c r="M512" s="2" t="str">
        <x:v>없음</x:v>
      </x:c>
      <x:c r="N512" s="11" t="n">
        <x:v>18</x:v>
      </x:c>
      <x:c r="O512" s="8" t="str">
        <x:v>검증된 예문 없음; JMdict 우선 어휘 표지 없음</x:v>
      </x:c>
      <x:c r="P512" s="8" t="str">
        <x:v>no_example,no_jmdict_priority</x:v>
      </x:c>
      <x:c r="Q512" s="2" t="str"/>
      <x:c r="R512" s="2" t="str"/>
      <x:c r="S512" s="2" t="str"/>
      <x:c r="T512" s="2" t="str"/>
      <x:c r="U512" s="2" t="str"/>
      <x:c r="V512" s="2" t="str">
        <x:v>아니오</x:v>
      </x:c>
      <x:c r="W512" s="2" t="str">
        <x:v>아니오</x:v>
      </x:c>
      <x:c r="X512" s="2" t="str"/>
      <x:c r="Y512" s="2" t="n">
        <x:v>0</x:v>
      </x:c>
      <x:c r="Z512" s="2" t="str"/>
      <x:c r="AA512" s="2" t="n">
        <x:v>0</x:v>
      </x:c>
      <x:c r="AB512" s="8" t="str"/>
      <x:c r="AC512" s="8" t="str"/>
      <x:c r="AD512" s="8" t="str">
        <x:v>["ko-reviewed"]</x:v>
      </x:c>
      <x:c r="AE512" s="8" t="str">
        <x:v>검토 필요</x:v>
      </x:c>
      <x:c r="AF512" s="8" t="str"/>
    </x:row>
    <x:row r="513">
      <x:c r="A513" s="10" t="n">
        <x:v>512</x:v>
      </x:c>
      <x:c r="B513" s="2" t="str">
        <x:v>2차 보류</x:v>
      </x:c>
      <x:c r="C513" s="2" t="str">
        <x:v>2차 보류</x:v>
      </x:c>
      <x:c r="D513" s="2" t="str">
        <x:v>낮음</x:v>
      </x:c>
      <x:c r="E513" s="2" t="str">
        <x:v>N1</x:v>
      </x:c>
      <x:c r="F513" s="10" t="n">
        <x:v>201</x:v>
      </x:c>
      <x:c r="G513" s="2" t="str">
        <x:v>w_bfbbd41338ffef8e</x:v>
      </x:c>
      <x:c r="H513" s="2" t="str">
        <x:v>あざ</x:v>
      </x:c>
      <x:c r="I513" s="2" t="str">
        <x:v>あざ</x:v>
      </x:c>
      <x:c r="J513" s="8" t="str">
        <x:v>멍, 반점</x:v>
      </x:c>
      <x:c r="K513" s="2" t="str">
        <x:v>noun</x:v>
      </x:c>
      <x:c r="L513" s="9" t="n">
        <x:v>3.53</x:v>
      </x:c>
      <x:c r="M513" s="2" t="str">
        <x:v>없음</x:v>
      </x:c>
      <x:c r="N513" s="11" t="n">
        <x:v>18</x:v>
      </x:c>
      <x:c r="O513" s="8" t="str">
        <x:v>검증된 예문 없음; JMdict 우선 어휘 표지 없음</x:v>
      </x:c>
      <x:c r="P513" s="8" t="str">
        <x:v>no_example,no_jmdict_priority</x:v>
      </x:c>
      <x:c r="Q513" s="2" t="str"/>
      <x:c r="R513" s="2" t="str"/>
      <x:c r="S513" s="2" t="str"/>
      <x:c r="T513" s="2" t="str"/>
      <x:c r="U513" s="2" t="str"/>
      <x:c r="V513" s="2" t="str">
        <x:v>아니오</x:v>
      </x:c>
      <x:c r="W513" s="2" t="str">
        <x:v>아니오</x:v>
      </x:c>
      <x:c r="X513" s="2" t="str"/>
      <x:c r="Y513" s="2" t="n">
        <x:v>0</x:v>
      </x:c>
      <x:c r="Z513" s="2" t="str"/>
      <x:c r="AA513" s="2" t="n">
        <x:v>0</x:v>
      </x:c>
      <x:c r="AB513" s="8" t="str"/>
      <x:c r="AC513" s="8" t="str"/>
      <x:c r="AD513" s="8" t="str">
        <x:v>["ko-reviewed"]</x:v>
      </x:c>
      <x:c r="AE513" s="8" t="str">
        <x:v>검토 필요</x:v>
      </x:c>
      <x:c r="AF513" s="8" t="str"/>
    </x:row>
    <x:row r="514">
      <x:c r="A514" s="10" t="n">
        <x:v>513</x:v>
      </x:c>
      <x:c r="B514" s="2" t="str">
        <x:v>2차 보류</x:v>
      </x:c>
      <x:c r="C514" s="2" t="str">
        <x:v>2차 보류</x:v>
      </x:c>
      <x:c r="D514" s="2" t="str">
        <x:v>낮음</x:v>
      </x:c>
      <x:c r="E514" s="2" t="str">
        <x:v>N2</x:v>
      </x:c>
      <x:c r="F514" s="10" t="n">
        <x:v>182</x:v>
      </x:c>
      <x:c r="G514" s="2" t="str">
        <x:v>w_150038a04425f5cb</x:v>
      </x:c>
      <x:c r="H514" s="2" t="str">
        <x:v>しっぽ</x:v>
      </x:c>
      <x:c r="I514" s="2" t="str">
        <x:v>しっぽ</x:v>
      </x:c>
      <x:c r="J514" s="8" t="str">
        <x:v>꼬리</x:v>
      </x:c>
      <x:c r="K514" s="2" t="str">
        <x:v>noun</x:v>
      </x:c>
      <x:c r="L514" s="9" t="n">
        <x:v>3.6</x:v>
      </x:c>
      <x:c r="M514" s="2" t="str">
        <x:v>없음</x:v>
      </x:c>
      <x:c r="N514" s="11" t="n">
        <x:v>18</x:v>
      </x:c>
      <x:c r="O514" s="8" t="str">
        <x:v>검증된 예문 없음; JMdict 우선 어휘 표지 없음</x:v>
      </x:c>
      <x:c r="P514" s="8" t="str">
        <x:v>no_example,no_jmdict_priority</x:v>
      </x:c>
      <x:c r="Q514" s="2" t="str"/>
      <x:c r="R514" s="2" t="str"/>
      <x:c r="S514" s="2" t="str"/>
      <x:c r="T514" s="2" t="str"/>
      <x:c r="U514" s="2" t="str"/>
      <x:c r="V514" s="2" t="str">
        <x:v>아니오</x:v>
      </x:c>
      <x:c r="W514" s="2" t="str">
        <x:v>아니오</x:v>
      </x:c>
      <x:c r="X514" s="2" t="str"/>
      <x:c r="Y514" s="2" t="n">
        <x:v>0</x:v>
      </x:c>
      <x:c r="Z514" s="2" t="str"/>
      <x:c r="AA514" s="2" t="n">
        <x:v>0</x:v>
      </x:c>
      <x:c r="AB514" s="8" t="str"/>
      <x:c r="AC514" s="8" t="str"/>
      <x:c r="AD514" s="8" t="str">
        <x:v>["ko-reviewed"]</x:v>
      </x:c>
      <x:c r="AE514" s="8" t="str">
        <x:v>검토 필요</x:v>
      </x:c>
      <x:c r="AF514" s="8" t="str"/>
    </x:row>
    <x:row r="515">
      <x:c r="A515" s="10" t="n">
        <x:v>514</x:v>
      </x:c>
      <x:c r="B515" s="2" t="str">
        <x:v>2차 보류</x:v>
      </x:c>
      <x:c r="C515" s="2" t="str">
        <x:v>2차 보류</x:v>
      </x:c>
      <x:c r="D515" s="2" t="str">
        <x:v>낮음</x:v>
      </x:c>
      <x:c r="E515" s="2" t="str">
        <x:v>N1</x:v>
      </x:c>
      <x:c r="F515" s="10" t="n">
        <x:v>202</x:v>
      </x:c>
      <x:c r="G515" s="2" t="str">
        <x:v>w_328e398823ead1c9</x:v>
      </x:c>
      <x:c r="H515" s="2" t="str">
        <x:v>モーテル</x:v>
      </x:c>
      <x:c r="I515" s="2" t="str">
        <x:v>モーテル</x:v>
      </x:c>
      <x:c r="J515" s="8" t="str">
        <x:v>모텔</x:v>
      </x:c>
      <x:c r="K515" s="2" t="str">
        <x:v>noun</x:v>
      </x:c>
      <x:c r="L515" s="9" t="n">
        <x:v>3.6</x:v>
      </x:c>
      <x:c r="M515" s="2" t="str">
        <x:v>없음</x:v>
      </x:c>
      <x:c r="N515" s="11" t="n">
        <x:v>18</x:v>
      </x:c>
      <x:c r="O515" s="8" t="str">
        <x:v>검증된 예문 없음; JMdict 우선 어휘 표지 없음</x:v>
      </x:c>
      <x:c r="P515" s="8" t="str">
        <x:v>no_example,no_jmdict_priority</x:v>
      </x:c>
      <x:c r="Q515" s="2" t="str"/>
      <x:c r="R515" s="2" t="str"/>
      <x:c r="S515" s="2" t="str"/>
      <x:c r="T515" s="2" t="str"/>
      <x:c r="U515" s="2" t="str"/>
      <x:c r="V515" s="2" t="str">
        <x:v>아니오</x:v>
      </x:c>
      <x:c r="W515" s="2" t="str">
        <x:v>예</x:v>
      </x:c>
      <x:c r="X515" s="2" t="str"/>
      <x:c r="Y515" s="2" t="n">
        <x:v>0</x:v>
      </x:c>
      <x:c r="Z515" s="2" t="str"/>
      <x:c r="AA515" s="2" t="n">
        <x:v>0</x:v>
      </x:c>
      <x:c r="AB515" s="8" t="str"/>
      <x:c r="AC515" s="8" t="str"/>
      <x:c r="AD515" s="8" t="str">
        <x:v>["ko-reviewed"]</x:v>
      </x:c>
      <x:c r="AE515" s="8" t="str">
        <x:v>검토 필요</x:v>
      </x:c>
      <x:c r="AF515" s="8" t="str"/>
    </x:row>
    <x:row r="516">
      <x:c r="A516" s="10" t="n">
        <x:v>515</x:v>
      </x:c>
      <x:c r="B516" s="2" t="str">
        <x:v>2차 보류</x:v>
      </x:c>
      <x:c r="C516" s="2" t="str">
        <x:v>2차 보류</x:v>
      </x:c>
      <x:c r="D516" s="2" t="str">
        <x:v>낮음</x:v>
      </x:c>
      <x:c r="E516" s="2" t="str">
        <x:v>N2</x:v>
      </x:c>
      <x:c r="F516" s="10" t="n">
        <x:v>183</x:v>
      </x:c>
      <x:c r="G516" s="2" t="str">
        <x:v>w_f082c92daf0db51d</x:v>
      </x:c>
      <x:c r="H516" s="2" t="str">
        <x:v>つうか</x:v>
      </x:c>
      <x:c r="I516" s="2" t="str">
        <x:v>つうか</x:v>
      </x:c>
      <x:c r="J516" s="8" t="str">
        <x:v>통화, 화폐</x:v>
      </x:c>
      <x:c r="K516" s="2" t="str">
        <x:v>noun</x:v>
      </x:c>
      <x:c r="L516" s="9" t="n">
        <x:v>3.65</x:v>
      </x:c>
      <x:c r="M516" s="2" t="str">
        <x:v>없음</x:v>
      </x:c>
      <x:c r="N516" s="11" t="n">
        <x:v>18</x:v>
      </x:c>
      <x:c r="O516" s="8" t="str">
        <x:v>검증된 예문 없음; JMdict 우선 어휘 표지 없음</x:v>
      </x:c>
      <x:c r="P516" s="8" t="str">
        <x:v>no_example,no_jmdict_priority</x:v>
      </x:c>
      <x:c r="Q516" s="2" t="str"/>
      <x:c r="R516" s="2" t="str"/>
      <x:c r="S516" s="2" t="str"/>
      <x:c r="T516" s="2" t="str"/>
      <x:c r="U516" s="2" t="str"/>
      <x:c r="V516" s="2" t="str">
        <x:v>아니오</x:v>
      </x:c>
      <x:c r="W516" s="2" t="str">
        <x:v>예</x:v>
      </x:c>
      <x:c r="X516" s="2" t="str"/>
      <x:c r="Y516" s="2" t="n">
        <x:v>0</x:v>
      </x:c>
      <x:c r="Z516" s="2" t="str"/>
      <x:c r="AA516" s="2" t="n">
        <x:v>0</x:v>
      </x:c>
      <x:c r="AB516" s="8" t="str">
        <x:v>colloquial</x:v>
      </x:c>
      <x:c r="AC516" s="8" t="str"/>
      <x:c r="AD516" s="8" t="str">
        <x:v>["ko-reviewed"]</x:v>
      </x:c>
      <x:c r="AE516" s="8" t="str">
        <x:v>검토 필요</x:v>
      </x:c>
      <x:c r="AF516" s="8" t="str"/>
    </x:row>
    <x:row r="517">
      <x:c r="A517" s="10" t="n">
        <x:v>516</x:v>
      </x:c>
      <x:c r="B517" s="2" t="str">
        <x:v>2차 보류</x:v>
      </x:c>
      <x:c r="C517" s="2" t="str">
        <x:v>2차 보류</x:v>
      </x:c>
      <x:c r="D517" s="2" t="str">
        <x:v>낮음</x:v>
      </x:c>
      <x:c r="E517" s="2" t="str">
        <x:v>N1</x:v>
      </x:c>
      <x:c r="F517" s="10" t="n">
        <x:v>203</x:v>
      </x:c>
      <x:c r="G517" s="2" t="str">
        <x:v>w_955f496f0673fc78</x:v>
      </x:c>
      <x:c r="H517" s="2" t="str">
        <x:v>粋</x:v>
      </x:c>
      <x:c r="I517" s="2" t="str">
        <x:v>すい</x:v>
      </x:c>
      <x:c r="J517" s="8" t="str">
        <x:v>정수; 세련됨, 멋</x:v>
      </x:c>
      <x:c r="K517" s="2" t="str">
        <x:v>noun</x:v>
      </x:c>
      <x:c r="L517" s="9" t="n">
        <x:v>3.65</x:v>
      </x:c>
      <x:c r="M517" s="2" t="str">
        <x:v>없음</x:v>
      </x:c>
      <x:c r="N517" s="11" t="n">
        <x:v>18</x:v>
      </x:c>
      <x:c r="O517" s="8" t="str">
        <x:v>검증된 예문 없음; JMdict 우선 어휘 표지 없음</x:v>
      </x:c>
      <x:c r="P517" s="8" t="str">
        <x:v>no_example,no_jmdict_priority</x:v>
      </x:c>
      <x:c r="Q517" s="2" t="str"/>
      <x:c r="R517" s="2" t="str"/>
      <x:c r="S517" s="2" t="str"/>
      <x:c r="T517" s="2" t="str"/>
      <x:c r="U517" s="2" t="str"/>
      <x:c r="V517" s="2" t="str">
        <x:v>아니오</x:v>
      </x:c>
      <x:c r="W517" s="2" t="str">
        <x:v>예</x:v>
      </x:c>
      <x:c r="X517" s="2" t="str"/>
      <x:c r="Y517" s="2" t="n">
        <x:v>0</x:v>
      </x:c>
      <x:c r="Z517" s="2" t="str"/>
      <x:c r="AA517" s="2" t="n">
        <x:v>0</x:v>
      </x:c>
      <x:c r="AB517" s="8" t="str"/>
      <x:c r="AC517" s="8" t="str"/>
      <x:c r="AD517" s="8" t="str">
        <x:v>["ko-reviewed"]</x:v>
      </x:c>
      <x:c r="AE517" s="8" t="str">
        <x:v>검토 필요</x:v>
      </x:c>
      <x:c r="AF517" s="8" t="str"/>
    </x:row>
    <x:row r="518">
      <x:c r="A518" s="10" t="n">
        <x:v>517</x:v>
      </x:c>
      <x:c r="B518" s="2" t="str">
        <x:v>2차 보류</x:v>
      </x:c>
      <x:c r="C518" s="2" t="str">
        <x:v>2차 보류</x:v>
      </x:c>
      <x:c r="D518" s="2" t="str">
        <x:v>낮음</x:v>
      </x:c>
      <x:c r="E518" s="2" t="str">
        <x:v>N2</x:v>
      </x:c>
      <x:c r="F518" s="10" t="n">
        <x:v>184</x:v>
      </x:c>
      <x:c r="G518" s="2" t="str">
        <x:v>w_1e9f921233a4335f</x:v>
      </x:c>
      <x:c r="H518" s="2" t="str">
        <x:v>無沙汰</x:v>
      </x:c>
      <x:c r="I518" s="2" t="str">
        <x:v>ぶさた</x:v>
      </x:c>
      <x:c r="J518" s="8" t="str">
        <x:v>소식이 없음, 연락이 뜸함</x:v>
      </x:c>
      <x:c r="K518" s="2" t="str">
        <x:v>noun</x:v>
      </x:c>
      <x:c r="L518" s="9" t="n">
        <x:v>3.66</x:v>
      </x:c>
      <x:c r="M518" s="2" t="str">
        <x:v>없음</x:v>
      </x:c>
      <x:c r="N518" s="11" t="n">
        <x:v>18</x:v>
      </x:c>
      <x:c r="O518" s="8" t="str">
        <x:v>검증된 예문 없음; JMdict 우선 어휘 표지 없음</x:v>
      </x:c>
      <x:c r="P518" s="8" t="str">
        <x:v>no_example,no_jmdict_priority</x:v>
      </x:c>
      <x:c r="Q518" s="2" t="str"/>
      <x:c r="R518" s="2" t="str"/>
      <x:c r="S518" s="2" t="str"/>
      <x:c r="T518" s="2" t="str"/>
      <x:c r="U518" s="2" t="str"/>
      <x:c r="V518" s="2" t="str">
        <x:v>아니오</x:v>
      </x:c>
      <x:c r="W518" s="2" t="str">
        <x:v>예</x:v>
      </x:c>
      <x:c r="X518" s="2" t="str"/>
      <x:c r="Y518" s="2" t="n">
        <x:v>0</x:v>
      </x:c>
      <x:c r="Z518" s="2" t="str"/>
      <x:c r="AA518" s="2" t="n">
        <x:v>0</x:v>
      </x:c>
      <x:c r="AB518" s="8" t="str"/>
      <x:c r="AC518" s="8" t="str"/>
      <x:c r="AD518" s="8" t="str">
        <x:v>["ko-reviewed"]</x:v>
      </x:c>
      <x:c r="AE518" s="8" t="str">
        <x:v>검토 필요</x:v>
      </x:c>
      <x:c r="AF518" s="8" t="str"/>
    </x:row>
    <x:row r="519">
      <x:c r="A519" s="10" t="n">
        <x:v>518</x:v>
      </x:c>
      <x:c r="B519" s="2" t="str">
        <x:v>2차 보류</x:v>
      </x:c>
      <x:c r="C519" s="2" t="str">
        <x:v>2차 보류</x:v>
      </x:c>
      <x:c r="D519" s="2" t="str">
        <x:v>낮음</x:v>
      </x:c>
      <x:c r="E519" s="2" t="str">
        <x:v>N1</x:v>
      </x:c>
      <x:c r="F519" s="10" t="n">
        <x:v>204</x:v>
      </x:c>
      <x:c r="G519" s="2" t="str">
        <x:v>w_f021ae28bd151ba7</x:v>
      </x:c>
      <x:c r="H519" s="2" t="str">
        <x:v>噛み切る</x:v>
      </x:c>
      <x:c r="I519" s="2" t="str">
        <x:v>かみきる</x:v>
      </x:c>
      <x:c r="J519" s="8" t="str">
        <x:v>물어 끊다</x:v>
      </x:c>
      <x:c r="K519" s="2" t="str">
        <x:v>verb</x:v>
      </x:c>
      <x:c r="L519" s="9" t="n">
        <x:v>3.68</x:v>
      </x:c>
      <x:c r="M519" s="2" t="str">
        <x:v>없음</x:v>
      </x:c>
      <x:c r="N519" s="11" t="n">
        <x:v>18</x:v>
      </x:c>
      <x:c r="O519" s="8" t="str">
        <x:v>검증된 예문 없음; JMdict 우선 어휘 표지 없음</x:v>
      </x:c>
      <x:c r="P519" s="8" t="str">
        <x:v>no_example,no_jmdict_priority</x:v>
      </x:c>
      <x:c r="Q519" s="2" t="str"/>
      <x:c r="R519" s="2" t="str"/>
      <x:c r="S519" s="2" t="str"/>
      <x:c r="T519" s="2" t="str"/>
      <x:c r="U519" s="2" t="str"/>
      <x:c r="V519" s="2" t="str">
        <x:v>아니오</x:v>
      </x:c>
      <x:c r="W519" s="2" t="str">
        <x:v>예</x:v>
      </x:c>
      <x:c r="X519" s="2" t="str"/>
      <x:c r="Y519" s="2" t="n">
        <x:v>0</x:v>
      </x:c>
      <x:c r="Z519" s="2" t="str"/>
      <x:c r="AA519" s="2" t="n">
        <x:v>0</x:v>
      </x:c>
      <x:c r="AB519" s="8" t="str"/>
      <x:c r="AC519" s="8" t="str"/>
      <x:c r="AD519" s="8" t="str">
        <x:v>["ko-reviewed"]</x:v>
      </x:c>
      <x:c r="AE519" s="8" t="str">
        <x:v>검토 필요</x:v>
      </x:c>
      <x:c r="AF519" s="8" t="str"/>
    </x:row>
    <x:row r="520">
      <x:c r="A520" s="10" t="n">
        <x:v>519</x:v>
      </x:c>
      <x:c r="B520" s="2" t="str">
        <x:v>2차 보류</x:v>
      </x:c>
      <x:c r="C520" s="2" t="str">
        <x:v>2차 보류</x:v>
      </x:c>
      <x:c r="D520" s="2" t="str">
        <x:v>낮음</x:v>
      </x:c>
      <x:c r="E520" s="2" t="str">
        <x:v>N2</x:v>
      </x:c>
      <x:c r="F520" s="10" t="n">
        <x:v>185</x:v>
      </x:c>
      <x:c r="G520" s="2" t="str">
        <x:v>w_287e9af8cd3de909</x:v>
      </x:c>
      <x:c r="H520" s="2" t="str">
        <x:v>バケツ</x:v>
      </x:c>
      <x:c r="I520" s="2" t="str">
        <x:v>バケツ</x:v>
      </x:c>
      <x:c r="J520" s="8" t="str">
        <x:v>양동이</x:v>
      </x:c>
      <x:c r="K520" s="2" t="str">
        <x:v>noun</x:v>
      </x:c>
      <x:c r="L520" s="9" t="n">
        <x:v>3.8</x:v>
      </x:c>
      <x:c r="M520" s="2" t="str">
        <x:v>없음</x:v>
      </x:c>
      <x:c r="N520" s="11" t="n">
        <x:v>18</x:v>
      </x:c>
      <x:c r="O520" s="8" t="str">
        <x:v>검증된 예문 없음; JMdict 우선 어휘 표지 없음</x:v>
      </x:c>
      <x:c r="P520" s="8" t="str">
        <x:v>no_example,no_jmdict_priority</x:v>
      </x:c>
      <x:c r="Q520" s="2" t="str"/>
      <x:c r="R520" s="2" t="str"/>
      <x:c r="S520" s="2" t="str"/>
      <x:c r="T520" s="2" t="str"/>
      <x:c r="U520" s="2" t="str"/>
      <x:c r="V520" s="2" t="str">
        <x:v>아니오</x:v>
      </x:c>
      <x:c r="W520" s="2" t="str">
        <x:v>아니오</x:v>
      </x:c>
      <x:c r="X520" s="2" t="str"/>
      <x:c r="Y520" s="2" t="n">
        <x:v>0</x:v>
      </x:c>
      <x:c r="Z520" s="2" t="str"/>
      <x:c r="AA520" s="2" t="n">
        <x:v>0</x:v>
      </x:c>
      <x:c r="AB520" s="8" t="str"/>
      <x:c r="AC520" s="8" t="str"/>
      <x:c r="AD520" s="8" t="str">
        <x:v>["ko-reviewed"]</x:v>
      </x:c>
      <x:c r="AE520" s="8" t="str">
        <x:v>검토 필요</x:v>
      </x:c>
      <x:c r="AF520" s="8" t="str"/>
    </x:row>
    <x:row r="521">
      <x:c r="A521" s="10" t="n">
        <x:v>520</x:v>
      </x:c>
      <x:c r="B521" s="2" t="str">
        <x:v>2차 보류</x:v>
      </x:c>
      <x:c r="C521" s="2" t="str">
        <x:v>2차 보류</x:v>
      </x:c>
      <x:c r="D521" s="2" t="str">
        <x:v>낮음</x:v>
      </x:c>
      <x:c r="E521" s="2" t="str">
        <x:v>N2</x:v>
      </x:c>
      <x:c r="F521" s="10" t="n">
        <x:v>186</x:v>
      </x:c>
      <x:c r="G521" s="2" t="str">
        <x:v>w_20f87ac376abd413</x:v>
      </x:c>
      <x:c r="H521" s="2" t="str">
        <x:v>さようなら</x:v>
      </x:c>
      <x:c r="I521" s="2" t="str">
        <x:v>さようなら</x:v>
      </x:c>
      <x:c r="J521" s="8" t="str">
        <x:v>안녕히 가세요, 안녕히 계세요</x:v>
      </x:c>
      <x:c r="K521" s="2" t="str">
        <x:v>interjection</x:v>
      </x:c>
      <x:c r="L521" s="9" t="n">
        <x:v>3.81</x:v>
      </x:c>
      <x:c r="M521" s="2" t="str">
        <x:v>없음</x:v>
      </x:c>
      <x:c r="N521" s="11" t="n">
        <x:v>18</x:v>
      </x:c>
      <x:c r="O521" s="8" t="str">
        <x:v>검증된 예문 없음; JMdict 우선 어휘 표지 없음</x:v>
      </x:c>
      <x:c r="P521" s="8" t="str">
        <x:v>no_example,no_jmdict_priority</x:v>
      </x:c>
      <x:c r="Q521" s="2" t="str"/>
      <x:c r="R521" s="2" t="str"/>
      <x:c r="S521" s="2" t="str"/>
      <x:c r="T521" s="2" t="str"/>
      <x:c r="U521" s="2" t="str"/>
      <x:c r="V521" s="2" t="str">
        <x:v>아니오</x:v>
      </x:c>
      <x:c r="W521" s="2" t="str">
        <x:v>아니오</x:v>
      </x:c>
      <x:c r="X521" s="2" t="str"/>
      <x:c r="Y521" s="2" t="n">
        <x:v>0</x:v>
      </x:c>
      <x:c r="Z521" s="2" t="str"/>
      <x:c r="AA521" s="2" t="n">
        <x:v>0</x:v>
      </x:c>
      <x:c r="AB521" s="8" t="str"/>
      <x:c r="AC521" s="8" t="str"/>
      <x:c r="AD521" s="8" t="str">
        <x:v>["ko-reviewed"]</x:v>
      </x:c>
      <x:c r="AE521" s="8" t="str">
        <x:v>검토 필요</x:v>
      </x:c>
      <x:c r="AF521" s="8" t="str"/>
    </x:row>
    <x:row r="522">
      <x:c r="A522" s="10" t="n">
        <x:v>521</x:v>
      </x:c>
      <x:c r="B522" s="2" t="str">
        <x:v>2차 보류</x:v>
      </x:c>
      <x:c r="C522" s="2" t="str">
        <x:v>2차 보류</x:v>
      </x:c>
      <x:c r="D522" s="2" t="str">
        <x:v>낮음</x:v>
      </x:c>
      <x:c r="E522" s="2" t="str">
        <x:v>N1</x:v>
      </x:c>
      <x:c r="F522" s="10" t="n">
        <x:v>205</x:v>
      </x:c>
      <x:c r="G522" s="2" t="str">
        <x:v>w_fd33428c595255c2</x:v>
      </x:c>
      <x:c r="H522" s="2" t="str">
        <x:v>マイクロフォン</x:v>
      </x:c>
      <x:c r="I522" s="2" t="str">
        <x:v>マイクロフォン</x:v>
      </x:c>
      <x:c r="J522" s="8" t="str">
        <x:v>마이크로폰</x:v>
      </x:c>
      <x:c r="K522" s="2" t="str">
        <x:v>noun</x:v>
      </x:c>
      <x:c r="L522" s="9" t="n">
        <x:v>3.81</x:v>
      </x:c>
      <x:c r="M522" s="2" t="str">
        <x:v>없음</x:v>
      </x:c>
      <x:c r="N522" s="11" t="n">
        <x:v>18</x:v>
      </x:c>
      <x:c r="O522" s="8" t="str">
        <x:v>검증된 예문 없음; JMdict 우선 어휘 표지 없음</x:v>
      </x:c>
      <x:c r="P522" s="8" t="str">
        <x:v>no_example,no_jmdict_priority</x:v>
      </x:c>
      <x:c r="Q522" s="2" t="str"/>
      <x:c r="R522" s="2" t="str"/>
      <x:c r="S522" s="2" t="str"/>
      <x:c r="T522" s="2" t="str"/>
      <x:c r="U522" s="2" t="str"/>
      <x:c r="V522" s="2" t="str">
        <x:v>아니오</x:v>
      </x:c>
      <x:c r="W522" s="2" t="str">
        <x:v>예</x:v>
      </x:c>
      <x:c r="X522" s="2" t="str"/>
      <x:c r="Y522" s="2" t="n">
        <x:v>0</x:v>
      </x:c>
      <x:c r="Z522" s="2" t="str"/>
      <x:c r="AA522" s="2" t="n">
        <x:v>0</x:v>
      </x:c>
      <x:c r="AB522" s="8" t="str"/>
      <x:c r="AC522" s="8" t="str"/>
      <x:c r="AD522" s="8" t="str">
        <x:v>["ko-reviewed"]</x:v>
      </x:c>
      <x:c r="AE522" s="8" t="str">
        <x:v>검토 필요</x:v>
      </x:c>
      <x:c r="AF522" s="8" t="str"/>
    </x:row>
    <x:row r="523">
      <x:c r="A523" s="10" t="n">
        <x:v>522</x:v>
      </x:c>
      <x:c r="B523" s="2" t="str">
        <x:v>2차 보류</x:v>
      </x:c>
      <x:c r="C523" s="2" t="str">
        <x:v>2차 보류</x:v>
      </x:c>
      <x:c r="D523" s="2" t="str">
        <x:v>낮음</x:v>
      </x:c>
      <x:c r="E523" s="2" t="str">
        <x:v>N3</x:v>
      </x:c>
      <x:c r="F523" s="10" t="n">
        <x:v>70</x:v>
      </x:c>
      <x:c r="G523" s="2" t="str">
        <x:v>w_cb99bdc6be468a11</x:v>
      </x:c>
      <x:c r="H523" s="2" t="str">
        <x:v>うがい</x:v>
      </x:c>
      <x:c r="I523" s="2" t="str">
        <x:v>うがい</x:v>
      </x:c>
      <x:c r="J523" s="8" t="str">
        <x:v>가글, 양치질</x:v>
      </x:c>
      <x:c r="K523" s="2" t="str">
        <x:v>noun</x:v>
      </x:c>
      <x:c r="L523" s="9" t="n">
        <x:v>3.84</x:v>
      </x:c>
      <x:c r="M523" s="2" t="str">
        <x:v>없음</x:v>
      </x:c>
      <x:c r="N523" s="11" t="n">
        <x:v>18</x:v>
      </x:c>
      <x:c r="O523" s="8" t="str">
        <x:v>검증된 예문 없음; JMdict 우선 어휘 표지 없음</x:v>
      </x:c>
      <x:c r="P523" s="8" t="str">
        <x:v>no_example,no_jmdict_priority</x:v>
      </x:c>
      <x:c r="Q523" s="2" t="str"/>
      <x:c r="R523" s="2" t="str"/>
      <x:c r="S523" s="2" t="str"/>
      <x:c r="T523" s="2" t="str"/>
      <x:c r="U523" s="2" t="str"/>
      <x:c r="V523" s="2" t="str">
        <x:v>아니오</x:v>
      </x:c>
      <x:c r="W523" s="2" t="str">
        <x:v>아니오</x:v>
      </x:c>
      <x:c r="X523" s="2" t="str"/>
      <x:c r="Y523" s="2" t="n">
        <x:v>0</x:v>
      </x:c>
      <x:c r="Z523" s="2" t="str"/>
      <x:c r="AA523" s="2" t="n">
        <x:v>0</x:v>
      </x:c>
      <x:c r="AB523" s="8" t="str"/>
      <x:c r="AC523" s="8" t="str"/>
      <x:c r="AD523" s="8" t="str">
        <x:v>["ko-reviewed"]</x:v>
      </x:c>
      <x:c r="AE523" s="8" t="str">
        <x:v>검토 필요</x:v>
      </x:c>
      <x:c r="AF523" s="8" t="str"/>
    </x:row>
    <x:row r="524">
      <x:c r="A524" s="10" t="n">
        <x:v>523</x:v>
      </x:c>
      <x:c r="B524" s="2" t="str">
        <x:v>2차 보류</x:v>
      </x:c>
      <x:c r="C524" s="2" t="str">
        <x:v>2차 보류</x:v>
      </x:c>
      <x:c r="D524" s="2" t="str">
        <x:v>낮음</x:v>
      </x:c>
      <x:c r="E524" s="2" t="str">
        <x:v>N2</x:v>
      </x:c>
      <x:c r="F524" s="10" t="n">
        <x:v>187</x:v>
      </x:c>
      <x:c r="G524" s="2" t="str">
        <x:v>w_f6a0912dd2d2d190</x:v>
      </x:c>
      <x:c r="H524" s="2" t="str">
        <x:v>もたれる</x:v>
      </x:c>
      <x:c r="I524" s="2" t="str">
        <x:v>もたれる</x:v>
      </x:c>
      <x:c r="J524" s="8" t="str">
        <x:v>기대다</x:v>
      </x:c>
      <x:c r="K524" s="2" t="str">
        <x:v>verb</x:v>
      </x:c>
      <x:c r="L524" s="9" t="n">
        <x:v>3.88</x:v>
      </x:c>
      <x:c r="M524" s="2" t="str">
        <x:v>없음</x:v>
      </x:c>
      <x:c r="N524" s="11" t="n">
        <x:v>18</x:v>
      </x:c>
      <x:c r="O524" s="8" t="str">
        <x:v>검증된 예문 없음; JMdict 우선 어휘 표지 없음</x:v>
      </x:c>
      <x:c r="P524" s="8" t="str">
        <x:v>no_example,no_jmdict_priority</x:v>
      </x:c>
      <x:c r="Q524" s="2" t="str"/>
      <x:c r="R524" s="2" t="str"/>
      <x:c r="S524" s="2" t="str"/>
      <x:c r="T524" s="2" t="str"/>
      <x:c r="U524" s="2" t="str"/>
      <x:c r="V524" s="2" t="str">
        <x:v>아니오</x:v>
      </x:c>
      <x:c r="W524" s="2" t="str">
        <x:v>아니오</x:v>
      </x:c>
      <x:c r="X524" s="2" t="str"/>
      <x:c r="Y524" s="2" t="n">
        <x:v>0</x:v>
      </x:c>
      <x:c r="Z524" s="2" t="str"/>
      <x:c r="AA524" s="2" t="n">
        <x:v>0</x:v>
      </x:c>
      <x:c r="AB524" s="8" t="str"/>
      <x:c r="AC524" s="8" t="str"/>
      <x:c r="AD524" s="8" t="str">
        <x:v>["backfill-replacement","assistant-ko-reviewed"]</x:v>
      </x:c>
      <x:c r="AE524" s="8" t="str">
        <x:v>검토 필요</x:v>
      </x:c>
      <x:c r="AF524" s="8" t="str"/>
    </x:row>
    <x:row r="525">
      <x:c r="A525" s="10" t="n">
        <x:v>524</x:v>
      </x:c>
      <x:c r="B525" s="2" t="str">
        <x:v>2차 보류</x:v>
      </x:c>
      <x:c r="C525" s="2" t="str">
        <x:v>2차 보류</x:v>
      </x:c>
      <x:c r="D525" s="2" t="str">
        <x:v>낮음</x:v>
      </x:c>
      <x:c r="E525" s="2" t="str">
        <x:v>N4</x:v>
      </x:c>
      <x:c r="F525" s="10" t="n">
        <x:v>46</x:v>
      </x:c>
      <x:c r="G525" s="2" t="str">
        <x:v>w_f7df34c5096af494</x:v>
      </x:c>
      <x:c r="H525" s="2" t="str">
        <x:v>おつり</x:v>
      </x:c>
      <x:c r="I525" s="2" t="str">
        <x:v>おつり</x:v>
      </x:c>
      <x:c r="J525" s="8" t="str">
        <x:v>거스름돈, 잔돈</x:v>
      </x:c>
      <x:c r="K525" s="2" t="str">
        <x:v>noun</x:v>
      </x:c>
      <x:c r="L525" s="9" t="n">
        <x:v>3.91</x:v>
      </x:c>
      <x:c r="M525" s="2" t="str">
        <x:v>없음</x:v>
      </x:c>
      <x:c r="N525" s="11" t="n">
        <x:v>18</x:v>
      </x:c>
      <x:c r="O525" s="8" t="str">
        <x:v>검증된 예문 없음; JMdict 우선 어휘 표지 없음</x:v>
      </x:c>
      <x:c r="P525" s="8" t="str">
        <x:v>no_example,no_jmdict_priority</x:v>
      </x:c>
      <x:c r="Q525" s="2" t="str"/>
      <x:c r="R525" s="2" t="str"/>
      <x:c r="S525" s="2" t="str"/>
      <x:c r="T525" s="2" t="str"/>
      <x:c r="U525" s="2" t="str"/>
      <x:c r="V525" s="2" t="str">
        <x:v>아니오</x:v>
      </x:c>
      <x:c r="W525" s="2" t="str">
        <x:v>아니오</x:v>
      </x:c>
      <x:c r="X525" s="2" t="str"/>
      <x:c r="Y525" s="2" t="n">
        <x:v>0</x:v>
      </x:c>
      <x:c r="Z525" s="2" t="str"/>
      <x:c r="AA525" s="2" t="n">
        <x:v>0</x:v>
      </x:c>
      <x:c r="AB525" s="8" t="str"/>
      <x:c r="AC525" s="8" t="str"/>
      <x:c r="AD525" s="8" t="str">
        <x:v>["ko-reviewed"]</x:v>
      </x:c>
      <x:c r="AE525" s="8" t="str">
        <x:v>검토 필요</x:v>
      </x:c>
      <x:c r="AF525" s="8" t="str"/>
    </x:row>
    <x:row r="526">
      <x:c r="A526" s="10" t="n">
        <x:v>525</x:v>
      </x:c>
      <x:c r="B526" s="2" t="str">
        <x:v>2차 보류</x:v>
      </x:c>
      <x:c r="C526" s="2" t="str">
        <x:v>2차 보류</x:v>
      </x:c>
      <x:c r="D526" s="2" t="str">
        <x:v>낮음</x:v>
      </x:c>
      <x:c r="E526" s="2" t="str">
        <x:v>N2</x:v>
      </x:c>
      <x:c r="F526" s="10" t="n">
        <x:v>188</x:v>
      </x:c>
      <x:c r="G526" s="2" t="str">
        <x:v>w_dc8a6451763c13b4</x:v>
      </x:c>
      <x:c r="H526" s="2" t="str">
        <x:v>おかず</x:v>
      </x:c>
      <x:c r="I526" s="2" t="str">
        <x:v>おかず</x:v>
      </x:c>
      <x:c r="J526" s="8" t="str">
        <x:v>반찬</x:v>
      </x:c>
      <x:c r="K526" s="2" t="str">
        <x:v>noun</x:v>
      </x:c>
      <x:c r="L526" s="9" t="n">
        <x:v>3.91</x:v>
      </x:c>
      <x:c r="M526" s="2" t="str">
        <x:v>없음</x:v>
      </x:c>
      <x:c r="N526" s="11" t="n">
        <x:v>18</x:v>
      </x:c>
      <x:c r="O526" s="8" t="str">
        <x:v>검증된 예문 없음; JMdict 우선 어휘 표지 없음</x:v>
      </x:c>
      <x:c r="P526" s="8" t="str">
        <x:v>no_example,no_jmdict_priority</x:v>
      </x:c>
      <x:c r="Q526" s="2" t="str"/>
      <x:c r="R526" s="2" t="str"/>
      <x:c r="S526" s="2" t="str"/>
      <x:c r="T526" s="2" t="str"/>
      <x:c r="U526" s="2" t="str"/>
      <x:c r="V526" s="2" t="str">
        <x:v>아니오</x:v>
      </x:c>
      <x:c r="W526" s="2" t="str">
        <x:v>아니오</x:v>
      </x:c>
      <x:c r="X526" s="2" t="str"/>
      <x:c r="Y526" s="2" t="n">
        <x:v>0</x:v>
      </x:c>
      <x:c r="Z526" s="2" t="str"/>
      <x:c r="AA526" s="2" t="n">
        <x:v>0</x:v>
      </x:c>
      <x:c r="AB526" s="8" t="str"/>
      <x:c r="AC526" s="8" t="str"/>
      <x:c r="AD526" s="8" t="str">
        <x:v>["ko-reviewed"]</x:v>
      </x:c>
      <x:c r="AE526" s="8" t="str">
        <x:v>검토 필요</x:v>
      </x:c>
      <x:c r="AF526" s="8" t="str"/>
    </x:row>
    <x:row r="527">
      <x:c r="A527" s="10" t="n">
        <x:v>526</x:v>
      </x:c>
      <x:c r="B527" s="2" t="str">
        <x:v>2차 보류</x:v>
      </x:c>
      <x:c r="C527" s="2" t="str">
        <x:v>2차 보류</x:v>
      </x:c>
      <x:c r="D527" s="2" t="str">
        <x:v>낮음</x:v>
      </x:c>
      <x:c r="E527" s="2" t="str">
        <x:v>N2</x:v>
      </x:c>
      <x:c r="F527" s="10" t="n">
        <x:v>189</x:v>
      </x:c>
      <x:c r="G527" s="2" t="str">
        <x:v>w_56c4c1b56896c126</x:v>
      </x:c>
      <x:c r="H527" s="2" t="str">
        <x:v>くだらない</x:v>
      </x:c>
      <x:c r="I527" s="2" t="str">
        <x:v>くだらない</x:v>
      </x:c>
      <x:c r="J527" s="8" t="str">
        <x:v>시시하다, 하찮다</x:v>
      </x:c>
      <x:c r="K527" s="2" t="str">
        <x:v>adjective</x:v>
      </x:c>
      <x:c r="L527" s="9" t="n">
        <x:v>3.94</x:v>
      </x:c>
      <x:c r="M527" s="2" t="str">
        <x:v>없음</x:v>
      </x:c>
      <x:c r="N527" s="11" t="n">
        <x:v>18</x:v>
      </x:c>
      <x:c r="O527" s="8" t="str">
        <x:v>검증된 예문 없음; JMdict 우선 어휘 표지 없음</x:v>
      </x:c>
      <x:c r="P527" s="8" t="str">
        <x:v>no_example,no_jmdict_priority</x:v>
      </x:c>
      <x:c r="Q527" s="2" t="str"/>
      <x:c r="R527" s="2" t="str"/>
      <x:c r="S527" s="2" t="str"/>
      <x:c r="T527" s="2" t="str"/>
      <x:c r="U527" s="2" t="str"/>
      <x:c r="V527" s="2" t="str">
        <x:v>아니오</x:v>
      </x:c>
      <x:c r="W527" s="2" t="str">
        <x:v>아니오</x:v>
      </x:c>
      <x:c r="X527" s="2" t="str"/>
      <x:c r="Y527" s="2" t="n">
        <x:v>0</x:v>
      </x:c>
      <x:c r="Z527" s="2" t="str"/>
      <x:c r="AA527" s="2" t="n">
        <x:v>0</x:v>
      </x:c>
      <x:c r="AB527" s="8" t="str"/>
      <x:c r="AC527" s="8" t="str"/>
      <x:c r="AD527" s="8" t="str">
        <x:v>["ko-reviewed"]</x:v>
      </x:c>
      <x:c r="AE527" s="8" t="str">
        <x:v>검토 필요</x:v>
      </x:c>
      <x:c r="AF527" s="8" t="str"/>
    </x:row>
    <x:row r="528">
      <x:c r="A528" s="10" t="n">
        <x:v>527</x:v>
      </x:c>
      <x:c r="B528" s="2" t="str">
        <x:v>2차 보류</x:v>
      </x:c>
      <x:c r="C528" s="2" t="str">
        <x:v>2차 보류</x:v>
      </x:c>
      <x:c r="D528" s="2" t="str">
        <x:v>낮음</x:v>
      </x:c>
      <x:c r="E528" s="2" t="str">
        <x:v>N1</x:v>
      </x:c>
      <x:c r="F528" s="10" t="n">
        <x:v>206</x:v>
      </x:c>
      <x:c r="G528" s="2" t="str">
        <x:v>w_939aa72a47ad3ceb</x:v>
      </x:c>
      <x:c r="H528" s="2" t="str">
        <x:v>ふさわしい</x:v>
      </x:c>
      <x:c r="I528" s="2" t="str">
        <x:v>ふさわしい</x:v>
      </x:c>
      <x:c r="J528" s="8" t="str">
        <x:v>어울리다, 적합하다</x:v>
      </x:c>
      <x:c r="K528" s="2" t="str">
        <x:v>adjective</x:v>
      </x:c>
      <x:c r="L528" s="9" t="n">
        <x:v>3.94</x:v>
      </x:c>
      <x:c r="M528" s="2" t="str">
        <x:v>없음</x:v>
      </x:c>
      <x:c r="N528" s="11" t="n">
        <x:v>18</x:v>
      </x:c>
      <x:c r="O528" s="8" t="str">
        <x:v>검증된 예문 없음; JMdict 우선 어휘 표지 없음</x:v>
      </x:c>
      <x:c r="P528" s="8" t="str">
        <x:v>no_example,no_jmdict_priority</x:v>
      </x:c>
      <x:c r="Q528" s="2" t="str"/>
      <x:c r="R528" s="2" t="str"/>
      <x:c r="S528" s="2" t="str"/>
      <x:c r="T528" s="2" t="str"/>
      <x:c r="U528" s="2" t="str"/>
      <x:c r="V528" s="2" t="str">
        <x:v>아니오</x:v>
      </x:c>
      <x:c r="W528" s="2" t="str">
        <x:v>아니오</x:v>
      </x:c>
      <x:c r="X528" s="2" t="str"/>
      <x:c r="Y528" s="2" t="n">
        <x:v>0</x:v>
      </x:c>
      <x:c r="Z528" s="2" t="str"/>
      <x:c r="AA528" s="2" t="n">
        <x:v>0</x:v>
      </x:c>
      <x:c r="AB528" s="8" t="str"/>
      <x:c r="AC528" s="8" t="str"/>
      <x:c r="AD528" s="8" t="str">
        <x:v>["ko-reviewed"]</x:v>
      </x:c>
      <x:c r="AE528" s="8" t="str">
        <x:v>검토 필요</x:v>
      </x:c>
      <x:c r="AF528" s="8" t="str"/>
    </x:row>
    <x:row r="529">
      <x:c r="A529" s="10" t="n">
        <x:v>528</x:v>
      </x:c>
      <x:c r="B529" s="2" t="str">
        <x:v>2차 보류</x:v>
      </x:c>
      <x:c r="C529" s="2" t="str">
        <x:v>2차 보류</x:v>
      </x:c>
      <x:c r="D529" s="2" t="str">
        <x:v>낮음</x:v>
      </x:c>
      <x:c r="E529" s="2" t="str">
        <x:v>N2</x:v>
      </x:c>
      <x:c r="F529" s="10" t="n">
        <x:v>190</x:v>
      </x:c>
      <x:c r="G529" s="2" t="str">
        <x:v>w_3f719204e0837d38</x:v>
      </x:c>
      <x:c r="H529" s="2" t="str">
        <x:v>琴</x:v>
      </x:c>
      <x:c r="I529" s="2" t="str">
        <x:v>きん</x:v>
      </x:c>
      <x:c r="J529" s="8" t="str">
        <x:v>고토(일본 현악기)</x:v>
      </x:c>
      <x:c r="K529" s="2" t="str">
        <x:v>noun</x:v>
      </x:c>
      <x:c r="L529" s="9" t="n">
        <x:v>4</x:v>
      </x:c>
      <x:c r="M529" s="2" t="str">
        <x:v>없음</x:v>
      </x:c>
      <x:c r="N529" s="11" t="n">
        <x:v>18</x:v>
      </x:c>
      <x:c r="O529" s="8" t="str">
        <x:v>검증된 예문 없음; JMdict 우선 어휘 표지 없음</x:v>
      </x:c>
      <x:c r="P529" s="8" t="str">
        <x:v>no_example,no_jmdict_priority</x:v>
      </x:c>
      <x:c r="Q529" s="2" t="str"/>
      <x:c r="R529" s="2" t="str"/>
      <x:c r="S529" s="2" t="str"/>
      <x:c r="T529" s="2" t="str"/>
      <x:c r="U529" s="2" t="str"/>
      <x:c r="V529" s="2" t="str">
        <x:v>아니오</x:v>
      </x:c>
      <x:c r="W529" s="2" t="str">
        <x:v>예</x:v>
      </x:c>
      <x:c r="X529" s="2" t="str"/>
      <x:c r="Y529" s="2" t="n">
        <x:v>0</x:v>
      </x:c>
      <x:c r="Z529" s="2" t="str"/>
      <x:c r="AA529" s="2" t="n">
        <x:v>0</x:v>
      </x:c>
      <x:c r="AB529" s="8" t="str"/>
      <x:c r="AC529" s="8" t="str"/>
      <x:c r="AD529" s="8" t="str">
        <x:v>["ko-reviewed"]</x:v>
      </x:c>
      <x:c r="AE529" s="8" t="str">
        <x:v>검토 필요</x:v>
      </x:c>
      <x:c r="AF529" s="8" t="str"/>
    </x:row>
    <x:row r="530">
      <x:c r="A530" s="10" t="n">
        <x:v>529</x:v>
      </x:c>
      <x:c r="B530" s="2" t="str">
        <x:v>2차 보류</x:v>
      </x:c>
      <x:c r="C530" s="2" t="str">
        <x:v>2차 보류</x:v>
      </x:c>
      <x:c r="D530" s="2" t="str">
        <x:v>낮음</x:v>
      </x:c>
      <x:c r="E530" s="2" t="str">
        <x:v>N1</x:v>
      </x:c>
      <x:c r="F530" s="10" t="n">
        <x:v>207</x:v>
      </x:c>
      <x:c r="G530" s="2" t="str">
        <x:v>w_ec9e607fc8bac604</x:v>
      </x:c>
      <x:c r="H530" s="2" t="str">
        <x:v>欲深い</x:v>
      </x:c>
      <x:c r="I530" s="2" t="str">
        <x:v>よくふかい</x:v>
      </x:c>
      <x:c r="J530" s="8" t="str">
        <x:v>욕심 많다, 탐욕스럽다</x:v>
      </x:c>
      <x:c r="K530" s="2" t="str">
        <x:v>adjective</x:v>
      </x:c>
      <x:c r="L530" s="9" t="n">
        <x:v>4.06</x:v>
      </x:c>
      <x:c r="M530" s="2" t="str">
        <x:v>없음</x:v>
      </x:c>
      <x:c r="N530" s="11" t="n">
        <x:v>18</x:v>
      </x:c>
      <x:c r="O530" s="8" t="str">
        <x:v>검증된 예문 없음; JMdict 우선 어휘 표지 없음</x:v>
      </x:c>
      <x:c r="P530" s="8" t="str">
        <x:v>no_example,no_jmdict_priority</x:v>
      </x:c>
      <x:c r="Q530" s="2" t="str"/>
      <x:c r="R530" s="2" t="str"/>
      <x:c r="S530" s="2" t="str"/>
      <x:c r="T530" s="2" t="str"/>
      <x:c r="U530" s="2" t="str"/>
      <x:c r="V530" s="2" t="str">
        <x:v>아니오</x:v>
      </x:c>
      <x:c r="W530" s="2" t="str">
        <x:v>예</x:v>
      </x:c>
      <x:c r="X530" s="2" t="str"/>
      <x:c r="Y530" s="2" t="n">
        <x:v>0</x:v>
      </x:c>
      <x:c r="Z530" s="2" t="str"/>
      <x:c r="AA530" s="2" t="n">
        <x:v>0</x:v>
      </x:c>
      <x:c r="AB530" s="8" t="str"/>
      <x:c r="AC530" s="8" t="str"/>
      <x:c r="AD530" s="8" t="str">
        <x:v>["backfill-replacement","assistant-ko-reviewed"]</x:v>
      </x:c>
      <x:c r="AE530" s="8" t="str">
        <x:v>검토 필요</x:v>
      </x:c>
      <x:c r="AF530" s="8" t="str"/>
    </x:row>
    <x:row r="531">
      <x:c r="A531" s="10" t="n">
        <x:v>530</x:v>
      </x:c>
      <x:c r="B531" s="2" t="str">
        <x:v>2차 보류</x:v>
      </x:c>
      <x:c r="C531" s="2" t="str">
        <x:v>2차 보류</x:v>
      </x:c>
      <x:c r="D531" s="2" t="str">
        <x:v>낮음</x:v>
      </x:c>
      <x:c r="E531" s="2" t="str">
        <x:v>N2</x:v>
      </x:c>
      <x:c r="F531" s="10" t="n">
        <x:v>191</x:v>
      </x:c>
      <x:c r="G531" s="2" t="str">
        <x:v>w_8353b45ad58dc50b</x:v>
      </x:c>
      <x:c r="H531" s="2" t="str">
        <x:v>いってまいります</x:v>
      </x:c>
      <x:c r="I531" s="2" t="str">
        <x:v>いってまいります</x:v>
      </x:c>
      <x:c r="J531" s="8" t="str">
        <x:v>다녀오겠습니다</x:v>
      </x:c>
      <x:c r="K531" s="2" t="str">
        <x:v>expression</x:v>
      </x:c>
      <x:c r="L531" s="9" t="n">
        <x:v>4.1</x:v>
      </x:c>
      <x:c r="M531" s="2" t="str">
        <x:v>없음</x:v>
      </x:c>
      <x:c r="N531" s="11" t="n">
        <x:v>18</x:v>
      </x:c>
      <x:c r="O531" s="8" t="str">
        <x:v>검증된 예문 없음; JMdict 우선 어휘 표지 없음</x:v>
      </x:c>
      <x:c r="P531" s="8" t="str">
        <x:v>no_example,no_jmdict_priority</x:v>
      </x:c>
      <x:c r="Q531" s="2" t="str"/>
      <x:c r="R531" s="2" t="str"/>
      <x:c r="S531" s="2" t="str"/>
      <x:c r="T531" s="2" t="str"/>
      <x:c r="U531" s="2" t="str"/>
      <x:c r="V531" s="2" t="str">
        <x:v>아니오</x:v>
      </x:c>
      <x:c r="W531" s="2" t="str">
        <x:v>아니오</x:v>
      </x:c>
      <x:c r="X531" s="2" t="str"/>
      <x:c r="Y531" s="2" t="n">
        <x:v>0</x:v>
      </x:c>
      <x:c r="Z531" s="2" t="str"/>
      <x:c r="AA531" s="2" t="n">
        <x:v>0</x:v>
      </x:c>
      <x:c r="AB531" s="8" t="str"/>
      <x:c r="AC531" s="8" t="str"/>
      <x:c r="AD531" s="8" t="str">
        <x:v>["ko-reviewed"]</x:v>
      </x:c>
      <x:c r="AE531" s="8" t="str">
        <x:v>검토 필요</x:v>
      </x:c>
      <x:c r="AF531" s="8" t="str"/>
    </x:row>
    <x:row r="532">
      <x:c r="A532" s="10" t="n">
        <x:v>531</x:v>
      </x:c>
      <x:c r="B532" s="2" t="str">
        <x:v>2차 보류</x:v>
      </x:c>
      <x:c r="C532" s="2" t="str">
        <x:v>2차 보류</x:v>
      </x:c>
      <x:c r="D532" s="2" t="str">
        <x:v>낮음</x:v>
      </x:c>
      <x:c r="E532" s="2" t="str">
        <x:v>N2</x:v>
      </x:c>
      <x:c r="F532" s="10" t="n">
        <x:v>192</x:v>
      </x:c>
      <x:c r="G532" s="2" t="str">
        <x:v>w_3d65f8ddb9602a41</x:v>
      </x:c>
      <x:c r="H532" s="2" t="str">
        <x:v>やたらに</x:v>
      </x:c>
      <x:c r="I532" s="2" t="str">
        <x:v>やたらに</x:v>
      </x:c>
      <x:c r="J532" s="8" t="str">
        <x:v>마구, 함부로</x:v>
      </x:c>
      <x:c r="K532" s="2" t="str">
        <x:v>noun</x:v>
      </x:c>
      <x:c r="L532" s="9" t="n">
        <x:v>4.13</x:v>
      </x:c>
      <x:c r="M532" s="2" t="str">
        <x:v>없음</x:v>
      </x:c>
      <x:c r="N532" s="11" t="n">
        <x:v>18</x:v>
      </x:c>
      <x:c r="O532" s="8" t="str">
        <x:v>검증된 예문 없음; JMdict 우선 어휘 표지 없음</x:v>
      </x:c>
      <x:c r="P532" s="8" t="str">
        <x:v>no_example,no_jmdict_priority</x:v>
      </x:c>
      <x:c r="Q532" s="2" t="str"/>
      <x:c r="R532" s="2" t="str"/>
      <x:c r="S532" s="2" t="str"/>
      <x:c r="T532" s="2" t="str"/>
      <x:c r="U532" s="2" t="str"/>
      <x:c r="V532" s="2" t="str">
        <x:v>아니오</x:v>
      </x:c>
      <x:c r="W532" s="2" t="str">
        <x:v>아니오</x:v>
      </x:c>
      <x:c r="X532" s="2" t="str"/>
      <x:c r="Y532" s="2" t="n">
        <x:v>0</x:v>
      </x:c>
      <x:c r="Z532" s="2" t="str"/>
      <x:c r="AA532" s="2" t="n">
        <x:v>0</x:v>
      </x:c>
      <x:c r="AB532" s="8" t="str"/>
      <x:c r="AC532" s="8" t="str"/>
      <x:c r="AD532" s="8" t="str">
        <x:v>["backfill-replacement","assistant-ko-reviewed"]</x:v>
      </x:c>
      <x:c r="AE532" s="8" t="str">
        <x:v>검토 필요</x:v>
      </x:c>
      <x:c r="AF532" s="8" t="str"/>
    </x:row>
    <x:row r="533">
      <x:c r="A533" s="10" t="n">
        <x:v>532</x:v>
      </x:c>
      <x:c r="B533" s="2" t="str">
        <x:v>2차 보류</x:v>
      </x:c>
      <x:c r="C533" s="2" t="str">
        <x:v>2차 보류</x:v>
      </x:c>
      <x:c r="D533" s="2" t="str">
        <x:v>낮음</x:v>
      </x:c>
      <x:c r="E533" s="2" t="str">
        <x:v>N1</x:v>
      </x:c>
      <x:c r="F533" s="10" t="n">
        <x:v>208</x:v>
      </x:c>
      <x:c r="G533" s="2" t="str">
        <x:v>w_79c57f582ccb832e</x:v>
      </x:c>
      <x:c r="H533" s="2" t="str">
        <x:v>そこら</x:v>
      </x:c>
      <x:c r="I533" s="2" t="str">
        <x:v>そこら</x:v>
      </x:c>
      <x:c r="J533" s="8" t="str">
        <x:v>그 근처, 여기저기</x:v>
      </x:c>
      <x:c r="K533" s="2" t="str">
        <x:v>pronoun</x:v>
      </x:c>
      <x:c r="L533" s="9" t="n">
        <x:v>4.13</x:v>
      </x:c>
      <x:c r="M533" s="2" t="str">
        <x:v>없음</x:v>
      </x:c>
      <x:c r="N533" s="11" t="n">
        <x:v>18</x:v>
      </x:c>
      <x:c r="O533" s="8" t="str">
        <x:v>검증된 예문 없음; JMdict 우선 어휘 표지 없음</x:v>
      </x:c>
      <x:c r="P533" s="8" t="str">
        <x:v>no_example,no_jmdict_priority</x:v>
      </x:c>
      <x:c r="Q533" s="2" t="str"/>
      <x:c r="R533" s="2" t="str"/>
      <x:c r="S533" s="2" t="str"/>
      <x:c r="T533" s="2" t="str"/>
      <x:c r="U533" s="2" t="str"/>
      <x:c r="V533" s="2" t="str">
        <x:v>아니오</x:v>
      </x:c>
      <x:c r="W533" s="2" t="str">
        <x:v>아니오</x:v>
      </x:c>
      <x:c r="X533" s="2" t="str"/>
      <x:c r="Y533" s="2" t="n">
        <x:v>0</x:v>
      </x:c>
      <x:c r="Z533" s="2" t="str"/>
      <x:c r="AA533" s="2" t="n">
        <x:v>0</x:v>
      </x:c>
      <x:c r="AB533" s="8" t="str"/>
      <x:c r="AC533" s="8" t="str"/>
      <x:c r="AD533" s="8" t="str">
        <x:v>["ko-reviewed"]</x:v>
      </x:c>
      <x:c r="AE533" s="8" t="str">
        <x:v>검토 필요</x:v>
      </x:c>
      <x:c r="AF533" s="8" t="str"/>
    </x:row>
    <x:row r="534">
      <x:c r="A534" s="10" t="n">
        <x:v>533</x:v>
      </x:c>
      <x:c r="B534" s="2" t="str">
        <x:v>2차 보류</x:v>
      </x:c>
      <x:c r="C534" s="2" t="str">
        <x:v>2차 보류</x:v>
      </x:c>
      <x:c r="D534" s="2" t="str">
        <x:v>낮음</x:v>
      </x:c>
      <x:c r="E534" s="2" t="str">
        <x:v>N1</x:v>
      </x:c>
      <x:c r="F534" s="10" t="n">
        <x:v>209</x:v>
      </x:c>
      <x:c r="G534" s="2" t="str">
        <x:v>w_ff37a1bcad7a7a12</x:v>
      </x:c>
      <x:c r="H534" s="2" t="str">
        <x:v>それゆえ</x:v>
      </x:c>
      <x:c r="I534" s="2" t="str">
        <x:v>それゆえ</x:v>
      </x:c>
      <x:c r="J534" s="8" t="str">
        <x:v>그러므로, 따라서</x:v>
      </x:c>
      <x:c r="K534" s="2" t="str">
        <x:v>conjunction</x:v>
      </x:c>
      <x:c r="L534" s="9" t="n">
        <x:v>4.13</x:v>
      </x:c>
      <x:c r="M534" s="2" t="str">
        <x:v>없음</x:v>
      </x:c>
      <x:c r="N534" s="11" t="n">
        <x:v>18</x:v>
      </x:c>
      <x:c r="O534" s="8" t="str">
        <x:v>검증된 예문 없음; JMdict 우선 어휘 표지 없음</x:v>
      </x:c>
      <x:c r="P534" s="8" t="str">
        <x:v>no_example,no_jmdict_priority</x:v>
      </x:c>
      <x:c r="Q534" s="2" t="str"/>
      <x:c r="R534" s="2" t="str"/>
      <x:c r="S534" s="2" t="str"/>
      <x:c r="T534" s="2" t="str"/>
      <x:c r="U534" s="2" t="str"/>
      <x:c r="V534" s="2" t="str">
        <x:v>아니오</x:v>
      </x:c>
      <x:c r="W534" s="2" t="str">
        <x:v>아니오</x:v>
      </x:c>
      <x:c r="X534" s="2" t="str"/>
      <x:c r="Y534" s="2" t="n">
        <x:v>0</x:v>
      </x:c>
      <x:c r="Z534" s="2" t="str"/>
      <x:c r="AA534" s="2" t="n">
        <x:v>0</x:v>
      </x:c>
      <x:c r="AB534" s="8" t="str"/>
      <x:c r="AC534" s="8" t="str"/>
      <x:c r="AD534" s="8" t="str">
        <x:v>["ko-reviewed"]</x:v>
      </x:c>
      <x:c r="AE534" s="8" t="str">
        <x:v>검토 필요</x:v>
      </x:c>
      <x:c r="AF534" s="8" t="str"/>
    </x:row>
    <x:row r="535">
      <x:c r="A535" s="10" t="n">
        <x:v>534</x:v>
      </x:c>
      <x:c r="B535" s="2" t="str">
        <x:v>2차 보류</x:v>
      </x:c>
      <x:c r="C535" s="2" t="str">
        <x:v>2차 보류</x:v>
      </x:c>
      <x:c r="D535" s="2" t="str">
        <x:v>낮음</x:v>
      </x:c>
      <x:c r="E535" s="2" t="str">
        <x:v>N3</x:v>
      </x:c>
      <x:c r="F535" s="10" t="n">
        <x:v>71</x:v>
      </x:c>
      <x:c r="G535" s="2" t="str">
        <x:v>w_99b30f0a1c898b11</x:v>
      </x:c>
      <x:c r="H535" s="2" t="str">
        <x:v>もったいない</x:v>
      </x:c>
      <x:c r="I535" s="2" t="str">
        <x:v>もったいない</x:v>
      </x:c>
      <x:c r="J535" s="8" t="str">
        <x:v>아깝다, 과분하다</x:v>
      </x:c>
      <x:c r="K535" s="2" t="str">
        <x:v>adjective</x:v>
      </x:c>
      <x:c r="L535" s="9" t="n">
        <x:v>4.15</x:v>
      </x:c>
      <x:c r="M535" s="2" t="str">
        <x:v>없음</x:v>
      </x:c>
      <x:c r="N535" s="11" t="n">
        <x:v>18</x:v>
      </x:c>
      <x:c r="O535" s="8" t="str">
        <x:v>검증된 예문 없음; JMdict 우선 어휘 표지 없음</x:v>
      </x:c>
      <x:c r="P535" s="8" t="str">
        <x:v>no_example,no_jmdict_priority</x:v>
      </x:c>
      <x:c r="Q535" s="2" t="str"/>
      <x:c r="R535" s="2" t="str"/>
      <x:c r="S535" s="2" t="str"/>
      <x:c r="T535" s="2" t="str"/>
      <x:c r="U535" s="2" t="str"/>
      <x:c r="V535" s="2" t="str">
        <x:v>아니오</x:v>
      </x:c>
      <x:c r="W535" s="2" t="str">
        <x:v>아니오</x:v>
      </x:c>
      <x:c r="X535" s="2" t="str"/>
      <x:c r="Y535" s="2" t="n">
        <x:v>0</x:v>
      </x:c>
      <x:c r="Z535" s="2" t="str"/>
      <x:c r="AA535" s="2" t="n">
        <x:v>0</x:v>
      </x:c>
      <x:c r="AB535" s="8" t="str"/>
      <x:c r="AC535" s="8" t="str"/>
      <x:c r="AD535" s="8" t="str">
        <x:v>["ko-reviewed"]</x:v>
      </x:c>
      <x:c r="AE535" s="8" t="str">
        <x:v>검토 필요</x:v>
      </x:c>
      <x:c r="AF535" s="8" t="str"/>
    </x:row>
    <x:row r="536">
      <x:c r="A536" s="10" t="n">
        <x:v>535</x:v>
      </x:c>
      <x:c r="B536" s="2" t="str">
        <x:v>2차 보류</x:v>
      </x:c>
      <x:c r="C536" s="2" t="str">
        <x:v>2차 보류</x:v>
      </x:c>
      <x:c r="D536" s="2" t="str">
        <x:v>낮음</x:v>
      </x:c>
      <x:c r="E536" s="2" t="str">
        <x:v>N2</x:v>
      </x:c>
      <x:c r="F536" s="10" t="n">
        <x:v>193</x:v>
      </x:c>
      <x:c r="G536" s="2" t="str">
        <x:v>w_bae7f715faad00b5</x:v>
      </x:c>
      <x:c r="H536" s="2" t="str">
        <x:v>なんとも</x:v>
      </x:c>
      <x:c r="I536" s="2" t="str">
        <x:v>なんとも</x:v>
      </x:c>
      <x:c r="J536" s="8" t="str">
        <x:v>아무렇지도, 뭐라고도</x:v>
      </x:c>
      <x:c r="K536" s="2" t="str">
        <x:v>adverb</x:v>
      </x:c>
      <x:c r="L536" s="9" t="n">
        <x:v>4.15</x:v>
      </x:c>
      <x:c r="M536" s="2" t="str">
        <x:v>없음</x:v>
      </x:c>
      <x:c r="N536" s="11" t="n">
        <x:v>18</x:v>
      </x:c>
      <x:c r="O536" s="8" t="str">
        <x:v>검증된 예문 없음; JMdict 우선 어휘 표지 없음</x:v>
      </x:c>
      <x:c r="P536" s="8" t="str">
        <x:v>no_example,no_jmdict_priority</x:v>
      </x:c>
      <x:c r="Q536" s="2" t="str"/>
      <x:c r="R536" s="2" t="str"/>
      <x:c r="S536" s="2" t="str"/>
      <x:c r="T536" s="2" t="str"/>
      <x:c r="U536" s="2" t="str"/>
      <x:c r="V536" s="2" t="str">
        <x:v>아니오</x:v>
      </x:c>
      <x:c r="W536" s="2" t="str">
        <x:v>아니오</x:v>
      </x:c>
      <x:c r="X536" s="2" t="str"/>
      <x:c r="Y536" s="2" t="n">
        <x:v>0</x:v>
      </x:c>
      <x:c r="Z536" s="2" t="str"/>
      <x:c r="AA536" s="2" t="n">
        <x:v>0</x:v>
      </x:c>
      <x:c r="AB536" s="8" t="str"/>
      <x:c r="AC536" s="8" t="str"/>
      <x:c r="AD536" s="8" t="str">
        <x:v>["ko-reviewed"]</x:v>
      </x:c>
      <x:c r="AE536" s="8" t="str">
        <x:v>검토 필요</x:v>
      </x:c>
      <x:c r="AF536" s="8" t="str"/>
    </x:row>
    <x:row r="537">
      <x:c r="A537" s="10" t="n">
        <x:v>536</x:v>
      </x:c>
      <x:c r="B537" s="2" t="str">
        <x:v>2차 보류</x:v>
      </x:c>
      <x:c r="C537" s="2" t="str">
        <x:v>2차 보류</x:v>
      </x:c>
      <x:c r="D537" s="2" t="str">
        <x:v>낮음</x:v>
      </x:c>
      <x:c r="E537" s="2" t="str">
        <x:v>N1</x:v>
      </x:c>
      <x:c r="F537" s="10" t="n">
        <x:v>210</x:v>
      </x:c>
      <x:c r="G537" s="2" t="str">
        <x:v>w_ccb6f2de26230065</x:v>
      </x:c>
      <x:c r="H537" s="2" t="str">
        <x:v>良し</x:v>
      </x:c>
      <x:c r="I537" s="2" t="str">
        <x:v>よし</x:v>
      </x:c>
      <x:c r="J537" s="8" t="str">
        <x:v>좋음, 좋다</x:v>
      </x:c>
      <x:c r="K537" s="2" t="str">
        <x:v>adjective</x:v>
      </x:c>
      <x:c r="L537" s="9" t="n">
        <x:v>4.16</x:v>
      </x:c>
      <x:c r="M537" s="2" t="str">
        <x:v>없음</x:v>
      </x:c>
      <x:c r="N537" s="11" t="n">
        <x:v>18</x:v>
      </x:c>
      <x:c r="O537" s="8" t="str">
        <x:v>검증된 예문 없음; JMdict 우선 어휘 표지 없음</x:v>
      </x:c>
      <x:c r="P537" s="8" t="str">
        <x:v>no_example,no_jmdict_priority</x:v>
      </x:c>
      <x:c r="Q537" s="2" t="str"/>
      <x:c r="R537" s="2" t="str"/>
      <x:c r="S537" s="2" t="str"/>
      <x:c r="T537" s="2" t="str"/>
      <x:c r="U537" s="2" t="str"/>
      <x:c r="V537" s="2" t="str">
        <x:v>아니오</x:v>
      </x:c>
      <x:c r="W537" s="2" t="str">
        <x:v>예</x:v>
      </x:c>
      <x:c r="X537" s="2" t="str"/>
      <x:c r="Y537" s="2" t="n">
        <x:v>0</x:v>
      </x:c>
      <x:c r="Z537" s="2" t="str"/>
      <x:c r="AA537" s="2" t="n">
        <x:v>0</x:v>
      </x:c>
      <x:c r="AB537" s="8" t="str">
        <x:v>word usually written using kana alone</x:v>
      </x:c>
      <x:c r="AC537" s="8" t="str"/>
      <x:c r="AD537" s="8" t="str">
        <x:v>["backfill-replacement","assistant-ko-reviewed"]</x:v>
      </x:c>
      <x:c r="AE537" s="8" t="str">
        <x:v>검토 필요</x:v>
      </x:c>
      <x:c r="AF537" s="8" t="str"/>
    </x:row>
    <x:row r="538">
      <x:c r="A538" s="10" t="n">
        <x:v>537</x:v>
      </x:c>
      <x:c r="B538" s="2" t="str">
        <x:v>2차 보류</x:v>
      </x:c>
      <x:c r="C538" s="2" t="str">
        <x:v>2차 보류</x:v>
      </x:c>
      <x:c r="D538" s="2" t="str">
        <x:v>낮음</x:v>
      </x:c>
      <x:c r="E538" s="2" t="str">
        <x:v>N1</x:v>
      </x:c>
      <x:c r="F538" s="10" t="n">
        <x:v>211</x:v>
      </x:c>
      <x:c r="G538" s="2" t="str">
        <x:v>w_79707d3c49949938</x:v>
      </x:c>
      <x:c r="H538" s="2" t="str">
        <x:v>まして</x:v>
      </x:c>
      <x:c r="I538" s="2" t="str">
        <x:v>まして</x:v>
      </x:c>
      <x:c r="J538" s="8" t="str">
        <x:v>하물며, 더구나</x:v>
      </x:c>
      <x:c r="K538" s="2" t="str">
        <x:v>adverb</x:v>
      </x:c>
      <x:c r="L538" s="9" t="n">
        <x:v>4.18</x:v>
      </x:c>
      <x:c r="M538" s="2" t="str">
        <x:v>없음</x:v>
      </x:c>
      <x:c r="N538" s="11" t="n">
        <x:v>18</x:v>
      </x:c>
      <x:c r="O538" s="8" t="str">
        <x:v>검증된 예문 없음; JMdict 우선 어휘 표지 없음</x:v>
      </x:c>
      <x:c r="P538" s="8" t="str">
        <x:v>no_example,no_jmdict_priority</x:v>
      </x:c>
      <x:c r="Q538" s="2" t="str"/>
      <x:c r="R538" s="2" t="str"/>
      <x:c r="S538" s="2" t="str"/>
      <x:c r="T538" s="2" t="str"/>
      <x:c r="U538" s="2" t="str"/>
      <x:c r="V538" s="2" t="str">
        <x:v>아니오</x:v>
      </x:c>
      <x:c r="W538" s="2" t="str">
        <x:v>아니오</x:v>
      </x:c>
      <x:c r="X538" s="2" t="str"/>
      <x:c r="Y538" s="2" t="n">
        <x:v>0</x:v>
      </x:c>
      <x:c r="Z538" s="2" t="str"/>
      <x:c r="AA538" s="2" t="n">
        <x:v>0</x:v>
      </x:c>
      <x:c r="AB538" s="8" t="str"/>
      <x:c r="AC538" s="8" t="str"/>
      <x:c r="AD538" s="8" t="str">
        <x:v>["ko-reviewed"]</x:v>
      </x:c>
      <x:c r="AE538" s="8" t="str">
        <x:v>검토 필요</x:v>
      </x:c>
      <x:c r="AF538" s="8" t="str"/>
    </x:row>
    <x:row r="539">
      <x:c r="A539" s="10" t="n">
        <x:v>538</x:v>
      </x:c>
      <x:c r="B539" s="2" t="str">
        <x:v>2차 보류</x:v>
      </x:c>
      <x:c r="C539" s="2" t="str">
        <x:v>2차 보류</x:v>
      </x:c>
      <x:c r="D539" s="2" t="str">
        <x:v>낮음</x:v>
      </x:c>
      <x:c r="E539" s="2" t="str">
        <x:v>N4</x:v>
      </x:c>
      <x:c r="F539" s="10" t="n">
        <x:v>47</x:v>
      </x:c>
      <x:c r="G539" s="2" t="str">
        <x:v>w_54ca74d64604579c</x:v>
      </x:c>
      <x:c r="H539" s="2" t="str">
        <x:v>おいでになる</x:v>
      </x:c>
      <x:c r="I539" s="2" t="str">
        <x:v>おいでになる</x:v>
      </x:c>
      <x:c r="J539" s="8" t="str">
        <x:v>계시다, 오시다</x:v>
      </x:c>
      <x:c r="K539" s="2" t="str">
        <x:v>verb</x:v>
      </x:c>
      <x:c r="L539" s="9" t="n">
        <x:v>4.23</x:v>
      </x:c>
      <x:c r="M539" s="2" t="str">
        <x:v>없음</x:v>
      </x:c>
      <x:c r="N539" s="11" t="n">
        <x:v>18</x:v>
      </x:c>
      <x:c r="O539" s="8" t="str">
        <x:v>검증된 예문 없음; JMdict 우선 어휘 표지 없음</x:v>
      </x:c>
      <x:c r="P539" s="8" t="str">
        <x:v>no_example,no_jmdict_priority</x:v>
      </x:c>
      <x:c r="Q539" s="2" t="str"/>
      <x:c r="R539" s="2" t="str"/>
      <x:c r="S539" s="2" t="str"/>
      <x:c r="T539" s="2" t="str"/>
      <x:c r="U539" s="2" t="str"/>
      <x:c r="V539" s="2" t="str">
        <x:v>아니오</x:v>
      </x:c>
      <x:c r="W539" s="2" t="str">
        <x:v>아니오</x:v>
      </x:c>
      <x:c r="X539" s="2" t="str"/>
      <x:c r="Y539" s="2" t="n">
        <x:v>0</x:v>
      </x:c>
      <x:c r="Z539" s="2" t="str"/>
      <x:c r="AA539" s="2" t="n">
        <x:v>0</x:v>
      </x:c>
      <x:c r="AB539" s="8" t="str"/>
      <x:c r="AC539" s="8" t="str"/>
      <x:c r="AD539" s="8" t="str">
        <x:v>["ko-reviewed"]</x:v>
      </x:c>
      <x:c r="AE539" s="8" t="str">
        <x:v>검토 필요</x:v>
      </x:c>
      <x:c r="AF539" s="8" t="str"/>
    </x:row>
    <x:row r="540">
      <x:c r="A540" s="10" t="n">
        <x:v>539</x:v>
      </x:c>
      <x:c r="B540" s="2" t="str">
        <x:v>2차 보류</x:v>
      </x:c>
      <x:c r="C540" s="2" t="str">
        <x:v>2차 보류</x:v>
      </x:c>
      <x:c r="D540" s="2" t="str">
        <x:v>낮음</x:v>
      </x:c>
      <x:c r="E540" s="2" t="str">
        <x:v>N1</x:v>
      </x:c>
      <x:c r="F540" s="10" t="n">
        <x:v>212</x:v>
      </x:c>
      <x:c r="G540" s="2" t="str">
        <x:v>w_adf721446e795271</x:v>
      </x:c>
      <x:c r="H540" s="2" t="str">
        <x:v>いかに</x:v>
      </x:c>
      <x:c r="I540" s="2" t="str">
        <x:v>いかに</x:v>
      </x:c>
      <x:c r="J540" s="8" t="str">
        <x:v>어떻게, 얼마나</x:v>
      </x:c>
      <x:c r="K540" s="2" t="str">
        <x:v>adverb</x:v>
      </x:c>
      <x:c r="L540" s="9" t="n">
        <x:v>4.24</x:v>
      </x:c>
      <x:c r="M540" s="2" t="str">
        <x:v>없음</x:v>
      </x:c>
      <x:c r="N540" s="11" t="n">
        <x:v>18</x:v>
      </x:c>
      <x:c r="O540" s="8" t="str">
        <x:v>검증된 예문 없음; JMdict 우선 어휘 표지 없음</x:v>
      </x:c>
      <x:c r="P540" s="8" t="str">
        <x:v>no_example,no_jmdict_priority</x:v>
      </x:c>
      <x:c r="Q540" s="2" t="str"/>
      <x:c r="R540" s="2" t="str"/>
      <x:c r="S540" s="2" t="str"/>
      <x:c r="T540" s="2" t="str"/>
      <x:c r="U540" s="2" t="str"/>
      <x:c r="V540" s="2" t="str">
        <x:v>아니오</x:v>
      </x:c>
      <x:c r="W540" s="2" t="str">
        <x:v>아니오</x:v>
      </x:c>
      <x:c r="X540" s="2" t="str"/>
      <x:c r="Y540" s="2" t="n">
        <x:v>0</x:v>
      </x:c>
      <x:c r="Z540" s="2" t="str"/>
      <x:c r="AA540" s="2" t="n">
        <x:v>0</x:v>
      </x:c>
      <x:c r="AB540" s="8" t="str"/>
      <x:c r="AC540" s="8" t="str"/>
      <x:c r="AD540" s="8" t="str">
        <x:v>["ko-reviewed"]</x:v>
      </x:c>
      <x:c r="AE540" s="8" t="str">
        <x:v>검토 필요</x:v>
      </x:c>
      <x:c r="AF540" s="8" t="str"/>
    </x:row>
    <x:row r="541">
      <x:c r="A541" s="10" t="n">
        <x:v>540</x:v>
      </x:c>
      <x:c r="B541" s="2" t="str">
        <x:v>2차 보류</x:v>
      </x:c>
      <x:c r="C541" s="2" t="str">
        <x:v>2차 보류</x:v>
      </x:c>
      <x:c r="D541" s="2" t="str">
        <x:v>낮음</x:v>
      </x:c>
      <x:c r="E541" s="2" t="str">
        <x:v>N2</x:v>
      </x:c>
      <x:c r="F541" s="10" t="n">
        <x:v>194</x:v>
      </x:c>
      <x:c r="G541" s="2" t="str">
        <x:v>w_5f9867bc8e5f6165</x:v>
      </x:c>
      <x:c r="H541" s="2" t="str">
        <x:v>こんばんは</x:v>
      </x:c>
      <x:c r="I541" s="2" t="str">
        <x:v>こんばんは</x:v>
      </x:c>
      <x:c r="J541" s="8" t="str">
        <x:v>안녕하세요, 좋은 저녁입니다</x:v>
      </x:c>
      <x:c r="K541" s="2" t="str">
        <x:v>interjection</x:v>
      </x:c>
      <x:c r="L541" s="9" t="n">
        <x:v>4.27</x:v>
      </x:c>
      <x:c r="M541" s="2" t="str">
        <x:v>없음</x:v>
      </x:c>
      <x:c r="N541" s="11" t="n">
        <x:v>18</x:v>
      </x:c>
      <x:c r="O541" s="8" t="str">
        <x:v>검증된 예문 없음; JMdict 우선 어휘 표지 없음</x:v>
      </x:c>
      <x:c r="P541" s="8" t="str">
        <x:v>no_example,no_jmdict_priority</x:v>
      </x:c>
      <x:c r="Q541" s="2" t="str"/>
      <x:c r="R541" s="2" t="str"/>
      <x:c r="S541" s="2" t="str"/>
      <x:c r="T541" s="2" t="str"/>
      <x:c r="U541" s="2" t="str"/>
      <x:c r="V541" s="2" t="str">
        <x:v>아니오</x:v>
      </x:c>
      <x:c r="W541" s="2" t="str">
        <x:v>아니오</x:v>
      </x:c>
      <x:c r="X541" s="2" t="str"/>
      <x:c r="Y541" s="2" t="n">
        <x:v>0</x:v>
      </x:c>
      <x:c r="Z541" s="2" t="str"/>
      <x:c r="AA541" s="2" t="n">
        <x:v>0</x:v>
      </x:c>
      <x:c r="AB541" s="8" t="str"/>
      <x:c r="AC541" s="8" t="str"/>
      <x:c r="AD541" s="8" t="str">
        <x:v>["ko-reviewed"]</x:v>
      </x:c>
      <x:c r="AE541" s="8" t="str">
        <x:v>검토 필요</x:v>
      </x:c>
      <x:c r="AF541" s="8" t="str"/>
    </x:row>
    <x:row r="542">
      <x:c r="A542" s="10" t="n">
        <x:v>541</x:v>
      </x:c>
      <x:c r="B542" s="2" t="str">
        <x:v>2차 보류</x:v>
      </x:c>
      <x:c r="C542" s="2" t="str">
        <x:v>2차 보류</x:v>
      </x:c>
      <x:c r="D542" s="2" t="str">
        <x:v>낮음</x:v>
      </x:c>
      <x:c r="E542" s="2" t="str">
        <x:v>N2</x:v>
      </x:c>
      <x:c r="F542" s="10" t="n">
        <x:v>195</x:v>
      </x:c>
      <x:c r="G542" s="2" t="str">
        <x:v>w_6cd88a7c41aa0855</x:v>
      </x:c>
      <x:c r="H542" s="2" t="str">
        <x:v>それなら</x:v>
      </x:c>
      <x:c r="I542" s="2" t="str">
        <x:v>それなら</x:v>
      </x:c>
      <x:c r="J542" s="8" t="str">
        <x:v>그렇다면, 그러면</x:v>
      </x:c>
      <x:c r="K542" s="2" t="str">
        <x:v>conjunction</x:v>
      </x:c>
      <x:c r="L542" s="9" t="n">
        <x:v>4.27</x:v>
      </x:c>
      <x:c r="M542" s="2" t="str">
        <x:v>없음</x:v>
      </x:c>
      <x:c r="N542" s="11" t="n">
        <x:v>18</x:v>
      </x:c>
      <x:c r="O542" s="8" t="str">
        <x:v>검증된 예문 없음; JMdict 우선 어휘 표지 없음</x:v>
      </x:c>
      <x:c r="P542" s="8" t="str">
        <x:v>no_example,no_jmdict_priority</x:v>
      </x:c>
      <x:c r="Q542" s="2" t="str"/>
      <x:c r="R542" s="2" t="str"/>
      <x:c r="S542" s="2" t="str"/>
      <x:c r="T542" s="2" t="str"/>
      <x:c r="U542" s="2" t="str"/>
      <x:c r="V542" s="2" t="str">
        <x:v>아니오</x:v>
      </x:c>
      <x:c r="W542" s="2" t="str">
        <x:v>아니오</x:v>
      </x:c>
      <x:c r="X542" s="2" t="str"/>
      <x:c r="Y542" s="2" t="n">
        <x:v>0</x:v>
      </x:c>
      <x:c r="Z542" s="2" t="str"/>
      <x:c r="AA542" s="2" t="n">
        <x:v>0</x:v>
      </x:c>
      <x:c r="AB542" s="8" t="str"/>
      <x:c r="AC542" s="8" t="str"/>
      <x:c r="AD542" s="8" t="str">
        <x:v>["ko-reviewed"]</x:v>
      </x:c>
      <x:c r="AE542" s="8" t="str">
        <x:v>검토 필요</x:v>
      </x:c>
      <x:c r="AF542" s="8" t="str"/>
    </x:row>
    <x:row r="543">
      <x:c r="A543" s="10" t="n">
        <x:v>542</x:v>
      </x:c>
      <x:c r="B543" s="2" t="str">
        <x:v>2차 보류</x:v>
      </x:c>
      <x:c r="C543" s="2" t="str">
        <x:v>2차 보류</x:v>
      </x:c>
      <x:c r="D543" s="2" t="str">
        <x:v>낮음</x:v>
      </x:c>
      <x:c r="E543" s="2" t="str">
        <x:v>N2</x:v>
      </x:c>
      <x:c r="F543" s="10" t="n">
        <x:v>196</x:v>
      </x:c>
      <x:c r="G543" s="2" t="str">
        <x:v>w_697be9f570bd20db</x:v>
      </x:c>
      <x:c r="H543" s="2" t="str">
        <x:v>こうして</x:v>
      </x:c>
      <x:c r="I543" s="2" t="str">
        <x:v>こうして</x:v>
      </x:c>
      <x:c r="J543" s="8" t="str">
        <x:v>이렇게 해서, 이렇게</x:v>
      </x:c>
      <x:c r="K543" s="2" t="str">
        <x:v>conjunction</x:v>
      </x:c>
      <x:c r="L543" s="9" t="n">
        <x:v>4.28</x:v>
      </x:c>
      <x:c r="M543" s="2" t="str">
        <x:v>없음</x:v>
      </x:c>
      <x:c r="N543" s="11" t="n">
        <x:v>18</x:v>
      </x:c>
      <x:c r="O543" s="8" t="str">
        <x:v>검증된 예문 없음; JMdict 우선 어휘 표지 없음</x:v>
      </x:c>
      <x:c r="P543" s="8" t="str">
        <x:v>no_example,no_jmdict_priority</x:v>
      </x:c>
      <x:c r="Q543" s="2" t="str"/>
      <x:c r="R543" s="2" t="str"/>
      <x:c r="S543" s="2" t="str"/>
      <x:c r="T543" s="2" t="str"/>
      <x:c r="U543" s="2" t="str"/>
      <x:c r="V543" s="2" t="str">
        <x:v>아니오</x:v>
      </x:c>
      <x:c r="W543" s="2" t="str">
        <x:v>아니오</x:v>
      </x:c>
      <x:c r="X543" s="2" t="str"/>
      <x:c r="Y543" s="2" t="n">
        <x:v>0</x:v>
      </x:c>
      <x:c r="Z543" s="2" t="str"/>
      <x:c r="AA543" s="2" t="n">
        <x:v>0</x:v>
      </x:c>
      <x:c r="AB543" s="8" t="str"/>
      <x:c r="AC543" s="8" t="str"/>
      <x:c r="AD543" s="8" t="str">
        <x:v>["ko-reviewed"]</x:v>
      </x:c>
      <x:c r="AE543" s="8" t="str">
        <x:v>검토 필요</x:v>
      </x:c>
      <x:c r="AF543" s="8" t="str"/>
    </x:row>
    <x:row r="544">
      <x:c r="A544" s="10" t="n">
        <x:v>543</x:v>
      </x:c>
      <x:c r="B544" s="2" t="str">
        <x:v>2차 보류</x:v>
      </x:c>
      <x:c r="C544" s="2" t="str">
        <x:v>2차 보류</x:v>
      </x:c>
      <x:c r="D544" s="2" t="str">
        <x:v>낮음</x:v>
      </x:c>
      <x:c r="E544" s="2" t="str">
        <x:v>N2</x:v>
      </x:c>
      <x:c r="F544" s="10" t="n">
        <x:v>197</x:v>
      </x:c>
      <x:c r="G544" s="2" t="str">
        <x:v>w_10780f6ded8b68bd</x:v>
      </x:c>
      <x:c r="H544" s="2" t="str">
        <x:v>じゃんけん</x:v>
      </x:c>
      <x:c r="I544" s="2" t="str">
        <x:v>じゃんけん</x:v>
      </x:c>
      <x:c r="J544" s="8" t="str">
        <x:v>가위바위보</x:v>
      </x:c>
      <x:c r="K544" s="2" t="str">
        <x:v>noun</x:v>
      </x:c>
      <x:c r="L544" s="9" t="n">
        <x:v>4.33</x:v>
      </x:c>
      <x:c r="M544" s="2" t="str">
        <x:v>없음</x:v>
      </x:c>
      <x:c r="N544" s="11" t="n">
        <x:v>18</x:v>
      </x:c>
      <x:c r="O544" s="8" t="str">
        <x:v>검증된 예문 없음; JMdict 우선 어휘 표지 없음</x:v>
      </x:c>
      <x:c r="P544" s="8" t="str">
        <x:v>no_example,no_jmdict_priority</x:v>
      </x:c>
      <x:c r="Q544" s="2" t="str"/>
      <x:c r="R544" s="2" t="str"/>
      <x:c r="S544" s="2" t="str"/>
      <x:c r="T544" s="2" t="str"/>
      <x:c r="U544" s="2" t="str"/>
      <x:c r="V544" s="2" t="str">
        <x:v>아니오</x:v>
      </x:c>
      <x:c r="W544" s="2" t="str">
        <x:v>아니오</x:v>
      </x:c>
      <x:c r="X544" s="2" t="str"/>
      <x:c r="Y544" s="2" t="n">
        <x:v>0</x:v>
      </x:c>
      <x:c r="Z544" s="2" t="str"/>
      <x:c r="AA544" s="2" t="n">
        <x:v>0</x:v>
      </x:c>
      <x:c r="AB544" s="8" t="str"/>
      <x:c r="AC544" s="8" t="str"/>
      <x:c r="AD544" s="8" t="str">
        <x:v>["ko-reviewed"]</x:v>
      </x:c>
      <x:c r="AE544" s="8" t="str">
        <x:v>검토 필요</x:v>
      </x:c>
      <x:c r="AF544" s="8" t="str"/>
    </x:row>
    <x:row r="545">
      <x:c r="A545" s="10" t="n">
        <x:v>544</x:v>
      </x:c>
      <x:c r="B545" s="2" t="str">
        <x:v>2차 보류</x:v>
      </x:c>
      <x:c r="C545" s="2" t="str">
        <x:v>2차 보류</x:v>
      </x:c>
      <x:c r="D545" s="2" t="str">
        <x:v>낮음</x:v>
      </x:c>
      <x:c r="E545" s="2" t="str">
        <x:v>N2</x:v>
      </x:c>
      <x:c r="F545" s="10" t="n">
        <x:v>198</x:v>
      </x:c>
      <x:c r="G545" s="2" t="str">
        <x:v>w_69d28e85070f97cb</x:v>
      </x:c>
      <x:c r="H545" s="2" t="str">
        <x:v>うどん</x:v>
      </x:c>
      <x:c r="I545" s="2" t="str">
        <x:v>うどん</x:v>
      </x:c>
      <x:c r="J545" s="8" t="str">
        <x:v>우동</x:v>
      </x:c>
      <x:c r="K545" s="2" t="str">
        <x:v>noun</x:v>
      </x:c>
      <x:c r="L545" s="9" t="n">
        <x:v>4.36</x:v>
      </x:c>
      <x:c r="M545" s="2" t="str">
        <x:v>없음</x:v>
      </x:c>
      <x:c r="N545" s="11" t="n">
        <x:v>18</x:v>
      </x:c>
      <x:c r="O545" s="8" t="str">
        <x:v>검증된 예문 없음; JMdict 우선 어휘 표지 없음</x:v>
      </x:c>
      <x:c r="P545" s="8" t="str">
        <x:v>no_example,no_jmdict_priority</x:v>
      </x:c>
      <x:c r="Q545" s="2" t="str"/>
      <x:c r="R545" s="2" t="str"/>
      <x:c r="S545" s="2" t="str"/>
      <x:c r="T545" s="2" t="str"/>
      <x:c r="U545" s="2" t="str"/>
      <x:c r="V545" s="2" t="str">
        <x:v>아니오</x:v>
      </x:c>
      <x:c r="W545" s="2" t="str">
        <x:v>아니오</x:v>
      </x:c>
      <x:c r="X545" s="2" t="str"/>
      <x:c r="Y545" s="2" t="n">
        <x:v>0</x:v>
      </x:c>
      <x:c r="Z545" s="2" t="str"/>
      <x:c r="AA545" s="2" t="n">
        <x:v>0</x:v>
      </x:c>
      <x:c r="AB545" s="8" t="str"/>
      <x:c r="AC545" s="8" t="str"/>
      <x:c r="AD545" s="8" t="str">
        <x:v>["ko-reviewed"]</x:v>
      </x:c>
      <x:c r="AE545" s="8" t="str">
        <x:v>검토 필요</x:v>
      </x:c>
      <x:c r="AF545" s="8" t="str"/>
    </x:row>
    <x:row r="546">
      <x:c r="A546" s="10" t="n">
        <x:v>545</x:v>
      </x:c>
      <x:c r="B546" s="2" t="str">
        <x:v>2차 보류</x:v>
      </x:c>
      <x:c r="C546" s="2" t="str">
        <x:v>2차 보류</x:v>
      </x:c>
      <x:c r="D546" s="2" t="str">
        <x:v>낮음</x:v>
      </x:c>
      <x:c r="E546" s="2" t="str">
        <x:v>N2</x:v>
      </x:c>
      <x:c r="F546" s="10" t="n">
        <x:v>199</x:v>
      </x:c>
      <x:c r="G546" s="2" t="str">
        <x:v>w_b6069a2b4d4b8fe4</x:v>
      </x:c>
      <x:c r="H546" s="2" t="str">
        <x:v>もしかしたら</x:v>
      </x:c>
      <x:c r="I546" s="2" t="str">
        <x:v>もしかしたら</x:v>
      </x:c>
      <x:c r="J546" s="8" t="str">
        <x:v>어쩌면, 혹시</x:v>
      </x:c>
      <x:c r="K546" s="2" t="str">
        <x:v>adverb</x:v>
      </x:c>
      <x:c r="L546" s="9" t="n">
        <x:v>4.37</x:v>
      </x:c>
      <x:c r="M546" s="2" t="str">
        <x:v>없음</x:v>
      </x:c>
      <x:c r="N546" s="11" t="n">
        <x:v>18</x:v>
      </x:c>
      <x:c r="O546" s="8" t="str">
        <x:v>검증된 예문 없음; JMdict 우선 어휘 표지 없음</x:v>
      </x:c>
      <x:c r="P546" s="8" t="str">
        <x:v>no_example,no_jmdict_priority</x:v>
      </x:c>
      <x:c r="Q546" s="2" t="str"/>
      <x:c r="R546" s="2" t="str"/>
      <x:c r="S546" s="2" t="str"/>
      <x:c r="T546" s="2" t="str"/>
      <x:c r="U546" s="2" t="str"/>
      <x:c r="V546" s="2" t="str">
        <x:v>아니오</x:v>
      </x:c>
      <x:c r="W546" s="2" t="str">
        <x:v>아니오</x:v>
      </x:c>
      <x:c r="X546" s="2" t="str"/>
      <x:c r="Y546" s="2" t="n">
        <x:v>0</x:v>
      </x:c>
      <x:c r="Z546" s="2" t="str"/>
      <x:c r="AA546" s="2" t="n">
        <x:v>0</x:v>
      </x:c>
      <x:c r="AB546" s="8" t="str"/>
      <x:c r="AC546" s="8" t="str"/>
      <x:c r="AD546" s="8" t="str">
        <x:v>["backfill-replacement","assistant-ko-reviewed"]</x:v>
      </x:c>
      <x:c r="AE546" s="8" t="str">
        <x:v>검토 필요</x:v>
      </x:c>
      <x:c r="AF546" s="8" t="str"/>
    </x:row>
    <x:row r="547">
      <x:c r="A547" s="10" t="n">
        <x:v>546</x:v>
      </x:c>
      <x:c r="B547" s="2" t="str">
        <x:v>2차 보류</x:v>
      </x:c>
      <x:c r="C547" s="2" t="str">
        <x:v>2차 보류</x:v>
      </x:c>
      <x:c r="D547" s="2" t="str">
        <x:v>낮음</x:v>
      </x:c>
      <x:c r="E547" s="2" t="str">
        <x:v>N3</x:v>
      </x:c>
      <x:c r="F547" s="10" t="n">
        <x:v>72</x:v>
      </x:c>
      <x:c r="G547" s="2" t="str">
        <x:v>w_2cffe27c37de77ad</x:v>
      </x:c>
      <x:c r="H547" s="2" t="str">
        <x:v>アウト</x:v>
      </x:c>
      <x:c r="I547" s="2" t="str">
        <x:v>アウト</x:v>
      </x:c>
      <x:c r="J547" s="8" t="str">
        <x:v>아웃, 밖</x:v>
      </x:c>
      <x:c r="K547" s="2" t="str">
        <x:v>noun</x:v>
      </x:c>
      <x:c r="L547" s="9" t="n">
        <x:v>4.39</x:v>
      </x:c>
      <x:c r="M547" s="2" t="str">
        <x:v>없음</x:v>
      </x:c>
      <x:c r="N547" s="11" t="n">
        <x:v>18</x:v>
      </x:c>
      <x:c r="O547" s="8" t="str">
        <x:v>검증된 예문 없음; JMdict 우선 어휘 표지 없음</x:v>
      </x:c>
      <x:c r="P547" s="8" t="str">
        <x:v>no_example,no_jmdict_priority</x:v>
      </x:c>
      <x:c r="Q547" s="2" t="str"/>
      <x:c r="R547" s="2" t="str"/>
      <x:c r="S547" s="2" t="str"/>
      <x:c r="T547" s="2" t="str"/>
      <x:c r="U547" s="2" t="str"/>
      <x:c r="V547" s="2" t="str">
        <x:v>아니오</x:v>
      </x:c>
      <x:c r="W547" s="2" t="str">
        <x:v>아니오</x:v>
      </x:c>
      <x:c r="X547" s="2" t="str"/>
      <x:c r="Y547" s="2" t="n">
        <x:v>0</x:v>
      </x:c>
      <x:c r="Z547" s="2" t="str"/>
      <x:c r="AA547" s="2" t="n">
        <x:v>0</x:v>
      </x:c>
      <x:c r="AB547" s="8" t="str"/>
      <x:c r="AC547" s="8" t="str"/>
      <x:c r="AD547" s="8" t="str">
        <x:v>["ko-reviewed"]</x:v>
      </x:c>
      <x:c r="AE547" s="8" t="str">
        <x:v>검토 필요</x:v>
      </x:c>
      <x:c r="AF547" s="8" t="str"/>
    </x:row>
    <x:row r="548">
      <x:c r="A548" s="10" t="n">
        <x:v>547</x:v>
      </x:c>
      <x:c r="B548" s="2" t="str">
        <x:v>2차 보류</x:v>
      </x:c>
      <x:c r="C548" s="2" t="str">
        <x:v>2차 보류</x:v>
      </x:c>
      <x:c r="D548" s="2" t="str">
        <x:v>낮음</x:v>
      </x:c>
      <x:c r="E548" s="2" t="str">
        <x:v>N2</x:v>
      </x:c>
      <x:c r="F548" s="10" t="n">
        <x:v>200</x:v>
      </x:c>
      <x:c r="G548" s="2" t="str">
        <x:v>w_3bb00f4e6b3518da</x:v>
      </x:c>
      <x:c r="H548" s="2" t="str">
        <x:v>めちゃくちゃ</x:v>
      </x:c>
      <x:c r="I548" s="2" t="str">
        <x:v>めちゃくちゃ</x:v>
      </x:c>
      <x:c r="J548" s="8" t="str">
        <x:v>엉망, 터무니없음</x:v>
      </x:c>
      <x:c r="K548" s="2" t="str">
        <x:v>adjective</x:v>
      </x:c>
      <x:c r="L548" s="9" t="n">
        <x:v>4.39</x:v>
      </x:c>
      <x:c r="M548" s="2" t="str">
        <x:v>없음</x:v>
      </x:c>
      <x:c r="N548" s="11" t="n">
        <x:v>18</x:v>
      </x:c>
      <x:c r="O548" s="8" t="str">
        <x:v>검증된 예문 없음; JMdict 우선 어휘 표지 없음</x:v>
      </x:c>
      <x:c r="P548" s="8" t="str">
        <x:v>no_example,no_jmdict_priority</x:v>
      </x:c>
      <x:c r="Q548" s="2" t="str"/>
      <x:c r="R548" s="2" t="str"/>
      <x:c r="S548" s="2" t="str"/>
      <x:c r="T548" s="2" t="str"/>
      <x:c r="U548" s="2" t="str"/>
      <x:c r="V548" s="2" t="str">
        <x:v>아니오</x:v>
      </x:c>
      <x:c r="W548" s="2" t="str">
        <x:v>아니오</x:v>
      </x:c>
      <x:c r="X548" s="2" t="str"/>
      <x:c r="Y548" s="2" t="n">
        <x:v>0</x:v>
      </x:c>
      <x:c r="Z548" s="2" t="str"/>
      <x:c r="AA548" s="2" t="n">
        <x:v>0</x:v>
      </x:c>
      <x:c r="AB548" s="8" t="str"/>
      <x:c r="AC548" s="8" t="str"/>
      <x:c r="AD548" s="8" t="str">
        <x:v>["backfill-replacement","assistant-ko-reviewed"]</x:v>
      </x:c>
      <x:c r="AE548" s="8" t="str">
        <x:v>검토 필요</x:v>
      </x:c>
      <x:c r="AF548" s="8" t="str"/>
    </x:row>
    <x:row r="549">
      <x:c r="A549" s="10" t="n">
        <x:v>548</x:v>
      </x:c>
      <x:c r="B549" s="2" t="str">
        <x:v>2차 보류</x:v>
      </x:c>
      <x:c r="C549" s="2" t="str">
        <x:v>2차 보류</x:v>
      </x:c>
      <x:c r="D549" s="2" t="str">
        <x:v>낮음</x:v>
      </x:c>
      <x:c r="E549" s="2" t="str">
        <x:v>N4</x:v>
      </x:c>
      <x:c r="F549" s="10" t="n">
        <x:v>48</x:v>
      </x:c>
      <x:c r="G549" s="2" t="str">
        <x:v>w_6f016ba1c9fb2b8d</x:v>
      </x:c>
      <x:c r="H549" s="2" t="str">
        <x:v>もうすぐ</x:v>
      </x:c>
      <x:c r="I549" s="2" t="str">
        <x:v>もうすぐ</x:v>
      </x:c>
      <x:c r="J549" s="8" t="str">
        <x:v>곧, 머지않아</x:v>
      </x:c>
      <x:c r="K549" s="2" t="str">
        <x:v>adverb</x:v>
      </x:c>
      <x:c r="L549" s="9" t="n">
        <x:v>4.4</x:v>
      </x:c>
      <x:c r="M549" s="2" t="str">
        <x:v>없음</x:v>
      </x:c>
      <x:c r="N549" s="11" t="n">
        <x:v>18</x:v>
      </x:c>
      <x:c r="O549" s="8" t="str">
        <x:v>검증된 예문 없음; JMdict 우선 어휘 표지 없음</x:v>
      </x:c>
      <x:c r="P549" s="8" t="str">
        <x:v>no_example,no_jmdict_priority</x:v>
      </x:c>
      <x:c r="Q549" s="2" t="str"/>
      <x:c r="R549" s="2" t="str"/>
      <x:c r="S549" s="2" t="str"/>
      <x:c r="T549" s="2" t="str"/>
      <x:c r="U549" s="2" t="str"/>
      <x:c r="V549" s="2" t="str">
        <x:v>아니오</x:v>
      </x:c>
      <x:c r="W549" s="2" t="str">
        <x:v>아니오</x:v>
      </x:c>
      <x:c r="X549" s="2" t="str"/>
      <x:c r="Y549" s="2" t="n">
        <x:v>0</x:v>
      </x:c>
      <x:c r="Z549" s="2" t="str"/>
      <x:c r="AA549" s="2" t="n">
        <x:v>0</x:v>
      </x:c>
      <x:c r="AB549" s="8" t="str"/>
      <x:c r="AC549" s="8" t="str"/>
      <x:c r="AD549" s="8" t="str">
        <x:v>["backfill-replacement","assistant-ko-reviewed"]</x:v>
      </x:c>
      <x:c r="AE549" s="8" t="str">
        <x:v>검토 필요</x:v>
      </x:c>
      <x:c r="AF549" s="8" t="str"/>
    </x:row>
    <x:row r="550">
      <x:c r="A550" s="10" t="n">
        <x:v>549</x:v>
      </x:c>
      <x:c r="B550" s="2" t="str">
        <x:v>2차 보류</x:v>
      </x:c>
      <x:c r="C550" s="2" t="str">
        <x:v>2차 보류</x:v>
      </x:c>
      <x:c r="D550" s="2" t="str">
        <x:v>낮음</x:v>
      </x:c>
      <x:c r="E550" s="2" t="str">
        <x:v>N3</x:v>
      </x:c>
      <x:c r="F550" s="10" t="n">
        <x:v>73</x:v>
      </x:c>
      <x:c r="G550" s="2" t="str">
        <x:v>w_68b2b28244f5b063</x:v>
      </x:c>
      <x:c r="H550" s="2" t="str">
        <x:v>やや</x:v>
      </x:c>
      <x:c r="I550" s="2" t="str">
        <x:v>やや</x:v>
      </x:c>
      <x:c r="J550" s="8" t="str">
        <x:v>약간, 다소</x:v>
      </x:c>
      <x:c r="K550" s="2" t="str">
        <x:v>adverb</x:v>
      </x:c>
      <x:c r="L550" s="9" t="n">
        <x:v>4.44</x:v>
      </x:c>
      <x:c r="M550" s="2" t="str">
        <x:v>없음</x:v>
      </x:c>
      <x:c r="N550" s="11" t="n">
        <x:v>18</x:v>
      </x:c>
      <x:c r="O550" s="8" t="str">
        <x:v>검증된 예문 없음; JMdict 우선 어휘 표지 없음</x:v>
      </x:c>
      <x:c r="P550" s="8" t="str">
        <x:v>no_example,no_jmdict_priority</x:v>
      </x:c>
      <x:c r="Q550" s="2" t="str"/>
      <x:c r="R550" s="2" t="str"/>
      <x:c r="S550" s="2" t="str"/>
      <x:c r="T550" s="2" t="str"/>
      <x:c r="U550" s="2" t="str"/>
      <x:c r="V550" s="2" t="str">
        <x:v>아니오</x:v>
      </x:c>
      <x:c r="W550" s="2" t="str">
        <x:v>예</x:v>
      </x:c>
      <x:c r="X550" s="2" t="str"/>
      <x:c r="Y550" s="2" t="n">
        <x:v>0</x:v>
      </x:c>
      <x:c r="Z550" s="2" t="str"/>
      <x:c r="AA550" s="2" t="n">
        <x:v>0</x:v>
      </x:c>
      <x:c r="AB550" s="8" t="str">
        <x:v>from いや+や</x:v>
      </x:c>
      <x:c r="AC550" s="8" t="str"/>
      <x:c r="AD550" s="8" t="str">
        <x:v>["backfill-replacement","assistant-ko-reviewed"]</x:v>
      </x:c>
      <x:c r="AE550" s="8" t="str">
        <x:v>검토 필요</x:v>
      </x:c>
      <x:c r="AF550" s="8" t="str"/>
    </x:row>
    <x:row r="551">
      <x:c r="A551" s="10" t="n">
        <x:v>550</x:v>
      </x:c>
      <x:c r="B551" s="2" t="str">
        <x:v>2차 보류</x:v>
      </x:c>
      <x:c r="C551" s="2" t="str">
        <x:v>2차 보류</x:v>
      </x:c>
      <x:c r="D551" s="2" t="str">
        <x:v>낮음</x:v>
      </x:c>
      <x:c r="E551" s="2" t="str">
        <x:v>N1</x:v>
      </x:c>
      <x:c r="F551" s="10" t="n">
        <x:v>213</x:v>
      </x:c>
      <x:c r="G551" s="2" t="str">
        <x:v>w_0749cb9bf874ff70</x:v>
      </x:c>
      <x:c r="H551" s="2" t="str">
        <x:v>わざわざ</x:v>
      </x:c>
      <x:c r="I551" s="2" t="str">
        <x:v>わざわざ</x:v>
      </x:c>
      <x:c r="J551" s="8" t="str">
        <x:v>일부러, 번거롭게도</x:v>
      </x:c>
      <x:c r="K551" s="2" t="str">
        <x:v>adverb</x:v>
      </x:c>
      <x:c r="L551" s="9" t="n">
        <x:v>4.49</x:v>
      </x:c>
      <x:c r="M551" s="2" t="str">
        <x:v>없음</x:v>
      </x:c>
      <x:c r="N551" s="11" t="n">
        <x:v>18</x:v>
      </x:c>
      <x:c r="O551" s="8" t="str">
        <x:v>검증된 예문 없음; JMdict 우선 어휘 표지 없음</x:v>
      </x:c>
      <x:c r="P551" s="8" t="str">
        <x:v>no_example,no_jmdict_priority</x:v>
      </x:c>
      <x:c r="Q551" s="2" t="str"/>
      <x:c r="R551" s="2" t="str"/>
      <x:c r="S551" s="2" t="str"/>
      <x:c r="T551" s="2" t="str"/>
      <x:c r="U551" s="2" t="str"/>
      <x:c r="V551" s="2" t="str">
        <x:v>아니오</x:v>
      </x:c>
      <x:c r="W551" s="2" t="str">
        <x:v>아니오</x:v>
      </x:c>
      <x:c r="X551" s="2" t="str"/>
      <x:c r="Y551" s="2" t="n">
        <x:v>0</x:v>
      </x:c>
      <x:c r="Z551" s="2" t="str"/>
      <x:c r="AA551" s="2" t="n">
        <x:v>0</x:v>
      </x:c>
      <x:c r="AB551" s="8" t="str"/>
      <x:c r="AC551" s="8" t="str"/>
      <x:c r="AD551" s="8" t="str">
        <x:v>["ko-reviewed"]</x:v>
      </x:c>
      <x:c r="AE551" s="8" t="str">
        <x:v>검토 필요</x:v>
      </x:c>
      <x:c r="AF551" s="8" t="str"/>
    </x:row>
    <x:row r="552">
      <x:c r="A552" s="10" t="n">
        <x:v>551</x:v>
      </x:c>
      <x:c r="B552" s="2" t="str">
        <x:v>1차 검토 후보</x:v>
      </x:c>
      <x:c r="C552" s="2" t="str">
        <x:v>중복 변형 제거 검토</x:v>
      </x:c>
      <x:c r="D552" s="2" t="str">
        <x:v>중간</x:v>
      </x:c>
      <x:c r="E552" s="2" t="str">
        <x:v>N3</x:v>
      </x:c>
      <x:c r="F552" s="10" t="n">
        <x:v>74</x:v>
      </x:c>
      <x:c r="G552" s="2" t="str">
        <x:v>w_b685e7abbe1567a6</x:v>
      </x:c>
      <x:c r="H552" s="2" t="str">
        <x:v>昇る</x:v>
      </x:c>
      <x:c r="I552" s="2" t="str">
        <x:v>のぼる</x:v>
      </x:c>
      <x:c r="J552" s="8" t="str">
        <x:v>(해가) 뜨다, 오르다</x:v>
      </x:c>
      <x:c r="K552" s="2" t="str">
        <x:v>verb</x:v>
      </x:c>
      <x:c r="L552" s="9" t="n">
        <x:v>3.29</x:v>
      </x:c>
      <x:c r="M552" s="2" t="str">
        <x:v>없음</x:v>
      </x:c>
      <x:c r="N552" s="11" t="n">
        <x:v>17</x:v>
      </x:c>
      <x:c r="O552" s="8" t="str">
        <x:v>일반 사용 빈도 보통 이하(Zipf ≤ 3.5); 검증된 예문 없음; 동일 JMdict 표제어의 표기·읽기 변형</x:v>
      </x:c>
      <x:c r="P552" s="8" t="str">
        <x:v>frequency_le_3_5,no_example,same_jmdict_entry</x:v>
      </x:c>
      <x:c r="Q552" s="2" t="str">
        <x:v>vg_081</x:v>
      </x:c>
      <x:c r="R552" s="2" t="str">
        <x:v>same_jmdict_entry</x:v>
      </x:c>
      <x:c r="S552" s="2" t="str">
        <x:v>w_78e76c898770f844</x:v>
      </x:c>
      <x:c r="T552" s="2" t="str">
        <x:v>上る</x:v>
      </x:c>
      <x:c r="U552" s="2" t="str">
        <x:v>のぼる</x:v>
      </x:c>
      <x:c r="V552" s="2" t="str">
        <x:v>아니오</x:v>
      </x:c>
      <x:c r="W552" s="2" t="str">
        <x:v>예</x:v>
      </x:c>
      <x:c r="X552" s="2" t="str">
        <x:v>ichi1,news1,nf16</x:v>
      </x:c>
      <x:c r="Y552" s="2" t="n">
        <x:v>100</x:v>
      </x:c>
      <x:c r="Z552" s="2" t="str">
        <x:v>ichi1</x:v>
      </x:c>
      <x:c r="AA552" s="2" t="n">
        <x:v>100</x:v>
      </x:c>
      <x:c r="AB552" s="8" t="str"/>
      <x:c r="AC552" s="8" t="str"/>
      <x:c r="AD552" s="8" t="str">
        <x:v>["ko-reviewed","manual-curated","freq-core"]</x:v>
      </x:c>
      <x:c r="AE552" s="8" t="str">
        <x:v>검토 필요</x:v>
      </x:c>
      <x:c r="AF552" s="8" t="str"/>
    </x:row>
    <x:row r="553">
      <x:c r="A553" s="10" t="n">
        <x:v>552</x:v>
      </x:c>
      <x:c r="B553" s="2" t="str">
        <x:v>2차 보류</x:v>
      </x:c>
      <x:c r="C553" s="2" t="str">
        <x:v>2차 보류</x:v>
      </x:c>
      <x:c r="D553" s="2" t="str">
        <x:v>낮음</x:v>
      </x:c>
      <x:c r="E553" s="2" t="str">
        <x:v>N2</x:v>
      </x:c>
      <x:c r="F553" s="10" t="n">
        <x:v>201</x:v>
      </x:c>
      <x:c r="G553" s="2" t="str">
        <x:v>w_1ad8082c21023f77</x:v>
      </x:c>
      <x:c r="H553" s="2" t="str">
        <x:v>捻る</x:v>
      </x:c>
      <x:c r="I553" s="2" t="str">
        <x:v>ひねる</x:v>
      </x:c>
      <x:c r="J553" s="8" t="str">
        <x:v>비틀다, 돌리다</x:v>
      </x:c>
      <x:c r="K553" s="2" t="str">
        <x:v>verb</x:v>
      </x:c>
      <x:c r="L553" s="9" t="n">
        <x:v>2.34</x:v>
      </x:c>
      <x:c r="M553" s="2" t="str">
        <x:v>없음</x:v>
      </x:c>
      <x:c r="N553" s="11" t="n">
        <x:v>16</x:v>
      </x:c>
      <x:c r="O553" s="8" t="str">
        <x:v>일반 사용 빈도 낮음(Zipf ≤ 2.5); 기존 한국어 뜻 품질 감사 대상; 검증된 예문 없음; 기존 데이터의 한국어 콘텐츠 보강 필요 태그</x:v>
      </x:c>
      <x:c r="P553" s="8" t="str">
        <x:v>frequency_le_2_5,legacy_gloss_audit:mt_noise_token,no_example,weak_legacy_content</x:v>
      </x:c>
      <x:c r="Q553" s="2" t="str"/>
      <x:c r="R553" s="2" t="str"/>
      <x:c r="S553" s="2" t="str"/>
      <x:c r="T553" s="2" t="str"/>
      <x:c r="U553" s="2" t="str"/>
      <x:c r="V553" s="2" t="str">
        <x:v>아니오</x:v>
      </x:c>
      <x:c r="W553" s="2" t="str">
        <x:v>예</x:v>
      </x:c>
      <x:c r="X553" s="2" t="str">
        <x:v>ichi1</x:v>
      </x:c>
      <x:c r="Y553" s="2" t="n">
        <x:v>100</x:v>
      </x:c>
      <x:c r="Z553" s="2" t="str">
        <x:v>ichi1</x:v>
      </x:c>
      <x:c r="AA553" s="2" t="n">
        <x:v>100</x:v>
      </x:c>
      <x:c r="AB553" s="8" t="str">
        <x:v>dated term | word usually written using kana alone</x:v>
      </x:c>
      <x:c r="AC553" s="8" t="str">
        <x:v>mt_noise_token</x:v>
      </x:c>
      <x:c r="AD553" s="8" t="str">
        <x:v>["draft-ko-missing"]</x:v>
      </x:c>
      <x:c r="AE553" s="8" t="str">
        <x:v>검토 필요</x:v>
      </x:c>
      <x:c r="AF553" s="8" t="str"/>
    </x:row>
    <x:row r="554">
      <x:c r="A554" s="10" t="n">
        <x:v>553</x:v>
      </x:c>
      <x:c r="B554" s="2" t="str">
        <x:v>2차 보류</x:v>
      </x:c>
      <x:c r="C554" s="2" t="str">
        <x:v>2차 보류</x:v>
      </x:c>
      <x:c r="D554" s="2" t="str">
        <x:v>낮음</x:v>
      </x:c>
      <x:c r="E554" s="2" t="str">
        <x:v>N2</x:v>
      </x:c>
      <x:c r="F554" s="10" t="n">
        <x:v>202</x:v>
      </x:c>
      <x:c r="G554" s="2" t="str">
        <x:v>w_cf3d0b52a7f2a0ed</x:v>
      </x:c>
      <x:c r="H554" s="2" t="str">
        <x:v>近付ける</x:v>
      </x:c>
      <x:c r="I554" s="2" t="str">
        <x:v>ちかづける</x:v>
      </x:c>
      <x:c r="J554" s="8" t="str">
        <x:v>가까이하다, 접근시키다</x:v>
      </x:c>
      <x:c r="K554" s="2" t="str">
        <x:v>verb</x:v>
      </x:c>
      <x:c r="L554" s="9" t="n">
        <x:v>2.34</x:v>
      </x:c>
      <x:c r="M554" s="2" t="str">
        <x:v>없음</x:v>
      </x:c>
      <x:c r="N554" s="11" t="n">
        <x:v>16</x:v>
      </x:c>
      <x:c r="O554" s="8" t="str">
        <x:v>일반 사용 빈도 낮음(Zipf ≤ 2.5); 기존 한국어 뜻 품질 감사 대상; 검증된 예문 없음; 기존 데이터의 한국어 콘텐츠 보강 필요 태그</x:v>
      </x:c>
      <x:c r="P554" s="8" t="str">
        <x:v>frequency_le_2_5,legacy_gloss_audit:senses_5_6,no_example,weak_legacy_content</x:v>
      </x:c>
      <x:c r="Q554" s="2" t="str"/>
      <x:c r="R554" s="2" t="str"/>
      <x:c r="S554" s="2" t="str"/>
      <x:c r="T554" s="2" t="str"/>
      <x:c r="U554" s="2" t="str"/>
      <x:c r="V554" s="2" t="str">
        <x:v>아니오</x:v>
      </x:c>
      <x:c r="W554" s="2" t="str">
        <x:v>예</x:v>
      </x:c>
      <x:c r="X554" s="2" t="str">
        <x:v>ichi1,news2,nf40,spec1</x:v>
      </x:c>
      <x:c r="Y554" s="2" t="n">
        <x:v>100</x:v>
      </x:c>
      <x:c r="Z554" s="2" t="str">
        <x:v>ichi1,news2,nf40</x:v>
      </x:c>
      <x:c r="AA554" s="2" t="n">
        <x:v>100</x:v>
      </x:c>
      <x:c r="AB554" s="8" t="str"/>
      <x:c r="AC554" s="8" t="str">
        <x:v>senses_5_6</x:v>
      </x:c>
      <x:c r="AD554" s="8" t="str">
        <x:v>["draft-ko-missing"]</x:v>
      </x:c>
      <x:c r="AE554" s="8" t="str">
        <x:v>검토 필요</x:v>
      </x:c>
      <x:c r="AF554" s="8" t="str"/>
    </x:row>
    <x:row r="555">
      <x:c r="A555" s="10" t="n">
        <x:v>554</x:v>
      </x:c>
      <x:c r="B555" s="2" t="str">
        <x:v>2차 보류</x:v>
      </x:c>
      <x:c r="C555" s="2" t="str">
        <x:v>2차 보류</x:v>
      </x:c>
      <x:c r="D555" s="2" t="str">
        <x:v>낮음</x:v>
      </x:c>
      <x:c r="E555" s="2" t="str">
        <x:v>N1</x:v>
      </x:c>
      <x:c r="F555" s="10" t="n">
        <x:v>214</x:v>
      </x:c>
      <x:c r="G555" s="2" t="str">
        <x:v>w_a323edda92215423</x:v>
      </x:c>
      <x:c r="H555" s="2" t="str">
        <x:v>着飾る</x:v>
      </x:c>
      <x:c r="I555" s="2" t="str">
        <x:v>きかざる</x:v>
      </x:c>
      <x:c r="J555" s="8" t="str">
        <x:v>치장하다, 차려입다</x:v>
      </x:c>
      <x:c r="K555" s="2" t="str">
        <x:v>verb</x:v>
      </x:c>
      <x:c r="L555" s="9" t="n">
        <x:v>2.34</x:v>
      </x:c>
      <x:c r="M555" s="2" t="str">
        <x:v>없음</x:v>
      </x:c>
      <x:c r="N555" s="11" t="n">
        <x:v>16</x:v>
      </x:c>
      <x:c r="O555" s="8" t="str">
        <x:v>일반 사용 빈도 낮음(Zipf ≤ 2.5); 기존 한국어 뜻 품질 감사 대상; 검증된 예문 없음; 기존 데이터의 한국어 콘텐츠 보강 필요 태그</x:v>
      </x:c>
      <x:c r="P555" s="8" t="str">
        <x:v>frequency_le_2_5,legacy_gloss_audit:mt_noise_token,no_example,weak_legacy_content</x:v>
      </x:c>
      <x:c r="Q555" s="2" t="str"/>
      <x:c r="R555" s="2" t="str"/>
      <x:c r="S555" s="2" t="str"/>
      <x:c r="T555" s="2" t="str"/>
      <x:c r="U555" s="2" t="str"/>
      <x:c r="V555" s="2" t="str">
        <x:v>아니오</x:v>
      </x:c>
      <x:c r="W555" s="2" t="str">
        <x:v>예</x:v>
      </x:c>
      <x:c r="X555" s="2" t="str">
        <x:v>ichi1,news2,nf29</x:v>
      </x:c>
      <x:c r="Y555" s="2" t="n">
        <x:v>100</x:v>
      </x:c>
      <x:c r="Z555" s="2" t="str">
        <x:v>ichi1,news2,nf29</x:v>
      </x:c>
      <x:c r="AA555" s="2" t="n">
        <x:v>100</x:v>
      </x:c>
      <x:c r="AB555" s="8" t="str"/>
      <x:c r="AC555" s="8" t="str">
        <x:v>mt_noise_token</x:v>
      </x:c>
      <x:c r="AD555" s="8" t="str">
        <x:v>["draft-ko-missing"]</x:v>
      </x:c>
      <x:c r="AE555" s="8" t="str">
        <x:v>검토 필요</x:v>
      </x:c>
      <x:c r="AF555" s="8" t="str"/>
    </x:row>
    <x:row r="556">
      <x:c r="A556" s="10" t="n">
        <x:v>555</x:v>
      </x:c>
      <x:c r="B556" s="2" t="str">
        <x:v>2차 보류</x:v>
      </x:c>
      <x:c r="C556" s="2" t="str">
        <x:v>2차 보류</x:v>
      </x:c>
      <x:c r="D556" s="2" t="str">
        <x:v>낮음</x:v>
      </x:c>
      <x:c r="E556" s="2" t="str">
        <x:v>N1</x:v>
      </x:c>
      <x:c r="F556" s="10" t="n">
        <x:v>215</x:v>
      </x:c>
      <x:c r="G556" s="2" t="str">
        <x:v>w_f84a74afe82e20f1</x:v>
      </x:c>
      <x:c r="H556" s="2" t="str">
        <x:v>丸める</x:v>
      </x:c>
      <x:c r="I556" s="2" t="str">
        <x:v>まるめる</x:v>
      </x:c>
      <x:c r="J556" s="8" t="str">
        <x:v>둥글게 하다, 둥글리다</x:v>
      </x:c>
      <x:c r="K556" s="2" t="str">
        <x:v>verb</x:v>
      </x:c>
      <x:c r="L556" s="9" t="n">
        <x:v>2.38</x:v>
      </x:c>
      <x:c r="M556" s="2" t="str">
        <x:v>없음</x:v>
      </x:c>
      <x:c r="N556" s="11" t="n">
        <x:v>16</x:v>
      </x:c>
      <x:c r="O556" s="8" t="str">
        <x:v>일반 사용 빈도 낮음(Zipf ≤ 2.5); 기존 한국어 뜻 품질 감사 대상; 검증된 예문 없음; 기존 데이터의 한국어 콘텐츠 보강 필요 태그</x:v>
      </x:c>
      <x:c r="P556" s="8" t="str">
        <x:v>frequency_le_2_5,legacy_gloss_audit:mt_noise_token,no_example,weak_legacy_content</x:v>
      </x:c>
      <x:c r="Q556" s="2" t="str"/>
      <x:c r="R556" s="2" t="str"/>
      <x:c r="S556" s="2" t="str"/>
      <x:c r="T556" s="2" t="str"/>
      <x:c r="U556" s="2" t="str"/>
      <x:c r="V556" s="2" t="str">
        <x:v>아니오</x:v>
      </x:c>
      <x:c r="W556" s="2" t="str">
        <x:v>예</x:v>
      </x:c>
      <x:c r="X556" s="2" t="str">
        <x:v>ichi1,news2,nf41</x:v>
      </x:c>
      <x:c r="Y556" s="2" t="n">
        <x:v>100</x:v>
      </x:c>
      <x:c r="Z556" s="2" t="str">
        <x:v>ichi1,news2,nf41</x:v>
      </x:c>
      <x:c r="AA556" s="2" t="n">
        <x:v>100</x:v>
      </x:c>
      <x:c r="AB556" s="8" t="str">
        <x:v>archaic</x:v>
      </x:c>
      <x:c r="AC556" s="8" t="str">
        <x:v>mt_noise_token</x:v>
      </x:c>
      <x:c r="AD556" s="8" t="str">
        <x:v>["draft-ko-missing"]</x:v>
      </x:c>
      <x:c r="AE556" s="8" t="str">
        <x:v>검토 필요</x:v>
      </x:c>
      <x:c r="AF556" s="8" t="str"/>
    </x:row>
    <x:row r="557">
      <x:c r="A557" s="10" t="n">
        <x:v>556</x:v>
      </x:c>
      <x:c r="B557" s="2" t="str">
        <x:v>2차 보류</x:v>
      </x:c>
      <x:c r="C557" s="2" t="str">
        <x:v>2차 보류</x:v>
      </x:c>
      <x:c r="D557" s="2" t="str">
        <x:v>낮음</x:v>
      </x:c>
      <x:c r="E557" s="2" t="str">
        <x:v>N1</x:v>
      </x:c>
      <x:c r="F557" s="10" t="n">
        <x:v>216</x:v>
      </x:c>
      <x:c r="G557" s="2" t="str">
        <x:v>w_48a9bf334073e183</x:v>
      </x:c>
      <x:c r="H557" s="2" t="str">
        <x:v>剥ぐ</x:v>
      </x:c>
      <x:c r="I557" s="2" t="str">
        <x:v>はぐ</x:v>
      </x:c>
      <x:c r="J557" s="8" t="str">
        <x:v>벗기다, 뜯어내다</x:v>
      </x:c>
      <x:c r="K557" s="2" t="str">
        <x:v>verb</x:v>
      </x:c>
      <x:c r="L557" s="9" t="n">
        <x:v>2.39</x:v>
      </x:c>
      <x:c r="M557" s="2" t="str">
        <x:v>없음</x:v>
      </x:c>
      <x:c r="N557" s="11" t="n">
        <x:v>16</x:v>
      </x:c>
      <x:c r="O557" s="8" t="str">
        <x:v>일반 사용 빈도 낮음(Zipf ≤ 2.5); 기존 한국어 뜻 품질 감사 대상; 검증된 예문 없음; 기존 데이터의 한국어 콘텐츠 보강 필요 태그</x:v>
      </x:c>
      <x:c r="P557" s="8" t="str">
        <x:v>frequency_le_2_5,legacy_gloss_audit:senses_5_6,no_example,weak_legacy_content</x:v>
      </x:c>
      <x:c r="Q557" s="2" t="str"/>
      <x:c r="R557" s="2" t="str"/>
      <x:c r="S557" s="2" t="str"/>
      <x:c r="T557" s="2" t="str"/>
      <x:c r="U557" s="2" t="str"/>
      <x:c r="V557" s="2" t="str">
        <x:v>아니오</x:v>
      </x:c>
      <x:c r="W557" s="2" t="str">
        <x:v>예</x:v>
      </x:c>
      <x:c r="X557" s="2" t="str">
        <x:v>ichi1</x:v>
      </x:c>
      <x:c r="Y557" s="2" t="n">
        <x:v>100</x:v>
      </x:c>
      <x:c r="Z557" s="2" t="str">
        <x:v>ichi1</x:v>
      </x:c>
      <x:c r="AA557" s="2" t="n">
        <x:v>100</x:v>
      </x:c>
      <x:c r="AB557" s="8" t="str"/>
      <x:c r="AC557" s="8" t="str">
        <x:v>senses_5_6</x:v>
      </x:c>
      <x:c r="AD557" s="8" t="str">
        <x:v>["draft-ko-missing"]</x:v>
      </x:c>
      <x:c r="AE557" s="8" t="str">
        <x:v>검토 필요</x:v>
      </x:c>
      <x:c r="AF557" s="8" t="str"/>
    </x:row>
    <x:row r="558">
      <x:c r="A558" s="10" t="n">
        <x:v>557</x:v>
      </x:c>
      <x:c r="B558" s="2" t="str">
        <x:v>2차 보류</x:v>
      </x:c>
      <x:c r="C558" s="2" t="str">
        <x:v>2차 보류</x:v>
      </x:c>
      <x:c r="D558" s="2" t="str">
        <x:v>낮음</x:v>
      </x:c>
      <x:c r="E558" s="2" t="str">
        <x:v>N2</x:v>
      </x:c>
      <x:c r="F558" s="10" t="n">
        <x:v>203</x:v>
      </x:c>
      <x:c r="G558" s="2" t="str">
        <x:v>w_f2c5800b47db89d8</x:v>
      </x:c>
      <x:c r="H558" s="2" t="str">
        <x:v>引き止める</x:v>
      </x:c>
      <x:c r="I558" s="2" t="str">
        <x:v>ひきとめる</x:v>
      </x:c>
      <x:c r="J558" s="8" t="str">
        <x:v>(가려는 것을) 만류하다, 붙잡다</x:v>
      </x:c>
      <x:c r="K558" s="2" t="str">
        <x:v>verb</x:v>
      </x:c>
      <x:c r="L558" s="9" t="n">
        <x:v>2.41</x:v>
      </x:c>
      <x:c r="M558" s="2" t="str">
        <x:v>없음</x:v>
      </x:c>
      <x:c r="N558" s="11" t="n">
        <x:v>16</x:v>
      </x:c>
      <x:c r="O558" s="8" t="str">
        <x:v>일반 사용 빈도 낮음(Zipf ≤ 2.5); 기존 한국어 뜻 품질 감사 대상; 검증된 예문 없음; 기존 데이터의 한국어 콘텐츠 보강 필요 태그</x:v>
      </x:c>
      <x:c r="P558" s="8" t="str">
        <x:v>frequency_le_2_5,legacy_gloss_audit:senses_ge7,no_example,weak_legacy_content</x:v>
      </x:c>
      <x:c r="Q558" s="2" t="str"/>
      <x:c r="R558" s="2" t="str"/>
      <x:c r="S558" s="2" t="str"/>
      <x:c r="T558" s="2" t="str"/>
      <x:c r="U558" s="2" t="str"/>
      <x:c r="V558" s="2" t="str">
        <x:v>아니오</x:v>
      </x:c>
      <x:c r="W558" s="2" t="str">
        <x:v>예</x:v>
      </x:c>
      <x:c r="X558" s="2" t="str">
        <x:v>ichi1</x:v>
      </x:c>
      <x:c r="Y558" s="2" t="n">
        <x:v>100</x:v>
      </x:c>
      <x:c r="Z558" s="2" t="str">
        <x:v>ichi1</x:v>
      </x:c>
      <x:c r="AA558" s="2" t="n">
        <x:v>100</x:v>
      </x:c>
      <x:c r="AB558" s="8" t="str"/>
      <x:c r="AC558" s="8" t="str">
        <x:v>senses_ge7</x:v>
      </x:c>
      <x:c r="AD558" s="8" t="str">
        <x:v>["draft-ko-missing"]</x:v>
      </x:c>
      <x:c r="AE558" s="8" t="str">
        <x:v>검토 필요</x:v>
      </x:c>
      <x:c r="AF558" s="8" t="str"/>
    </x:row>
    <x:row r="559">
      <x:c r="A559" s="10" t="n">
        <x:v>558</x:v>
      </x:c>
      <x:c r="B559" s="2" t="str">
        <x:v>2차 보류</x:v>
      </x:c>
      <x:c r="C559" s="2" t="str">
        <x:v>2차 보류</x:v>
      </x:c>
      <x:c r="D559" s="2" t="str">
        <x:v>낮음</x:v>
      </x:c>
      <x:c r="E559" s="2" t="str">
        <x:v>N1</x:v>
      </x:c>
      <x:c r="F559" s="10" t="n">
        <x:v>217</x:v>
      </x:c>
      <x:c r="G559" s="2" t="str">
        <x:v>w_0c2d353e800feff8</x:v>
      </x:c>
      <x:c r="H559" s="2" t="str">
        <x:v>申出</x:v>
      </x:c>
      <x:c r="I559" s="2" t="str">
        <x:v>もうしで</x:v>
      </x:c>
      <x:c r="J559" s="8" t="str">
        <x:v>신청, 제의</x:v>
      </x:c>
      <x:c r="K559" s="2" t="str">
        <x:v>noun</x:v>
      </x:c>
      <x:c r="L559" s="9" t="n">
        <x:v>2.46</x:v>
      </x:c>
      <x:c r="M559" s="2" t="str">
        <x:v>없음</x:v>
      </x:c>
      <x:c r="N559" s="11" t="n">
        <x:v>16</x:v>
      </x:c>
      <x:c r="O559" s="8" t="str">
        <x:v>일반 사용 빈도 낮음(Zipf ≤ 2.5); 기존 한국어 뜻 품질 감사 대상; 검증된 예문 없음; 기존 데이터의 한국어 콘텐츠 보강 필요 태그</x:v>
      </x:c>
      <x:c r="P559" s="8" t="str">
        <x:v>frequency_le_2_5,legacy_gloss_audit:senses_5_6,no_example,weak_legacy_content</x:v>
      </x:c>
      <x:c r="Q559" s="2" t="str"/>
      <x:c r="R559" s="2" t="str"/>
      <x:c r="S559" s="2" t="str"/>
      <x:c r="T559" s="2" t="str"/>
      <x:c r="U559" s="2" t="str"/>
      <x:c r="V559" s="2" t="str">
        <x:v>아니오</x:v>
      </x:c>
      <x:c r="W559" s="2" t="str">
        <x:v>예</x:v>
      </x:c>
      <x:c r="X559" s="2" t="str">
        <x:v>news1,nf11</x:v>
      </x:c>
      <x:c r="Y559" s="2" t="n">
        <x:v>100</x:v>
      </x:c>
      <x:c r="Z559" s="2" t="str"/>
      <x:c r="AA559" s="2" t="n">
        <x:v>0</x:v>
      </x:c>
      <x:c r="AB559" s="8" t="str"/>
      <x:c r="AC559" s="8" t="str">
        <x:v>senses_5_6</x:v>
      </x:c>
      <x:c r="AD559" s="8" t="str">
        <x:v>["draft-ko-missing"]</x:v>
      </x:c>
      <x:c r="AE559" s="8" t="str">
        <x:v>검토 필요</x:v>
      </x:c>
      <x:c r="AF559" s="8" t="str"/>
    </x:row>
    <x:row r="560">
      <x:c r="A560" s="10" t="n">
        <x:v>559</x:v>
      </x:c>
      <x:c r="B560" s="2" t="str">
        <x:v>1차 검토 후보</x:v>
      </x:c>
      <x:c r="C560" s="2" t="str">
        <x:v>표기 교정·교체 검토</x:v>
      </x:c>
      <x:c r="D560" s="2" t="str">
        <x:v>중간</x:v>
      </x:c>
      <x:c r="E560" s="2" t="str">
        <x:v>N2</x:v>
      </x:c>
      <x:c r="F560" s="10" t="n">
        <x:v>204</x:v>
      </x:c>
      <x:c r="G560" s="2" t="str">
        <x:v>w_cffcd19e5154f169</x:v>
      </x:c>
      <x:c r="H560" s="2" t="str">
        <x:v>思い掛けない</x:v>
      </x:c>
      <x:c r="I560" s="2" t="str">
        <x:v>おもいがけない</x:v>
      </x:c>
      <x:c r="J560" s="8" t="str">
        <x:v>뜻밖의, 의외의</x:v>
      </x:c>
      <x:c r="K560" s="2" t="str">
        <x:v>adjective</x:v>
      </x:c>
      <x:c r="L560" s="9" t="n">
        <x:v>4.63</x:v>
      </x:c>
      <x:c r="M560" s="2" t="str">
        <x:v>없음</x:v>
      </x:c>
      <x:c r="N560" s="11" t="n">
        <x:v>16</x:v>
      </x:c>
      <x:c r="O560" s="8" t="str">
        <x:v>JMdict에서 희귀·비표준 표기로 표시; 검증된 예문 없음; 기존 데이터의 한국어 콘텐츠 보강 필요 태그</x:v>
      </x:c>
      <x:c r="P560" s="8" t="str">
        <x:v>jmdict_uncommon_or_irregular,no_example,weak_legacy_content</x:v>
      </x:c>
      <x:c r="Q560" s="2" t="str"/>
      <x:c r="R560" s="2" t="str"/>
      <x:c r="S560" s="2" t="str"/>
      <x:c r="T560" s="2" t="str"/>
      <x:c r="U560" s="2" t="str"/>
      <x:c r="V560" s="2" t="str">
        <x:v>아니오</x:v>
      </x:c>
      <x:c r="W560" s="2" t="str">
        <x:v>예</x:v>
      </x:c>
      <x:c r="X560" s="2" t="str">
        <x:v>ichi1,news2,nf46</x:v>
      </x:c>
      <x:c r="Y560" s="2" t="n">
        <x:v>100</x:v>
      </x:c>
      <x:c r="Z560" s="2" t="str"/>
      <x:c r="AA560" s="2" t="n">
        <x:v>0</x:v>
      </x:c>
      <x:c r="AB560" s="8" t="str">
        <x:v>rarely used kanji form</x:v>
      </x:c>
      <x:c r="AC560" s="8" t="str"/>
      <x:c r="AD560" s="8" t="str">
        <x:v>["draft-ko-missing"]</x:v>
      </x:c>
      <x:c r="AE560" s="8" t="str">
        <x:v>검토 필요</x:v>
      </x:c>
      <x:c r="AF560" s="8" t="str"/>
    </x:row>
    <x:row r="561">
      <x:c r="A561" s="10" t="n">
        <x:v>560</x:v>
      </x:c>
      <x:c r="B561" s="2" t="str">
        <x:v>1차 검토 후보</x:v>
      </x:c>
      <x:c r="C561" s="2" t="str">
        <x:v>표기 교정·교체 검토</x:v>
      </x:c>
      <x:c r="D561" s="2" t="str">
        <x:v>중간</x:v>
      </x:c>
      <x:c r="E561" s="2" t="str">
        <x:v>N2</x:v>
      </x:c>
      <x:c r="F561" s="10" t="n">
        <x:v>205</x:v>
      </x:c>
      <x:c r="G561" s="2" t="str">
        <x:v>w_9c2fb37ac164be4e</x:v>
      </x:c>
      <x:c r="H561" s="2" t="str">
        <x:v>バック</x:v>
      </x:c>
      <x:c r="I561" s="2" t="str">
        <x:v>バック</x:v>
      </x:c>
      <x:c r="J561" s="8" t="str">
        <x:v>백; 뒤</x:v>
      </x:c>
      <x:c r="K561" s="2" t="str">
        <x:v>noun</x:v>
      </x:c>
      <x:c r="L561" s="9" t="n">
        <x:v>4.73</x:v>
      </x:c>
      <x:c r="M561" s="2" t="str">
        <x:v>없음</x:v>
      </x:c>
      <x:c r="N561" s="11" t="n">
        <x:v>16</x:v>
      </x:c>
      <x:c r="O561" s="8" t="str">
        <x:v>JMdict에서 희귀·비표준 표기로 표시; 검증된 예문 없음; 기존 데이터의 한국어 콘텐츠 보강 필요 태그</x:v>
      </x:c>
      <x:c r="P561" s="8" t="str">
        <x:v>jmdict_uncommon_or_irregular,no_example,weak_legacy_content</x:v>
      </x:c>
      <x:c r="Q561" s="2" t="str"/>
      <x:c r="R561" s="2" t="str"/>
      <x:c r="S561" s="2" t="str"/>
      <x:c r="T561" s="2" t="str"/>
      <x:c r="U561" s="2" t="str"/>
      <x:c r="V561" s="2" t="str">
        <x:v>아니오</x:v>
      </x:c>
      <x:c r="W561" s="2" t="str">
        <x:v>예</x:v>
      </x:c>
      <x:c r="X561" s="2" t="str">
        <x:v>gai1,ichi1</x:v>
      </x:c>
      <x:c r="Y561" s="2" t="n">
        <x:v>100</x:v>
      </x:c>
      <x:c r="Z561" s="2" t="str">
        <x:v>gai1,ichi1</x:v>
      </x:c>
      <x:c r="AA561" s="2" t="n">
        <x:v>100</x:v>
      </x:c>
      <x:c r="AB561" s="8" t="str">
        <x:v>abbreviation | slang | word containing irregular kana usage</x:v>
      </x:c>
      <x:c r="AC561" s="8" t="str"/>
      <x:c r="AD561" s="8" t="str">
        <x:v>["draft-ko-missing"]</x:v>
      </x:c>
      <x:c r="AE561" s="8" t="str">
        <x:v>검토 필요</x:v>
      </x:c>
      <x:c r="AF561" s="8" t="str"/>
    </x:row>
    <x:row r="562">
      <x:c r="A562" s="10" t="n">
        <x:v>561</x:v>
      </x:c>
      <x:c r="B562" s="2" t="str">
        <x:v>2차 보류</x:v>
      </x:c>
      <x:c r="C562" s="2" t="str">
        <x:v>2차 보류</x:v>
      </x:c>
      <x:c r="D562" s="2" t="str">
        <x:v>낮음</x:v>
      </x:c>
      <x:c r="E562" s="2" t="str">
        <x:v>N1</x:v>
      </x:c>
      <x:c r="F562" s="10" t="n">
        <x:v>218</x:v>
      </x:c>
      <x:c r="G562" s="2" t="str">
        <x:v>w_10e1b3e0d1e64f7f</x:v>
      </x:c>
      <x:c r="H562" s="2" t="str">
        <x:v>掻き回す</x:v>
      </x:c>
      <x:c r="I562" s="2" t="str">
        <x:v>かきまわす</x:v>
      </x:c>
      <x:c r="J562" s="8" t="str">
        <x:v>휘젓다, 어지럽히다</x:v>
      </x:c>
      <x:c r="K562" s="2" t="str">
        <x:v>verb</x:v>
      </x:c>
      <x:c r="L562" s="9" t="n">
        <x:v>2.07</x:v>
      </x:c>
      <x:c r="M562" s="2" t="str">
        <x:v>없음</x:v>
      </x:c>
      <x:c r="N562" s="11" t="n">
        <x:v>14</x:v>
      </x:c>
      <x:c r="O562" s="8" t="str">
        <x:v>일반 사용 빈도 낮음(Zipf ≤ 2.5); 검증된 예문 없음</x:v>
      </x:c>
      <x:c r="P562" s="8" t="str">
        <x:v>frequency_le_2_5,no_example</x:v>
      </x:c>
      <x:c r="Q562" s="2" t="str"/>
      <x:c r="R562" s="2" t="str"/>
      <x:c r="S562" s="2" t="str"/>
      <x:c r="T562" s="2" t="str"/>
      <x:c r="U562" s="2" t="str"/>
      <x:c r="V562" s="2" t="str">
        <x:v>아니오</x:v>
      </x:c>
      <x:c r="W562" s="2" t="str">
        <x:v>예</x:v>
      </x:c>
      <x:c r="X562" s="2" t="str">
        <x:v>ichi2</x:v>
      </x:c>
      <x:c r="Y562" s="2" t="n">
        <x:v>70</x:v>
      </x:c>
      <x:c r="Z562" s="2" t="str">
        <x:v>ichi2</x:v>
      </x:c>
      <x:c r="AA562" s="2" t="n">
        <x:v>70</x:v>
      </x:c>
      <x:c r="AB562" s="8" t="str"/>
      <x:c r="AC562" s="8" t="str"/>
      <x:c r="AD562" s="8" t="str">
        <x:v>["ko-reviewed"]</x:v>
      </x:c>
      <x:c r="AE562" s="8" t="str">
        <x:v>검토 필요</x:v>
      </x:c>
      <x:c r="AF562" s="8" t="str"/>
    </x:row>
    <x:row r="563">
      <x:c r="A563" s="10" t="n">
        <x:v>562</x:v>
      </x:c>
      <x:c r="B563" s="2" t="str">
        <x:v>2차 보류</x:v>
      </x:c>
      <x:c r="C563" s="2" t="str">
        <x:v>2차 보류</x:v>
      </x:c>
      <x:c r="D563" s="2" t="str">
        <x:v>낮음</x:v>
      </x:c>
      <x:c r="E563" s="2" t="str">
        <x:v>N1</x:v>
      </x:c>
      <x:c r="F563" s="10" t="n">
        <x:v>219</x:v>
      </x:c>
      <x:c r="G563" s="2" t="str">
        <x:v>w_9d70cbfe00d0abae</x:v>
      </x:c>
      <x:c r="H563" s="2" t="str">
        <x:v>案じる</x:v>
      </x:c>
      <x:c r="I563" s="2" t="str">
        <x:v>あんじる</x:v>
      </x:c>
      <x:c r="J563" s="8" t="str">
        <x:v>걱정하다, 생각하다</x:v>
      </x:c>
      <x:c r="K563" s="2" t="str">
        <x:v>verb</x:v>
      </x:c>
      <x:c r="L563" s="9" t="n">
        <x:v>2.09</x:v>
      </x:c>
      <x:c r="M563" s="2" t="str">
        <x:v>없음</x:v>
      </x:c>
      <x:c r="N563" s="11" t="n">
        <x:v>14</x:v>
      </x:c>
      <x:c r="O563" s="8" t="str">
        <x:v>일반 사용 빈도 낮음(Zipf ≤ 2.5); 검증된 예문 없음</x:v>
      </x:c>
      <x:c r="P563" s="8" t="str">
        <x:v>frequency_le_2_5,no_example</x:v>
      </x:c>
      <x:c r="Q563" s="2" t="str"/>
      <x:c r="R563" s="2" t="str"/>
      <x:c r="S563" s="2" t="str"/>
      <x:c r="T563" s="2" t="str"/>
      <x:c r="U563" s="2" t="str"/>
      <x:c r="V563" s="2" t="str">
        <x:v>아니오</x:v>
      </x:c>
      <x:c r="W563" s="2" t="str">
        <x:v>예</x:v>
      </x:c>
      <x:c r="X563" s="2" t="str">
        <x:v>news2,nf40</x:v>
      </x:c>
      <x:c r="Y563" s="2" t="n">
        <x:v>70</x:v>
      </x:c>
      <x:c r="Z563" s="2" t="str">
        <x:v>news2,nf40</x:v>
      </x:c>
      <x:c r="AA563" s="2" t="n">
        <x:v>70</x:v>
      </x:c>
      <x:c r="AB563" s="8" t="str"/>
      <x:c r="AC563" s="8" t="str"/>
      <x:c r="AD563" s="8" t="str">
        <x:v>["ko-reviewed"]</x:v>
      </x:c>
      <x:c r="AE563" s="8" t="str">
        <x:v>검토 필요</x:v>
      </x:c>
      <x:c r="AF563" s="8" t="str"/>
    </x:row>
    <x:row r="564">
      <x:c r="A564" s="10" t="n">
        <x:v>563</x:v>
      </x:c>
      <x:c r="B564" s="2" t="str">
        <x:v>2차 보류</x:v>
      </x:c>
      <x:c r="C564" s="2" t="str">
        <x:v>2차 보류</x:v>
      </x:c>
      <x:c r="D564" s="2" t="str">
        <x:v>낮음</x:v>
      </x:c>
      <x:c r="E564" s="2" t="str">
        <x:v>N1</x:v>
      </x:c>
      <x:c r="F564" s="10" t="n">
        <x:v>220</x:v>
      </x:c>
      <x:c r="G564" s="2" t="str">
        <x:v>w_7a43bf4c590c33d0</x:v>
      </x:c>
      <x:c r="H564" s="2" t="str">
        <x:v>大部</x:v>
      </x:c>
      <x:c r="I564" s="2" t="str">
        <x:v>たいぶ</x:v>
      </x:c>
      <x:c r="J564" s="8" t="str">
        <x:v>대부분; 방대함</x:v>
      </x:c>
      <x:c r="K564" s="2" t="str">
        <x:v>adjective</x:v>
      </x:c>
      <x:c r="L564" s="9" t="n">
        <x:v>2.13</x:v>
      </x:c>
      <x:c r="M564" s="2" t="str">
        <x:v>없음</x:v>
      </x:c>
      <x:c r="N564" s="11" t="n">
        <x:v>14</x:v>
      </x:c>
      <x:c r="O564" s="8" t="str">
        <x:v>일반 사용 빈도 낮음(Zipf ≤ 2.5); 검증된 예문 없음</x:v>
      </x:c>
      <x:c r="P564" s="8" t="str">
        <x:v>frequency_le_2_5,no_example</x:v>
      </x:c>
      <x:c r="Q564" s="2" t="str"/>
      <x:c r="R564" s="2" t="str"/>
      <x:c r="S564" s="2" t="str"/>
      <x:c r="T564" s="2" t="str"/>
      <x:c r="U564" s="2" t="str"/>
      <x:c r="V564" s="2" t="str">
        <x:v>아니오</x:v>
      </x:c>
      <x:c r="W564" s="2" t="str">
        <x:v>예</x:v>
      </x:c>
      <x:c r="X564" s="2" t="str">
        <x:v>news2,nf26</x:v>
      </x:c>
      <x:c r="Y564" s="2" t="n">
        <x:v>70</x:v>
      </x:c>
      <x:c r="Z564" s="2" t="str">
        <x:v>news2,nf26</x:v>
      </x:c>
      <x:c r="AA564" s="2" t="n">
        <x:v>70</x:v>
      </x:c>
      <x:c r="AB564" s="8" t="str"/>
      <x:c r="AC564" s="8" t="str"/>
      <x:c r="AD564" s="8" t="str">
        <x:v>["ko-reviewed"]</x:v>
      </x:c>
      <x:c r="AE564" s="8" t="str">
        <x:v>검토 필요</x:v>
      </x:c>
      <x:c r="AF564" s="8" t="str"/>
    </x:row>
    <x:row r="565">
      <x:c r="A565" s="10" t="n">
        <x:v>564</x:v>
      </x:c>
      <x:c r="B565" s="2" t="str">
        <x:v>2차 보류</x:v>
      </x:c>
      <x:c r="C565" s="2" t="str">
        <x:v>2차 보류</x:v>
      </x:c>
      <x:c r="D565" s="2" t="str">
        <x:v>낮음</x:v>
      </x:c>
      <x:c r="E565" s="2" t="str">
        <x:v>N1</x:v>
      </x:c>
      <x:c r="F565" s="10" t="n">
        <x:v>221</x:v>
      </x:c>
      <x:c r="G565" s="2" t="str">
        <x:v>w_4fa3af50151a327c</x:v>
      </x:c>
      <x:c r="H565" s="2" t="str">
        <x:v>恥じらう</x:v>
      </x:c>
      <x:c r="I565" s="2" t="str">
        <x:v>はじらう</x:v>
      </x:c>
      <x:c r="J565" s="8" t="str">
        <x:v>수줍어하다</x:v>
      </x:c>
      <x:c r="K565" s="2" t="str">
        <x:v>verb</x:v>
      </x:c>
      <x:c r="L565" s="9" t="n">
        <x:v>2.22</x:v>
      </x:c>
      <x:c r="M565" s="2" t="str">
        <x:v>없음</x:v>
      </x:c>
      <x:c r="N565" s="11" t="n">
        <x:v>14</x:v>
      </x:c>
      <x:c r="O565" s="8" t="str">
        <x:v>일반 사용 빈도 낮음(Zipf ≤ 2.5); 검증된 예문 없음</x:v>
      </x:c>
      <x:c r="P565" s="8" t="str">
        <x:v>frequency_le_2_5,no_example</x:v>
      </x:c>
      <x:c r="Q565" s="2" t="str"/>
      <x:c r="R565" s="2" t="str"/>
      <x:c r="S565" s="2" t="str"/>
      <x:c r="T565" s="2" t="str"/>
      <x:c r="U565" s="2" t="str"/>
      <x:c r="V565" s="2" t="str">
        <x:v>아니오</x:v>
      </x:c>
      <x:c r="W565" s="2" t="str">
        <x:v>예</x:v>
      </x:c>
      <x:c r="X565" s="2" t="str">
        <x:v>news2,nf37,spec2</x:v>
      </x:c>
      <x:c r="Y565" s="2" t="n">
        <x:v>70</x:v>
      </x:c>
      <x:c r="Z565" s="2" t="str">
        <x:v>news2,nf37,spec2</x:v>
      </x:c>
      <x:c r="AA565" s="2" t="n">
        <x:v>70</x:v>
      </x:c>
      <x:c r="AB565" s="8" t="str"/>
      <x:c r="AC565" s="8" t="str"/>
      <x:c r="AD565" s="8" t="str">
        <x:v>["ko-reviewed"]</x:v>
      </x:c>
      <x:c r="AE565" s="8" t="str">
        <x:v>검토 필요</x:v>
      </x:c>
      <x:c r="AF565" s="8" t="str"/>
    </x:row>
    <x:row r="566">
      <x:c r="A566" s="10" t="n">
        <x:v>565</x:v>
      </x:c>
      <x:c r="B566" s="2" t="str">
        <x:v>2차 보류</x:v>
      </x:c>
      <x:c r="C566" s="2" t="str">
        <x:v>2차 보류</x:v>
      </x:c>
      <x:c r="D566" s="2" t="str">
        <x:v>낮음</x:v>
      </x:c>
      <x:c r="E566" s="2" t="str">
        <x:v>N2</x:v>
      </x:c>
      <x:c r="F566" s="10" t="n">
        <x:v>206</x:v>
      </x:c>
      <x:c r="G566" s="2" t="str">
        <x:v>w_21bf93da938ba2c0</x:v>
      </x:c>
      <x:c r="H566" s="2" t="str">
        <x:v>耕地</x:v>
      </x:c>
      <x:c r="I566" s="2" t="str">
        <x:v>こうち</x:v>
      </x:c>
      <x:c r="J566" s="8" t="str">
        <x:v>경작지</x:v>
      </x:c>
      <x:c r="K566" s="2" t="str">
        <x:v>noun</x:v>
      </x:c>
      <x:c r="L566" s="9" t="n">
        <x:v>2.33</x:v>
      </x:c>
      <x:c r="M566" s="2" t="str">
        <x:v>없음</x:v>
      </x:c>
      <x:c r="N566" s="11" t="n">
        <x:v>14</x:v>
      </x:c>
      <x:c r="O566" s="8" t="str">
        <x:v>일반 사용 빈도 낮음(Zipf ≤ 2.5); 검증된 예문 없음</x:v>
      </x:c>
      <x:c r="P566" s="8" t="str">
        <x:v>frequency_le_2_5,no_example</x:v>
      </x:c>
      <x:c r="Q566" s="2" t="str"/>
      <x:c r="R566" s="2" t="str"/>
      <x:c r="S566" s="2" t="str"/>
      <x:c r="T566" s="2" t="str"/>
      <x:c r="U566" s="2" t="str"/>
      <x:c r="V566" s="2" t="str">
        <x:v>아니오</x:v>
      </x:c>
      <x:c r="W566" s="2" t="str">
        <x:v>예</x:v>
      </x:c>
      <x:c r="X566" s="2" t="str">
        <x:v>news2,nf26,spec2</x:v>
      </x:c>
      <x:c r="Y566" s="2" t="n">
        <x:v>70</x:v>
      </x:c>
      <x:c r="Z566" s="2" t="str">
        <x:v>news2,nf26,spec2</x:v>
      </x:c>
      <x:c r="AA566" s="2" t="n">
        <x:v>70</x:v>
      </x:c>
      <x:c r="AB566" s="8" t="str"/>
      <x:c r="AC566" s="8" t="str"/>
      <x:c r="AD566" s="8" t="str">
        <x:v>["ko-reviewed"]</x:v>
      </x:c>
      <x:c r="AE566" s="8" t="str">
        <x:v>검토 필요</x:v>
      </x:c>
      <x:c r="AF566" s="8" t="str"/>
    </x:row>
    <x:row r="567">
      <x:c r="A567" s="10" t="n">
        <x:v>566</x:v>
      </x:c>
      <x:c r="B567" s="2" t="str">
        <x:v>2차 보류</x:v>
      </x:c>
      <x:c r="C567" s="2" t="str">
        <x:v>2차 보류</x:v>
      </x:c>
      <x:c r="D567" s="2" t="str">
        <x:v>낮음</x:v>
      </x:c>
      <x:c r="E567" s="2" t="str">
        <x:v>N2</x:v>
      </x:c>
      <x:c r="F567" s="10" t="n">
        <x:v>207</x:v>
      </x:c>
      <x:c r="G567" s="2" t="str">
        <x:v>w_185bd766c346483b</x:v>
      </x:c>
      <x:c r="H567" s="2" t="str">
        <x:v>朝寝坊</x:v>
      </x:c>
      <x:c r="I567" s="2" t="str">
        <x:v>あさねぼう</x:v>
      </x:c>
      <x:c r="J567" s="8" t="str">
        <x:v>늦잠, 늦게 일어나는 사람</x:v>
      </x:c>
      <x:c r="K567" s="2" t="str">
        <x:v>noun</x:v>
      </x:c>
      <x:c r="L567" s="9" t="n">
        <x:v>2.44</x:v>
      </x:c>
      <x:c r="M567" s="2" t="str">
        <x:v>없음</x:v>
      </x:c>
      <x:c r="N567" s="11" t="n">
        <x:v>14</x:v>
      </x:c>
      <x:c r="O567" s="8" t="str">
        <x:v>일반 사용 빈도 낮음(Zipf ≤ 2.5); 검증된 예문 없음</x:v>
      </x:c>
      <x:c r="P567" s="8" t="str">
        <x:v>frequency_le_2_5,no_example</x:v>
      </x:c>
      <x:c r="Q567" s="2" t="str"/>
      <x:c r="R567" s="2" t="str"/>
      <x:c r="S567" s="2" t="str"/>
      <x:c r="T567" s="2" t="str"/>
      <x:c r="U567" s="2" t="str"/>
      <x:c r="V567" s="2" t="str">
        <x:v>아니오</x:v>
      </x:c>
      <x:c r="W567" s="2" t="str">
        <x:v>예</x:v>
      </x:c>
      <x:c r="X567" s="2" t="str">
        <x:v>news2,nf47,spec2</x:v>
      </x:c>
      <x:c r="Y567" s="2" t="n">
        <x:v>70</x:v>
      </x:c>
      <x:c r="Z567" s="2" t="str">
        <x:v>news2,nf47,spec2</x:v>
      </x:c>
      <x:c r="AA567" s="2" t="n">
        <x:v>70</x:v>
      </x:c>
      <x:c r="AB567" s="8" t="str"/>
      <x:c r="AC567" s="8" t="str"/>
      <x:c r="AD567" s="8" t="str">
        <x:v>["ko-reviewed"]</x:v>
      </x:c>
      <x:c r="AE567" s="8" t="str">
        <x:v>검토 필요</x:v>
      </x:c>
      <x:c r="AF567" s="8" t="str"/>
    </x:row>
    <x:row r="568">
      <x:c r="A568" s="10" t="n">
        <x:v>567</x:v>
      </x:c>
      <x:c r="B568" s="2" t="str">
        <x:v>2차 보류</x:v>
      </x:c>
      <x:c r="C568" s="2" t="str">
        <x:v>2차 보류</x:v>
      </x:c>
      <x:c r="D568" s="2" t="str">
        <x:v>낮음</x:v>
      </x:c>
      <x:c r="E568" s="2" t="str">
        <x:v>N2</x:v>
      </x:c>
      <x:c r="F568" s="10" t="n">
        <x:v>208</x:v>
      </x:c>
      <x:c r="G568" s="2" t="str">
        <x:v>w_d9a9b326b4c0a808</x:v>
      </x:c>
      <x:c r="H568" s="2" t="str">
        <x:v>割算</x:v>
      </x:c>
      <x:c r="I568" s="2" t="str">
        <x:v>わりざん</x:v>
      </x:c>
      <x:c r="J568" s="8" t="str">
        <x:v>나눗셈</x:v>
      </x:c>
      <x:c r="K568" s="2" t="str">
        <x:v>noun</x:v>
      </x:c>
      <x:c r="L568" s="9" t="n">
        <x:v>1.06</x:v>
      </x:c>
      <x:c r="M568" s="2" t="str">
        <x:v>없음</x:v>
      </x:c>
      <x:c r="N568" s="11" t="n">
        <x:v>13</x:v>
      </x:c>
      <x:c r="O568" s="8" t="str">
        <x:v>일반 사용 빈도 매우 낮음(Zipf ≤ 1.5); 검증된 예문 없음</x:v>
      </x:c>
      <x:c r="P568" s="8" t="str">
        <x:v>frequency_le_1_5,no_example</x:v>
      </x:c>
      <x:c r="Q568" s="2" t="str"/>
      <x:c r="R568" s="2" t="str"/>
      <x:c r="S568" s="2" t="str"/>
      <x:c r="T568" s="2" t="str"/>
      <x:c r="U568" s="2" t="str"/>
      <x:c r="V568" s="2" t="str">
        <x:v>아니오</x:v>
      </x:c>
      <x:c r="W568" s="2" t="str">
        <x:v>예</x:v>
      </x:c>
      <x:c r="X568" s="2" t="str">
        <x:v>ichi1</x:v>
      </x:c>
      <x:c r="Y568" s="2" t="n">
        <x:v>100</x:v>
      </x:c>
      <x:c r="Z568" s="2" t="str"/>
      <x:c r="AA568" s="2" t="n">
        <x:v>0</x:v>
      </x:c>
      <x:c r="AB568" s="8" t="str"/>
      <x:c r="AC568" s="8" t="str"/>
      <x:c r="AD568" s="8" t="str">
        <x:v>["backfill-replacement","assistant-ko-reviewed"]</x:v>
      </x:c>
      <x:c r="AE568" s="8" t="str">
        <x:v>검토 필요</x:v>
      </x:c>
      <x:c r="AF568" s="8" t="str"/>
    </x:row>
    <x:row r="569">
      <x:c r="A569" s="10" t="n">
        <x:v>568</x:v>
      </x:c>
      <x:c r="B569" s="2" t="str">
        <x:v>2차 보류</x:v>
      </x:c>
      <x:c r="C569" s="2" t="str">
        <x:v>2차 보류</x:v>
      </x:c>
      <x:c r="D569" s="2" t="str">
        <x:v>낮음</x:v>
      </x:c>
      <x:c r="E569" s="2" t="str">
        <x:v>N3</x:v>
      </x:c>
      <x:c r="F569" s="10" t="n">
        <x:v>75</x:v>
      </x:c>
      <x:c r="G569" s="2" t="str">
        <x:v>w_6c34cac3cb274762</x:v>
      </x:c>
      <x:c r="H569" s="2" t="str">
        <x:v>注す</x:v>
      </x:c>
      <x:c r="I569" s="2" t="str">
        <x:v>さす</x:v>
      </x:c>
      <x:c r="J569" s="8" t="str">
        <x:v>따르다, 붓다</x:v>
      </x:c>
      <x:c r="K569" s="2" t="str">
        <x:v>verb</x:v>
      </x:c>
      <x:c r="L569" s="9" t="n">
        <x:v>1.07</x:v>
      </x:c>
      <x:c r="M569" s="2" t="str">
        <x:v>없음</x:v>
      </x:c>
      <x:c r="N569" s="11" t="n">
        <x:v>13</x:v>
      </x:c>
      <x:c r="O569" s="8" t="str">
        <x:v>일반 사용 빈도 매우 낮음(Zipf ≤ 1.5); 검증된 예문 없음</x:v>
      </x:c>
      <x:c r="P569" s="8" t="str">
        <x:v>frequency_le_1_5,no_example</x:v>
      </x:c>
      <x:c r="Q569" s="2" t="str"/>
      <x:c r="R569" s="2" t="str"/>
      <x:c r="S569" s="2" t="str"/>
      <x:c r="T569" s="2" t="str"/>
      <x:c r="U569" s="2" t="str"/>
      <x:c r="V569" s="2" t="str">
        <x:v>아니오</x:v>
      </x:c>
      <x:c r="W569" s="2" t="str">
        <x:v>예</x:v>
      </x:c>
      <x:c r="X569" s="2" t="str">
        <x:v>ichi1</x:v>
      </x:c>
      <x:c r="Y569" s="2" t="n">
        <x:v>100</x:v>
      </x:c>
      <x:c r="Z569" s="2" t="str">
        <x:v>ichi1</x:v>
      </x:c>
      <x:c r="AA569" s="2" t="n">
        <x:v>100</x:v>
      </x:c>
      <x:c r="AB569" s="8" t="str">
        <x:v>esp. 注す | esp. 点す | word usually written using kana alone</x:v>
      </x:c>
      <x:c r="AC569" s="8" t="str"/>
      <x:c r="AD569" s="8" t="str">
        <x:v>["ko-reviewed"]</x:v>
      </x:c>
      <x:c r="AE569" s="8" t="str">
        <x:v>검토 필요</x:v>
      </x:c>
      <x:c r="AF569" s="8" t="str"/>
    </x:row>
    <x:row r="570">
      <x:c r="A570" s="10" t="n">
        <x:v>569</x:v>
      </x:c>
      <x:c r="B570" s="2" t="str">
        <x:v>2차 보류</x:v>
      </x:c>
      <x:c r="C570" s="2" t="str">
        <x:v>2차 보류</x:v>
      </x:c>
      <x:c r="D570" s="2" t="str">
        <x:v>낮음</x:v>
      </x:c>
      <x:c r="E570" s="2" t="str">
        <x:v>N1</x:v>
      </x:c>
      <x:c r="F570" s="10" t="n">
        <x:v>222</x:v>
      </x:c>
      <x:c r="G570" s="2" t="str">
        <x:v>w_6ac8841e8e2d7e32</x:v>
      </x:c>
      <x:c r="H570" s="2" t="str">
        <x:v>軒並</x:v>
      </x:c>
      <x:c r="I570" s="2" t="str">
        <x:v>のきなみ</x:v>
      </x:c>
      <x:c r="J570" s="8" t="str">
        <x:v>집집마다, 일률적으로</x:v>
      </x:c>
      <x:c r="K570" s="2" t="str">
        <x:v>noun</x:v>
      </x:c>
      <x:c r="L570" s="9" t="n">
        <x:v>1.08</x:v>
      </x:c>
      <x:c r="M570" s="2" t="str">
        <x:v>없음</x:v>
      </x:c>
      <x:c r="N570" s="11" t="n">
        <x:v>13</x:v>
      </x:c>
      <x:c r="O570" s="8" t="str">
        <x:v>일반 사용 빈도 매우 낮음(Zipf ≤ 1.5); 검증된 예문 없음</x:v>
      </x:c>
      <x:c r="P570" s="8" t="str">
        <x:v>frequency_le_1_5,no_example</x:v>
      </x:c>
      <x:c r="Q570" s="2" t="str"/>
      <x:c r="R570" s="2" t="str"/>
      <x:c r="S570" s="2" t="str"/>
      <x:c r="T570" s="2" t="str"/>
      <x:c r="U570" s="2" t="str"/>
      <x:c r="V570" s="2" t="str">
        <x:v>아니오</x:v>
      </x:c>
      <x:c r="W570" s="2" t="str">
        <x:v>예</x:v>
      </x:c>
      <x:c r="X570" s="2" t="str">
        <x:v>ichi1,news2,nf31</x:v>
      </x:c>
      <x:c r="Y570" s="2" t="n">
        <x:v>100</x:v>
      </x:c>
      <x:c r="Z570" s="2" t="str">
        <x:v>ichi1</x:v>
      </x:c>
      <x:c r="AA570" s="2" t="n">
        <x:v>100</x:v>
      </x:c>
      <x:c r="AB570" s="8" t="str"/>
      <x:c r="AC570" s="8" t="str"/>
      <x:c r="AD570" s="8" t="str">
        <x:v>["ko-reviewed"]</x:v>
      </x:c>
      <x:c r="AE570" s="8" t="str">
        <x:v>검토 필요</x:v>
      </x:c>
      <x:c r="AF570" s="8" t="str"/>
    </x:row>
    <x:row r="571">
      <x:c r="A571" s="10" t="n">
        <x:v>570</x:v>
      </x:c>
      <x:c r="B571" s="2" t="str">
        <x:v>2차 보류</x:v>
      </x:c>
      <x:c r="C571" s="2" t="str">
        <x:v>2차 보류</x:v>
      </x:c>
      <x:c r="D571" s="2" t="str">
        <x:v>낮음</x:v>
      </x:c>
      <x:c r="E571" s="2" t="str">
        <x:v>N1</x:v>
      </x:c>
      <x:c r="F571" s="10" t="n">
        <x:v>223</x:v>
      </x:c>
      <x:c r="G571" s="2" t="str">
        <x:v>w_a1dcca27520837a3</x:v>
      </x:c>
      <x:c r="H571" s="2" t="str">
        <x:v>即する</x:v>
      </x:c>
      <x:c r="I571" s="2" t="str">
        <x:v>そくする</x:v>
      </x:c>
      <x:c r="J571" s="8" t="str">
        <x:v>입각하다, 부합하다</x:v>
      </x:c>
      <x:c r="K571" s="2" t="str">
        <x:v>verb</x:v>
      </x:c>
      <x:c r="L571" s="9" t="n">
        <x:v>1.12</x:v>
      </x:c>
      <x:c r="M571" s="2" t="str">
        <x:v>없음</x:v>
      </x:c>
      <x:c r="N571" s="11" t="n">
        <x:v>13</x:v>
      </x:c>
      <x:c r="O571" s="8" t="str">
        <x:v>일반 사용 빈도 매우 낮음(Zipf ≤ 1.5); 검증된 예문 없음</x:v>
      </x:c>
      <x:c r="P571" s="8" t="str">
        <x:v>frequency_le_1_5,no_example</x:v>
      </x:c>
      <x:c r="Q571" s="2" t="str"/>
      <x:c r="R571" s="2" t="str"/>
      <x:c r="S571" s="2" t="str"/>
      <x:c r="T571" s="2" t="str"/>
      <x:c r="U571" s="2" t="str"/>
      <x:c r="V571" s="2" t="str">
        <x:v>아니오</x:v>
      </x:c>
      <x:c r="W571" s="2" t="str">
        <x:v>예</x:v>
      </x:c>
      <x:c r="X571" s="2" t="str">
        <x:v>news1,nf15</x:v>
      </x:c>
      <x:c r="Y571" s="2" t="n">
        <x:v>100</x:v>
      </x:c>
      <x:c r="Z571" s="2" t="str">
        <x:v>news1,nf15</x:v>
      </x:c>
      <x:c r="AA571" s="2" t="n">
        <x:v>100</x:v>
      </x:c>
      <x:c r="AB571" s="8" t="str"/>
      <x:c r="AC571" s="8" t="str"/>
      <x:c r="AD571" s="8" t="str">
        <x:v>["ko-reviewed"]</x:v>
      </x:c>
      <x:c r="AE571" s="8" t="str">
        <x:v>검토 필요</x:v>
      </x:c>
      <x:c r="AF571" s="8" t="str"/>
    </x:row>
    <x:row r="572">
      <x:c r="A572" s="10" t="n">
        <x:v>571</x:v>
      </x:c>
      <x:c r="B572" s="2" t="str">
        <x:v>2차 보류</x:v>
      </x:c>
      <x:c r="C572" s="2" t="str">
        <x:v>2차 보류</x:v>
      </x:c>
      <x:c r="D572" s="2" t="str">
        <x:v>낮음</x:v>
      </x:c>
      <x:c r="E572" s="2" t="str">
        <x:v>N1</x:v>
      </x:c>
      <x:c r="F572" s="10" t="n">
        <x:v>224</x:v>
      </x:c>
      <x:c r="G572" s="2" t="str">
        <x:v>w_3b3a8fd641682907</x:v>
      </x:c>
      <x:c r="H572" s="2" t="str">
        <x:v>恵む</x:v>
      </x:c>
      <x:c r="I572" s="2" t="str">
        <x:v>めぐむ</x:v>
      </x:c>
      <x:c r="J572" s="8" t="str">
        <x:v>베풀다, 은혜를 주다</x:v>
      </x:c>
      <x:c r="K572" s="2" t="str">
        <x:v>verb</x:v>
      </x:c>
      <x:c r="L572" s="9" t="n">
        <x:v>1.13</x:v>
      </x:c>
      <x:c r="M572" s="2" t="str">
        <x:v>없음</x:v>
      </x:c>
      <x:c r="N572" s="11" t="n">
        <x:v>13</x:v>
      </x:c>
      <x:c r="O572" s="8" t="str">
        <x:v>일반 사용 빈도 매우 낮음(Zipf ≤ 1.5); 검증된 예문 없음</x:v>
      </x:c>
      <x:c r="P572" s="8" t="str">
        <x:v>frequency_le_1_5,no_example</x:v>
      </x:c>
      <x:c r="Q572" s="2" t="str"/>
      <x:c r="R572" s="2" t="str"/>
      <x:c r="S572" s="2" t="str"/>
      <x:c r="T572" s="2" t="str"/>
      <x:c r="U572" s="2" t="str"/>
      <x:c r="V572" s="2" t="str">
        <x:v>아니오</x:v>
      </x:c>
      <x:c r="W572" s="2" t="str">
        <x:v>예</x:v>
      </x:c>
      <x:c r="X572" s="2" t="str">
        <x:v>ichi1</x:v>
      </x:c>
      <x:c r="Y572" s="2" t="n">
        <x:v>100</x:v>
      </x:c>
      <x:c r="Z572" s="2" t="str">
        <x:v>ichi1</x:v>
      </x:c>
      <x:c r="AA572" s="2" t="n">
        <x:v>100</x:v>
      </x:c>
      <x:c r="AB572" s="8" t="str"/>
      <x:c r="AC572" s="8" t="str"/>
      <x:c r="AD572" s="8" t="str">
        <x:v>["ko-reviewed"]</x:v>
      </x:c>
      <x:c r="AE572" s="8" t="str">
        <x:v>검토 필요</x:v>
      </x:c>
      <x:c r="AF572" s="8" t="str"/>
    </x:row>
    <x:row r="573">
      <x:c r="A573" s="10" t="n">
        <x:v>572</x:v>
      </x:c>
      <x:c r="B573" s="2" t="str">
        <x:v>2차 보류</x:v>
      </x:c>
      <x:c r="C573" s="2" t="str">
        <x:v>2차 보류</x:v>
      </x:c>
      <x:c r="D573" s="2" t="str">
        <x:v>낮음</x:v>
      </x:c>
      <x:c r="E573" s="2" t="str">
        <x:v>N1</x:v>
      </x:c>
      <x:c r="F573" s="10" t="n">
        <x:v>225</x:v>
      </x:c>
      <x:c r="G573" s="2" t="str">
        <x:v>w_8a98172acb9a29bd</x:v>
      </x:c>
      <x:c r="H573" s="2" t="str">
        <x:v>惚ける</x:v>
      </x:c>
      <x:c r="I573" s="2" t="str">
        <x:v>ぼける</x:v>
      </x:c>
      <x:c r="J573" s="8" t="str">
        <x:v>노망나다, 희미해지다</x:v>
      </x:c>
      <x:c r="K573" s="2" t="str">
        <x:v>verb</x:v>
      </x:c>
      <x:c r="L573" s="9" t="n">
        <x:v>1.13</x:v>
      </x:c>
      <x:c r="M573" s="2" t="str">
        <x:v>없음</x:v>
      </x:c>
      <x:c r="N573" s="11" t="n">
        <x:v>13</x:v>
      </x:c>
      <x:c r="O573" s="8" t="str">
        <x:v>일반 사용 빈도 매우 낮음(Zipf ≤ 1.5); 검증된 예문 없음</x:v>
      </x:c>
      <x:c r="P573" s="8" t="str">
        <x:v>frequency_le_1_5,no_example</x:v>
      </x:c>
      <x:c r="Q573" s="2" t="str"/>
      <x:c r="R573" s="2" t="str"/>
      <x:c r="S573" s="2" t="str"/>
      <x:c r="T573" s="2" t="str"/>
      <x:c r="U573" s="2" t="str"/>
      <x:c r="V573" s="2" t="str">
        <x:v>아니오</x:v>
      </x:c>
      <x:c r="W573" s="2" t="str">
        <x:v>예</x:v>
      </x:c>
      <x:c r="X573" s="2" t="str">
        <x:v>ichi1</x:v>
      </x:c>
      <x:c r="Y573" s="2" t="n">
        <x:v>100</x:v>
      </x:c>
      <x:c r="Z573" s="2" t="str">
        <x:v>ichi1</x:v>
      </x:c>
      <x:c r="AA573" s="2" t="n">
        <x:v>100</x:v>
      </x:c>
      <x:c r="AB573" s="8" t="str">
        <x:v>word usually written using kana alone</x:v>
      </x:c>
      <x:c r="AC573" s="8" t="str"/>
      <x:c r="AD573" s="8" t="str">
        <x:v>["ko-reviewed"]</x:v>
      </x:c>
      <x:c r="AE573" s="8" t="str">
        <x:v>검토 필요</x:v>
      </x:c>
      <x:c r="AF573" s="8" t="str"/>
    </x:row>
    <x:row r="574">
      <x:c r="A574" s="10" t="n">
        <x:v>573</x:v>
      </x:c>
      <x:c r="B574" s="2" t="str">
        <x:v>2차 보류</x:v>
      </x:c>
      <x:c r="C574" s="2" t="str">
        <x:v>2차 보류</x:v>
      </x:c>
      <x:c r="D574" s="2" t="str">
        <x:v>낮음</x:v>
      </x:c>
      <x:c r="E574" s="2" t="str">
        <x:v>N1</x:v>
      </x:c>
      <x:c r="F574" s="10" t="n">
        <x:v>226</x:v>
      </x:c>
      <x:c r="G574" s="2" t="str">
        <x:v>w_4e94f997e8a26e52</x:v>
      </x:c>
      <x:c r="H574" s="2" t="str">
        <x:v>洒落る</x:v>
      </x:c>
      <x:c r="I574" s="2" t="str">
        <x:v>しゃれる</x:v>
      </x:c>
      <x:c r="J574" s="8" t="str">
        <x:v>멋부리다, 재치 있는 말을 하다</x:v>
      </x:c>
      <x:c r="K574" s="2" t="str">
        <x:v>verb</x:v>
      </x:c>
      <x:c r="L574" s="9" t="n">
        <x:v>1.23</x:v>
      </x:c>
      <x:c r="M574" s="2" t="str">
        <x:v>없음</x:v>
      </x:c>
      <x:c r="N574" s="11" t="n">
        <x:v>13</x:v>
      </x:c>
      <x:c r="O574" s="8" t="str">
        <x:v>일반 사용 빈도 매우 낮음(Zipf ≤ 1.5); 검증된 예문 없음</x:v>
      </x:c>
      <x:c r="P574" s="8" t="str">
        <x:v>frequency_le_1_5,no_example</x:v>
      </x:c>
      <x:c r="Q574" s="2" t="str"/>
      <x:c r="R574" s="2" t="str"/>
      <x:c r="S574" s="2" t="str"/>
      <x:c r="T574" s="2" t="str"/>
      <x:c r="U574" s="2" t="str"/>
      <x:c r="V574" s="2" t="str">
        <x:v>아니오</x:v>
      </x:c>
      <x:c r="W574" s="2" t="str">
        <x:v>예</x:v>
      </x:c>
      <x:c r="X574" s="2" t="str">
        <x:v>ichi1</x:v>
      </x:c>
      <x:c r="Y574" s="2" t="n">
        <x:v>100</x:v>
      </x:c>
      <x:c r="Z574" s="2" t="str">
        <x:v>ichi1</x:v>
      </x:c>
      <x:c r="AA574" s="2" t="n">
        <x:v>100</x:v>
      </x:c>
      <x:c r="AB574" s="8" t="str">
        <x:v>ateji (phonetic) reading</x:v>
      </x:c>
      <x:c r="AC574" s="8" t="str"/>
      <x:c r="AD574" s="8" t="str">
        <x:v>["ko-reviewed"]</x:v>
      </x:c>
      <x:c r="AE574" s="8" t="str">
        <x:v>검토 필요</x:v>
      </x:c>
      <x:c r="AF574" s="8" t="str"/>
    </x:row>
    <x:row r="575">
      <x:c r="A575" s="10" t="n">
        <x:v>574</x:v>
      </x:c>
      <x:c r="B575" s="2" t="str">
        <x:v>2차 보류</x:v>
      </x:c>
      <x:c r="C575" s="2" t="str">
        <x:v>2차 보류</x:v>
      </x:c>
      <x:c r="D575" s="2" t="str">
        <x:v>낮음</x:v>
      </x:c>
      <x:c r="E575" s="2" t="str">
        <x:v>N1</x:v>
      </x:c>
      <x:c r="F575" s="10" t="n">
        <x:v>227</x:v>
      </x:c>
      <x:c r="G575" s="2" t="str">
        <x:v>w_4b25d8afface826b</x:v>
      </x:c>
      <x:c r="H575" s="2" t="str">
        <x:v>ミスプリント</x:v>
      </x:c>
      <x:c r="I575" s="2" t="str">
        <x:v>ミスプリント</x:v>
      </x:c>
      <x:c r="J575" s="8" t="str">
        <x:v>오식, 인쇄 오류</x:v>
      </x:c>
      <x:c r="K575" s="2" t="str">
        <x:v>noun</x:v>
      </x:c>
      <x:c r="L575" s="9" t="n">
        <x:v>1.24</x:v>
      </x:c>
      <x:c r="M575" s="2" t="str">
        <x:v>없음</x:v>
      </x:c>
      <x:c r="N575" s="11" t="n">
        <x:v>13</x:v>
      </x:c>
      <x:c r="O575" s="8" t="str">
        <x:v>일반 사용 빈도 매우 낮음(Zipf ≤ 1.5); 검증된 예문 없음</x:v>
      </x:c>
      <x:c r="P575" s="8" t="str">
        <x:v>frequency_le_1_5,no_example</x:v>
      </x:c>
      <x:c r="Q575" s="2" t="str"/>
      <x:c r="R575" s="2" t="str"/>
      <x:c r="S575" s="2" t="str"/>
      <x:c r="T575" s="2" t="str"/>
      <x:c r="U575" s="2" t="str"/>
      <x:c r="V575" s="2" t="str">
        <x:v>아니오</x:v>
      </x:c>
      <x:c r="W575" s="2" t="str">
        <x:v>예</x:v>
      </x:c>
      <x:c r="X575" s="2" t="str">
        <x:v>ichi1</x:v>
      </x:c>
      <x:c r="Y575" s="2" t="n">
        <x:v>100</x:v>
      </x:c>
      <x:c r="Z575" s="2" t="str">
        <x:v>ichi1</x:v>
      </x:c>
      <x:c r="AA575" s="2" t="n">
        <x:v>100</x:v>
      </x:c>
      <x:c r="AB575" s="8" t="str"/>
      <x:c r="AC575" s="8" t="str"/>
      <x:c r="AD575" s="8" t="str">
        <x:v>["ko-reviewed"]</x:v>
      </x:c>
      <x:c r="AE575" s="8" t="str">
        <x:v>검토 필요</x:v>
      </x:c>
      <x:c r="AF575" s="8" t="str"/>
    </x:row>
    <x:row r="576">
      <x:c r="A576" s="10" t="n">
        <x:v>575</x:v>
      </x:c>
      <x:c r="B576" s="2" t="str">
        <x:v>2차 보류</x:v>
      </x:c>
      <x:c r="C576" s="2" t="str">
        <x:v>2차 보류</x:v>
      </x:c>
      <x:c r="D576" s="2" t="str">
        <x:v>낮음</x:v>
      </x:c>
      <x:c r="E576" s="2" t="str">
        <x:v>N1</x:v>
      </x:c>
      <x:c r="F576" s="10" t="n">
        <x:v>228</x:v>
      </x:c>
      <x:c r="G576" s="2" t="str">
        <x:v>w_bab2e8ffc8930556</x:v>
      </x:c>
      <x:c r="H576" s="2" t="str">
        <x:v>夜具</x:v>
      </x:c>
      <x:c r="I576" s="2" t="str">
        <x:v>やぐ</x:v>
      </x:c>
      <x:c r="J576" s="8" t="str">
        <x:v>침구</x:v>
      </x:c>
      <x:c r="K576" s="2" t="str">
        <x:v>noun</x:v>
      </x:c>
      <x:c r="L576" s="9" t="n">
        <x:v>1.24</x:v>
      </x:c>
      <x:c r="M576" s="2" t="str">
        <x:v>없음</x:v>
      </x:c>
      <x:c r="N576" s="11" t="n">
        <x:v>13</x:v>
      </x:c>
      <x:c r="O576" s="8" t="str">
        <x:v>일반 사용 빈도 매우 낮음(Zipf ≤ 1.5); 검증된 예문 없음</x:v>
      </x:c>
      <x:c r="P576" s="8" t="str">
        <x:v>frequency_le_1_5,no_example</x:v>
      </x:c>
      <x:c r="Q576" s="2" t="str"/>
      <x:c r="R576" s="2" t="str"/>
      <x:c r="S576" s="2" t="str"/>
      <x:c r="T576" s="2" t="str"/>
      <x:c r="U576" s="2" t="str"/>
      <x:c r="V576" s="2" t="str">
        <x:v>아니오</x:v>
      </x:c>
      <x:c r="W576" s="2" t="str">
        <x:v>예</x:v>
      </x:c>
      <x:c r="X576" s="2" t="str">
        <x:v>ichi1</x:v>
      </x:c>
      <x:c r="Y576" s="2" t="n">
        <x:v>100</x:v>
      </x:c>
      <x:c r="Z576" s="2" t="str">
        <x:v>ichi1</x:v>
      </x:c>
      <x:c r="AA576" s="2" t="n">
        <x:v>100</x:v>
      </x:c>
      <x:c r="AB576" s="8" t="str"/>
      <x:c r="AC576" s="8" t="str"/>
      <x:c r="AD576" s="8" t="str">
        <x:v>["ko-reviewed"]</x:v>
      </x:c>
      <x:c r="AE576" s="8" t="str">
        <x:v>검토 필요</x:v>
      </x:c>
      <x:c r="AF576" s="8" t="str"/>
    </x:row>
    <x:row r="577">
      <x:c r="A577" s="10" t="n">
        <x:v>576</x:v>
      </x:c>
      <x:c r="B577" s="2" t="str">
        <x:v>2차 보류</x:v>
      </x:c>
      <x:c r="C577" s="2" t="str">
        <x:v>2차 보류</x:v>
      </x:c>
      <x:c r="D577" s="2" t="str">
        <x:v>낮음</x:v>
      </x:c>
      <x:c r="E577" s="2" t="str">
        <x:v>N1</x:v>
      </x:c>
      <x:c r="F577" s="10" t="n">
        <x:v>229</x:v>
      </x:c>
      <x:c r="G577" s="2" t="str">
        <x:v>w_809e6df92f7c76d7</x:v>
      </x:c>
      <x:c r="H577" s="2" t="str">
        <x:v>書き取る</x:v>
      </x:c>
      <x:c r="I577" s="2" t="str">
        <x:v>かきとる</x:v>
      </x:c>
      <x:c r="J577" s="8" t="str">
        <x:v>받아쓰다, 적어 내다</x:v>
      </x:c>
      <x:c r="K577" s="2" t="str">
        <x:v>verb</x:v>
      </x:c>
      <x:c r="L577" s="9" t="n">
        <x:v>1.29</x:v>
      </x:c>
      <x:c r="M577" s="2" t="str">
        <x:v>없음</x:v>
      </x:c>
      <x:c r="N577" s="11" t="n">
        <x:v>13</x:v>
      </x:c>
      <x:c r="O577" s="8" t="str">
        <x:v>일반 사용 빈도 매우 낮음(Zipf ≤ 1.5); 검증된 예문 없음</x:v>
      </x:c>
      <x:c r="P577" s="8" t="str">
        <x:v>frequency_le_1_5,no_example</x:v>
      </x:c>
      <x:c r="Q577" s="2" t="str"/>
      <x:c r="R577" s="2" t="str"/>
      <x:c r="S577" s="2" t="str"/>
      <x:c r="T577" s="2" t="str"/>
      <x:c r="U577" s="2" t="str"/>
      <x:c r="V577" s="2" t="str">
        <x:v>아니오</x:v>
      </x:c>
      <x:c r="W577" s="2" t="str">
        <x:v>예</x:v>
      </x:c>
      <x:c r="X577" s="2" t="str">
        <x:v>ichi1</x:v>
      </x:c>
      <x:c r="Y577" s="2" t="n">
        <x:v>100</x:v>
      </x:c>
      <x:c r="Z577" s="2" t="str">
        <x:v>ichi1</x:v>
      </x:c>
      <x:c r="AA577" s="2" t="n">
        <x:v>100</x:v>
      </x:c>
      <x:c r="AB577" s="8" t="str"/>
      <x:c r="AC577" s="8" t="str"/>
      <x:c r="AD577" s="8" t="str">
        <x:v>["ko-reviewed"]</x:v>
      </x:c>
      <x:c r="AE577" s="8" t="str">
        <x:v>검토 필요</x:v>
      </x:c>
      <x:c r="AF577" s="8" t="str"/>
    </x:row>
    <x:row r="578">
      <x:c r="A578" s="10" t="n">
        <x:v>577</x:v>
      </x:c>
      <x:c r="B578" s="2" t="str">
        <x:v>2차 보류</x:v>
      </x:c>
      <x:c r="C578" s="2" t="str">
        <x:v>2차 보류</x:v>
      </x:c>
      <x:c r="D578" s="2" t="str">
        <x:v>낮음</x:v>
      </x:c>
      <x:c r="E578" s="2" t="str">
        <x:v>N2</x:v>
      </x:c>
      <x:c r="F578" s="10" t="n">
        <x:v>209</x:v>
      </x:c>
      <x:c r="G578" s="2" t="str">
        <x:v>w_3ffdbe21aecf8ffc</x:v>
      </x:c>
      <x:c r="H578" s="2" t="str">
        <x:v>明明後日</x:v>
      </x:c>
      <x:c r="I578" s="2" t="str">
        <x:v>しあさって</x:v>
      </x:c>
      <x:c r="J578" s="8" t="str">
        <x:v>글피</x:v>
      </x:c>
      <x:c r="K578" s="2" t="str">
        <x:v>noun</x:v>
      </x:c>
      <x:c r="L578" s="9" t="n">
        <x:v>1.33</x:v>
      </x:c>
      <x:c r="M578" s="2" t="str">
        <x:v>없음</x:v>
      </x:c>
      <x:c r="N578" s="11" t="n">
        <x:v>13</x:v>
      </x:c>
      <x:c r="O578" s="8" t="str">
        <x:v>일반 사용 빈도 매우 낮음(Zipf ≤ 1.5); 검증된 예문 없음</x:v>
      </x:c>
      <x:c r="P578" s="8" t="str">
        <x:v>frequency_le_1_5,no_example</x:v>
      </x:c>
      <x:c r="Q578" s="2" t="str"/>
      <x:c r="R578" s="2" t="str"/>
      <x:c r="S578" s="2" t="str"/>
      <x:c r="T578" s="2" t="str"/>
      <x:c r="U578" s="2" t="str"/>
      <x:c r="V578" s="2" t="str">
        <x:v>아니오</x:v>
      </x:c>
      <x:c r="W578" s="2" t="str">
        <x:v>예</x:v>
      </x:c>
      <x:c r="X578" s="2" t="str">
        <x:v>ichi1</x:v>
      </x:c>
      <x:c r="Y578" s="2" t="n">
        <x:v>100</x:v>
      </x:c>
      <x:c r="Z578" s="2" t="str"/>
      <x:c r="AA578" s="2" t="n">
        <x:v>0</x:v>
      </x:c>
      <x:c r="AB578" s="8" t="str"/>
      <x:c r="AC578" s="8" t="str"/>
      <x:c r="AD578" s="8" t="str">
        <x:v>["ko-reviewed"]</x:v>
      </x:c>
      <x:c r="AE578" s="8" t="str">
        <x:v>검토 필요</x:v>
      </x:c>
      <x:c r="AF578" s="8" t="str"/>
    </x:row>
    <x:row r="579">
      <x:c r="A579" s="10" t="n">
        <x:v>578</x:v>
      </x:c>
      <x:c r="B579" s="2" t="str">
        <x:v>2차 보류</x:v>
      </x:c>
      <x:c r="C579" s="2" t="str">
        <x:v>2차 보류</x:v>
      </x:c>
      <x:c r="D579" s="2" t="str">
        <x:v>낮음</x:v>
      </x:c>
      <x:c r="E579" s="2" t="str">
        <x:v>N2</x:v>
      </x:c>
      <x:c r="F579" s="10" t="n">
        <x:v>210</x:v>
      </x:c>
      <x:c r="G579" s="2" t="str">
        <x:v>w_67af86e2514f1964</x:v>
      </x:c>
      <x:c r="H579" s="2" t="str">
        <x:v>片寄る</x:v>
      </x:c>
      <x:c r="I579" s="2" t="str">
        <x:v>かたよる</x:v>
      </x:c>
      <x:c r="J579" s="8" t="str">
        <x:v>치우치다, 편향되다</x:v>
      </x:c>
      <x:c r="K579" s="2" t="str">
        <x:v>verb</x:v>
      </x:c>
      <x:c r="L579" s="9" t="n">
        <x:v>1.35</x:v>
      </x:c>
      <x:c r="M579" s="2" t="str">
        <x:v>없음</x:v>
      </x:c>
      <x:c r="N579" s="11" t="n">
        <x:v>13</x:v>
      </x:c>
      <x:c r="O579" s="8" t="str">
        <x:v>일반 사용 빈도 매우 낮음(Zipf ≤ 1.5); 검증된 예문 없음</x:v>
      </x:c>
      <x:c r="P579" s="8" t="str">
        <x:v>frequency_le_1_5,no_example</x:v>
      </x:c>
      <x:c r="Q579" s="2" t="str"/>
      <x:c r="R579" s="2" t="str"/>
      <x:c r="S579" s="2" t="str"/>
      <x:c r="T579" s="2" t="str"/>
      <x:c r="U579" s="2" t="str"/>
      <x:c r="V579" s="2" t="str">
        <x:v>아니오</x:v>
      </x:c>
      <x:c r="W579" s="2" t="str">
        <x:v>예</x:v>
      </x:c>
      <x:c r="X579" s="2" t="str">
        <x:v>ichi1,news2,nf34</x:v>
      </x:c>
      <x:c r="Y579" s="2" t="n">
        <x:v>100</x:v>
      </x:c>
      <x:c r="Z579" s="2" t="str">
        <x:v>ichi1</x:v>
      </x:c>
      <x:c r="AA579" s="2" t="n">
        <x:v>100</x:v>
      </x:c>
      <x:c r="AB579" s="8" t="str"/>
      <x:c r="AC579" s="8" t="str"/>
      <x:c r="AD579" s="8" t="str">
        <x:v>["ko-reviewed"]</x:v>
      </x:c>
      <x:c r="AE579" s="8" t="str">
        <x:v>검토 필요</x:v>
      </x:c>
      <x:c r="AF579" s="8" t="str"/>
    </x:row>
    <x:row r="580">
      <x:c r="A580" s="10" t="n">
        <x:v>579</x:v>
      </x:c>
      <x:c r="B580" s="2" t="str">
        <x:v>2차 보류</x:v>
      </x:c>
      <x:c r="C580" s="2" t="str">
        <x:v>2차 보류</x:v>
      </x:c>
      <x:c r="D580" s="2" t="str">
        <x:v>낮음</x:v>
      </x:c>
      <x:c r="E580" s="2" t="str">
        <x:v>N1</x:v>
      </x:c>
      <x:c r="F580" s="10" t="n">
        <x:v>230</x:v>
      </x:c>
      <x:c r="G580" s="2" t="str">
        <x:v>w_ddf3685cda51dfc4</x:v>
      </x:c>
      <x:c r="H580" s="2" t="str">
        <x:v>謹む</x:v>
      </x:c>
      <x:c r="I580" s="2" t="str">
        <x:v>つつしむ</x:v>
      </x:c>
      <x:c r="J580" s="8" t="str">
        <x:v>삼가다</x:v>
      </x:c>
      <x:c r="K580" s="2" t="str">
        <x:v>verb</x:v>
      </x:c>
      <x:c r="L580" s="9" t="n">
        <x:v>1.36</x:v>
      </x:c>
      <x:c r="M580" s="2" t="str">
        <x:v>없음</x:v>
      </x:c>
      <x:c r="N580" s="11" t="n">
        <x:v>13</x:v>
      </x:c>
      <x:c r="O580" s="8" t="str">
        <x:v>일반 사용 빈도 매우 낮음(Zipf ≤ 1.5); 검증된 예문 없음</x:v>
      </x:c>
      <x:c r="P580" s="8" t="str">
        <x:v>frequency_le_1_5,no_example</x:v>
      </x:c>
      <x:c r="Q580" s="2" t="str"/>
      <x:c r="R580" s="2" t="str"/>
      <x:c r="S580" s="2" t="str"/>
      <x:c r="T580" s="2" t="str"/>
      <x:c r="U580" s="2" t="str"/>
      <x:c r="V580" s="2" t="str">
        <x:v>아니오</x:v>
      </x:c>
      <x:c r="W580" s="2" t="str">
        <x:v>예</x:v>
      </x:c>
      <x:c r="X580" s="2" t="str">
        <x:v>ichi1,ichi2,news2,nf47</x:v>
      </x:c>
      <x:c r="Y580" s="2" t="n">
        <x:v>100</x:v>
      </x:c>
      <x:c r="Z580" s="2" t="str">
        <x:v>ichi2</x:v>
      </x:c>
      <x:c r="AA580" s="2" t="n">
        <x:v>70</x:v>
      </x:c>
      <x:c r="AB580" s="8" t="str">
        <x:v>usu. 慎む</x:v>
      </x:c>
      <x:c r="AC580" s="8" t="str"/>
      <x:c r="AD580" s="8" t="str">
        <x:v>["ko-reviewed"]</x:v>
      </x:c>
      <x:c r="AE580" s="8" t="str">
        <x:v>검토 필요</x:v>
      </x:c>
      <x:c r="AF580" s="8" t="str"/>
    </x:row>
    <x:row r="581">
      <x:c r="A581" s="10" t="n">
        <x:v>580</x:v>
      </x:c>
      <x:c r="B581" s="2" t="str">
        <x:v>2차 보류</x:v>
      </x:c>
      <x:c r="C581" s="2" t="str">
        <x:v>2차 보류</x:v>
      </x:c>
      <x:c r="D581" s="2" t="str">
        <x:v>낮음</x:v>
      </x:c>
      <x:c r="E581" s="2" t="str">
        <x:v>N2</x:v>
      </x:c>
      <x:c r="F581" s="10" t="n">
        <x:v>211</x:v>
      </x:c>
      <x:c r="G581" s="2" t="str">
        <x:v>w_2735e9745df8d0ac</x:v>
      </x:c>
      <x:c r="H581" s="2" t="str">
        <x:v>レクリェーション</x:v>
      </x:c>
      <x:c r="I581" s="2" t="str">
        <x:v>レクリェーション</x:v>
      </x:c>
      <x:c r="J581" s="8" t="str">
        <x:v>레크리에이션, 여가 활동</x:v>
      </x:c>
      <x:c r="K581" s="2" t="str">
        <x:v>noun</x:v>
      </x:c>
      <x:c r="L581" s="9" t="n">
        <x:v>1.42</x:v>
      </x:c>
      <x:c r="M581" s="2" t="str">
        <x:v>없음</x:v>
      </x:c>
      <x:c r="N581" s="11" t="n">
        <x:v>13</x:v>
      </x:c>
      <x:c r="O581" s="8" t="str">
        <x:v>일반 사용 빈도 매우 낮음(Zipf ≤ 1.5); 검증된 예문 없음</x:v>
      </x:c>
      <x:c r="P581" s="8" t="str">
        <x:v>frequency_le_1_5,no_example</x:v>
      </x:c>
      <x:c r="Q581" s="2" t="str"/>
      <x:c r="R581" s="2" t="str"/>
      <x:c r="S581" s="2" t="str"/>
      <x:c r="T581" s="2" t="str"/>
      <x:c r="U581" s="2" t="str"/>
      <x:c r="V581" s="2" t="str">
        <x:v>아니오</x:v>
      </x:c>
      <x:c r="W581" s="2" t="str">
        <x:v>예</x:v>
      </x:c>
      <x:c r="X581" s="2" t="str">
        <x:v>ichi1</x:v>
      </x:c>
      <x:c r="Y581" s="2" t="n">
        <x:v>100</x:v>
      </x:c>
      <x:c r="Z581" s="2" t="str">
        <x:v>ichi1</x:v>
      </x:c>
      <x:c r="AA581" s="2" t="n">
        <x:v>100</x:v>
      </x:c>
      <x:c r="AB581" s="8" t="str"/>
      <x:c r="AC581" s="8" t="str"/>
      <x:c r="AD581" s="8" t="str">
        <x:v>["backfill-replacement","assistant-ko-reviewed"]</x:v>
      </x:c>
      <x:c r="AE581" s="8" t="str">
        <x:v>검토 필요</x:v>
      </x:c>
      <x:c r="AF581" s="8" t="str"/>
    </x:row>
    <x:row r="582">
      <x:c r="A582" s="10" t="n">
        <x:v>581</x:v>
      </x:c>
      <x:c r="B582" s="2" t="str">
        <x:v>2차 보류</x:v>
      </x:c>
      <x:c r="C582" s="2" t="str">
        <x:v>2차 보류</x:v>
      </x:c>
      <x:c r="D582" s="2" t="str">
        <x:v>낮음</x:v>
      </x:c>
      <x:c r="E582" s="2" t="str">
        <x:v>N1</x:v>
      </x:c>
      <x:c r="F582" s="10" t="n">
        <x:v>231</x:v>
      </x:c>
      <x:c r="G582" s="2" t="str">
        <x:v>w_0bf4a8af3babd67d</x:v>
      </x:c>
      <x:c r="H582" s="2" t="str">
        <x:v>余所見</x:v>
      </x:c>
      <x:c r="I582" s="2" t="str">
        <x:v>よそみ</x:v>
      </x:c>
      <x:c r="J582" s="8" t="str">
        <x:v>딴 데 봄, 한눈팖</x:v>
      </x:c>
      <x:c r="K582" s="2" t="str">
        <x:v>noun</x:v>
      </x:c>
      <x:c r="L582" s="9" t="n">
        <x:v>1.48</x:v>
      </x:c>
      <x:c r="M582" s="2" t="str">
        <x:v>없음</x:v>
      </x:c>
      <x:c r="N582" s="11" t="n">
        <x:v>13</x:v>
      </x:c>
      <x:c r="O582" s="8" t="str">
        <x:v>일반 사용 빈도 매우 낮음(Zipf ≤ 1.5); 검증된 예문 없음</x:v>
      </x:c>
      <x:c r="P582" s="8" t="str">
        <x:v>frequency_le_1_5,no_example</x:v>
      </x:c>
      <x:c r="Q582" s="2" t="str"/>
      <x:c r="R582" s="2" t="str"/>
      <x:c r="S582" s="2" t="str"/>
      <x:c r="T582" s="2" t="str"/>
      <x:c r="U582" s="2" t="str"/>
      <x:c r="V582" s="2" t="str">
        <x:v>아니오</x:v>
      </x:c>
      <x:c r="W582" s="2" t="str">
        <x:v>예</x:v>
      </x:c>
      <x:c r="X582" s="2" t="str">
        <x:v>ichi1</x:v>
      </x:c>
      <x:c r="Y582" s="2" t="n">
        <x:v>100</x:v>
      </x:c>
      <x:c r="Z582" s="2" t="str"/>
      <x:c r="AA582" s="2" t="n">
        <x:v>0</x:v>
      </x:c>
      <x:c r="AB582" s="8" t="str"/>
      <x:c r="AC582" s="8" t="str"/>
      <x:c r="AD582" s="8" t="str">
        <x:v>["backfill-replacement","assistant-ko-reviewed"]</x:v>
      </x:c>
      <x:c r="AE582" s="8" t="str">
        <x:v>검토 필요</x:v>
      </x:c>
      <x:c r="AF582" s="8" t="str"/>
    </x:row>
    <x:row r="583">
      <x:c r="A583" s="10" t="n">
        <x:v>582</x:v>
      </x:c>
      <x:c r="B583" s="2" t="str">
        <x:v>2차 보류</x:v>
      </x:c>
      <x:c r="C583" s="2" t="str">
        <x:v>2차 보류</x:v>
      </x:c>
      <x:c r="D583" s="2" t="str">
        <x:v>낮음</x:v>
      </x:c>
      <x:c r="E583" s="2" t="str">
        <x:v>N2</x:v>
      </x:c>
      <x:c r="F583" s="10" t="n">
        <x:v>212</x:v>
      </x:c>
      <x:c r="G583" s="2" t="str">
        <x:v>w_9eca3f5e09ab7536</x:v>
      </x:c>
      <x:c r="H583" s="2" t="str">
        <x:v>引っ繰り返る</x:v>
      </x:c>
      <x:c r="I583" s="2" t="str">
        <x:v>ひっくりかえる</x:v>
      </x:c>
      <x:c r="J583" s="8" t="str">
        <x:v>뒤집히다, 엎어지다</x:v>
      </x:c>
      <x:c r="K583" s="2" t="str">
        <x:v>verb</x:v>
      </x:c>
      <x:c r="L583" s="9" t="n">
        <x:v>1.5</x:v>
      </x:c>
      <x:c r="M583" s="2" t="str">
        <x:v>없음</x:v>
      </x:c>
      <x:c r="N583" s="11" t="n">
        <x:v>13</x:v>
      </x:c>
      <x:c r="O583" s="8" t="str">
        <x:v>일반 사용 빈도 매우 낮음(Zipf ≤ 1.5); 검증된 예문 없음</x:v>
      </x:c>
      <x:c r="P583" s="8" t="str">
        <x:v>frequency_le_1_5,no_example</x:v>
      </x:c>
      <x:c r="Q583" s="2" t="str"/>
      <x:c r="R583" s="2" t="str"/>
      <x:c r="S583" s="2" t="str"/>
      <x:c r="T583" s="2" t="str"/>
      <x:c r="U583" s="2" t="str"/>
      <x:c r="V583" s="2" t="str">
        <x:v>아니오</x:v>
      </x:c>
      <x:c r="W583" s="2" t="str">
        <x:v>예</x:v>
      </x:c>
      <x:c r="X583" s="2" t="str">
        <x:v>ichi2,spec1</x:v>
      </x:c>
      <x:c r="Y583" s="2" t="n">
        <x:v>100</x:v>
      </x:c>
      <x:c r="Z583" s="2" t="str">
        <x:v>ichi2</x:v>
      </x:c>
      <x:c r="AA583" s="2" t="n">
        <x:v>70</x:v>
      </x:c>
      <x:c r="AB583" s="8" t="str"/>
      <x:c r="AC583" s="8" t="str"/>
      <x:c r="AD583" s="8" t="str">
        <x:v>["ko-reviewed"]</x:v>
      </x:c>
      <x:c r="AE583" s="8" t="str">
        <x:v>검토 필요</x:v>
      </x:c>
      <x:c r="AF583" s="8" t="str"/>
    </x:row>
    <x:row r="584">
      <x:c r="A584" s="10" t="n">
        <x:v>583</x:v>
      </x:c>
      <x:c r="B584" s="2" t="str">
        <x:v>2차 보류</x:v>
      </x:c>
      <x:c r="C584" s="2" t="str">
        <x:v>2차 보류</x:v>
      </x:c>
      <x:c r="D584" s="2" t="str">
        <x:v>낮음</x:v>
      </x:c>
      <x:c r="E584" s="2" t="str">
        <x:v>N1</x:v>
      </x:c>
      <x:c r="F584" s="10" t="n">
        <x:v>232</x:v>
      </x:c>
      <x:c r="G584" s="2" t="str">
        <x:v>w_d09018af99e4bb60</x:v>
      </x:c>
      <x:c r="H584" s="2" t="str">
        <x:v>うつむく</x:v>
      </x:c>
      <x:c r="I584" s="2" t="str">
        <x:v>うつむく</x:v>
      </x:c>
      <x:c r="J584" s="8" t="str">
        <x:v>고개를 숙이다</x:v>
      </x:c>
      <x:c r="K584" s="2" t="str">
        <x:v>verb</x:v>
      </x:c>
      <x:c r="L584" s="9" t="n">
        <x:v>1.79</x:v>
      </x:c>
      <x:c r="M584" s="2" t="str">
        <x:v>있음</x:v>
      </x:c>
      <x:c r="N584" s="11" t="n">
        <x:v>13</x:v>
      </x:c>
      <x:c r="O584" s="8" t="str">
        <x:v>일반 사용 빈도 매우 낮음(Zipf ≤ 2.0); JMdict 우선 어휘 표지 없음</x:v>
      </x:c>
      <x:c r="P584" s="8" t="str">
        <x:v>frequency_le_2_0,no_jmdict_priority</x:v>
      </x:c>
      <x:c r="Q584" s="2" t="str"/>
      <x:c r="R584" s="2" t="str"/>
      <x:c r="S584" s="2" t="str"/>
      <x:c r="T584" s="2" t="str"/>
      <x:c r="U584" s="2" t="str"/>
      <x:c r="V584" s="2" t="str">
        <x:v>아니오</x:v>
      </x:c>
      <x:c r="W584" s="2" t="str">
        <x:v>아니오</x:v>
      </x:c>
      <x:c r="X584" s="2" t="str"/>
      <x:c r="Y584" s="2" t="n">
        <x:v>0</x:v>
      </x:c>
      <x:c r="Z584" s="2" t="str"/>
      <x:c r="AA584" s="2" t="n">
        <x:v>0</x:v>
      </x:c>
      <x:c r="AB584" s="8" t="str"/>
      <x:c r="AC584" s="8" t="str"/>
      <x:c r="AD584" s="8" t="str">
        <x:v>["ko-reviewed"]</x:v>
      </x:c>
      <x:c r="AE584" s="8" t="str">
        <x:v>검토 필요</x:v>
      </x:c>
      <x:c r="AF584" s="8" t="str"/>
    </x:row>
    <x:row r="585">
      <x:c r="A585" s="10" t="n">
        <x:v>584</x:v>
      </x:c>
      <x:c r="B585" s="2" t="str">
        <x:v>2차 보류</x:v>
      </x:c>
      <x:c r="C585" s="2" t="str">
        <x:v>2차 보류</x:v>
      </x:c>
      <x:c r="D585" s="2" t="str">
        <x:v>낮음</x:v>
      </x:c>
      <x:c r="E585" s="2" t="str">
        <x:v>N1</x:v>
      </x:c>
      <x:c r="F585" s="10" t="n">
        <x:v>233</x:v>
      </x:c>
      <x:c r="G585" s="2" t="str">
        <x:v>w_9b601d59fbe8d65d</x:v>
      </x:c>
      <x:c r="H585" s="2" t="str">
        <x:v>とがめる</x:v>
      </x:c>
      <x:c r="I585" s="2" t="str">
        <x:v>とがめる</x:v>
      </x:c>
      <x:c r="J585" s="8" t="str">
        <x:v>나무라다, 책망하다</x:v>
      </x:c>
      <x:c r="K585" s="2" t="str">
        <x:v>verb</x:v>
      </x:c>
      <x:c r="L585" s="9" t="n">
        <x:v>1.87</x:v>
      </x:c>
      <x:c r="M585" s="2" t="str">
        <x:v>있음</x:v>
      </x:c>
      <x:c r="N585" s="11" t="n">
        <x:v>13</x:v>
      </x:c>
      <x:c r="O585" s="8" t="str">
        <x:v>일반 사용 빈도 매우 낮음(Zipf ≤ 2.0); JMdict 우선 어휘 표지 없음</x:v>
      </x:c>
      <x:c r="P585" s="8" t="str">
        <x:v>frequency_le_2_0,no_jmdict_priority</x:v>
      </x:c>
      <x:c r="Q585" s="2" t="str"/>
      <x:c r="R585" s="2" t="str"/>
      <x:c r="S585" s="2" t="str"/>
      <x:c r="T585" s="2" t="str"/>
      <x:c r="U585" s="2" t="str"/>
      <x:c r="V585" s="2" t="str">
        <x:v>아니오</x:v>
      </x:c>
      <x:c r="W585" s="2" t="str">
        <x:v>아니오</x:v>
      </x:c>
      <x:c r="X585" s="2" t="str"/>
      <x:c r="Y585" s="2" t="n">
        <x:v>0</x:v>
      </x:c>
      <x:c r="Z585" s="2" t="str"/>
      <x:c r="AA585" s="2" t="n">
        <x:v>0</x:v>
      </x:c>
      <x:c r="AB585" s="8" t="str"/>
      <x:c r="AC585" s="8" t="str"/>
      <x:c r="AD585" s="8" t="str">
        <x:v>["ko-reviewed"]</x:v>
      </x:c>
      <x:c r="AE585" s="8" t="str">
        <x:v>검토 필요</x:v>
      </x:c>
      <x:c r="AF585" s="8" t="str"/>
    </x:row>
    <x:row r="586">
      <x:c r="A586" s="10" t="n">
        <x:v>585</x:v>
      </x:c>
      <x:c r="B586" s="2" t="str">
        <x:v>2차 보류</x:v>
      </x:c>
      <x:c r="C586" s="2" t="str">
        <x:v>2차 보류</x:v>
      </x:c>
      <x:c r="D586" s="2" t="str">
        <x:v>낮음</x:v>
      </x:c>
      <x:c r="E586" s="2" t="str">
        <x:v>N1</x:v>
      </x:c>
      <x:c r="F586" s="10" t="n">
        <x:v>234</x:v>
      </x:c>
      <x:c r="G586" s="2" t="str">
        <x:v>w_30df0c1b9dff70f7</x:v>
      </x:c>
      <x:c r="H586" s="2" t="str">
        <x:v>トランジスター</x:v>
      </x:c>
      <x:c r="I586" s="2" t="str">
        <x:v>トランジスター</x:v>
      </x:c>
      <x:c r="J586" s="8" t="str">
        <x:v>트랜지스터</x:v>
      </x:c>
      <x:c r="K586" s="2" t="str">
        <x:v>noun</x:v>
      </x:c>
      <x:c r="L586" s="9" t="n">
        <x:v>1.89</x:v>
      </x:c>
      <x:c r="M586" s="2" t="str">
        <x:v>있음</x:v>
      </x:c>
      <x:c r="N586" s="11" t="n">
        <x:v>13</x:v>
      </x:c>
      <x:c r="O586" s="8" t="str">
        <x:v>일반 사용 빈도 매우 낮음(Zipf ≤ 2.0); JMdict 우선 어휘 표지 없음</x:v>
      </x:c>
      <x:c r="P586" s="8" t="str">
        <x:v>frequency_le_2_0,no_jmdict_priority</x:v>
      </x:c>
      <x:c r="Q586" s="2" t="str"/>
      <x:c r="R586" s="2" t="str"/>
      <x:c r="S586" s="2" t="str"/>
      <x:c r="T586" s="2" t="str"/>
      <x:c r="U586" s="2" t="str"/>
      <x:c r="V586" s="2" t="str">
        <x:v>아니오</x:v>
      </x:c>
      <x:c r="W586" s="2" t="str">
        <x:v>예</x:v>
      </x:c>
      <x:c r="X586" s="2" t="str"/>
      <x:c r="Y586" s="2" t="n">
        <x:v>0</x:v>
      </x:c>
      <x:c r="Z586" s="2" t="str"/>
      <x:c r="AA586" s="2" t="n">
        <x:v>0</x:v>
      </x:c>
      <x:c r="AB586" s="8" t="str"/>
      <x:c r="AC586" s="8" t="str"/>
      <x:c r="AD586" s="8" t="str">
        <x:v>["ko-reviewed"]</x:v>
      </x:c>
      <x:c r="AE586" s="8" t="str">
        <x:v>검토 필요</x:v>
      </x:c>
      <x:c r="AF586" s="8" t="str"/>
    </x:row>
    <x:row r="587">
      <x:c r="A587" s="10" t="n">
        <x:v>586</x:v>
      </x:c>
      <x:c r="B587" s="2" t="str">
        <x:v>1차 검토 후보</x:v>
      </x:c>
      <x:c r="C587" s="2" t="str">
        <x:v>표기 교정·교체 검토</x:v>
      </x:c>
      <x:c r="D587" s="2" t="str">
        <x:v>중간</x:v>
      </x:c>
      <x:c r="E587" s="2" t="str">
        <x:v>N3</x:v>
      </x:c>
      <x:c r="F587" s="10" t="n">
        <x:v>76</x:v>
      </x:c>
      <x:c r="G587" s="2" t="str">
        <x:v>w_8ed492347d7f1855</x:v>
      </x:c>
      <x:c r="H587" s="2" t="str">
        <x:v>付合う</x:v>
      </x:c>
      <x:c r="I587" s="2" t="str">
        <x:v>つきあう</x:v>
      </x:c>
      <x:c r="J587" s="8" t="str">
        <x:v>사귀다, 어울리다</x:v>
      </x:c>
      <x:c r="K587" s="2" t="str">
        <x:v>verb</x:v>
      </x:c>
      <x:c r="L587" s="9" t="n">
        <x:v>2.83</x:v>
      </x:c>
      <x:c r="M587" s="2" t="str">
        <x:v>없음</x:v>
      </x:c>
      <x:c r="N587" s="11" t="n">
        <x:v>13</x:v>
      </x:c>
      <x:c r="O587" s="8" t="str">
        <x:v>일반 사용 빈도 낮은 편(Zipf ≤ 3.0); JMdict에서 희귀·비표준 표기로 표시; 검증된 예문 없음</x:v>
      </x:c>
      <x:c r="P587" s="8" t="str">
        <x:v>frequency_le_3_0,jmdict_uncommon_or_irregular,no_example</x:v>
      </x:c>
      <x:c r="Q587" s="2" t="str"/>
      <x:c r="R587" s="2" t="str"/>
      <x:c r="S587" s="2" t="str"/>
      <x:c r="T587" s="2" t="str"/>
      <x:c r="U587" s="2" t="str"/>
      <x:c r="V587" s="2" t="str">
        <x:v>아니오</x:v>
      </x:c>
      <x:c r="W587" s="2" t="str">
        <x:v>예</x:v>
      </x:c>
      <x:c r="X587" s="2" t="str">
        <x:v>ichi1,news2,nf45</x:v>
      </x:c>
      <x:c r="Y587" s="2" t="n">
        <x:v>100</x:v>
      </x:c>
      <x:c r="Z587" s="2" t="str"/>
      <x:c r="AA587" s="2" t="n">
        <x:v>0</x:v>
      </x:c>
      <x:c r="AB587" s="8" t="str">
        <x:v>search-only kanji form</x:v>
      </x:c>
      <x:c r="AC587" s="8" t="str"/>
      <x:c r="AD587" s="8" t="str">
        <x:v>["ko-reviewed","manual-curated","freq-core"]</x:v>
      </x:c>
      <x:c r="AE587" s="8" t="str">
        <x:v>검토 필요</x:v>
      </x:c>
      <x:c r="AF587" s="8" t="str"/>
    </x:row>
    <x:row r="588">
      <x:c r="A588" s="10" t="n">
        <x:v>587</x:v>
      </x:c>
      <x:c r="B588" s="2" t="str">
        <x:v>2차 보류</x:v>
      </x:c>
      <x:c r="C588" s="2" t="str">
        <x:v>2차 보류</x:v>
      </x:c>
      <x:c r="D588" s="2" t="str">
        <x:v>낮음</x:v>
      </x:c>
      <x:c r="E588" s="2" t="str">
        <x:v>N2</x:v>
      </x:c>
      <x:c r="F588" s="10" t="n">
        <x:v>213</x:v>
      </x:c>
      <x:c r="G588" s="2" t="str">
        <x:v>w_6b6e38dc50e40828</x:v>
      </x:c>
      <x:c r="H588" s="2" t="str">
        <x:v>煙い</x:v>
      </x:c>
      <x:c r="I588" s="2" t="str">
        <x:v>けむい</x:v>
      </x:c>
      <x:c r="J588" s="8" t="str">
        <x:v>연기 나는</x:v>
      </x:c>
      <x:c r="K588" s="2" t="str">
        <x:v>adjective</x:v>
      </x:c>
      <x:c r="L588" s="9" t="n">
        <x:v>1.54</x:v>
      </x:c>
      <x:c r="M588" s="2" t="str">
        <x:v>없음</x:v>
      </x:c>
      <x:c r="N588" s="11" t="n">
        <x:v>12</x:v>
      </x:c>
      <x:c r="O588" s="8" t="str">
        <x:v>일반 사용 빈도 매우 낮음(Zipf ≤ 2.0); 검증된 예문 없음; 기존 데이터의 한국어 콘텐츠 보강 필요 태그</x:v>
      </x:c>
      <x:c r="P588" s="8" t="str">
        <x:v>frequency_le_2_0,no_example,weak_legacy_content</x:v>
      </x:c>
      <x:c r="Q588" s="2" t="str"/>
      <x:c r="R588" s="2" t="str"/>
      <x:c r="S588" s="2" t="str"/>
      <x:c r="T588" s="2" t="str"/>
      <x:c r="U588" s="2" t="str"/>
      <x:c r="V588" s="2" t="str">
        <x:v>아니오</x:v>
      </x:c>
      <x:c r="W588" s="2" t="str">
        <x:v>예</x:v>
      </x:c>
      <x:c r="X588" s="2" t="str">
        <x:v>ichi1</x:v>
      </x:c>
      <x:c r="Y588" s="2" t="n">
        <x:v>100</x:v>
      </x:c>
      <x:c r="Z588" s="2" t="str">
        <x:v>ichi1</x:v>
      </x:c>
      <x:c r="AA588" s="2" t="n">
        <x:v>100</x:v>
      </x:c>
      <x:c r="AB588" s="8" t="str"/>
      <x:c r="AC588" s="8" t="str"/>
      <x:c r="AD588" s="8" t="str">
        <x:v>["draft-ko-missing"]</x:v>
      </x:c>
      <x:c r="AE588" s="8" t="str">
        <x:v>검토 필요</x:v>
      </x:c>
      <x:c r="AF588" s="8" t="str"/>
    </x:row>
    <x:row r="589">
      <x:c r="A589" s="10" t="n">
        <x:v>588</x:v>
      </x:c>
      <x:c r="B589" s="2" t="str">
        <x:v>2차 보류</x:v>
      </x:c>
      <x:c r="C589" s="2" t="str">
        <x:v>2차 보류</x:v>
      </x:c>
      <x:c r="D589" s="2" t="str">
        <x:v>낮음</x:v>
      </x:c>
      <x:c r="E589" s="2" t="str">
        <x:v>N3</x:v>
      </x:c>
      <x:c r="F589" s="10" t="n">
        <x:v>77</x:v>
      </x:c>
      <x:c r="G589" s="2" t="str">
        <x:v>w_5f0873d4fe568acf</x:v>
      </x:c>
      <x:c r="H589" s="2" t="str">
        <x:v>著す</x:v>
      </x:c>
      <x:c r="I589" s="2" t="str">
        <x:v>あらわす</x:v>
      </x:c>
      <x:c r="J589" s="8" t="str">
        <x:v>쓰다, 출판하다</x:v>
      </x:c>
      <x:c r="K589" s="2" t="str">
        <x:v>verb</x:v>
      </x:c>
      <x:c r="L589" s="9" t="n">
        <x:v>1.56</x:v>
      </x:c>
      <x:c r="M589" s="2" t="str">
        <x:v>없음</x:v>
      </x:c>
      <x:c r="N589" s="11" t="n">
        <x:v>12</x:v>
      </x:c>
      <x:c r="O589" s="8" t="str">
        <x:v>일반 사용 빈도 매우 낮음(Zipf ≤ 2.0); 검증된 예문 없음; 기존 데이터의 한국어 콘텐츠 보강 필요 태그</x:v>
      </x:c>
      <x:c r="P589" s="8" t="str">
        <x:v>frequency_le_2_0,no_example,weak_legacy_content</x:v>
      </x:c>
      <x:c r="Q589" s="2" t="str"/>
      <x:c r="R589" s="2" t="str"/>
      <x:c r="S589" s="2" t="str"/>
      <x:c r="T589" s="2" t="str"/>
      <x:c r="U589" s="2" t="str"/>
      <x:c r="V589" s="2" t="str">
        <x:v>아니오</x:v>
      </x:c>
      <x:c r="W589" s="2" t="str">
        <x:v>예</x:v>
      </x:c>
      <x:c r="X589" s="2" t="str">
        <x:v>ichi1</x:v>
      </x:c>
      <x:c r="Y589" s="2" t="n">
        <x:v>100</x:v>
      </x:c>
      <x:c r="Z589" s="2" t="str">
        <x:v>ichi1</x:v>
      </x:c>
      <x:c r="AA589" s="2" t="n">
        <x:v>100</x:v>
      </x:c>
      <x:c r="AB589" s="8" t="str"/>
      <x:c r="AC589" s="8" t="str"/>
      <x:c r="AD589" s="8" t="str">
        <x:v>["draft-ko-missing"]</x:v>
      </x:c>
      <x:c r="AE589" s="8" t="str">
        <x:v>검토 필요</x:v>
      </x:c>
      <x:c r="AF589" s="8" t="str"/>
    </x:row>
    <x:row r="590">
      <x:c r="A590" s="10" t="n">
        <x:v>589</x:v>
      </x:c>
      <x:c r="B590" s="2" t="str">
        <x:v>2차 보류</x:v>
      </x:c>
      <x:c r="C590" s="2" t="str">
        <x:v>2차 보류</x:v>
      </x:c>
      <x:c r="D590" s="2" t="str">
        <x:v>낮음</x:v>
      </x:c>
      <x:c r="E590" s="2" t="str">
        <x:v>N2</x:v>
      </x:c>
      <x:c r="F590" s="10" t="n">
        <x:v>214</x:v>
      </x:c>
      <x:c r="G590" s="2" t="str">
        <x:v>w_ce008e5c70d2e419</x:v>
      </x:c>
      <x:c r="H590" s="2" t="str">
        <x:v>萎む</x:v>
      </x:c>
      <x:c r="I590" s="2" t="str">
        <x:v>しぼむ</x:v>
      </x:c>
      <x:c r="J590" s="8" t="str">
        <x:v>시들다(의 꽃 꿈 등)</x:v>
      </x:c>
      <x:c r="K590" s="2" t="str">
        <x:v>verb</x:v>
      </x:c>
      <x:c r="L590" s="9" t="n">
        <x:v>1.56</x:v>
      </x:c>
      <x:c r="M590" s="2" t="str">
        <x:v>없음</x:v>
      </x:c>
      <x:c r="N590" s="11" t="n">
        <x:v>12</x:v>
      </x:c>
      <x:c r="O590" s="8" t="str">
        <x:v>일반 사용 빈도 매우 낮음(Zipf ≤ 2.0); 검증된 예문 없음; 기존 데이터의 한국어 콘텐츠 보강 필요 태그</x:v>
      </x:c>
      <x:c r="P590" s="8" t="str">
        <x:v>frequency_le_2_0,no_example,weak_legacy_content</x:v>
      </x:c>
      <x:c r="Q590" s="2" t="str"/>
      <x:c r="R590" s="2" t="str"/>
      <x:c r="S590" s="2" t="str"/>
      <x:c r="T590" s="2" t="str"/>
      <x:c r="U590" s="2" t="str"/>
      <x:c r="V590" s="2" t="str">
        <x:v>아니오</x:v>
      </x:c>
      <x:c r="W590" s="2" t="str">
        <x:v>예</x:v>
      </x:c>
      <x:c r="X590" s="2" t="str">
        <x:v>ichi1</x:v>
      </x:c>
      <x:c r="Y590" s="2" t="n">
        <x:v>100</x:v>
      </x:c>
      <x:c r="Z590" s="2" t="str">
        <x:v>ichi1</x:v>
      </x:c>
      <x:c r="AA590" s="2" t="n">
        <x:v>100</x:v>
      </x:c>
      <x:c r="AB590" s="8" t="str">
        <x:v>word usually written using kana alone</x:v>
      </x:c>
      <x:c r="AC590" s="8" t="str"/>
      <x:c r="AD590" s="8" t="str">
        <x:v>["draft-ko-missing"]</x:v>
      </x:c>
      <x:c r="AE590" s="8" t="str">
        <x:v>검토 필요</x:v>
      </x:c>
      <x:c r="AF590" s="8" t="str"/>
    </x:row>
    <x:row r="591">
      <x:c r="A591" s="10" t="n">
        <x:v>590</x:v>
      </x:c>
      <x:c r="B591" s="2" t="str">
        <x:v>2차 보류</x:v>
      </x:c>
      <x:c r="C591" s="2" t="str">
        <x:v>2차 보류</x:v>
      </x:c>
      <x:c r="D591" s="2" t="str">
        <x:v>낮음</x:v>
      </x:c>
      <x:c r="E591" s="2" t="str">
        <x:v>N2</x:v>
      </x:c>
      <x:c r="F591" s="10" t="n">
        <x:v>215</x:v>
      </x:c>
      <x:c r="G591" s="2" t="str">
        <x:v>w_f1cd7d6867f75acf</x:v>
      </x:c>
      <x:c r="H591" s="2" t="str">
        <x:v>扇ぐ</x:v>
      </x:c>
      <x:c r="I591" s="2" t="str">
        <x:v>あおぐ</x:v>
      </x:c>
      <x:c r="J591" s="8" t="str">
        <x:v>부채질하다</x:v>
      </x:c>
      <x:c r="K591" s="2" t="str">
        <x:v>verb</x:v>
      </x:c>
      <x:c r="L591" s="9" t="n">
        <x:v>1.59</x:v>
      </x:c>
      <x:c r="M591" s="2" t="str">
        <x:v>없음</x:v>
      </x:c>
      <x:c r="N591" s="11" t="n">
        <x:v>12</x:v>
      </x:c>
      <x:c r="O591" s="8" t="str">
        <x:v>일반 사용 빈도 매우 낮음(Zipf ≤ 2.0); 검증된 예문 없음; 기존 데이터의 한국어 콘텐츠 보강 필요 태그</x:v>
      </x:c>
      <x:c r="P591" s="8" t="str">
        <x:v>frequency_le_2_0,no_example,weak_legacy_content</x:v>
      </x:c>
      <x:c r="Q591" s="2" t="str"/>
      <x:c r="R591" s="2" t="str"/>
      <x:c r="S591" s="2" t="str"/>
      <x:c r="T591" s="2" t="str"/>
      <x:c r="U591" s="2" t="str"/>
      <x:c r="V591" s="2" t="str">
        <x:v>아니오</x:v>
      </x:c>
      <x:c r="W591" s="2" t="str">
        <x:v>예</x:v>
      </x:c>
      <x:c r="X591" s="2" t="str">
        <x:v>ichi1</x:v>
      </x:c>
      <x:c r="Y591" s="2" t="n">
        <x:v>100</x:v>
      </x:c>
      <x:c r="Z591" s="2" t="str">
        <x:v>ichi1</x:v>
      </x:c>
      <x:c r="AA591" s="2" t="n">
        <x:v>100</x:v>
      </x:c>
      <x:c r="AB591" s="8" t="str"/>
      <x:c r="AC591" s="8" t="str"/>
      <x:c r="AD591" s="8" t="str">
        <x:v>["draft-ko-missing"]</x:v>
      </x:c>
      <x:c r="AE591" s="8" t="str">
        <x:v>검토 필요</x:v>
      </x:c>
      <x:c r="AF591" s="8" t="str"/>
    </x:row>
    <x:row r="592">
      <x:c r="A592" s="10" t="n">
        <x:v>591</x:v>
      </x:c>
      <x:c r="B592" s="2" t="str">
        <x:v>2차 보류</x:v>
      </x:c>
      <x:c r="C592" s="2" t="str">
        <x:v>2차 보류</x:v>
      </x:c>
      <x:c r="D592" s="2" t="str">
        <x:v>낮음</x:v>
      </x:c>
      <x:c r="E592" s="2" t="str">
        <x:v>N2</x:v>
      </x:c>
      <x:c r="F592" s="10" t="n">
        <x:v>216</x:v>
      </x:c>
      <x:c r="G592" s="2" t="str">
        <x:v>w_c8f27e84ca3c585f</x:v>
      </x:c>
      <x:c r="H592" s="2" t="str">
        <x:v>涼む</x:v>
      </x:c>
      <x:c r="I592" s="2" t="str">
        <x:v>すずむ</x:v>
      </x:c>
      <x:c r="J592" s="8" t="str">
        <x:v>바람을 쐬다, 더위를 식히다</x:v>
      </x:c>
      <x:c r="K592" s="2" t="str">
        <x:v>verb</x:v>
      </x:c>
      <x:c r="L592" s="9" t="n">
        <x:v>1.63</x:v>
      </x:c>
      <x:c r="M592" s="2" t="str">
        <x:v>없음</x:v>
      </x:c>
      <x:c r="N592" s="11" t="n">
        <x:v>12</x:v>
      </x:c>
      <x:c r="O592" s="8" t="str">
        <x:v>일반 사용 빈도 매우 낮음(Zipf ≤ 2.0); 검증된 예문 없음; 기존 데이터의 한국어 콘텐츠 보강 필요 태그</x:v>
      </x:c>
      <x:c r="P592" s="8" t="str">
        <x:v>frequency_le_2_0,no_example,weak_legacy_content</x:v>
      </x:c>
      <x:c r="Q592" s="2" t="str"/>
      <x:c r="R592" s="2" t="str"/>
      <x:c r="S592" s="2" t="str"/>
      <x:c r="T592" s="2" t="str"/>
      <x:c r="U592" s="2" t="str"/>
      <x:c r="V592" s="2" t="str">
        <x:v>아니오</x:v>
      </x:c>
      <x:c r="W592" s="2" t="str">
        <x:v>예</x:v>
      </x:c>
      <x:c r="X592" s="2" t="str">
        <x:v>ichi1</x:v>
      </x:c>
      <x:c r="Y592" s="2" t="n">
        <x:v>100</x:v>
      </x:c>
      <x:c r="Z592" s="2" t="str">
        <x:v>ichi1</x:v>
      </x:c>
      <x:c r="AA592" s="2" t="n">
        <x:v>100</x:v>
      </x:c>
      <x:c r="AB592" s="8" t="str"/>
      <x:c r="AC592" s="8" t="str"/>
      <x:c r="AD592" s="8" t="str">
        <x:v>["draft-ko-missing"]</x:v>
      </x:c>
      <x:c r="AE592" s="8" t="str">
        <x:v>검토 필요</x:v>
      </x:c>
      <x:c r="AF592" s="8" t="str"/>
    </x:row>
    <x:row r="593">
      <x:c r="A593" s="10" t="n">
        <x:v>592</x:v>
      </x:c>
      <x:c r="B593" s="2" t="str">
        <x:v>2차 보류</x:v>
      </x:c>
      <x:c r="C593" s="2" t="str">
        <x:v>2차 보류</x:v>
      </x:c>
      <x:c r="D593" s="2" t="str">
        <x:v>낮음</x:v>
      </x:c>
      <x:c r="E593" s="2" t="str">
        <x:v>N1</x:v>
      </x:c>
      <x:c r="F593" s="10" t="n">
        <x:v>235</x:v>
      </x:c>
      <x:c r="G593" s="2" t="str">
        <x:v>w_8bdf86cab9ccf5a9</x:v>
      </x:c>
      <x:c r="H593" s="2" t="str">
        <x:v>予て</x:v>
      </x:c>
      <x:c r="I593" s="2" t="str">
        <x:v>かねて</x:v>
      </x:c>
      <x:c r="J593" s="8" t="str">
        <x:v>이전에, 이미, 최근</x:v>
      </x:c>
      <x:c r="K593" s="2" t="str">
        <x:v>adverb</x:v>
      </x:c>
      <x:c r="L593" s="9" t="n">
        <x:v>1.65</x:v>
      </x:c>
      <x:c r="M593" s="2" t="str">
        <x:v>없음</x:v>
      </x:c>
      <x:c r="N593" s="11" t="n">
        <x:v>12</x:v>
      </x:c>
      <x:c r="O593" s="8" t="str">
        <x:v>일반 사용 빈도 매우 낮음(Zipf ≤ 2.0); 검증된 예문 없음; 기존 데이터의 한국어 콘텐츠 보강 필요 태그</x:v>
      </x:c>
      <x:c r="P593" s="8" t="str">
        <x:v>frequency_le_2_0,no_example,weak_legacy_content</x:v>
      </x:c>
      <x:c r="Q593" s="2" t="str"/>
      <x:c r="R593" s="2" t="str"/>
      <x:c r="S593" s="2" t="str"/>
      <x:c r="T593" s="2" t="str"/>
      <x:c r="U593" s="2" t="str"/>
      <x:c r="V593" s="2" t="str">
        <x:v>아니오</x:v>
      </x:c>
      <x:c r="W593" s="2" t="str">
        <x:v>예</x:v>
      </x:c>
      <x:c r="X593" s="2" t="str">
        <x:v>ichi1,spec1</x:v>
      </x:c>
      <x:c r="Y593" s="2" t="n">
        <x:v>100</x:v>
      </x:c>
      <x:c r="Z593" s="2" t="str">
        <x:v>ichi1</x:v>
      </x:c>
      <x:c r="AA593" s="2" t="n">
        <x:v>100</x:v>
      </x:c>
      <x:c r="AB593" s="8" t="str">
        <x:v>word usually written using kana alone</x:v>
      </x:c>
      <x:c r="AC593" s="8" t="str"/>
      <x:c r="AD593" s="8" t="str">
        <x:v>["draft-ko-missing"]</x:v>
      </x:c>
      <x:c r="AE593" s="8" t="str">
        <x:v>검토 필요</x:v>
      </x:c>
      <x:c r="AF593" s="8" t="str"/>
    </x:row>
    <x:row r="594">
      <x:c r="A594" s="10" t="n">
        <x:v>593</x:v>
      </x:c>
      <x:c r="B594" s="2" t="str">
        <x:v>2차 보류</x:v>
      </x:c>
      <x:c r="C594" s="2" t="str">
        <x:v>2차 보류</x:v>
      </x:c>
      <x:c r="D594" s="2" t="str">
        <x:v>낮음</x:v>
      </x:c>
      <x:c r="E594" s="2" t="str">
        <x:v>N1</x:v>
      </x:c>
      <x:c r="F594" s="10" t="n">
        <x:v>236</x:v>
      </x:c>
      <x:c r="G594" s="2" t="str">
        <x:v>w_d97eb09baa1ce331</x:v>
      </x:c>
      <x:c r="H594" s="2" t="str">
        <x:v>駆けっこ</x:v>
      </x:c>
      <x:c r="I594" s="2" t="str">
        <x:v>かけっこ</x:v>
      </x:c>
      <x:c r="J594" s="8" t="str">
        <x:v>경주(발)</x:v>
      </x:c>
      <x:c r="K594" s="2" t="str">
        <x:v>noun</x:v>
      </x:c>
      <x:c r="L594" s="9" t="n">
        <x:v>1.65</x:v>
      </x:c>
      <x:c r="M594" s="2" t="str">
        <x:v>없음</x:v>
      </x:c>
      <x:c r="N594" s="11" t="n">
        <x:v>12</x:v>
      </x:c>
      <x:c r="O594" s="8" t="str">
        <x:v>일반 사용 빈도 매우 낮음(Zipf ≤ 2.0); 검증된 예문 없음; 기존 데이터의 한국어 콘텐츠 보강 필요 태그</x:v>
      </x:c>
      <x:c r="P594" s="8" t="str">
        <x:v>frequency_le_2_0,no_example,weak_legacy_content</x:v>
      </x:c>
      <x:c r="Q594" s="2" t="str"/>
      <x:c r="R594" s="2" t="str"/>
      <x:c r="S594" s="2" t="str"/>
      <x:c r="T594" s="2" t="str"/>
      <x:c r="U594" s="2" t="str"/>
      <x:c r="V594" s="2" t="str">
        <x:v>아니오</x:v>
      </x:c>
      <x:c r="W594" s="2" t="str">
        <x:v>예</x:v>
      </x:c>
      <x:c r="X594" s="2" t="str">
        <x:v>spec1</x:v>
      </x:c>
      <x:c r="Y594" s="2" t="n">
        <x:v>100</x:v>
      </x:c>
      <x:c r="Z594" s="2" t="str">
        <x:v>spec1</x:v>
      </x:c>
      <x:c r="AA594" s="2" t="n">
        <x:v>100</x:v>
      </x:c>
      <x:c r="AB594" s="8" t="str">
        <x:v>colloquial | word usually written using kana alone</x:v>
      </x:c>
      <x:c r="AC594" s="8" t="str"/>
      <x:c r="AD594" s="8" t="str">
        <x:v>["draft-ko-missing"]</x:v>
      </x:c>
      <x:c r="AE594" s="8" t="str">
        <x:v>검토 필요</x:v>
      </x:c>
      <x:c r="AF594" s="8" t="str"/>
    </x:row>
    <x:row r="595">
      <x:c r="A595" s="10" t="n">
        <x:v>594</x:v>
      </x:c>
      <x:c r="B595" s="2" t="str">
        <x:v>2차 보류</x:v>
      </x:c>
      <x:c r="C595" s="2" t="str">
        <x:v>2차 보류</x:v>
      </x:c>
      <x:c r="D595" s="2" t="str">
        <x:v>낮음</x:v>
      </x:c>
      <x:c r="E595" s="2" t="str">
        <x:v>N2</x:v>
      </x:c>
      <x:c r="F595" s="10" t="n">
        <x:v>217</x:v>
      </x:c>
      <x:c r="G595" s="2" t="str">
        <x:v>w_c4c752a802b1ca36</x:v>
      </x:c>
      <x:c r="H595" s="2" t="str">
        <x:v>吊す</x:v>
      </x:c>
      <x:c r="I595" s="2" t="str">
        <x:v>つるす</x:v>
      </x:c>
      <x:c r="J595" s="8" t="str">
        <x:v>매달다, 걸다</x:v>
      </x:c>
      <x:c r="K595" s="2" t="str">
        <x:v>verb</x:v>
      </x:c>
      <x:c r="L595" s="9" t="n">
        <x:v>1.74</x:v>
      </x:c>
      <x:c r="M595" s="2" t="str">
        <x:v>없음</x:v>
      </x:c>
      <x:c r="N595" s="11" t="n">
        <x:v>12</x:v>
      </x:c>
      <x:c r="O595" s="8" t="str">
        <x:v>일반 사용 빈도 매우 낮음(Zipf ≤ 2.0); 검증된 예문 없음; 기존 데이터의 한국어 콘텐츠 보강 필요 태그</x:v>
      </x:c>
      <x:c r="P595" s="8" t="str">
        <x:v>frequency_le_2_0,no_example,weak_legacy_content</x:v>
      </x:c>
      <x:c r="Q595" s="2" t="str"/>
      <x:c r="R595" s="2" t="str"/>
      <x:c r="S595" s="2" t="str"/>
      <x:c r="T595" s="2" t="str"/>
      <x:c r="U595" s="2" t="str"/>
      <x:c r="V595" s="2" t="str">
        <x:v>아니오</x:v>
      </x:c>
      <x:c r="W595" s="2" t="str">
        <x:v>예</x:v>
      </x:c>
      <x:c r="X595" s="2" t="str">
        <x:v>ichi1</x:v>
      </x:c>
      <x:c r="Y595" s="2" t="n">
        <x:v>100</x:v>
      </x:c>
      <x:c r="Z595" s="2" t="str"/>
      <x:c r="AA595" s="2" t="n">
        <x:v>0</x:v>
      </x:c>
      <x:c r="AB595" s="8" t="str"/>
      <x:c r="AC595" s="8" t="str"/>
      <x:c r="AD595" s="8" t="str">
        <x:v>["draft-ko-missing"]</x:v>
      </x:c>
      <x:c r="AE595" s="8" t="str">
        <x:v>검토 필요</x:v>
      </x:c>
      <x:c r="AF595" s="8" t="str"/>
    </x:row>
    <x:row r="596">
      <x:c r="A596" s="10" t="n">
        <x:v>595</x:v>
      </x:c>
      <x:c r="B596" s="2" t="str">
        <x:v>2차 보류</x:v>
      </x:c>
      <x:c r="C596" s="2" t="str">
        <x:v>2차 보류</x:v>
      </x:c>
      <x:c r="D596" s="2" t="str">
        <x:v>낮음</x:v>
      </x:c>
      <x:c r="E596" s="2" t="str">
        <x:v>N2</x:v>
      </x:c>
      <x:c r="F596" s="10" t="n">
        <x:v>218</x:v>
      </x:c>
      <x:c r="G596" s="2" t="str">
        <x:v>w_382bcd8896d235e7</x:v>
      </x:c>
      <x:c r="H596" s="2" t="str">
        <x:v>放る</x:v>
      </x:c>
      <x:c r="I596" s="2" t="str">
        <x:v>ほうる</x:v>
      </x:c>
      <x:c r="J596" s="8" t="str">
        <x:v>내던지다, 내버려 두다</x:v>
      </x:c>
      <x:c r="K596" s="2" t="str">
        <x:v>verb</x:v>
      </x:c>
      <x:c r="L596" s="9" t="n">
        <x:v>1.91</x:v>
      </x:c>
      <x:c r="M596" s="2" t="str">
        <x:v>없음</x:v>
      </x:c>
      <x:c r="N596" s="11" t="n">
        <x:v>12</x:v>
      </x:c>
      <x:c r="O596" s="8" t="str">
        <x:v>일반 사용 빈도 매우 낮음(Zipf ≤ 2.0); 검증된 예문 없음; 기존 데이터의 한국어 콘텐츠 보강 필요 태그</x:v>
      </x:c>
      <x:c r="P596" s="8" t="str">
        <x:v>frequency_le_2_0,no_example,weak_legacy_content</x:v>
      </x:c>
      <x:c r="Q596" s="2" t="str"/>
      <x:c r="R596" s="2" t="str"/>
      <x:c r="S596" s="2" t="str"/>
      <x:c r="T596" s="2" t="str"/>
      <x:c r="U596" s="2" t="str"/>
      <x:c r="V596" s="2" t="str">
        <x:v>아니오</x:v>
      </x:c>
      <x:c r="W596" s="2" t="str">
        <x:v>예</x:v>
      </x:c>
      <x:c r="X596" s="2" t="str">
        <x:v>ichi1,news1,nf06</x:v>
      </x:c>
      <x:c r="Y596" s="2" t="n">
        <x:v>100</x:v>
      </x:c>
      <x:c r="Z596" s="2" t="str">
        <x:v>ichi1,news1,nf06</x:v>
      </x:c>
      <x:c r="AA596" s="2" t="n">
        <x:v>100</x:v>
      </x:c>
      <x:c r="AB596" s="8" t="str"/>
      <x:c r="AC596" s="8" t="str"/>
      <x:c r="AD596" s="8" t="str">
        <x:v>["draft-ko-missing"]</x:v>
      </x:c>
      <x:c r="AE596" s="8" t="str">
        <x:v>검토 필요</x:v>
      </x:c>
      <x:c r="AF596" s="8" t="str"/>
    </x:row>
    <x:row r="597">
      <x:c r="A597" s="10" t="n">
        <x:v>596</x:v>
      </x:c>
      <x:c r="B597" s="2" t="str">
        <x:v>2차 보류</x:v>
      </x:c>
      <x:c r="C597" s="2" t="str">
        <x:v>2차 보류</x:v>
      </x:c>
      <x:c r="D597" s="2" t="str">
        <x:v>낮음</x:v>
      </x:c>
      <x:c r="E597" s="2" t="str">
        <x:v>N1</x:v>
      </x:c>
      <x:c r="F597" s="10" t="n">
        <x:v>237</x:v>
      </x:c>
      <x:c r="G597" s="2" t="str">
        <x:v>w_fcd6a3d8a7cb0678</x:v>
      </x:c>
      <x:c r="H597" s="2" t="str">
        <x:v>月並</x:v>
      </x:c>
      <x:c r="I597" s="2" t="str">
        <x:v>つきなみ</x:v>
      </x:c>
      <x:c r="J597" s="8" t="str">
        <x:v>평범함, 진부함</x:v>
      </x:c>
      <x:c r="K597" s="2" t="str">
        <x:v>noun</x:v>
      </x:c>
      <x:c r="L597" s="9" t="n">
        <x:v>1.91</x:v>
      </x:c>
      <x:c r="M597" s="2" t="str">
        <x:v>없음</x:v>
      </x:c>
      <x:c r="N597" s="11" t="n">
        <x:v>12</x:v>
      </x:c>
      <x:c r="O597" s="8" t="str">
        <x:v>일반 사용 빈도 매우 낮음(Zipf ≤ 2.0); 검증된 예문 없음; 기존 데이터의 한국어 콘텐츠 보강 필요 태그</x:v>
      </x:c>
      <x:c r="P597" s="8" t="str">
        <x:v>frequency_le_2_0,no_example,weak_legacy_content</x:v>
      </x:c>
      <x:c r="Q597" s="2" t="str"/>
      <x:c r="R597" s="2" t="str"/>
      <x:c r="S597" s="2" t="str"/>
      <x:c r="T597" s="2" t="str"/>
      <x:c r="U597" s="2" t="str"/>
      <x:c r="V597" s="2" t="str">
        <x:v>아니오</x:v>
      </x:c>
      <x:c r="W597" s="2" t="str">
        <x:v>예</x:v>
      </x:c>
      <x:c r="X597" s="2" t="str">
        <x:v>ichi1,news2,nf42</x:v>
      </x:c>
      <x:c r="Y597" s="2" t="n">
        <x:v>100</x:v>
      </x:c>
      <x:c r="Z597" s="2" t="str">
        <x:v>ichi1</x:v>
      </x:c>
      <x:c r="AA597" s="2" t="n">
        <x:v>100</x:v>
      </x:c>
      <x:c r="AB597" s="8" t="str">
        <x:v>orig. used as an insult towards old-fashioned poets who would meet monthly to write poetry</x:v>
      </x:c>
      <x:c r="AC597" s="8" t="str"/>
      <x:c r="AD597" s="8" t="str">
        <x:v>["draft-ko-missing"]</x:v>
      </x:c>
      <x:c r="AE597" s="8" t="str">
        <x:v>검토 필요</x:v>
      </x:c>
      <x:c r="AF597" s="8" t="str"/>
    </x:row>
    <x:row r="598">
      <x:c r="A598" s="10" t="n">
        <x:v>597</x:v>
      </x:c>
      <x:c r="B598" s="2" t="str">
        <x:v>2차 보류</x:v>
      </x:c>
      <x:c r="C598" s="2" t="str">
        <x:v>2차 보류</x:v>
      </x:c>
      <x:c r="D598" s="2" t="str">
        <x:v>낮음</x:v>
      </x:c>
      <x:c r="E598" s="2" t="str">
        <x:v>N1</x:v>
      </x:c>
      <x:c r="F598" s="10" t="n">
        <x:v>238</x:v>
      </x:c>
      <x:c r="G598" s="2" t="str">
        <x:v>w_8d731ab47eddea83</x:v>
      </x:c>
      <x:c r="H598" s="2" t="str">
        <x:v>繕う</x:v>
      </x:c>
      <x:c r="I598" s="2" t="str">
        <x:v>つくろう</x:v>
      </x:c>
      <x:c r="J598" s="8" t="str">
        <x:v>깁다, 손질하다; 둘러대다</x:v>
      </x:c>
      <x:c r="K598" s="2" t="str">
        <x:v>verb</x:v>
      </x:c>
      <x:c r="L598" s="9" t="n">
        <x:v>1.94</x:v>
      </x:c>
      <x:c r="M598" s="2" t="str">
        <x:v>없음</x:v>
      </x:c>
      <x:c r="N598" s="11" t="n">
        <x:v>12</x:v>
      </x:c>
      <x:c r="O598" s="8" t="str">
        <x:v>일반 사용 빈도 매우 낮음(Zipf ≤ 2.0); 검증된 예문 없음; 기존 데이터의 한국어 콘텐츠 보강 필요 태그</x:v>
      </x:c>
      <x:c r="P598" s="8" t="str">
        <x:v>frequency_le_2_0,no_example,weak_legacy_content</x:v>
      </x:c>
      <x:c r="Q598" s="2" t="str"/>
      <x:c r="R598" s="2" t="str"/>
      <x:c r="S598" s="2" t="str"/>
      <x:c r="T598" s="2" t="str"/>
      <x:c r="U598" s="2" t="str"/>
      <x:c r="V598" s="2" t="str">
        <x:v>아니오</x:v>
      </x:c>
      <x:c r="W598" s="2" t="str">
        <x:v>예</x:v>
      </x:c>
      <x:c r="X598" s="2" t="str">
        <x:v>ichi1</x:v>
      </x:c>
      <x:c r="Y598" s="2" t="n">
        <x:v>100</x:v>
      </x:c>
      <x:c r="Z598" s="2" t="str">
        <x:v>ichi1</x:v>
      </x:c>
      <x:c r="AA598" s="2" t="n">
        <x:v>100</x:v>
      </x:c>
      <x:c r="AB598" s="8" t="str">
        <x:v>archaic</x:v>
      </x:c>
      <x:c r="AC598" s="8" t="str"/>
      <x:c r="AD598" s="8" t="str">
        <x:v>["draft-ko-missing"]</x:v>
      </x:c>
      <x:c r="AE598" s="8" t="str">
        <x:v>검토 필요</x:v>
      </x:c>
      <x:c r="AF598" s="8" t="str"/>
    </x:row>
    <x:row r="599">
      <x:c r="A599" s="10" t="n">
        <x:v>598</x:v>
      </x:c>
      <x:c r="B599" s="2" t="str">
        <x:v>2차 보류</x:v>
      </x:c>
      <x:c r="C599" s="2" t="str">
        <x:v>2차 보류</x:v>
      </x:c>
      <x:c r="D599" s="2" t="str">
        <x:v>낮음</x:v>
      </x:c>
      <x:c r="E599" s="2" t="str">
        <x:v>N2</x:v>
      </x:c>
      <x:c r="F599" s="10" t="n">
        <x:v>219</x:v>
      </x:c>
      <x:c r="G599" s="2" t="str">
        <x:v>w_1b39017b66933a35</x:v>
      </x:c>
      <x:c r="H599" s="2" t="str">
        <x:v>照る</x:v>
      </x:c>
      <x:c r="I599" s="2" t="str">
        <x:v>てる</x:v>
      </x:c>
      <x:c r="J599" s="8" t="str">
        <x:v>빛나다</x:v>
      </x:c>
      <x:c r="K599" s="2" t="str">
        <x:v>verb</x:v>
      </x:c>
      <x:c r="L599" s="9" t="n">
        <x:v>1.95</x:v>
      </x:c>
      <x:c r="M599" s="2" t="str">
        <x:v>없음</x:v>
      </x:c>
      <x:c r="N599" s="11" t="n">
        <x:v>12</x:v>
      </x:c>
      <x:c r="O599" s="8" t="str">
        <x:v>일반 사용 빈도 매우 낮음(Zipf ≤ 2.0); 검증된 예문 없음; 기존 데이터의 한국어 콘텐츠 보강 필요 태그</x:v>
      </x:c>
      <x:c r="P599" s="8" t="str">
        <x:v>frequency_le_2_0,no_example,weak_legacy_content</x:v>
      </x:c>
      <x:c r="Q599" s="2" t="str"/>
      <x:c r="R599" s="2" t="str"/>
      <x:c r="S599" s="2" t="str"/>
      <x:c r="T599" s="2" t="str"/>
      <x:c r="U599" s="2" t="str"/>
      <x:c r="V599" s="2" t="str">
        <x:v>아니오</x:v>
      </x:c>
      <x:c r="W599" s="2" t="str">
        <x:v>예</x:v>
      </x:c>
      <x:c r="X599" s="2" t="str">
        <x:v>ichi1,news2,nf31</x:v>
      </x:c>
      <x:c r="Y599" s="2" t="n">
        <x:v>100</x:v>
      </x:c>
      <x:c r="Z599" s="2" t="str">
        <x:v>ichi1,news2,nf31</x:v>
      </x:c>
      <x:c r="AA599" s="2" t="n">
        <x:v>100</x:v>
      </x:c>
      <x:c r="AB599" s="8" t="str">
        <x:v>from 面照る</x:v>
      </x:c>
      <x:c r="AC599" s="8" t="str"/>
      <x:c r="AD599" s="8" t="str">
        <x:v>["draft-ko-missing"]</x:v>
      </x:c>
      <x:c r="AE599" s="8" t="str">
        <x:v>검토 필요</x:v>
      </x:c>
      <x:c r="AF599" s="8" t="str"/>
    </x:row>
    <x:row r="600">
      <x:c r="A600" s="10" t="n">
        <x:v>599</x:v>
      </x:c>
      <x:c r="B600" s="2" t="str">
        <x:v>2차 보류</x:v>
      </x:c>
      <x:c r="C600" s="2" t="str">
        <x:v>2차 보류</x:v>
      </x:c>
      <x:c r="D600" s="2" t="str">
        <x:v>낮음</x:v>
      </x:c>
      <x:c r="E600" s="2" t="str">
        <x:v>N1</x:v>
      </x:c>
      <x:c r="F600" s="10" t="n">
        <x:v>239</x:v>
      </x:c>
      <x:c r="G600" s="2" t="str">
        <x:v>w_4546d54b9d70c4e0</x:v>
      </x:c>
      <x:c r="H600" s="2" t="str">
        <x:v>申し入れる</x:v>
      </x:c>
      <x:c r="I600" s="2" t="str">
        <x:v>もうしいれる</x:v>
      </x:c>
      <x:c r="J600" s="8" t="str">
        <x:v>(정식으로) 제의하다, 신청하다</x:v>
      </x:c>
      <x:c r="K600" s="2" t="str">
        <x:v>verb</x:v>
      </x:c>
      <x:c r="L600" s="9" t="n">
        <x:v>1.95</x:v>
      </x:c>
      <x:c r="M600" s="2" t="str">
        <x:v>없음</x:v>
      </x:c>
      <x:c r="N600" s="11" t="n">
        <x:v>12</x:v>
      </x:c>
      <x:c r="O600" s="8" t="str">
        <x:v>일반 사용 빈도 매우 낮음(Zipf ≤ 2.0); 검증된 예문 없음; 기존 데이터의 한국어 콘텐츠 보강 필요 태그</x:v>
      </x:c>
      <x:c r="P600" s="8" t="str">
        <x:v>frequency_le_2_0,no_example,weak_legacy_content</x:v>
      </x:c>
      <x:c r="Q600" s="2" t="str"/>
      <x:c r="R600" s="2" t="str"/>
      <x:c r="S600" s="2" t="str"/>
      <x:c r="T600" s="2" t="str"/>
      <x:c r="U600" s="2" t="str"/>
      <x:c r="V600" s="2" t="str">
        <x:v>아니오</x:v>
      </x:c>
      <x:c r="W600" s="2" t="str">
        <x:v>예</x:v>
      </x:c>
      <x:c r="X600" s="2" t="str">
        <x:v>news1,nf22</x:v>
      </x:c>
      <x:c r="Y600" s="2" t="n">
        <x:v>100</x:v>
      </x:c>
      <x:c r="Z600" s="2" t="str">
        <x:v>news1,nf22</x:v>
      </x:c>
      <x:c r="AA600" s="2" t="n">
        <x:v>100</x:v>
      </x:c>
      <x:c r="AB600" s="8" t="str"/>
      <x:c r="AC600" s="8" t="str"/>
      <x:c r="AD600" s="8" t="str">
        <x:v>["draft-ko-missing"]</x:v>
      </x:c>
      <x:c r="AE600" s="8" t="str">
        <x:v>검토 필요</x:v>
      </x:c>
      <x:c r="AF600" s="8" t="str"/>
    </x:row>
    <x:row r="601">
      <x:c r="A601" s="10" t="n">
        <x:v>600</x:v>
      </x:c>
      <x:c r="B601" s="2" t="str">
        <x:v>2차 보류</x:v>
      </x:c>
      <x:c r="C601" s="2" t="str">
        <x:v>2차 보류</x:v>
      </x:c>
      <x:c r="D601" s="2" t="str">
        <x:v>낮음</x:v>
      </x:c>
      <x:c r="E601" s="2" t="str">
        <x:v>N2</x:v>
      </x:c>
      <x:c r="F601" s="10" t="n">
        <x:v>220</x:v>
      </x:c>
      <x:c r="G601" s="2" t="str">
        <x:v>w_ad16bd2b6af409d5</x:v>
      </x:c>
      <x:c r="H601" s="2" t="str">
        <x:v>粗筋</x:v>
      </x:c>
      <x:c r="I601" s="2" t="str">
        <x:v>あらすじ</x:v>
      </x:c>
      <x:c r="J601" s="8" t="str">
        <x:v>개요, 윤곽</x:v>
      </x:c>
      <x:c r="K601" s="2" t="str">
        <x:v>noun</x:v>
      </x:c>
      <x:c r="L601" s="9" t="n">
        <x:v>1.97</x:v>
      </x:c>
      <x:c r="M601" s="2" t="str">
        <x:v>없음</x:v>
      </x:c>
      <x:c r="N601" s="11" t="n">
        <x:v>12</x:v>
      </x:c>
      <x:c r="O601" s="8" t="str">
        <x:v>일반 사용 빈도 매우 낮음(Zipf ≤ 2.0); 검증된 예문 없음; 기존 데이터의 한국어 콘텐츠 보강 필요 태그</x:v>
      </x:c>
      <x:c r="P601" s="8" t="str">
        <x:v>frequency_le_2_0,no_example,weak_legacy_content</x:v>
      </x:c>
      <x:c r="Q601" s="2" t="str"/>
      <x:c r="R601" s="2" t="str"/>
      <x:c r="S601" s="2" t="str"/>
      <x:c r="T601" s="2" t="str"/>
      <x:c r="U601" s="2" t="str"/>
      <x:c r="V601" s="2" t="str">
        <x:v>아니오</x:v>
      </x:c>
      <x:c r="W601" s="2" t="str">
        <x:v>예</x:v>
      </x:c>
      <x:c r="X601" s="2" t="str">
        <x:v>ichi1,news2,nf46</x:v>
      </x:c>
      <x:c r="Y601" s="2" t="n">
        <x:v>100</x:v>
      </x:c>
      <x:c r="Z601" s="2" t="str">
        <x:v>ichi1,news2,nf46</x:v>
      </x:c>
      <x:c r="AA601" s="2" t="n">
        <x:v>100</x:v>
      </x:c>
      <x:c r="AB601" s="8" t="str">
        <x:v>word usually written using kana alone</x:v>
      </x:c>
      <x:c r="AC601" s="8" t="str"/>
      <x:c r="AD601" s="8" t="str">
        <x:v>["draft-ko-missing"]</x:v>
      </x:c>
      <x:c r="AE601" s="8" t="str">
        <x:v>검토 필요</x:v>
      </x:c>
      <x:c r="AF601" s="8" t="str"/>
    </x:row>
    <x:row r="602">
      <x:c r="A602" s="10" t="n">
        <x:v>601</x:v>
      </x:c>
      <x:c r="B602" s="2" t="str">
        <x:v>2차 보류</x:v>
      </x:c>
      <x:c r="C602" s="2" t="str">
        <x:v>2차 보류</x:v>
      </x:c>
      <x:c r="D602" s="2" t="str">
        <x:v>낮음</x:v>
      </x:c>
      <x:c r="E602" s="2" t="str">
        <x:v>N2</x:v>
      </x:c>
      <x:c r="F602" s="10" t="n">
        <x:v>221</x:v>
      </x:c>
      <x:c r="G602" s="2" t="str">
        <x:v>w_5135dd81e7fcc848</x:v>
      </x:c>
      <x:c r="H602" s="2" t="str">
        <x:v>払い戻す</x:v>
      </x:c>
      <x:c r="I602" s="2" t="str">
        <x:v>はらいもどす</x:v>
      </x:c>
      <x:c r="J602" s="8" t="str">
        <x:v>환불하다</x:v>
      </x:c>
      <x:c r="K602" s="2" t="str">
        <x:v>verb</x:v>
      </x:c>
      <x:c r="L602" s="9" t="n">
        <x:v>1.99</x:v>
      </x:c>
      <x:c r="M602" s="2" t="str">
        <x:v>없음</x:v>
      </x:c>
      <x:c r="N602" s="11" t="n">
        <x:v>12</x:v>
      </x:c>
      <x:c r="O602" s="8" t="str">
        <x:v>일반 사용 빈도 매우 낮음(Zipf ≤ 2.0); 검증된 예문 없음; 기존 데이터의 한국어 콘텐츠 보강 필요 태그</x:v>
      </x:c>
      <x:c r="P602" s="8" t="str">
        <x:v>frequency_le_2_0,no_example,weak_legacy_content</x:v>
      </x:c>
      <x:c r="Q602" s="2" t="str"/>
      <x:c r="R602" s="2" t="str"/>
      <x:c r="S602" s="2" t="str"/>
      <x:c r="T602" s="2" t="str"/>
      <x:c r="U602" s="2" t="str"/>
      <x:c r="V602" s="2" t="str">
        <x:v>아니오</x:v>
      </x:c>
      <x:c r="W602" s="2" t="str">
        <x:v>예</x:v>
      </x:c>
      <x:c r="X602" s="2" t="str">
        <x:v>ichi1,news2,nf47</x:v>
      </x:c>
      <x:c r="Y602" s="2" t="n">
        <x:v>100</x:v>
      </x:c>
      <x:c r="Z602" s="2" t="str">
        <x:v>ichi1,news2,nf47</x:v>
      </x:c>
      <x:c r="AA602" s="2" t="n">
        <x:v>100</x:v>
      </x:c>
      <x:c r="AB602" s="8" t="str"/>
      <x:c r="AC602" s="8" t="str"/>
      <x:c r="AD602" s="8" t="str">
        <x:v>["draft-ko-missing"]</x:v>
      </x:c>
      <x:c r="AE602" s="8" t="str">
        <x:v>검토 필요</x:v>
      </x:c>
      <x:c r="AF602" s="8" t="str"/>
    </x:row>
    <x:row r="603">
      <x:c r="A603" s="10" t="n">
        <x:v>602</x:v>
      </x:c>
      <x:c r="B603" s="2" t="str">
        <x:v>2차 보류</x:v>
      </x:c>
      <x:c r="C603" s="2" t="str">
        <x:v>2차 보류</x:v>
      </x:c>
      <x:c r="D603" s="2" t="str">
        <x:v>낮음</x:v>
      </x:c>
      <x:c r="E603" s="2" t="str">
        <x:v>N1</x:v>
      </x:c>
      <x:c r="F603" s="10" t="n">
        <x:v>240</x:v>
      </x:c>
      <x:c r="G603" s="2" t="str">
        <x:v>w_423103b3cd4c8279</x:v>
      </x:c>
      <x:c r="H603" s="2" t="str">
        <x:v>なるたけ</x:v>
      </x:c>
      <x:c r="I603" s="2" t="str">
        <x:v>なるたけ</x:v>
      </x:c>
      <x:c r="J603" s="8" t="str">
        <x:v>가능한 한 많이, 만약 가능한</x:v>
      </x:c>
      <x:c r="K603" s="2" t="str">
        <x:v>adverb</x:v>
      </x:c>
      <x:c r="L603" s="9" t="n">
        <x:v>2.04</x:v>
      </x:c>
      <x:c r="M603" s="2" t="str">
        <x:v>있음</x:v>
      </x:c>
      <x:c r="N603" s="11" t="n">
        <x:v>12</x:v>
      </x:c>
      <x:c r="O603" s="8" t="str">
        <x:v>일반 사용 빈도 낮음(Zipf ≤ 2.5); JMdict 우선 어휘 표지 없음; 기존 데이터의 한국어 콘텐츠 보강 필요 태그</x:v>
      </x:c>
      <x:c r="P603" s="8" t="str">
        <x:v>frequency_le_2_5,no_jmdict_priority,weak_legacy_content</x:v>
      </x:c>
      <x:c r="Q603" s="2" t="str"/>
      <x:c r="R603" s="2" t="str"/>
      <x:c r="S603" s="2" t="str"/>
      <x:c r="T603" s="2" t="str"/>
      <x:c r="U603" s="2" t="str"/>
      <x:c r="V603" s="2" t="str">
        <x:v>아니오</x:v>
      </x:c>
      <x:c r="W603" s="2" t="str">
        <x:v>아니오</x:v>
      </x:c>
      <x:c r="X603" s="2" t="str"/>
      <x:c r="Y603" s="2" t="n">
        <x:v>0</x:v>
      </x:c>
      <x:c r="Z603" s="2" t="str"/>
      <x:c r="AA603" s="2" t="n">
        <x:v>0</x:v>
      </x:c>
      <x:c r="AB603" s="8" t="str"/>
      <x:c r="AC603" s="8" t="str"/>
      <x:c r="AD603" s="8" t="str">
        <x:v>["draft-ko-missing"]</x:v>
      </x:c>
      <x:c r="AE603" s="8" t="str">
        <x:v>검토 필요</x:v>
      </x:c>
      <x:c r="AF603" s="8" t="str"/>
    </x:row>
    <x:row r="604">
      <x:c r="A604" s="10" t="n">
        <x:v>603</x:v>
      </x:c>
      <x:c r="B604" s="2" t="str">
        <x:v>2차 보류</x:v>
      </x:c>
      <x:c r="C604" s="2" t="str">
        <x:v>2차 보류</x:v>
      </x:c>
      <x:c r="D604" s="2" t="str">
        <x:v>낮음</x:v>
      </x:c>
      <x:c r="E604" s="2" t="str">
        <x:v>N1</x:v>
      </x:c>
      <x:c r="F604" s="10" t="n">
        <x:v>241</x:v>
      </x:c>
      <x:c r="G604" s="2" t="str">
        <x:v>w_50c79dbb941aed3a</x:v>
      </x:c>
      <x:c r="H604" s="2" t="str">
        <x:v>蹴飛ばす</x:v>
      </x:c>
      <x:c r="I604" s="2" t="str">
        <x:v>けとばす</x:v>
      </x:c>
      <x:c r="J604" s="8" t="str">
        <x:v>걷어차다</x:v>
      </x:c>
      <x:c r="K604" s="2" t="str">
        <x:v>verb</x:v>
      </x:c>
      <x:c r="L604" s="9" t="n">
        <x:v>2.06</x:v>
      </x:c>
      <x:c r="M604" s="2" t="str">
        <x:v>있음</x:v>
      </x:c>
      <x:c r="N604" s="11" t="n">
        <x:v>12</x:v>
      </x:c>
      <x:c r="O604" s="8" t="str">
        <x:v>일반 사용 빈도 낮음(Zipf ≤ 2.5); JMdict 우선 어휘 표지 없음; 기존 데이터의 한국어 콘텐츠 보강 필요 태그</x:v>
      </x:c>
      <x:c r="P604" s="8" t="str">
        <x:v>frequency_le_2_5,no_jmdict_priority,weak_legacy_content</x:v>
      </x:c>
      <x:c r="Q604" s="2" t="str"/>
      <x:c r="R604" s="2" t="str"/>
      <x:c r="S604" s="2" t="str"/>
      <x:c r="T604" s="2" t="str"/>
      <x:c r="U604" s="2" t="str"/>
      <x:c r="V604" s="2" t="str">
        <x:v>아니오</x:v>
      </x:c>
      <x:c r="W604" s="2" t="str">
        <x:v>예</x:v>
      </x:c>
      <x:c r="X604" s="2" t="str"/>
      <x:c r="Y604" s="2" t="n">
        <x:v>0</x:v>
      </x:c>
      <x:c r="Z604" s="2" t="str"/>
      <x:c r="AA604" s="2" t="n">
        <x:v>0</x:v>
      </x:c>
      <x:c r="AB604" s="8" t="str"/>
      <x:c r="AC604" s="8" t="str"/>
      <x:c r="AD604" s="8" t="str">
        <x:v>["draft-ko-missing"]</x:v>
      </x:c>
      <x:c r="AE604" s="8" t="str">
        <x:v>검토 필요</x:v>
      </x:c>
      <x:c r="AF604" s="8" t="str"/>
    </x:row>
    <x:row r="605">
      <x:c r="A605" s="10" t="n">
        <x:v>604</x:v>
      </x:c>
      <x:c r="B605" s="2" t="str">
        <x:v>2차 보류</x:v>
      </x:c>
      <x:c r="C605" s="2" t="str">
        <x:v>2차 보류</x:v>
      </x:c>
      <x:c r="D605" s="2" t="str">
        <x:v>낮음</x:v>
      </x:c>
      <x:c r="E605" s="2" t="str">
        <x:v>N1</x:v>
      </x:c>
      <x:c r="F605" s="10" t="n">
        <x:v>242</x:v>
      </x:c>
      <x:c r="G605" s="2" t="str">
        <x:v>w_37c885dc3e5c332d</x:v>
      </x:c>
      <x:c r="H605" s="2" t="str">
        <x:v>中程</x:v>
      </x:c>
      <x:c r="I605" s="2" t="str">
        <x:v>なかほど</x:v>
      </x:c>
      <x:c r="J605" s="8" t="str">
        <x:v>가운데, 중간</x:v>
      </x:c>
      <x:c r="K605" s="2" t="str">
        <x:v>noun</x:v>
      </x:c>
      <x:c r="L605" s="9" t="n">
        <x:v>2.14</x:v>
      </x:c>
      <x:c r="M605" s="2" t="str">
        <x:v>있음</x:v>
      </x:c>
      <x:c r="N605" s="11" t="n">
        <x:v>12</x:v>
      </x:c>
      <x:c r="O605" s="8" t="str">
        <x:v>일반 사용 빈도 낮음(Zipf ≤ 2.5); JMdict 우선 어휘 표지 없음; 기존 데이터의 한국어 콘텐츠 보강 필요 태그</x:v>
      </x:c>
      <x:c r="P605" s="8" t="str">
        <x:v>frequency_le_2_5,no_jmdict_priority,weak_legacy_content</x:v>
      </x:c>
      <x:c r="Q605" s="2" t="str"/>
      <x:c r="R605" s="2" t="str"/>
      <x:c r="S605" s="2" t="str"/>
      <x:c r="T605" s="2" t="str"/>
      <x:c r="U605" s="2" t="str"/>
      <x:c r="V605" s="2" t="str">
        <x:v>아니오</x:v>
      </x:c>
      <x:c r="W605" s="2" t="str">
        <x:v>예</x:v>
      </x:c>
      <x:c r="X605" s="2" t="str"/>
      <x:c r="Y605" s="2" t="n">
        <x:v>0</x:v>
      </x:c>
      <x:c r="Z605" s="2" t="str"/>
      <x:c r="AA605" s="2" t="n">
        <x:v>0</x:v>
      </x:c>
      <x:c r="AB605" s="8" t="str"/>
      <x:c r="AC605" s="8" t="str"/>
      <x:c r="AD605" s="8" t="str">
        <x:v>["draft-ko-missing"]</x:v>
      </x:c>
      <x:c r="AE605" s="8" t="str">
        <x:v>검토 필요</x:v>
      </x:c>
      <x:c r="AF605" s="8" t="str"/>
    </x:row>
    <x:row r="606">
      <x:c r="A606" s="10" t="n">
        <x:v>605</x:v>
      </x:c>
      <x:c r="B606" s="2" t="str">
        <x:v>2차 보류</x:v>
      </x:c>
      <x:c r="C606" s="2" t="str">
        <x:v>2차 보류</x:v>
      </x:c>
      <x:c r="D606" s="2" t="str">
        <x:v>낮음</x:v>
      </x:c>
      <x:c r="E606" s="2" t="str">
        <x:v>N1</x:v>
      </x:c>
      <x:c r="F606" s="10" t="n">
        <x:v>243</x:v>
      </x:c>
      <x:c r="G606" s="2" t="str">
        <x:v>w_3a5efdd6354ac516</x:v>
      </x:c>
      <x:c r="H606" s="2" t="str">
        <x:v>なにとぞ</x:v>
      </x:c>
      <x:c r="I606" s="2" t="str">
        <x:v>なにとぞ</x:v>
      </x:c>
      <x:c r="J606" s="8" t="str">
        <x:v>부디, 제발, 에 의해 모두 수단, 의미</x:v>
      </x:c>
      <x:c r="K606" s="2" t="str">
        <x:v>adverb</x:v>
      </x:c>
      <x:c r="L606" s="9" t="n">
        <x:v>2.41</x:v>
      </x:c>
      <x:c r="M606" s="2" t="str">
        <x:v>있음</x:v>
      </x:c>
      <x:c r="N606" s="11" t="n">
        <x:v>12</x:v>
      </x:c>
      <x:c r="O606" s="8" t="str">
        <x:v>일반 사용 빈도 낮음(Zipf ≤ 2.5); JMdict 우선 어휘 표지 없음; 기존 데이터의 한국어 콘텐츠 보강 필요 태그</x:v>
      </x:c>
      <x:c r="P606" s="8" t="str">
        <x:v>frequency_le_2_5,no_jmdict_priority,weak_legacy_content</x:v>
      </x:c>
      <x:c r="Q606" s="2" t="str"/>
      <x:c r="R606" s="2" t="str"/>
      <x:c r="S606" s="2" t="str"/>
      <x:c r="T606" s="2" t="str"/>
      <x:c r="U606" s="2" t="str"/>
      <x:c r="V606" s="2" t="str">
        <x:v>아니오</x:v>
      </x:c>
      <x:c r="W606" s="2" t="str">
        <x:v>아니오</x:v>
      </x:c>
      <x:c r="X606" s="2" t="str"/>
      <x:c r="Y606" s="2" t="n">
        <x:v>0</x:v>
      </x:c>
      <x:c r="Z606" s="2" t="str"/>
      <x:c r="AA606" s="2" t="n">
        <x:v>0</x:v>
      </x:c>
      <x:c r="AB606" s="8" t="str"/>
      <x:c r="AC606" s="8" t="str"/>
      <x:c r="AD606" s="8" t="str">
        <x:v>["draft-ko-missing"]</x:v>
      </x:c>
      <x:c r="AE606" s="8" t="str">
        <x:v>검토 필요</x:v>
      </x:c>
      <x:c r="AF606" s="8" t="str"/>
    </x:row>
    <x:row r="607">
      <x:c r="A607" s="10" t="n">
        <x:v>606</x:v>
      </x:c>
      <x:c r="B607" s="2" t="str">
        <x:v>2차 보류</x:v>
      </x:c>
      <x:c r="C607" s="2" t="str">
        <x:v>2차 보류</x:v>
      </x:c>
      <x:c r="D607" s="2" t="str">
        <x:v>낮음</x:v>
      </x:c>
      <x:c r="E607" s="2" t="str">
        <x:v>N1</x:v>
      </x:c>
      <x:c r="F607" s="10" t="n">
        <x:v>244</x:v>
      </x:c>
      <x:c r="G607" s="2" t="str">
        <x:v>w_ca3426b5b798821a</x:v>
      </x:c>
      <x:c r="H607" s="2" t="str">
        <x:v>ドライクリーニング</x:v>
      </x:c>
      <x:c r="I607" s="2" t="str">
        <x:v>ドライクリーニング</x:v>
      </x:c>
      <x:c r="J607" s="8" t="str">
        <x:v>드라이클리닝</x:v>
      </x:c>
      <x:c r="K607" s="2" t="str">
        <x:v>noun</x:v>
      </x:c>
      <x:c r="L607" s="9" t="n">
        <x:v>2.49</x:v>
      </x:c>
      <x:c r="M607" s="2" t="str">
        <x:v>있음</x:v>
      </x:c>
      <x:c r="N607" s="11" t="n">
        <x:v>12</x:v>
      </x:c>
      <x:c r="O607" s="8" t="str">
        <x:v>일반 사용 빈도 낮음(Zipf ≤ 2.5); JMdict 우선 어휘 표지 없음; 기존 데이터의 한국어 콘텐츠 보강 필요 태그</x:v>
      </x:c>
      <x:c r="P607" s="8" t="str">
        <x:v>frequency_le_2_5,no_jmdict_priority,weak_legacy_content</x:v>
      </x:c>
      <x:c r="Q607" s="2" t="str"/>
      <x:c r="R607" s="2" t="str"/>
      <x:c r="S607" s="2" t="str"/>
      <x:c r="T607" s="2" t="str"/>
      <x:c r="U607" s="2" t="str"/>
      <x:c r="V607" s="2" t="str">
        <x:v>아니오</x:v>
      </x:c>
      <x:c r="W607" s="2" t="str">
        <x:v>예</x:v>
      </x:c>
      <x:c r="X607" s="2" t="str"/>
      <x:c r="Y607" s="2" t="n">
        <x:v>0</x:v>
      </x:c>
      <x:c r="Z607" s="2" t="str"/>
      <x:c r="AA607" s="2" t="n">
        <x:v>0</x:v>
      </x:c>
      <x:c r="AB607" s="8" t="str"/>
      <x:c r="AC607" s="8" t="str"/>
      <x:c r="AD607" s="8" t="str">
        <x:v>["draft-ko-missing"]</x:v>
      </x:c>
      <x:c r="AE607" s="8" t="str">
        <x:v>검토 필요</x:v>
      </x:c>
      <x:c r="AF607" s="8" t="str"/>
    </x:row>
    <x:row r="608">
      <x:c r="A608" s="10" t="n">
        <x:v>607</x:v>
      </x:c>
      <x:c r="B608" s="2" t="str">
        <x:v>2차 보류</x:v>
      </x:c>
      <x:c r="C608" s="2" t="str">
        <x:v>2차 보류</x:v>
      </x:c>
      <x:c r="D608" s="2" t="str">
        <x:v>낮음</x:v>
      </x:c>
      <x:c r="E608" s="2" t="str">
        <x:v>N2</x:v>
      </x:c>
      <x:c r="F608" s="10" t="n">
        <x:v>222</x:v>
      </x:c>
      <x:c r="G608" s="2" t="str">
        <x:v>w_df6b76d34675cf03</x:v>
      </x:c>
      <x:c r="H608" s="2" t="str">
        <x:v>焦がす</x:v>
      </x:c>
      <x:c r="I608" s="2" t="str">
        <x:v>こがす</x:v>
      </x:c>
      <x:c r="J608" s="8" t="str">
        <x:v>타다, 태우다, 그슬리다</x:v>
      </x:c>
      <x:c r="K608" s="2" t="str">
        <x:v>verb</x:v>
      </x:c>
      <x:c r="L608" s="9" t="n">
        <x:v>2.52</x:v>
      </x:c>
      <x:c r="M608" s="2" t="str">
        <x:v>없음</x:v>
      </x:c>
      <x:c r="N608" s="11" t="n">
        <x:v>11</x:v>
      </x:c>
      <x:c r="O608" s="8" t="str">
        <x:v>일반 사용 빈도 낮은 편(Zipf ≤ 3.0); 검증된 예문 없음; 기존 데이터의 한국어 콘텐츠 보강 필요 태그</x:v>
      </x:c>
      <x:c r="P608" s="8" t="str">
        <x:v>frequency_le_3_0,no_example,weak_legacy_content</x:v>
      </x:c>
      <x:c r="Q608" s="2" t="str"/>
      <x:c r="R608" s="2" t="str"/>
      <x:c r="S608" s="2" t="str"/>
      <x:c r="T608" s="2" t="str"/>
      <x:c r="U608" s="2" t="str"/>
      <x:c r="V608" s="2" t="str">
        <x:v>아니오</x:v>
      </x:c>
      <x:c r="W608" s="2" t="str">
        <x:v>예</x:v>
      </x:c>
      <x:c r="X608" s="2" t="str">
        <x:v>news2,nf46,spec2</x:v>
      </x:c>
      <x:c r="Y608" s="2" t="n">
        <x:v>70</x:v>
      </x:c>
      <x:c r="Z608" s="2" t="str">
        <x:v>news2,nf46,spec2</x:v>
      </x:c>
      <x:c r="AA608" s="2" t="n">
        <x:v>70</x:v>
      </x:c>
      <x:c r="AB608" s="8" t="str"/>
      <x:c r="AC608" s="8" t="str"/>
      <x:c r="AD608" s="8" t="str">
        <x:v>["draft-ko-missing"]</x:v>
      </x:c>
      <x:c r="AE608" s="8" t="str">
        <x:v>검토 필요</x:v>
      </x:c>
      <x:c r="AF608" s="8" t="str"/>
    </x:row>
    <x:row r="609">
      <x:c r="A609" s="10" t="n">
        <x:v>608</x:v>
      </x:c>
      <x:c r="B609" s="2" t="str">
        <x:v>2차 보류</x:v>
      </x:c>
      <x:c r="C609" s="2" t="str">
        <x:v>2차 보류</x:v>
      </x:c>
      <x:c r="D609" s="2" t="str">
        <x:v>낮음</x:v>
      </x:c>
      <x:c r="E609" s="2" t="str">
        <x:v>N1</x:v>
      </x:c>
      <x:c r="F609" s="10" t="n">
        <x:v>245</x:v>
      </x:c>
      <x:c r="G609" s="2" t="str">
        <x:v>w_5d60277c77dcc5c2</x:v>
      </x:c>
      <x:c r="H609" s="2" t="str">
        <x:v>茶の湯</x:v>
      </x:c>
      <x:c r="I609" s="2" t="str">
        <x:v>ちゃのゆ</x:v>
      </x:c>
      <x:c r="J609" s="8" t="str">
        <x:v>다도</x:v>
      </x:c>
      <x:c r="K609" s="2" t="str">
        <x:v>noun</x:v>
      </x:c>
      <x:c r="L609" s="9" t="n">
        <x:v>2.57</x:v>
      </x:c>
      <x:c r="M609" s="2" t="str">
        <x:v>없음</x:v>
      </x:c>
      <x:c r="N609" s="11" t="n">
        <x:v>11</x:v>
      </x:c>
      <x:c r="O609" s="8" t="str">
        <x:v>일반 사용 빈도 낮은 편(Zipf ≤ 3.0); 검증된 예문 없음; 기존 데이터의 한국어 콘텐츠 보강 필요 태그</x:v>
      </x:c>
      <x:c r="P609" s="8" t="str">
        <x:v>frequency_le_3_0,no_example,weak_legacy_content</x:v>
      </x:c>
      <x:c r="Q609" s="2" t="str"/>
      <x:c r="R609" s="2" t="str"/>
      <x:c r="S609" s="2" t="str"/>
      <x:c r="T609" s="2" t="str"/>
      <x:c r="U609" s="2" t="str"/>
      <x:c r="V609" s="2" t="str">
        <x:v>아니오</x:v>
      </x:c>
      <x:c r="W609" s="2" t="str">
        <x:v>예</x:v>
      </x:c>
      <x:c r="X609" s="2" t="str">
        <x:v>news2,nf43,spec2</x:v>
      </x:c>
      <x:c r="Y609" s="2" t="n">
        <x:v>70</x:v>
      </x:c>
      <x:c r="Z609" s="2" t="str">
        <x:v>news2,nf43,spec2</x:v>
      </x:c>
      <x:c r="AA609" s="2" t="n">
        <x:v>70</x:v>
      </x:c>
      <x:c r="AB609" s="8" t="str"/>
      <x:c r="AC609" s="8" t="str"/>
      <x:c r="AD609" s="8" t="str">
        <x:v>["draft-ko-missing"]</x:v>
      </x:c>
      <x:c r="AE609" s="8" t="str">
        <x:v>검토 필요</x:v>
      </x:c>
      <x:c r="AF609" s="8" t="str"/>
    </x:row>
    <x:row r="610">
      <x:c r="A610" s="10" t="n">
        <x:v>609</x:v>
      </x:c>
      <x:c r="B610" s="2" t="str">
        <x:v>2차 보류</x:v>
      </x:c>
      <x:c r="C610" s="2" t="str">
        <x:v>2차 보류</x:v>
      </x:c>
      <x:c r="D610" s="2" t="str">
        <x:v>낮음</x:v>
      </x:c>
      <x:c r="E610" s="2" t="str">
        <x:v>N1</x:v>
      </x:c>
      <x:c r="F610" s="10" t="n">
        <x:v>246</x:v>
      </x:c>
      <x:c r="G610" s="2" t="str">
        <x:v>w_d21c3c66f9500c6e</x:v>
      </x:c>
      <x:c r="H610" s="2" t="str">
        <x:v>気風</x:v>
      </x:c>
      <x:c r="I610" s="2" t="str">
        <x:v>きふう</x:v>
      </x:c>
      <x:c r="J610" s="8" t="str">
        <x:v>기풍, 기질</x:v>
      </x:c>
      <x:c r="K610" s="2" t="str">
        <x:v>noun</x:v>
      </x:c>
      <x:c r="L610" s="9" t="n">
        <x:v>2.6</x:v>
      </x:c>
      <x:c r="M610" s="2" t="str">
        <x:v>없음</x:v>
      </x:c>
      <x:c r="N610" s="11" t="n">
        <x:v>11</x:v>
      </x:c>
      <x:c r="O610" s="8" t="str">
        <x:v>일반 사용 빈도 낮은 편(Zipf ≤ 3.0); 검증된 예문 없음; 기존 데이터의 한국어 콘텐츠 보강 필요 태그</x:v>
      </x:c>
      <x:c r="P610" s="8" t="str">
        <x:v>frequency_le_3_0,no_example,weak_legacy_content</x:v>
      </x:c>
      <x:c r="Q610" s="2" t="str"/>
      <x:c r="R610" s="2" t="str"/>
      <x:c r="S610" s="2" t="str"/>
      <x:c r="T610" s="2" t="str"/>
      <x:c r="U610" s="2" t="str"/>
      <x:c r="V610" s="2" t="str">
        <x:v>아니오</x:v>
      </x:c>
      <x:c r="W610" s="2" t="str">
        <x:v>예</x:v>
      </x:c>
      <x:c r="X610" s="2" t="str">
        <x:v>news2,nf28</x:v>
      </x:c>
      <x:c r="Y610" s="2" t="n">
        <x:v>70</x:v>
      </x:c>
      <x:c r="Z610" s="2" t="str">
        <x:v>news2,nf28</x:v>
      </x:c>
      <x:c r="AA610" s="2" t="n">
        <x:v>70</x:v>
      </x:c>
      <x:c r="AB610" s="8" t="str"/>
      <x:c r="AC610" s="8" t="str"/>
      <x:c r="AD610" s="8" t="str">
        <x:v>["draft-ko-missing"]</x:v>
      </x:c>
      <x:c r="AE610" s="8" t="str">
        <x:v>검토 필요</x:v>
      </x:c>
      <x:c r="AF610" s="8" t="str"/>
    </x:row>
    <x:row r="611">
      <x:c r="A611" s="10" t="n">
        <x:v>610</x:v>
      </x:c>
      <x:c r="B611" s="2" t="str">
        <x:v>2차 보류</x:v>
      </x:c>
      <x:c r="C611" s="2" t="str">
        <x:v>2차 보류</x:v>
      </x:c>
      <x:c r="D611" s="2" t="str">
        <x:v>낮음</x:v>
      </x:c>
      <x:c r="E611" s="2" t="str">
        <x:v>N2</x:v>
      </x:c>
      <x:c r="F611" s="10" t="n">
        <x:v>223</x:v>
      </x:c>
      <x:c r="G611" s="2" t="str">
        <x:v>w_8e5fc40297a3d335</x:v>
      </x:c>
      <x:c r="H611" s="2" t="str">
        <x:v>速力</x:v>
      </x:c>
      <x:c r="I611" s="2" t="str">
        <x:v>そくりょく</x:v>
      </x:c>
      <x:c r="J611" s="8" t="str">
        <x:v>속도</x:v>
      </x:c>
      <x:c r="K611" s="2" t="str">
        <x:v>noun</x:v>
      </x:c>
      <x:c r="L611" s="9" t="n">
        <x:v>2.61</x:v>
      </x:c>
      <x:c r="M611" s="2" t="str">
        <x:v>없음</x:v>
      </x:c>
      <x:c r="N611" s="11" t="n">
        <x:v>11</x:v>
      </x:c>
      <x:c r="O611" s="8" t="str">
        <x:v>일반 사용 빈도 낮은 편(Zipf ≤ 3.0); 검증된 예문 없음; 기존 데이터의 한국어 콘텐츠 보강 필요 태그</x:v>
      </x:c>
      <x:c r="P611" s="8" t="str">
        <x:v>frequency_le_3_0,no_example,weak_legacy_content</x:v>
      </x:c>
      <x:c r="Q611" s="2" t="str"/>
      <x:c r="R611" s="2" t="str"/>
      <x:c r="S611" s="2" t="str"/>
      <x:c r="T611" s="2" t="str"/>
      <x:c r="U611" s="2" t="str"/>
      <x:c r="V611" s="2" t="str">
        <x:v>아니오</x:v>
      </x:c>
      <x:c r="W611" s="2" t="str">
        <x:v>예</x:v>
      </x:c>
      <x:c r="X611" s="2" t="str">
        <x:v>news2,nf45,spec2</x:v>
      </x:c>
      <x:c r="Y611" s="2" t="n">
        <x:v>70</x:v>
      </x:c>
      <x:c r="Z611" s="2" t="str">
        <x:v>news2,nf45,spec2</x:v>
      </x:c>
      <x:c r="AA611" s="2" t="n">
        <x:v>70</x:v>
      </x:c>
      <x:c r="AB611" s="8" t="str"/>
      <x:c r="AC611" s="8" t="str"/>
      <x:c r="AD611" s="8" t="str">
        <x:v>["draft-ko-missing"]</x:v>
      </x:c>
      <x:c r="AE611" s="8" t="str">
        <x:v>검토 필요</x:v>
      </x:c>
      <x:c r="AF611" s="8" t="str"/>
    </x:row>
    <x:row r="612">
      <x:c r="A612" s="10" t="n">
        <x:v>611</x:v>
      </x:c>
      <x:c r="B612" s="2" t="str">
        <x:v>2차 보류</x:v>
      </x:c>
      <x:c r="C612" s="2" t="str">
        <x:v>2차 보류</x:v>
      </x:c>
      <x:c r="D612" s="2" t="str">
        <x:v>낮음</x:v>
      </x:c>
      <x:c r="E612" s="2" t="str">
        <x:v>N1</x:v>
      </x:c>
      <x:c r="F612" s="10" t="n">
        <x:v>247</x:v>
      </x:c>
      <x:c r="G612" s="2" t="str">
        <x:v>w_8e3ac6755492afad</x:v>
      </x:c>
      <x:c r="H612" s="2" t="str">
        <x:v>暗算</x:v>
      </x:c>
      <x:c r="I612" s="2" t="str">
        <x:v>あんざん</x:v>
      </x:c>
      <x:c r="J612" s="8" t="str">
        <x:v>암산</x:v>
      </x:c>
      <x:c r="K612" s="2" t="str">
        <x:v>noun</x:v>
      </x:c>
      <x:c r="L612" s="9" t="n">
        <x:v>2.61</x:v>
      </x:c>
      <x:c r="M612" s="2" t="str">
        <x:v>없음</x:v>
      </x:c>
      <x:c r="N612" s="11" t="n">
        <x:v>11</x:v>
      </x:c>
      <x:c r="O612" s="8" t="str">
        <x:v>일반 사용 빈도 낮은 편(Zipf ≤ 3.0); 검증된 예문 없음; 기존 데이터의 한국어 콘텐츠 보강 필요 태그</x:v>
      </x:c>
      <x:c r="P612" s="8" t="str">
        <x:v>frequency_le_3_0,no_example,weak_legacy_content</x:v>
      </x:c>
      <x:c r="Q612" s="2" t="str"/>
      <x:c r="R612" s="2" t="str"/>
      <x:c r="S612" s="2" t="str"/>
      <x:c r="T612" s="2" t="str"/>
      <x:c r="U612" s="2" t="str"/>
      <x:c r="V612" s="2" t="str">
        <x:v>아니오</x:v>
      </x:c>
      <x:c r="W612" s="2" t="str">
        <x:v>예</x:v>
      </x:c>
      <x:c r="X612" s="2" t="str">
        <x:v>news2,nf48</x:v>
      </x:c>
      <x:c r="Y612" s="2" t="n">
        <x:v>70</x:v>
      </x:c>
      <x:c r="Z612" s="2" t="str">
        <x:v>news2,nf48</x:v>
      </x:c>
      <x:c r="AA612" s="2" t="n">
        <x:v>70</x:v>
      </x:c>
      <x:c r="AB612" s="8" t="str"/>
      <x:c r="AC612" s="8" t="str"/>
      <x:c r="AD612" s="8" t="str">
        <x:v>["draft-ko-missing"]</x:v>
      </x:c>
      <x:c r="AE612" s="8" t="str">
        <x:v>검토 필요</x:v>
      </x:c>
      <x:c r="AF612" s="8" t="str"/>
    </x:row>
    <x:row r="613">
      <x:c r="A613" s="10" t="n">
        <x:v>612</x:v>
      </x:c>
      <x:c r="B613" s="2" t="str">
        <x:v>2차 보류</x:v>
      </x:c>
      <x:c r="C613" s="2" t="str">
        <x:v>2차 보류</x:v>
      </x:c>
      <x:c r="D613" s="2" t="str">
        <x:v>낮음</x:v>
      </x:c>
      <x:c r="E613" s="2" t="str">
        <x:v>N2</x:v>
      </x:c>
      <x:c r="F613" s="10" t="n">
        <x:v>224</x:v>
      </x:c>
      <x:c r="G613" s="2" t="str">
        <x:v>w_db5972303b7da2bd</x:v>
      </x:c>
      <x:c r="H613" s="2" t="str">
        <x:v>針路</x:v>
      </x:c>
      <x:c r="I613" s="2" t="str">
        <x:v>しんろ</x:v>
      </x:c>
      <x:c r="J613" s="8" t="str">
        <x:v>(배·비행기의) 진로, 항로</x:v>
      </x:c>
      <x:c r="K613" s="2" t="str">
        <x:v>noun</x:v>
      </x:c>
      <x:c r="L613" s="9" t="n">
        <x:v>2.66</x:v>
      </x:c>
      <x:c r="M613" s="2" t="str">
        <x:v>없음</x:v>
      </x:c>
      <x:c r="N613" s="11" t="n">
        <x:v>11</x:v>
      </x:c>
      <x:c r="O613" s="8" t="str">
        <x:v>일반 사용 빈도 낮은 편(Zipf ≤ 3.0); 검증된 예문 없음; 기존 데이터의 한국어 콘텐츠 보강 필요 태그</x:v>
      </x:c>
      <x:c r="P613" s="8" t="str">
        <x:v>frequency_le_3_0,no_example,weak_legacy_content</x:v>
      </x:c>
      <x:c r="Q613" s="2" t="str"/>
      <x:c r="R613" s="2" t="str"/>
      <x:c r="S613" s="2" t="str"/>
      <x:c r="T613" s="2" t="str"/>
      <x:c r="U613" s="2" t="str"/>
      <x:c r="V613" s="2" t="str">
        <x:v>아니오</x:v>
      </x:c>
      <x:c r="W613" s="2" t="str">
        <x:v>예</x:v>
      </x:c>
      <x:c r="X613" s="2" t="str">
        <x:v>news2,nf26</x:v>
      </x:c>
      <x:c r="Y613" s="2" t="n">
        <x:v>70</x:v>
      </x:c>
      <x:c r="Z613" s="2" t="str">
        <x:v>news2,nf26</x:v>
      </x:c>
      <x:c r="AA613" s="2" t="n">
        <x:v>70</x:v>
      </x:c>
      <x:c r="AB613" s="8" t="str"/>
      <x:c r="AC613" s="8" t="str"/>
      <x:c r="AD613" s="8" t="str">
        <x:v>["draft-ko-missing"]</x:v>
      </x:c>
      <x:c r="AE613" s="8" t="str">
        <x:v>검토 필요</x:v>
      </x:c>
      <x:c r="AF613" s="8" t="str"/>
    </x:row>
    <x:row r="614">
      <x:c r="A614" s="10" t="n">
        <x:v>613</x:v>
      </x:c>
      <x:c r="B614" s="2" t="str">
        <x:v>2차 보류</x:v>
      </x:c>
      <x:c r="C614" s="2" t="str">
        <x:v>2차 보류</x:v>
      </x:c>
      <x:c r="D614" s="2" t="str">
        <x:v>낮음</x:v>
      </x:c>
      <x:c r="E614" s="2" t="str">
        <x:v>N1</x:v>
      </x:c>
      <x:c r="F614" s="10" t="n">
        <x:v>248</x:v>
      </x:c>
      <x:c r="G614" s="2" t="str">
        <x:v>w_994530fba1b60aad</x:v>
      </x:c>
      <x:c r="H614" s="2" t="str">
        <x:v>手近</x:v>
      </x:c>
      <x:c r="I614" s="2" t="str">
        <x:v>てぢか</x:v>
      </x:c>
      <x:c r="J614" s="8" t="str">
        <x:v>가까움, 손쉬움</x:v>
      </x:c>
      <x:c r="K614" s="2" t="str">
        <x:v>adjective</x:v>
      </x:c>
      <x:c r="L614" s="9" t="n">
        <x:v>2.66</x:v>
      </x:c>
      <x:c r="M614" s="2" t="str">
        <x:v>없음</x:v>
      </x:c>
      <x:c r="N614" s="11" t="n">
        <x:v>11</x:v>
      </x:c>
      <x:c r="O614" s="8" t="str">
        <x:v>일반 사용 빈도 낮은 편(Zipf ≤ 3.0); 검증된 예문 없음; 기존 데이터의 한국어 콘텐츠 보강 필요 태그</x:v>
      </x:c>
      <x:c r="P614" s="8" t="str">
        <x:v>frequency_le_3_0,no_example,weak_legacy_content</x:v>
      </x:c>
      <x:c r="Q614" s="2" t="str"/>
      <x:c r="R614" s="2" t="str"/>
      <x:c r="S614" s="2" t="str"/>
      <x:c r="T614" s="2" t="str"/>
      <x:c r="U614" s="2" t="str"/>
      <x:c r="V614" s="2" t="str">
        <x:v>아니오</x:v>
      </x:c>
      <x:c r="W614" s="2" t="str">
        <x:v>예</x:v>
      </x:c>
      <x:c r="X614" s="2" t="str">
        <x:v>news2,nf33</x:v>
      </x:c>
      <x:c r="Y614" s="2" t="n">
        <x:v>70</x:v>
      </x:c>
      <x:c r="Z614" s="2" t="str">
        <x:v>news2,nf33</x:v>
      </x:c>
      <x:c r="AA614" s="2" t="n">
        <x:v>70</x:v>
      </x:c>
      <x:c r="AB614" s="8" t="str"/>
      <x:c r="AC614" s="8" t="str"/>
      <x:c r="AD614" s="8" t="str">
        <x:v>["draft-ko-missing"]</x:v>
      </x:c>
      <x:c r="AE614" s="8" t="str">
        <x:v>검토 필요</x:v>
      </x:c>
      <x:c r="AF614" s="8" t="str"/>
    </x:row>
    <x:row r="615">
      <x:c r="A615" s="10" t="n">
        <x:v>614</x:v>
      </x:c>
      <x:c r="B615" s="2" t="str">
        <x:v>2차 보류</x:v>
      </x:c>
      <x:c r="C615" s="2" t="str">
        <x:v>2차 보류</x:v>
      </x:c>
      <x:c r="D615" s="2" t="str">
        <x:v>낮음</x:v>
      </x:c>
      <x:c r="E615" s="2" t="str">
        <x:v>N1</x:v>
      </x:c>
      <x:c r="F615" s="10" t="n">
        <x:v>249</x:v>
      </x:c>
      <x:c r="G615" s="2" t="str">
        <x:v>w_09eaba7cfec62d07</x:v>
      </x:c>
      <x:c r="H615" s="2" t="str">
        <x:v>転回</x:v>
      </x:c>
      <x:c r="I615" s="2" t="str">
        <x:v>てんかい</x:v>
      </x:c>
      <x:c r="J615" s="8" t="str">
        <x:v>전회, 방향 전환</x:v>
      </x:c>
      <x:c r="K615" s="2" t="str">
        <x:v>noun</x:v>
      </x:c>
      <x:c r="L615" s="9" t="n">
        <x:v>2.69</x:v>
      </x:c>
      <x:c r="M615" s="2" t="str">
        <x:v>없음</x:v>
      </x:c>
      <x:c r="N615" s="11" t="n">
        <x:v>11</x:v>
      </x:c>
      <x:c r="O615" s="8" t="str">
        <x:v>일반 사용 빈도 낮은 편(Zipf ≤ 3.0); 검증된 예문 없음; 기존 데이터의 한국어 콘텐츠 보강 필요 태그</x:v>
      </x:c>
      <x:c r="P615" s="8" t="str">
        <x:v>frequency_le_3_0,no_example,weak_legacy_content</x:v>
      </x:c>
      <x:c r="Q615" s="2" t="str"/>
      <x:c r="R615" s="2" t="str"/>
      <x:c r="S615" s="2" t="str"/>
      <x:c r="T615" s="2" t="str"/>
      <x:c r="U615" s="2" t="str"/>
      <x:c r="V615" s="2" t="str">
        <x:v>아니오</x:v>
      </x:c>
      <x:c r="W615" s="2" t="str">
        <x:v>예</x:v>
      </x:c>
      <x:c r="X615" s="2" t="str">
        <x:v>news2,nf45</x:v>
      </x:c>
      <x:c r="Y615" s="2" t="n">
        <x:v>70</x:v>
      </x:c>
      <x:c r="Z615" s="2" t="str">
        <x:v>news2,nf45</x:v>
      </x:c>
      <x:c r="AA615" s="2" t="n">
        <x:v>70</x:v>
      </x:c>
      <x:c r="AB615" s="8" t="str"/>
      <x:c r="AC615" s="8" t="str"/>
      <x:c r="AD615" s="8" t="str">
        <x:v>["draft-ko-missing"]</x:v>
      </x:c>
      <x:c r="AE615" s="8" t="str">
        <x:v>검토 필요</x:v>
      </x:c>
      <x:c r="AF615" s="8" t="str"/>
    </x:row>
    <x:row r="616">
      <x:c r="A616" s="10" t="n">
        <x:v>615</x:v>
      </x:c>
      <x:c r="B616" s="2" t="str">
        <x:v>2차 보류</x:v>
      </x:c>
      <x:c r="C616" s="2" t="str">
        <x:v>2차 보류</x:v>
      </x:c>
      <x:c r="D616" s="2" t="str">
        <x:v>낮음</x:v>
      </x:c>
      <x:c r="E616" s="2" t="str">
        <x:v>N2</x:v>
      </x:c>
      <x:c r="F616" s="10" t="n">
        <x:v>225</x:v>
      </x:c>
      <x:c r="G616" s="2" t="str">
        <x:v>w_c102821ca017163e</x:v>
      </x:c>
      <x:c r="H616" s="2" t="str">
        <x:v>同格</x:v>
      </x:c>
      <x:c r="I616" s="2" t="str">
        <x:v>どうかく</x:v>
      </x:c>
      <x:c r="J616" s="8" t="str">
        <x:v>같은 등급, 평등, 동등함</x:v>
      </x:c>
      <x:c r="K616" s="2" t="str">
        <x:v>noun</x:v>
      </x:c>
      <x:c r="L616" s="9" t="n">
        <x:v>2.7</x:v>
      </x:c>
      <x:c r="M616" s="2" t="str">
        <x:v>없음</x:v>
      </x:c>
      <x:c r="N616" s="11" t="n">
        <x:v>11</x:v>
      </x:c>
      <x:c r="O616" s="8" t="str">
        <x:v>일반 사용 빈도 낮은 편(Zipf ≤ 3.0); 검증된 예문 없음; 기존 데이터의 한국어 콘텐츠 보강 필요 태그</x:v>
      </x:c>
      <x:c r="P616" s="8" t="str">
        <x:v>frequency_le_3_0,no_example,weak_legacy_content</x:v>
      </x:c>
      <x:c r="Q616" s="2" t="str"/>
      <x:c r="R616" s="2" t="str"/>
      <x:c r="S616" s="2" t="str"/>
      <x:c r="T616" s="2" t="str"/>
      <x:c r="U616" s="2" t="str"/>
      <x:c r="V616" s="2" t="str">
        <x:v>아니오</x:v>
      </x:c>
      <x:c r="W616" s="2" t="str">
        <x:v>예</x:v>
      </x:c>
      <x:c r="X616" s="2" t="str">
        <x:v>news2,nf31</x:v>
      </x:c>
      <x:c r="Y616" s="2" t="n">
        <x:v>70</x:v>
      </x:c>
      <x:c r="Z616" s="2" t="str">
        <x:v>news2,nf31</x:v>
      </x:c>
      <x:c r="AA616" s="2" t="n">
        <x:v>70</x:v>
      </x:c>
      <x:c r="AB616" s="8" t="str"/>
      <x:c r="AC616" s="8" t="str"/>
      <x:c r="AD616" s="8" t="str">
        <x:v>["draft-ko-missing"]</x:v>
      </x:c>
      <x:c r="AE616" s="8" t="str">
        <x:v>검토 필요</x:v>
      </x:c>
      <x:c r="AF616" s="8" t="str"/>
    </x:row>
    <x:row r="617">
      <x:c r="A617" s="10" t="n">
        <x:v>616</x:v>
      </x:c>
      <x:c r="B617" s="2" t="str">
        <x:v>2차 보류</x:v>
      </x:c>
      <x:c r="C617" s="2" t="str">
        <x:v>2차 보류</x:v>
      </x:c>
      <x:c r="D617" s="2" t="str">
        <x:v>낮음</x:v>
      </x:c>
      <x:c r="E617" s="2" t="str">
        <x:v>N1</x:v>
      </x:c>
      <x:c r="F617" s="10" t="n">
        <x:v>250</x:v>
      </x:c>
      <x:c r="G617" s="2" t="str">
        <x:v>w_7f92539bd4ac4cb1</x:v>
      </x:c>
      <x:c r="H617" s="2" t="str">
        <x:v>旧知</x:v>
      </x:c>
      <x:c r="I617" s="2" t="str">
        <x:v>きゅうち</x:v>
      </x:c>
      <x:c r="J617" s="8" t="str">
        <x:v>옛 친구, 오랜 친분</x:v>
      </x:c>
      <x:c r="K617" s="2" t="str">
        <x:v>noun</x:v>
      </x:c>
      <x:c r="L617" s="9" t="n">
        <x:v>2.76</x:v>
      </x:c>
      <x:c r="M617" s="2" t="str">
        <x:v>없음</x:v>
      </x:c>
      <x:c r="N617" s="11" t="n">
        <x:v>11</x:v>
      </x:c>
      <x:c r="O617" s="8" t="str">
        <x:v>일반 사용 빈도 낮은 편(Zipf ≤ 3.0); 검증된 예문 없음; 기존 데이터의 한국어 콘텐츠 보강 필요 태그</x:v>
      </x:c>
      <x:c r="P617" s="8" t="str">
        <x:v>frequency_le_3_0,no_example,weak_legacy_content</x:v>
      </x:c>
      <x:c r="Q617" s="2" t="str"/>
      <x:c r="R617" s="2" t="str"/>
      <x:c r="S617" s="2" t="str"/>
      <x:c r="T617" s="2" t="str"/>
      <x:c r="U617" s="2" t="str"/>
      <x:c r="V617" s="2" t="str">
        <x:v>아니오</x:v>
      </x:c>
      <x:c r="W617" s="2" t="str">
        <x:v>예</x:v>
      </x:c>
      <x:c r="X617" s="2" t="str">
        <x:v>news2,nf26</x:v>
      </x:c>
      <x:c r="Y617" s="2" t="n">
        <x:v>70</x:v>
      </x:c>
      <x:c r="Z617" s="2" t="str">
        <x:v>news2,nf26</x:v>
      </x:c>
      <x:c r="AA617" s="2" t="n">
        <x:v>70</x:v>
      </x:c>
      <x:c r="AB617" s="8" t="str"/>
      <x:c r="AC617" s="8" t="str"/>
      <x:c r="AD617" s="8" t="str">
        <x:v>["draft-ko-missing"]</x:v>
      </x:c>
      <x:c r="AE617" s="8" t="str">
        <x:v>검토 필요</x:v>
      </x:c>
      <x:c r="AF617" s="8" t="str"/>
    </x:row>
    <x:row r="618">
      <x:c r="A618" s="10" t="n">
        <x:v>617</x:v>
      </x:c>
      <x:c r="B618" s="2" t="str">
        <x:v>2차 보류</x:v>
      </x:c>
      <x:c r="C618" s="2" t="str">
        <x:v>2차 보류</x:v>
      </x:c>
      <x:c r="D618" s="2" t="str">
        <x:v>낮음</x:v>
      </x:c>
      <x:c r="E618" s="2" t="str">
        <x:v>N1</x:v>
      </x:c>
      <x:c r="F618" s="10" t="n">
        <x:v>251</x:v>
      </x:c>
      <x:c r="G618" s="2" t="str">
        <x:v>w_5890429d70d172b9</x:v>
      </x:c>
      <x:c r="H618" s="2" t="str">
        <x:v>城下</x:v>
      </x:c>
      <x:c r="I618" s="2" t="str">
        <x:v>じょうか</x:v>
      </x:c>
      <x:c r="J618" s="8" t="str">
        <x:v>성 아래, 성하</x:v>
      </x:c>
      <x:c r="K618" s="2" t="str">
        <x:v>noun</x:v>
      </x:c>
      <x:c r="L618" s="9" t="n">
        <x:v>2.78</x:v>
      </x:c>
      <x:c r="M618" s="2" t="str">
        <x:v>없음</x:v>
      </x:c>
      <x:c r="N618" s="11" t="n">
        <x:v>11</x:v>
      </x:c>
      <x:c r="O618" s="8" t="str">
        <x:v>일반 사용 빈도 낮은 편(Zipf ≤ 3.0); 검증된 예문 없음; 기존 데이터의 한국어 콘텐츠 보강 필요 태그</x:v>
      </x:c>
      <x:c r="P618" s="8" t="str">
        <x:v>frequency_le_3_0,no_example,weak_legacy_content</x:v>
      </x:c>
      <x:c r="Q618" s="2" t="str"/>
      <x:c r="R618" s="2" t="str"/>
      <x:c r="S618" s="2" t="str"/>
      <x:c r="T618" s="2" t="str"/>
      <x:c r="U618" s="2" t="str"/>
      <x:c r="V618" s="2" t="str">
        <x:v>아니오</x:v>
      </x:c>
      <x:c r="W618" s="2" t="str">
        <x:v>예</x:v>
      </x:c>
      <x:c r="X618" s="2" t="str">
        <x:v>news2,nf47</x:v>
      </x:c>
      <x:c r="Y618" s="2" t="n">
        <x:v>70</x:v>
      </x:c>
      <x:c r="Z618" s="2" t="str">
        <x:v>news2,nf47</x:v>
      </x:c>
      <x:c r="AA618" s="2" t="n">
        <x:v>70</x:v>
      </x:c>
      <x:c r="AB618" s="8" t="str"/>
      <x:c r="AC618" s="8" t="str"/>
      <x:c r="AD618" s="8" t="str">
        <x:v>["draft-ko-missing"]</x:v>
      </x:c>
      <x:c r="AE618" s="8" t="str">
        <x:v>검토 필요</x:v>
      </x:c>
      <x:c r="AF618" s="8" t="str"/>
    </x:row>
    <x:row r="619">
      <x:c r="A619" s="10" t="n">
        <x:v>618</x:v>
      </x:c>
      <x:c r="B619" s="2" t="str">
        <x:v>2차 보류</x:v>
      </x:c>
      <x:c r="C619" s="2" t="str">
        <x:v>2차 보류</x:v>
      </x:c>
      <x:c r="D619" s="2" t="str">
        <x:v>낮음</x:v>
      </x:c>
      <x:c r="E619" s="2" t="str">
        <x:v>N1</x:v>
      </x:c>
      <x:c r="F619" s="10" t="n">
        <x:v>252</x:v>
      </x:c>
      <x:c r="G619" s="2" t="str">
        <x:v>w_aca96fcac371080d</x:v>
      </x:c>
      <x:c r="H619" s="2" t="str">
        <x:v>宣教</x:v>
      </x:c>
      <x:c r="I619" s="2" t="str">
        <x:v>せんきょう</x:v>
      </x:c>
      <x:c r="J619" s="8" t="str">
        <x:v>선교</x:v>
      </x:c>
      <x:c r="K619" s="2" t="str">
        <x:v>noun</x:v>
      </x:c>
      <x:c r="L619" s="9" t="n">
        <x:v>2.81</x:v>
      </x:c>
      <x:c r="M619" s="2" t="str">
        <x:v>없음</x:v>
      </x:c>
      <x:c r="N619" s="11" t="n">
        <x:v>11</x:v>
      </x:c>
      <x:c r="O619" s="8" t="str">
        <x:v>일반 사용 빈도 낮은 편(Zipf ≤ 3.0); 검증된 예문 없음; 기존 데이터의 한국어 콘텐츠 보강 필요 태그</x:v>
      </x:c>
      <x:c r="P619" s="8" t="str">
        <x:v>frequency_le_3_0,no_example,weak_legacy_content</x:v>
      </x:c>
      <x:c r="Q619" s="2" t="str"/>
      <x:c r="R619" s="2" t="str"/>
      <x:c r="S619" s="2" t="str"/>
      <x:c r="T619" s="2" t="str"/>
      <x:c r="U619" s="2" t="str"/>
      <x:c r="V619" s="2" t="str">
        <x:v>아니오</x:v>
      </x:c>
      <x:c r="W619" s="2" t="str">
        <x:v>예</x:v>
      </x:c>
      <x:c r="X619" s="2" t="str">
        <x:v>news2,nf41</x:v>
      </x:c>
      <x:c r="Y619" s="2" t="n">
        <x:v>70</x:v>
      </x:c>
      <x:c r="Z619" s="2" t="str">
        <x:v>news2,nf41</x:v>
      </x:c>
      <x:c r="AA619" s="2" t="n">
        <x:v>70</x:v>
      </x:c>
      <x:c r="AB619" s="8" t="str"/>
      <x:c r="AC619" s="8" t="str"/>
      <x:c r="AD619" s="8" t="str">
        <x:v>["draft-ko-missing"]</x:v>
      </x:c>
      <x:c r="AE619" s="8" t="str">
        <x:v>검토 필요</x:v>
      </x:c>
      <x:c r="AF619" s="8" t="str"/>
    </x:row>
    <x:row r="620">
      <x:c r="A620" s="10" t="n">
        <x:v>619</x:v>
      </x:c>
      <x:c r="B620" s="2" t="str">
        <x:v>2차 보류</x:v>
      </x:c>
      <x:c r="C620" s="2" t="str">
        <x:v>2차 보류</x:v>
      </x:c>
      <x:c r="D620" s="2" t="str">
        <x:v>낮음</x:v>
      </x:c>
      <x:c r="E620" s="2" t="str">
        <x:v>N1</x:v>
      </x:c>
      <x:c r="F620" s="10" t="n">
        <x:v>253</x:v>
      </x:c>
      <x:c r="G620" s="2" t="str">
        <x:v>w_ff642a35307d1a54</x:v>
      </x:c>
      <x:c r="H620" s="2" t="str">
        <x:v>球根</x:v>
      </x:c>
      <x:c r="I620" s="2" t="str">
        <x:v>きゅうこん</x:v>
      </x:c>
      <x:c r="J620" s="8" t="str">
        <x:v>구근, 알뿌리</x:v>
      </x:c>
      <x:c r="K620" s="2" t="str">
        <x:v>noun</x:v>
      </x:c>
      <x:c r="L620" s="9" t="n">
        <x:v>2.84</x:v>
      </x:c>
      <x:c r="M620" s="2" t="str">
        <x:v>없음</x:v>
      </x:c>
      <x:c r="N620" s="11" t="n">
        <x:v>11</x:v>
      </x:c>
      <x:c r="O620" s="8" t="str">
        <x:v>일반 사용 빈도 낮은 편(Zipf ≤ 3.0); 검증된 예문 없음; 기존 데이터의 한국어 콘텐츠 보강 필요 태그</x:v>
      </x:c>
      <x:c r="P620" s="8" t="str">
        <x:v>frequency_le_3_0,no_example,weak_legacy_content</x:v>
      </x:c>
      <x:c r="Q620" s="2" t="str"/>
      <x:c r="R620" s="2" t="str"/>
      <x:c r="S620" s="2" t="str"/>
      <x:c r="T620" s="2" t="str"/>
      <x:c r="U620" s="2" t="str"/>
      <x:c r="V620" s="2" t="str">
        <x:v>아니오</x:v>
      </x:c>
      <x:c r="W620" s="2" t="str">
        <x:v>예</x:v>
      </x:c>
      <x:c r="X620" s="2" t="str">
        <x:v>news2,nf31</x:v>
      </x:c>
      <x:c r="Y620" s="2" t="n">
        <x:v>70</x:v>
      </x:c>
      <x:c r="Z620" s="2" t="str">
        <x:v>news2,nf31</x:v>
      </x:c>
      <x:c r="AA620" s="2" t="n">
        <x:v>70</x:v>
      </x:c>
      <x:c r="AB620" s="8" t="str"/>
      <x:c r="AC620" s="8" t="str"/>
      <x:c r="AD620" s="8" t="str">
        <x:v>["draft-ko-missing"]</x:v>
      </x:c>
      <x:c r="AE620" s="8" t="str">
        <x:v>검토 필요</x:v>
      </x:c>
      <x:c r="AF620" s="8" t="str"/>
    </x:row>
    <x:row r="621">
      <x:c r="A621" s="10" t="n">
        <x:v>620</x:v>
      </x:c>
      <x:c r="B621" s="2" t="str">
        <x:v>2차 보류</x:v>
      </x:c>
      <x:c r="C621" s="2" t="str">
        <x:v>2차 보류</x:v>
      </x:c>
      <x:c r="D621" s="2" t="str">
        <x:v>낮음</x:v>
      </x:c>
      <x:c r="E621" s="2" t="str">
        <x:v>N1</x:v>
      </x:c>
      <x:c r="F621" s="10" t="n">
        <x:v>254</x:v>
      </x:c>
      <x:c r="G621" s="2" t="str">
        <x:v>w_c15b02709e50ff06</x:v>
      </x:c>
      <x:c r="H621" s="2" t="str">
        <x:v>伝来</x:v>
      </x:c>
      <x:c r="I621" s="2" t="str">
        <x:v>でんらい</x:v>
      </x:c>
      <x:c r="J621" s="8" t="str">
        <x:v>전래, 전해 내려옴</x:v>
      </x:c>
      <x:c r="K621" s="2" t="str">
        <x:v>noun</x:v>
      </x:c>
      <x:c r="L621" s="9" t="n">
        <x:v>2.85</x:v>
      </x:c>
      <x:c r="M621" s="2" t="str">
        <x:v>없음</x:v>
      </x:c>
      <x:c r="N621" s="11" t="n">
        <x:v>11</x:v>
      </x:c>
      <x:c r="O621" s="8" t="str">
        <x:v>일반 사용 빈도 낮은 편(Zipf ≤ 3.0); 검증된 예문 없음; 기존 데이터의 한국어 콘텐츠 보강 필요 태그</x:v>
      </x:c>
      <x:c r="P621" s="8" t="str">
        <x:v>frequency_le_3_0,no_example,weak_legacy_content</x:v>
      </x:c>
      <x:c r="Q621" s="2" t="str"/>
      <x:c r="R621" s="2" t="str"/>
      <x:c r="S621" s="2" t="str"/>
      <x:c r="T621" s="2" t="str"/>
      <x:c r="U621" s="2" t="str"/>
      <x:c r="V621" s="2" t="str">
        <x:v>아니오</x:v>
      </x:c>
      <x:c r="W621" s="2" t="str">
        <x:v>예</x:v>
      </x:c>
      <x:c r="X621" s="2" t="str">
        <x:v>news2,nf25</x:v>
      </x:c>
      <x:c r="Y621" s="2" t="n">
        <x:v>70</x:v>
      </x:c>
      <x:c r="Z621" s="2" t="str">
        <x:v>news2,nf25</x:v>
      </x:c>
      <x:c r="AA621" s="2" t="n">
        <x:v>70</x:v>
      </x:c>
      <x:c r="AB621" s="8" t="str"/>
      <x:c r="AC621" s="8" t="str"/>
      <x:c r="AD621" s="8" t="str">
        <x:v>["draft-ko-missing"]</x:v>
      </x:c>
      <x:c r="AE621" s="8" t="str">
        <x:v>검토 필요</x:v>
      </x:c>
      <x:c r="AF621" s="8" t="str"/>
    </x:row>
    <x:row r="622">
      <x:c r="A622" s="10" t="n">
        <x:v>621</x:v>
      </x:c>
      <x:c r="B622" s="2" t="str">
        <x:v>2차 보류</x:v>
      </x:c>
      <x:c r="C622" s="2" t="str">
        <x:v>2차 보류</x:v>
      </x:c>
      <x:c r="D622" s="2" t="str">
        <x:v>낮음</x:v>
      </x:c>
      <x:c r="E622" s="2" t="str">
        <x:v>N1</x:v>
      </x:c>
      <x:c r="F622" s="10" t="n">
        <x:v>255</x:v>
      </x:c>
      <x:c r="G622" s="2" t="str">
        <x:v>w_87bf4d3c0e62351e</x:v>
      </x:c>
      <x:c r="H622" s="2" t="str">
        <x:v>出くわす</x:v>
      </x:c>
      <x:c r="I622" s="2" t="str">
        <x:v>でくわす</x:v>
      </x:c>
      <x:c r="J622" s="8" t="str">
        <x:v>맞닥뜨리다, 우연히 만나다</x:v>
      </x:c>
      <x:c r="K622" s="2" t="str">
        <x:v>verb</x:v>
      </x:c>
      <x:c r="L622" s="9" t="n">
        <x:v>2.86</x:v>
      </x:c>
      <x:c r="M622" s="2" t="str">
        <x:v>없음</x:v>
      </x:c>
      <x:c r="N622" s="11" t="n">
        <x:v>11</x:v>
      </x:c>
      <x:c r="O622" s="8" t="str">
        <x:v>일반 사용 빈도 낮은 편(Zipf ≤ 3.0); 검증된 예문 없음; 기존 데이터의 한국어 콘텐츠 보강 필요 태그</x:v>
      </x:c>
      <x:c r="P622" s="8" t="str">
        <x:v>frequency_le_3_0,no_example,weak_legacy_content</x:v>
      </x:c>
      <x:c r="Q622" s="2" t="str"/>
      <x:c r="R622" s="2" t="str"/>
      <x:c r="S622" s="2" t="str"/>
      <x:c r="T622" s="2" t="str"/>
      <x:c r="U622" s="2" t="str"/>
      <x:c r="V622" s="2" t="str">
        <x:v>아니오</x:v>
      </x:c>
      <x:c r="W622" s="2" t="str">
        <x:v>예</x:v>
      </x:c>
      <x:c r="X622" s="2" t="str">
        <x:v>news2,nf31</x:v>
      </x:c>
      <x:c r="Y622" s="2" t="n">
        <x:v>70</x:v>
      </x:c>
      <x:c r="Z622" s="2" t="str">
        <x:v>news2,nf31</x:v>
      </x:c>
      <x:c r="AA622" s="2" t="n">
        <x:v>70</x:v>
      </x:c>
      <x:c r="AB622" s="8" t="str"/>
      <x:c r="AC622" s="8" t="str"/>
      <x:c r="AD622" s="8" t="str">
        <x:v>["draft-ko-missing"]</x:v>
      </x:c>
      <x:c r="AE622" s="8" t="str">
        <x:v>검토 필요</x:v>
      </x:c>
      <x:c r="AF622" s="8" t="str"/>
    </x:row>
    <x:row r="623">
      <x:c r="A623" s="10" t="n">
        <x:v>622</x:v>
      </x:c>
      <x:c r="B623" s="2" t="str">
        <x:v>2차 보류</x:v>
      </x:c>
      <x:c r="C623" s="2" t="str">
        <x:v>2차 보류</x:v>
      </x:c>
      <x:c r="D623" s="2" t="str">
        <x:v>낮음</x:v>
      </x:c>
      <x:c r="E623" s="2" t="str">
        <x:v>N1</x:v>
      </x:c>
      <x:c r="F623" s="10" t="n">
        <x:v>256</x:v>
      </x:c>
      <x:c r="G623" s="2" t="str">
        <x:v>w_ee78b7873bbf1ed3</x:v>
      </x:c>
      <x:c r="H623" s="2" t="str">
        <x:v>首飾り</x:v>
      </x:c>
      <x:c r="I623" s="2" t="str">
        <x:v>くびかざり</x:v>
      </x:c>
      <x:c r="J623" s="8" t="str">
        <x:v>목걸이</x:v>
      </x:c>
      <x:c r="K623" s="2" t="str">
        <x:v>noun</x:v>
      </x:c>
      <x:c r="L623" s="9" t="n">
        <x:v>2.89</x:v>
      </x:c>
      <x:c r="M623" s="2" t="str">
        <x:v>없음</x:v>
      </x:c>
      <x:c r="N623" s="11" t="n">
        <x:v>11</x:v>
      </x:c>
      <x:c r="O623" s="8" t="str">
        <x:v>일반 사용 빈도 낮은 편(Zipf ≤ 3.0); 검증된 예문 없음; 기존 데이터의 한국어 콘텐츠 보강 필요 태그</x:v>
      </x:c>
      <x:c r="P623" s="8" t="str">
        <x:v>frequency_le_3_0,no_example,weak_legacy_content</x:v>
      </x:c>
      <x:c r="Q623" s="2" t="str"/>
      <x:c r="R623" s="2" t="str"/>
      <x:c r="S623" s="2" t="str"/>
      <x:c r="T623" s="2" t="str"/>
      <x:c r="U623" s="2" t="str"/>
      <x:c r="V623" s="2" t="str">
        <x:v>아니오</x:v>
      </x:c>
      <x:c r="W623" s="2" t="str">
        <x:v>예</x:v>
      </x:c>
      <x:c r="X623" s="2" t="str">
        <x:v>news2,nf39,spec2</x:v>
      </x:c>
      <x:c r="Y623" s="2" t="n">
        <x:v>70</x:v>
      </x:c>
      <x:c r="Z623" s="2" t="str">
        <x:v>news2,nf39,spec2</x:v>
      </x:c>
      <x:c r="AA623" s="2" t="n">
        <x:v>70</x:v>
      </x:c>
      <x:c r="AB623" s="8" t="str"/>
      <x:c r="AC623" s="8" t="str"/>
      <x:c r="AD623" s="8" t="str">
        <x:v>["draft-ko-missing"]</x:v>
      </x:c>
      <x:c r="AE623" s="8" t="str">
        <x:v>검토 필요</x:v>
      </x:c>
      <x:c r="AF623" s="8" t="str"/>
    </x:row>
    <x:row r="624">
      <x:c r="A624" s="10" t="n">
        <x:v>623</x:v>
      </x:c>
      <x:c r="B624" s="2" t="str">
        <x:v>2차 보류</x:v>
      </x:c>
      <x:c r="C624" s="2" t="str">
        <x:v>2차 보류</x:v>
      </x:c>
      <x:c r="D624" s="2" t="str">
        <x:v>낮음</x:v>
      </x:c>
      <x:c r="E624" s="2" t="str">
        <x:v>N1</x:v>
      </x:c>
      <x:c r="F624" s="10" t="n">
        <x:v>257</x:v>
      </x:c>
      <x:c r="G624" s="2" t="str">
        <x:v>w_efaff398cfcba882</x:v>
      </x:c>
      <x:c r="H624" s="2" t="str">
        <x:v>自転</x:v>
      </x:c>
      <x:c r="I624" s="2" t="str">
        <x:v>じてん</x:v>
      </x:c>
      <x:c r="J624" s="8" t="str">
        <x:v>자전</x:v>
      </x:c>
      <x:c r="K624" s="2" t="str">
        <x:v>noun</x:v>
      </x:c>
      <x:c r="L624" s="9" t="n">
        <x:v>2.89</x:v>
      </x:c>
      <x:c r="M624" s="2" t="str">
        <x:v>없음</x:v>
      </x:c>
      <x:c r="N624" s="11" t="n">
        <x:v>11</x:v>
      </x:c>
      <x:c r="O624" s="8" t="str">
        <x:v>일반 사용 빈도 낮은 편(Zipf ≤ 3.0); 검증된 예문 없음; 기존 데이터의 한국어 콘텐츠 보강 필요 태그</x:v>
      </x:c>
      <x:c r="P624" s="8" t="str">
        <x:v>frequency_le_3_0,no_example,weak_legacy_content</x:v>
      </x:c>
      <x:c r="Q624" s="2" t="str"/>
      <x:c r="R624" s="2" t="str"/>
      <x:c r="S624" s="2" t="str"/>
      <x:c r="T624" s="2" t="str"/>
      <x:c r="U624" s="2" t="str"/>
      <x:c r="V624" s="2" t="str">
        <x:v>아니오</x:v>
      </x:c>
      <x:c r="W624" s="2" t="str">
        <x:v>예</x:v>
      </x:c>
      <x:c r="X624" s="2" t="str">
        <x:v>news2,nf32</x:v>
      </x:c>
      <x:c r="Y624" s="2" t="n">
        <x:v>70</x:v>
      </x:c>
      <x:c r="Z624" s="2" t="str">
        <x:v>news2,nf32</x:v>
      </x:c>
      <x:c r="AA624" s="2" t="n">
        <x:v>70</x:v>
      </x:c>
      <x:c r="AB624" s="8" t="str"/>
      <x:c r="AC624" s="8" t="str"/>
      <x:c r="AD624" s="8" t="str">
        <x:v>["draft-ko-missing"]</x:v>
      </x:c>
      <x:c r="AE624" s="8" t="str">
        <x:v>검토 필요</x:v>
      </x:c>
      <x:c r="AF624" s="8" t="str"/>
    </x:row>
    <x:row r="625">
      <x:c r="A625" s="10" t="n">
        <x:v>624</x:v>
      </x:c>
      <x:c r="B625" s="2" t="str">
        <x:v>2차 보류</x:v>
      </x:c>
      <x:c r="C625" s="2" t="str">
        <x:v>2차 보류</x:v>
      </x:c>
      <x:c r="D625" s="2" t="str">
        <x:v>낮음</x:v>
      </x:c>
      <x:c r="E625" s="2" t="str">
        <x:v>N2</x:v>
      </x:c>
      <x:c r="F625" s="10" t="n">
        <x:v>226</x:v>
      </x:c>
      <x:c r="G625" s="2" t="str">
        <x:v>w_78e4b196c8530725</x:v>
      </x:c>
      <x:c r="H625" s="2" t="str">
        <x:v>直流</x:v>
      </x:c>
      <x:c r="I625" s="2" t="str">
        <x:v>ちょくりゅう</x:v>
      </x:c>
      <x:c r="J625" s="8" t="str">
        <x:v>직류</x:v>
      </x:c>
      <x:c r="K625" s="2" t="str">
        <x:v>noun</x:v>
      </x:c>
      <x:c r="L625" s="9" t="n">
        <x:v>2.9</x:v>
      </x:c>
      <x:c r="M625" s="2" t="str">
        <x:v>없음</x:v>
      </x:c>
      <x:c r="N625" s="11" t="n">
        <x:v>11</x:v>
      </x:c>
      <x:c r="O625" s="8" t="str">
        <x:v>일반 사용 빈도 낮은 편(Zipf ≤ 3.0); 검증된 예문 없음; 기존 데이터의 한국어 콘텐츠 보강 필요 태그</x:v>
      </x:c>
      <x:c r="P625" s="8" t="str">
        <x:v>frequency_le_3_0,no_example,weak_legacy_content</x:v>
      </x:c>
      <x:c r="Q625" s="2" t="str"/>
      <x:c r="R625" s="2" t="str"/>
      <x:c r="S625" s="2" t="str"/>
      <x:c r="T625" s="2" t="str"/>
      <x:c r="U625" s="2" t="str"/>
      <x:c r="V625" s="2" t="str">
        <x:v>아니오</x:v>
      </x:c>
      <x:c r="W625" s="2" t="str">
        <x:v>예</x:v>
      </x:c>
      <x:c r="X625" s="2" t="str">
        <x:v>news2,nf40</x:v>
      </x:c>
      <x:c r="Y625" s="2" t="n">
        <x:v>70</x:v>
      </x:c>
      <x:c r="Z625" s="2" t="str">
        <x:v>news2,nf40</x:v>
      </x:c>
      <x:c r="AA625" s="2" t="n">
        <x:v>70</x:v>
      </x:c>
      <x:c r="AB625" s="8" t="str"/>
      <x:c r="AC625" s="8" t="str"/>
      <x:c r="AD625" s="8" t="str">
        <x:v>["draft-ko-missing"]</x:v>
      </x:c>
      <x:c r="AE625" s="8" t="str">
        <x:v>검토 필요</x:v>
      </x:c>
      <x:c r="AF625" s="8" t="str"/>
    </x:row>
    <x:row r="626">
      <x:c r="A626" s="10" t="n">
        <x:v>625</x:v>
      </x:c>
      <x:c r="B626" s="2" t="str">
        <x:v>2차 보류</x:v>
      </x:c>
      <x:c r="C626" s="2" t="str">
        <x:v>2차 보류</x:v>
      </x:c>
      <x:c r="D626" s="2" t="str">
        <x:v>낮음</x:v>
      </x:c>
      <x:c r="E626" s="2" t="str">
        <x:v>N1</x:v>
      </x:c>
      <x:c r="F626" s="10" t="n">
        <x:v>258</x:v>
      </x:c>
      <x:c r="G626" s="2" t="str">
        <x:v>w_14794bcf602cb516</x:v>
      </x:c>
      <x:c r="H626" s="2" t="str">
        <x:v>下取り</x:v>
      </x:c>
      <x:c r="I626" s="2" t="str">
        <x:v>したどり</x:v>
      </x:c>
      <x:c r="J626" s="8" t="str">
        <x:v>보상 판매(중고 교환)</x:v>
      </x:c>
      <x:c r="K626" s="2" t="str">
        <x:v>noun</x:v>
      </x:c>
      <x:c r="L626" s="9" t="n">
        <x:v>2.9</x:v>
      </x:c>
      <x:c r="M626" s="2" t="str">
        <x:v>없음</x:v>
      </x:c>
      <x:c r="N626" s="11" t="n">
        <x:v>11</x:v>
      </x:c>
      <x:c r="O626" s="8" t="str">
        <x:v>일반 사용 빈도 낮은 편(Zipf ≤ 3.0); 검증된 예문 없음; 기존 데이터의 한국어 콘텐츠 보강 필요 태그</x:v>
      </x:c>
      <x:c r="P626" s="8" t="str">
        <x:v>frequency_le_3_0,no_example,weak_legacy_content</x:v>
      </x:c>
      <x:c r="Q626" s="2" t="str"/>
      <x:c r="R626" s="2" t="str"/>
      <x:c r="S626" s="2" t="str"/>
      <x:c r="T626" s="2" t="str"/>
      <x:c r="U626" s="2" t="str"/>
      <x:c r="V626" s="2" t="str">
        <x:v>아니오</x:v>
      </x:c>
      <x:c r="W626" s="2" t="str">
        <x:v>예</x:v>
      </x:c>
      <x:c r="X626" s="2" t="str">
        <x:v>news2,nf44</x:v>
      </x:c>
      <x:c r="Y626" s="2" t="n">
        <x:v>70</x:v>
      </x:c>
      <x:c r="Z626" s="2" t="str">
        <x:v>news2,nf44</x:v>
      </x:c>
      <x:c r="AA626" s="2" t="n">
        <x:v>70</x:v>
      </x:c>
      <x:c r="AB626" s="8" t="str"/>
      <x:c r="AC626" s="8" t="str"/>
      <x:c r="AD626" s="8" t="str">
        <x:v>["draft-ko-missing"]</x:v>
      </x:c>
      <x:c r="AE626" s="8" t="str">
        <x:v>검토 필요</x:v>
      </x:c>
      <x:c r="AF626" s="8" t="str"/>
    </x:row>
    <x:row r="627">
      <x:c r="A627" s="10" t="n">
        <x:v>626</x:v>
      </x:c>
      <x:c r="B627" s="2" t="str">
        <x:v>2차 보류</x:v>
      </x:c>
      <x:c r="C627" s="2" t="str">
        <x:v>2차 보류</x:v>
      </x:c>
      <x:c r="D627" s="2" t="str">
        <x:v>낮음</x:v>
      </x:c>
      <x:c r="E627" s="2" t="str">
        <x:v>N1</x:v>
      </x:c>
      <x:c r="F627" s="10" t="n">
        <x:v>259</x:v>
      </x:c>
      <x:c r="G627" s="2" t="str">
        <x:v>w_501b59962555b9f7</x:v>
      </x:c>
      <x:c r="H627" s="2" t="str">
        <x:v>片言</x:v>
      </x:c>
      <x:c r="I627" s="2" t="str">
        <x:v>かたこと</x:v>
      </x:c>
      <x:c r="J627" s="8" t="str">
        <x:v>서툰 말, 떠듬거리는 말</x:v>
      </x:c>
      <x:c r="K627" s="2" t="str">
        <x:v>noun</x:v>
      </x:c>
      <x:c r="L627" s="9" t="n">
        <x:v>2.91</x:v>
      </x:c>
      <x:c r="M627" s="2" t="str">
        <x:v>없음</x:v>
      </x:c>
      <x:c r="N627" s="11" t="n">
        <x:v>11</x:v>
      </x:c>
      <x:c r="O627" s="8" t="str">
        <x:v>일반 사용 빈도 낮은 편(Zipf ≤ 3.0); 검증된 예문 없음; 기존 데이터의 한국어 콘텐츠 보강 필요 태그</x:v>
      </x:c>
      <x:c r="P627" s="8" t="str">
        <x:v>frequency_le_3_0,no_example,weak_legacy_content</x:v>
      </x:c>
      <x:c r="Q627" s="2" t="str"/>
      <x:c r="R627" s="2" t="str"/>
      <x:c r="S627" s="2" t="str"/>
      <x:c r="T627" s="2" t="str"/>
      <x:c r="U627" s="2" t="str"/>
      <x:c r="V627" s="2" t="str">
        <x:v>아니오</x:v>
      </x:c>
      <x:c r="W627" s="2" t="str">
        <x:v>예</x:v>
      </x:c>
      <x:c r="X627" s="2" t="str">
        <x:v>news2,nf30</x:v>
      </x:c>
      <x:c r="Y627" s="2" t="n">
        <x:v>70</x:v>
      </x:c>
      <x:c r="Z627" s="2" t="str">
        <x:v>news2,nf30</x:v>
      </x:c>
      <x:c r="AA627" s="2" t="n">
        <x:v>70</x:v>
      </x:c>
      <x:c r="AB627" s="8" t="str"/>
      <x:c r="AC627" s="8" t="str"/>
      <x:c r="AD627" s="8" t="str">
        <x:v>["draft-ko-missing"]</x:v>
      </x:c>
      <x:c r="AE627" s="8" t="str">
        <x:v>검토 필요</x:v>
      </x:c>
      <x:c r="AF627" s="8" t="str"/>
    </x:row>
    <x:row r="628">
      <x:c r="A628" s="10" t="n">
        <x:v>627</x:v>
      </x:c>
      <x:c r="B628" s="2" t="str">
        <x:v>2차 보류</x:v>
      </x:c>
      <x:c r="C628" s="2" t="str">
        <x:v>2차 보류</x:v>
      </x:c>
      <x:c r="D628" s="2" t="str">
        <x:v>낮음</x:v>
      </x:c>
      <x:c r="E628" s="2" t="str">
        <x:v>N2</x:v>
      </x:c>
      <x:c r="F628" s="10" t="n">
        <x:v>227</x:v>
      </x:c>
      <x:c r="G628" s="2" t="str">
        <x:v>w_ea1fe9d8bd4bfedb</x:v>
      </x:c>
      <x:c r="H628" s="2" t="str">
        <x:v>塩辛</x:v>
      </x:c>
      <x:c r="I628" s="2" t="str">
        <x:v>しおから</x:v>
      </x:c>
      <x:c r="J628" s="8" t="str">
        <x:v>짠(맛)</x:v>
      </x:c>
      <x:c r="K628" s="2" t="str">
        <x:v>noun</x:v>
      </x:c>
      <x:c r="L628" s="9" t="n">
        <x:v>2.97</x:v>
      </x:c>
      <x:c r="M628" s="2" t="str">
        <x:v>없음</x:v>
      </x:c>
      <x:c r="N628" s="11" t="n">
        <x:v>11</x:v>
      </x:c>
      <x:c r="O628" s="8" t="str">
        <x:v>일반 사용 빈도 낮은 편(Zipf ≤ 3.0); 검증된 예문 없음; 기존 데이터의 한국어 콘텐츠 보강 필요 태그</x:v>
      </x:c>
      <x:c r="P628" s="8" t="str">
        <x:v>frequency_le_3_0,no_example,weak_legacy_content</x:v>
      </x:c>
      <x:c r="Q628" s="2" t="str"/>
      <x:c r="R628" s="2" t="str"/>
      <x:c r="S628" s="2" t="str"/>
      <x:c r="T628" s="2" t="str"/>
      <x:c r="U628" s="2" t="str"/>
      <x:c r="V628" s="2" t="str">
        <x:v>아니오</x:v>
      </x:c>
      <x:c r="W628" s="2" t="str">
        <x:v>예</x:v>
      </x:c>
      <x:c r="X628" s="2" t="str">
        <x:v>news2,nf38</x:v>
      </x:c>
      <x:c r="Y628" s="2" t="n">
        <x:v>70</x:v>
      </x:c>
      <x:c r="Z628" s="2" t="str">
        <x:v>news2,nf38</x:v>
      </x:c>
      <x:c r="AA628" s="2" t="n">
        <x:v>70</x:v>
      </x:c>
      <x:c r="AB628" s="8" t="str"/>
      <x:c r="AC628" s="8" t="str"/>
      <x:c r="AD628" s="8" t="str">
        <x:v>["draft-ko-missing"]</x:v>
      </x:c>
      <x:c r="AE628" s="8" t="str">
        <x:v>검토 필요</x:v>
      </x:c>
      <x:c r="AF628" s="8" t="str"/>
    </x:row>
    <x:row r="629">
      <x:c r="A629" s="10" t="n">
        <x:v>628</x:v>
      </x:c>
      <x:c r="B629" s="2" t="str">
        <x:v>1차 검토 후보</x:v>
      </x:c>
      <x:c r="C629" s="2" t="str">
        <x:v>표기 교정·교체 검토</x:v>
      </x:c>
      <x:c r="D629" s="2" t="str">
        <x:v>중간</x:v>
      </x:c>
      <x:c r="E629" s="2" t="str">
        <x:v>N4</x:v>
      </x:c>
      <x:c r="F629" s="10" t="n">
        <x:v>49</x:v>
      </x:c>
      <x:c r="G629" s="2" t="str">
        <x:v>w_0d59c9eb63d42ae8</x:v>
      </x:c>
      <x:c r="H629" s="2" t="str">
        <x:v>落る</x:v>
      </x:c>
      <x:c r="I629" s="2" t="str">
        <x:v>おちる</x:v>
      </x:c>
      <x:c r="J629" s="8" t="str">
        <x:v>떨어지다, 떨어뜨리다</x:v>
      </x:c>
      <x:c r="K629" s="2" t="str">
        <x:v>verb</x:v>
      </x:c>
      <x:c r="L629" s="9" t="n">
        <x:v>3.25</x:v>
      </x:c>
      <x:c r="M629" s="2" t="str">
        <x:v>있음</x:v>
      </x:c>
      <x:c r="N629" s="11" t="n">
        <x:v>11</x:v>
      </x:c>
      <x:c r="O629" s="8" t="str">
        <x:v>일반 사용 빈도 보통 이하(Zipf ≤ 3.5); JMdict에서 희귀·비표준 표기로 표시; 기존 데이터의 한국어 콘텐츠 보강 필요 태그</x:v>
      </x:c>
      <x:c r="P629" s="8" t="str">
        <x:v>frequency_le_3_5,jmdict_uncommon_or_irregular,weak_legacy_content</x:v>
      </x:c>
      <x:c r="Q629" s="2" t="str"/>
      <x:c r="R629" s="2" t="str"/>
      <x:c r="S629" s="2" t="str"/>
      <x:c r="T629" s="2" t="str"/>
      <x:c r="U629" s="2" t="str"/>
      <x:c r="V629" s="2" t="str">
        <x:v>아니오</x:v>
      </x:c>
      <x:c r="W629" s="2" t="str">
        <x:v>예</x:v>
      </x:c>
      <x:c r="X629" s="2" t="str">
        <x:v>ichi1,news1,nf10</x:v>
      </x:c>
      <x:c r="Y629" s="2" t="n">
        <x:v>100</x:v>
      </x:c>
      <x:c r="Z629" s="2" t="str"/>
      <x:c r="AA629" s="2" t="n">
        <x:v>0</x:v>
      </x:c>
      <x:c r="AB629" s="8" t="str">
        <x:v>also written as 堕ちる | irregular okurigana usage | slang</x:v>
      </x:c>
      <x:c r="AC629" s="8" t="str"/>
      <x:c r="AD629" s="8" t="str">
        <x:v>["draft-ko-missing"]</x:v>
      </x:c>
      <x:c r="AE629" s="8" t="str">
        <x:v>검토 필요</x:v>
      </x:c>
      <x:c r="AF629" s="8" t="str"/>
    </x:row>
    <x:row r="630">
      <x:c r="A630" s="10" t="n">
        <x:v>629</x:v>
      </x:c>
      <x:c r="B630" s="2" t="str">
        <x:v>1차 검토 후보</x:v>
      </x:c>
      <x:c r="C630" s="2" t="str">
        <x:v>중복 변형 제거 검토</x:v>
      </x:c>
      <x:c r="D630" s="2" t="str">
        <x:v>중간</x:v>
      </x:c>
      <x:c r="E630" s="2" t="str">
        <x:v>N3</x:v>
      </x:c>
      <x:c r="F630" s="10" t="n">
        <x:v>78</x:v>
      </x:c>
      <x:c r="G630" s="2" t="str">
        <x:v>w_2b4e1d8e18afc8e6</x:v>
      </x:c>
      <x:c r="H630" s="2" t="str">
        <x:v>勤め</x:v>
      </x:c>
      <x:c r="I630" s="2" t="str">
        <x:v>つとめ</x:v>
      </x:c>
      <x:c r="J630" s="8" t="str">
        <x:v>근무</x:v>
      </x:c>
      <x:c r="K630" s="2" t="str">
        <x:v>noun</x:v>
      </x:c>
      <x:c r="L630" s="9" t="n">
        <x:v>4.14</x:v>
      </x:c>
      <x:c r="M630" s="2" t="str">
        <x:v>없음</x:v>
      </x:c>
      <x:c r="N630" s="11" t="n">
        <x:v>11</x:v>
      </x:c>
      <x:c r="O630" s="8" t="str">
        <x:v>검증된 예문 없음; 동일 JMdict 표제어의 표기·읽기 변형</x:v>
      </x:c>
      <x:c r="P630" s="8" t="str">
        <x:v>no_example,same_jmdict_entry</x:v>
      </x:c>
      <x:c r="Q630" s="2" t="str">
        <x:v>vg_033</x:v>
      </x:c>
      <x:c r="R630" s="2" t="str">
        <x:v>same_jmdict_entry</x:v>
      </x:c>
      <x:c r="S630" s="2" t="str">
        <x:v>w_538523d6296c7778</x:v>
      </x:c>
      <x:c r="T630" s="2" t="str">
        <x:v>務め</x:v>
      </x:c>
      <x:c r="U630" s="2" t="str">
        <x:v>つとめ</x:v>
      </x:c>
      <x:c r="V630" s="2" t="str">
        <x:v>아니오</x:v>
      </x:c>
      <x:c r="W630" s="2" t="str">
        <x:v>예</x:v>
      </x:c>
      <x:c r="X630" s="2" t="str">
        <x:v>ichi1,news1,nf14</x:v>
      </x:c>
      <x:c r="Y630" s="2" t="n">
        <x:v>100</x:v>
      </x:c>
      <x:c r="Z630" s="2" t="str">
        <x:v>ichi1,news1,nf14</x:v>
      </x:c>
      <x:c r="AA630" s="2" t="n">
        <x:v>100</x:v>
      </x:c>
      <x:c r="AB630" s="8" t="str"/>
      <x:c r="AC630" s="8" t="str"/>
      <x:c r="AD630" s="8" t="str">
        <x:v>["ko-reviewed","manual-curated","freq-core"]</x:v>
      </x:c>
      <x:c r="AE630" s="8" t="str">
        <x:v>검토 필요</x:v>
      </x:c>
      <x:c r="AF630" s="8" t="str"/>
    </x:row>
    <x:row r="631">
      <x:c r="A631" s="10" t="n">
        <x:v>630</x:v>
      </x:c>
      <x:c r="B631" s="2" t="str">
        <x:v>2차 보류</x:v>
      </x:c>
      <x:c r="C631" s="2" t="str">
        <x:v>2차 보류</x:v>
      </x:c>
      <x:c r="D631" s="2" t="str">
        <x:v>낮음</x:v>
      </x:c>
      <x:c r="E631" s="2" t="str">
        <x:v>N2</x:v>
      </x:c>
      <x:c r="F631" s="10" t="n">
        <x:v>228</x:v>
      </x:c>
      <x:c r="G631" s="2" t="str">
        <x:v>w_42ef48e9bc695e3d</x:v>
      </x:c>
      <x:c r="H631" s="2" t="str">
        <x:v>台詞</x:v>
      </x:c>
      <x:c r="I631" s="2" t="str">
        <x:v>せりふ</x:v>
      </x:c>
      <x:c r="J631" s="8" t="str">
        <x:v>대사</x:v>
      </x:c>
      <x:c r="K631" s="2" t="str">
        <x:v>noun</x:v>
      </x:c>
      <x:c r="L631" s="9" t="n">
        <x:v>4.14</x:v>
      </x:c>
      <x:c r="M631" s="2" t="str">
        <x:v>없음</x:v>
      </x:c>
      <x:c r="N631" s="11" t="n">
        <x:v>9</x:v>
      </x:c>
      <x:c r="O631" s="8" t="str">
        <x:v>기존 한국어 뜻 품질 감사 대상; 검증된 예문 없음; 기존 데이터의 한국어 콘텐츠 보강 필요 태그</x:v>
      </x:c>
      <x:c r="P631" s="8" t="str">
        <x:v>legacy_gloss_audit:senses_5_6,no_example,weak_legacy_content</x:v>
      </x:c>
      <x:c r="Q631" s="2" t="str"/>
      <x:c r="R631" s="2" t="str"/>
      <x:c r="S631" s="2" t="str"/>
      <x:c r="T631" s="2" t="str"/>
      <x:c r="U631" s="2" t="str"/>
      <x:c r="V631" s="2" t="str">
        <x:v>아니오</x:v>
      </x:c>
      <x:c r="W631" s="2" t="str">
        <x:v>예</x:v>
      </x:c>
      <x:c r="X631" s="2" t="str">
        <x:v>news2,nf32</x:v>
      </x:c>
      <x:c r="Y631" s="2" t="n">
        <x:v>70</x:v>
      </x:c>
      <x:c r="Z631" s="2" t="str">
        <x:v>news2,nf32</x:v>
      </x:c>
      <x:c r="AA631" s="2" t="n">
        <x:v>70</x:v>
      </x:c>
      <x:c r="AB631" s="8" t="str">
        <x:v>gikun (meaning as reading) or jukujikun (special kanji reading) | word usually written using kana alone</x:v>
      </x:c>
      <x:c r="AC631" s="8" t="str">
        <x:v>senses_5_6</x:v>
      </x:c>
      <x:c r="AD631" s="8" t="str">
        <x:v>["draft-ko-missing"]</x:v>
      </x:c>
      <x:c r="AE631" s="8" t="str">
        <x:v>검토 필요</x:v>
      </x:c>
      <x:c r="AF631" s="8" t="str"/>
    </x:row>
    <x:row r="632">
      <x:c r="A632" s="10" t="n">
        <x:v>631</x:v>
      </x:c>
      <x:c r="B632" s="2" t="str">
        <x:v>2차 보류</x:v>
      </x:c>
      <x:c r="C632" s="2" t="str">
        <x:v>2차 보류</x:v>
      </x:c>
      <x:c r="D632" s="2" t="str">
        <x:v>낮음</x:v>
      </x:c>
      <x:c r="E632" s="2" t="str">
        <x:v>N3</x:v>
      </x:c>
      <x:c r="F632" s="10" t="n">
        <x:v>79</x:v>
      </x:c>
      <x:c r="G632" s="2" t="str">
        <x:v>w_69111766bd64e6eb</x:v>
      </x:c>
      <x:c r="H632" s="2" t="str">
        <x:v>射す</x:v>
      </x:c>
      <x:c r="I632" s="2" t="str">
        <x:v>さす</x:v>
      </x:c>
      <x:c r="J632" s="8" t="str">
        <x:v>(빛이) 비치다</x:v>
      </x:c>
      <x:c r="K632" s="2" t="str">
        <x:v>verb</x:v>
      </x:c>
      <x:c r="L632" s="9" t="n">
        <x:v>2.51</x:v>
      </x:c>
      <x:c r="M632" s="2" t="str">
        <x:v>없음</x:v>
      </x:c>
      <x:c r="N632" s="11" t="n">
        <x:v>8</x:v>
      </x:c>
      <x:c r="O632" s="8" t="str">
        <x:v>일반 사용 빈도 낮은 편(Zipf ≤ 3.0); 기존 한국어 뜻 품질 감사 대상; 검증된 예문 없음; 기존 데이터의 한국어 콘텐츠 보강 필요 태그</x:v>
      </x:c>
      <x:c r="P632" s="8" t="str">
        <x:v>frequency_le_3_0,legacy_gloss_audit:mt_noise_token,no_example,weak_legacy_content</x:v>
      </x:c>
      <x:c r="Q632" s="2" t="str"/>
      <x:c r="R632" s="2" t="str"/>
      <x:c r="S632" s="2" t="str"/>
      <x:c r="T632" s="2" t="str"/>
      <x:c r="U632" s="2" t="str"/>
      <x:c r="V632" s="2" t="str">
        <x:v>아니오</x:v>
      </x:c>
      <x:c r="W632" s="2" t="str">
        <x:v>예</x:v>
      </x:c>
      <x:c r="X632" s="2" t="str">
        <x:v>ichi1</x:v>
      </x:c>
      <x:c r="Y632" s="2" t="n">
        <x:v>100</x:v>
      </x:c>
      <x:c r="Z632" s="2" t="str">
        <x:v>ichi1</x:v>
      </x:c>
      <x:c r="AA632" s="2" t="n">
        <x:v>100</x:v>
      </x:c>
      <x:c r="AB632" s="8" t="str"/>
      <x:c r="AC632" s="8" t="str">
        <x:v>mt_noise_token</x:v>
      </x:c>
      <x:c r="AD632" s="8" t="str">
        <x:v>["draft-ko-missing"]</x:v>
      </x:c>
      <x:c r="AE632" s="8" t="str">
        <x:v>검토 필요</x:v>
      </x:c>
      <x:c r="AF632" s="8" t="str"/>
    </x:row>
    <x:row r="633">
      <x:c r="A633" s="10" t="n">
        <x:v>632</x:v>
      </x:c>
      <x:c r="B633" s="2" t="str">
        <x:v>2차 보류</x:v>
      </x:c>
      <x:c r="C633" s="2" t="str">
        <x:v>2차 보류</x:v>
      </x:c>
      <x:c r="D633" s="2" t="str">
        <x:v>낮음</x:v>
      </x:c>
      <x:c r="E633" s="2" t="str">
        <x:v>N1</x:v>
      </x:c>
      <x:c r="F633" s="10" t="n">
        <x:v>260</x:v>
      </x:c>
      <x:c r="G633" s="2" t="str">
        <x:v>w_32b2e11832352440</x:v>
      </x:c>
      <x:c r="H633" s="2" t="str">
        <x:v>凶作</x:v>
      </x:c>
      <x:c r="I633" s="2" t="str">
        <x:v>きょうさく</x:v>
      </x:c>
      <x:c r="J633" s="8" t="str">
        <x:v>흉작</x:v>
      </x:c>
      <x:c r="K633" s="2" t="str">
        <x:v>noun</x:v>
      </x:c>
      <x:c r="L633" s="9" t="n">
        <x:v>2.52</x:v>
      </x:c>
      <x:c r="M633" s="2" t="str">
        <x:v>없음</x:v>
      </x:c>
      <x:c r="N633" s="11" t="n">
        <x:v>8</x:v>
      </x:c>
      <x:c r="O633" s="8" t="str">
        <x:v>일반 사용 빈도 낮은 편(Zipf ≤ 3.0); 기존 한국어 뜻 품질 감사 대상; 검증된 예문 없음; 기존 데이터의 한국어 콘텐츠 보강 필요 태그</x:v>
      </x:c>
      <x:c r="P633" s="8" t="str">
        <x:v>frequency_le_3_0,legacy_gloss_audit:senses_5_6,no_example,weak_legacy_content</x:v>
      </x:c>
      <x:c r="Q633" s="2" t="str"/>
      <x:c r="R633" s="2" t="str"/>
      <x:c r="S633" s="2" t="str"/>
      <x:c r="T633" s="2" t="str"/>
      <x:c r="U633" s="2" t="str"/>
      <x:c r="V633" s="2" t="str">
        <x:v>아니오</x:v>
      </x:c>
      <x:c r="W633" s="2" t="str">
        <x:v>예</x:v>
      </x:c>
      <x:c r="X633" s="2" t="str">
        <x:v>news1,nf13</x:v>
      </x:c>
      <x:c r="Y633" s="2" t="n">
        <x:v>100</x:v>
      </x:c>
      <x:c r="Z633" s="2" t="str">
        <x:v>news1,nf13</x:v>
      </x:c>
      <x:c r="AA633" s="2" t="n">
        <x:v>100</x:v>
      </x:c>
      <x:c r="AB633" s="8" t="str"/>
      <x:c r="AC633" s="8" t="str">
        <x:v>senses_5_6</x:v>
      </x:c>
      <x:c r="AD633" s="8" t="str">
        <x:v>["draft-ko-missing"]</x:v>
      </x:c>
      <x:c r="AE633" s="8" t="str">
        <x:v>검토 필요</x:v>
      </x:c>
      <x:c r="AF633" s="8" t="str"/>
    </x:row>
    <x:row r="634">
      <x:c r="A634" s="10" t="n">
        <x:v>633</x:v>
      </x:c>
      <x:c r="B634" s="2" t="str">
        <x:v>2차 보류</x:v>
      </x:c>
      <x:c r="C634" s="2" t="str">
        <x:v>2차 보류</x:v>
      </x:c>
      <x:c r="D634" s="2" t="str">
        <x:v>낮음</x:v>
      </x:c>
      <x:c r="E634" s="2" t="str">
        <x:v>N2</x:v>
      </x:c>
      <x:c r="F634" s="10" t="n">
        <x:v>229</x:v>
      </x:c>
      <x:c r="G634" s="2" t="str">
        <x:v>w_6ba0372f290b6408</x:v>
      </x:c>
      <x:c r="H634" s="2" t="str">
        <x:v>立ち止まる</x:v>
      </x:c>
      <x:c r="I634" s="2" t="str">
        <x:v>たちどまる</x:v>
      </x:c>
      <x:c r="J634" s="8" t="str">
        <x:v>멈춰 서다</x:v>
      </x:c>
      <x:c r="K634" s="2" t="str">
        <x:v>verb</x:v>
      </x:c>
      <x:c r="L634" s="9" t="n">
        <x:v>2.83</x:v>
      </x:c>
      <x:c r="M634" s="2" t="str">
        <x:v>없음</x:v>
      </x:c>
      <x:c r="N634" s="11" t="n">
        <x:v>8</x:v>
      </x:c>
      <x:c r="O634" s="8" t="str">
        <x:v>일반 사용 빈도 낮은 편(Zipf ≤ 3.0); 기존 한국어 뜻 품질 감사 대상; 검증된 예문 없음; 기존 데이터의 한국어 콘텐츠 보강 필요 태그</x:v>
      </x:c>
      <x:c r="P634" s="8" t="str">
        <x:v>frequency_le_3_0,legacy_gloss_audit:senses_5_6,no_example,weak_legacy_content</x:v>
      </x:c>
      <x:c r="Q634" s="2" t="str"/>
      <x:c r="R634" s="2" t="str"/>
      <x:c r="S634" s="2" t="str"/>
      <x:c r="T634" s="2" t="str"/>
      <x:c r="U634" s="2" t="str"/>
      <x:c r="V634" s="2" t="str">
        <x:v>아니오</x:v>
      </x:c>
      <x:c r="W634" s="2" t="str">
        <x:v>예</x:v>
      </x:c>
      <x:c r="X634" s="2" t="str">
        <x:v>ichi1,news2,nf38</x:v>
      </x:c>
      <x:c r="Y634" s="2" t="n">
        <x:v>100</x:v>
      </x:c>
      <x:c r="Z634" s="2" t="str">
        <x:v>ichi1,news2,nf38</x:v>
      </x:c>
      <x:c r="AA634" s="2" t="n">
        <x:v>100</x:v>
      </x:c>
      <x:c r="AB634" s="8" t="str"/>
      <x:c r="AC634" s="8" t="str">
        <x:v>senses_5_6</x:v>
      </x:c>
      <x:c r="AD634" s="8" t="str">
        <x:v>["draft-ko-missing"]</x:v>
      </x:c>
      <x:c r="AE634" s="8" t="str">
        <x:v>검토 필요</x:v>
      </x:c>
      <x:c r="AF634" s="8" t="str"/>
    </x:row>
    <x:row r="635">
      <x:c r="A635" s="10" t="n">
        <x:v>634</x:v>
      </x:c>
      <x:c r="B635" s="2" t="str">
        <x:v>2차 보류</x:v>
      </x:c>
      <x:c r="C635" s="2" t="str">
        <x:v>2차 보류</x:v>
      </x:c>
      <x:c r="D635" s="2" t="str">
        <x:v>낮음</x:v>
      </x:c>
      <x:c r="E635" s="2" t="str">
        <x:v>N1</x:v>
      </x:c>
      <x:c r="F635" s="10" t="n">
        <x:v>261</x:v>
      </x:c>
      <x:c r="G635" s="2" t="str">
        <x:v>w_12d8e2784b92bb21</x:v>
      </x:c>
      <x:c r="H635" s="2" t="str">
        <x:v>連ねる</x:v>
      </x:c>
      <x:c r="I635" s="2" t="str">
        <x:v>つらねる</x:v>
      </x:c>
      <x:c r="J635" s="8" t="str">
        <x:v>늘어놓다, 나란히 하다</x:v>
      </x:c>
      <x:c r="K635" s="2" t="str">
        <x:v>verb</x:v>
      </x:c>
      <x:c r="L635" s="9" t="n">
        <x:v>2.83</x:v>
      </x:c>
      <x:c r="M635" s="2" t="str">
        <x:v>없음</x:v>
      </x:c>
      <x:c r="N635" s="11" t="n">
        <x:v>8</x:v>
      </x:c>
      <x:c r="O635" s="8" t="str">
        <x:v>일반 사용 빈도 낮은 편(Zipf ≤ 3.0); 기존 한국어 뜻 품질 감사 대상; 검증된 예문 없음; 기존 데이터의 한국어 콘텐츠 보강 필요 태그</x:v>
      </x:c>
      <x:c r="P635" s="8" t="str">
        <x:v>frequency_le_3_0,legacy_gloss_audit:senses_5_6,no_example,weak_legacy_content</x:v>
      </x:c>
      <x:c r="Q635" s="2" t="str"/>
      <x:c r="R635" s="2" t="str"/>
      <x:c r="S635" s="2" t="str"/>
      <x:c r="T635" s="2" t="str"/>
      <x:c r="U635" s="2" t="str"/>
      <x:c r="V635" s="2" t="str">
        <x:v>아니오</x:v>
      </x:c>
      <x:c r="W635" s="2" t="str">
        <x:v>예</x:v>
      </x:c>
      <x:c r="X635" s="2" t="str">
        <x:v>ichi1,news2,nf25</x:v>
      </x:c>
      <x:c r="Y635" s="2" t="n">
        <x:v>100</x:v>
      </x:c>
      <x:c r="Z635" s="2" t="str">
        <x:v>ichi1,news2,nf25</x:v>
      </x:c>
      <x:c r="AA635" s="2" t="n">
        <x:v>100</x:v>
      </x:c>
      <x:c r="AB635" s="8" t="str"/>
      <x:c r="AC635" s="8" t="str">
        <x:v>senses_5_6</x:v>
      </x:c>
      <x:c r="AD635" s="8" t="str">
        <x:v>["draft-ko-missing"]</x:v>
      </x:c>
      <x:c r="AE635" s="8" t="str">
        <x:v>검토 필요</x:v>
      </x:c>
      <x:c r="AF635" s="8" t="str"/>
    </x:row>
    <x:row r="636">
      <x:c r="A636" s="10" t="n">
        <x:v>635</x:v>
      </x:c>
      <x:c r="B636" s="2" t="str">
        <x:v>2차 보류</x:v>
      </x:c>
      <x:c r="C636" s="2" t="str">
        <x:v>2차 보류</x:v>
      </x:c>
      <x:c r="D636" s="2" t="str">
        <x:v>낮음</x:v>
      </x:c>
      <x:c r="E636" s="2" t="str">
        <x:v>N2</x:v>
      </x:c>
      <x:c r="F636" s="10" t="n">
        <x:v>230</x:v>
      </x:c>
      <x:c r="G636" s="2" t="str">
        <x:v>w_e9a855075a7c1d56</x:v>
      </x:c>
      <x:c r="H636" s="2" t="str">
        <x:v>擦る</x:v>
      </x:c>
      <x:c r="I636" s="2" t="str">
        <x:v>こする</x:v>
      </x:c>
      <x:c r="J636" s="8" t="str">
        <x:v>문지르다, 비비다</x:v>
      </x:c>
      <x:c r="K636" s="2" t="str">
        <x:v>verb</x:v>
      </x:c>
      <x:c r="L636" s="9" t="n">
        <x:v>2.84</x:v>
      </x:c>
      <x:c r="M636" s="2" t="str">
        <x:v>없음</x:v>
      </x:c>
      <x:c r="N636" s="11" t="n">
        <x:v>8</x:v>
      </x:c>
      <x:c r="O636" s="8" t="str">
        <x:v>일반 사용 빈도 낮은 편(Zipf ≤ 3.0); 기존 한국어 뜻 품질 감사 대상; 검증된 예문 없음; 기존 데이터의 한국어 콘텐츠 보강 필요 태그</x:v>
      </x:c>
      <x:c r="P636" s="8" t="str">
        <x:v>frequency_le_3_0,legacy_gloss_audit:mt_noise_token,no_example,weak_legacy_content</x:v>
      </x:c>
      <x:c r="Q636" s="2" t="str"/>
      <x:c r="R636" s="2" t="str"/>
      <x:c r="S636" s="2" t="str"/>
      <x:c r="T636" s="2" t="str"/>
      <x:c r="U636" s="2" t="str"/>
      <x:c r="V636" s="2" t="str">
        <x:v>아니오</x:v>
      </x:c>
      <x:c r="W636" s="2" t="str">
        <x:v>예</x:v>
      </x:c>
      <x:c r="X636" s="2" t="str">
        <x:v>ichi1</x:v>
      </x:c>
      <x:c r="Y636" s="2" t="n">
        <x:v>100</x:v>
      </x:c>
      <x:c r="Z636" s="2" t="str">
        <x:v>ichi1</x:v>
      </x:c>
      <x:c r="AA636" s="2" t="n">
        <x:v>100</x:v>
      </x:c>
      <x:c r="AB636" s="8" t="str">
        <x:v>esp. in fighting games | slang | word usually written using kana alone</x:v>
      </x:c>
      <x:c r="AC636" s="8" t="str">
        <x:v>mt_noise_token</x:v>
      </x:c>
      <x:c r="AD636" s="8" t="str">
        <x:v>["draft-ko-missing"]</x:v>
      </x:c>
      <x:c r="AE636" s="8" t="str">
        <x:v>검토 필요</x:v>
      </x:c>
      <x:c r="AF636" s="8" t="str"/>
    </x:row>
    <x:row r="637">
      <x:c r="A637" s="10" t="n">
        <x:v>636</x:v>
      </x:c>
      <x:c r="B637" s="2" t="str">
        <x:v>2차 보류</x:v>
      </x:c>
      <x:c r="C637" s="2" t="str">
        <x:v>2차 보류</x:v>
      </x:c>
      <x:c r="D637" s="2" t="str">
        <x:v>낮음</x:v>
      </x:c>
      <x:c r="E637" s="2" t="str">
        <x:v>N2</x:v>
      </x:c>
      <x:c r="F637" s="10" t="n">
        <x:v>231</x:v>
      </x:c>
      <x:c r="G637" s="2" t="str">
        <x:v>w_20867064fc1514cf</x:v>
      </x:c>
      <x:c r="H637" s="2" t="str">
        <x:v>近寄る</x:v>
      </x:c>
      <x:c r="I637" s="2" t="str">
        <x:v>ちかよる</x:v>
      </x:c>
      <x:c r="J637" s="8" t="str">
        <x:v>다가가다, 접근하다</x:v>
      </x:c>
      <x:c r="K637" s="2" t="str">
        <x:v>verb</x:v>
      </x:c>
      <x:c r="L637" s="9" t="n">
        <x:v>2.85</x:v>
      </x:c>
      <x:c r="M637" s="2" t="str">
        <x:v>없음</x:v>
      </x:c>
      <x:c r="N637" s="11" t="n">
        <x:v>8</x:v>
      </x:c>
      <x:c r="O637" s="8" t="str">
        <x:v>일반 사용 빈도 낮은 편(Zipf ≤ 3.0); 기존 한국어 뜻 품질 감사 대상; 검증된 예문 없음; 기존 데이터의 한국어 콘텐츠 보강 필요 태그</x:v>
      </x:c>
      <x:c r="P637" s="8" t="str">
        <x:v>frequency_le_3_0,legacy_gloss_audit:senses_5_6,no_example,weak_legacy_content</x:v>
      </x:c>
      <x:c r="Q637" s="2" t="str"/>
      <x:c r="R637" s="2" t="str"/>
      <x:c r="S637" s="2" t="str"/>
      <x:c r="T637" s="2" t="str"/>
      <x:c r="U637" s="2" t="str"/>
      <x:c r="V637" s="2" t="str">
        <x:v>아니오</x:v>
      </x:c>
      <x:c r="W637" s="2" t="str">
        <x:v>예</x:v>
      </x:c>
      <x:c r="X637" s="2" t="str">
        <x:v>ichi1,news2,nf38</x:v>
      </x:c>
      <x:c r="Y637" s="2" t="n">
        <x:v>100</x:v>
      </x:c>
      <x:c r="Z637" s="2" t="str">
        <x:v>ichi1,news2,nf38</x:v>
      </x:c>
      <x:c r="AA637" s="2" t="n">
        <x:v>100</x:v>
      </x:c>
      <x:c r="AB637" s="8" t="str"/>
      <x:c r="AC637" s="8" t="str">
        <x:v>senses_5_6</x:v>
      </x:c>
      <x:c r="AD637" s="8" t="str">
        <x:v>["draft-ko-missing"]</x:v>
      </x:c>
      <x:c r="AE637" s="8" t="str">
        <x:v>검토 필요</x:v>
      </x:c>
      <x:c r="AF637" s="8" t="str"/>
    </x:row>
    <x:row r="638">
      <x:c r="A638" s="10" t="n">
        <x:v>637</x:v>
      </x:c>
      <x:c r="B638" s="2" t="str">
        <x:v>2차 보류</x:v>
      </x:c>
      <x:c r="C638" s="2" t="str">
        <x:v>2차 보류</x:v>
      </x:c>
      <x:c r="D638" s="2" t="str">
        <x:v>낮음</x:v>
      </x:c>
      <x:c r="E638" s="2" t="str">
        <x:v>N2</x:v>
      </x:c>
      <x:c r="F638" s="10" t="n">
        <x:v>232</x:v>
      </x:c>
      <x:c r="G638" s="2" t="str">
        <x:v>w_e69af88fb6e6c9dc</x:v>
      </x:c>
      <x:c r="H638" s="2" t="str">
        <x:v>引き返す</x:v>
      </x:c>
      <x:c r="I638" s="2" t="str">
        <x:v>ひきかえす</x:v>
      </x:c>
      <x:c r="J638" s="8" t="str">
        <x:v>되돌아가다</x:v>
      </x:c>
      <x:c r="K638" s="2" t="str">
        <x:v>verb</x:v>
      </x:c>
      <x:c r="L638" s="9" t="n">
        <x:v>2.87</x:v>
      </x:c>
      <x:c r="M638" s="2" t="str">
        <x:v>없음</x:v>
      </x:c>
      <x:c r="N638" s="11" t="n">
        <x:v>8</x:v>
      </x:c>
      <x:c r="O638" s="8" t="str">
        <x:v>일반 사용 빈도 낮은 편(Zipf ≤ 3.0); 기존 한국어 뜻 품질 감사 대상; 검증된 예문 없음; 기존 데이터의 한국어 콘텐츠 보강 필요 태그</x:v>
      </x:c>
      <x:c r="P638" s="8" t="str">
        <x:v>frequency_le_3_0,legacy_gloss_audit:mt_noise_token,no_example,weak_legacy_content</x:v>
      </x:c>
      <x:c r="Q638" s="2" t="str"/>
      <x:c r="R638" s="2" t="str"/>
      <x:c r="S638" s="2" t="str"/>
      <x:c r="T638" s="2" t="str"/>
      <x:c r="U638" s="2" t="str"/>
      <x:c r="V638" s="2" t="str">
        <x:v>아니오</x:v>
      </x:c>
      <x:c r="W638" s="2" t="str">
        <x:v>예</x:v>
      </x:c>
      <x:c r="X638" s="2" t="str">
        <x:v>ichi1,news2,nf42</x:v>
      </x:c>
      <x:c r="Y638" s="2" t="n">
        <x:v>100</x:v>
      </x:c>
      <x:c r="Z638" s="2" t="str">
        <x:v>ichi1,news2,nf42</x:v>
      </x:c>
      <x:c r="AA638" s="2" t="n">
        <x:v>100</x:v>
      </x:c>
      <x:c r="AB638" s="8" t="str"/>
      <x:c r="AC638" s="8" t="str">
        <x:v>mt_noise_token</x:v>
      </x:c>
      <x:c r="AD638" s="8" t="str">
        <x:v>["draft-ko-missing"]</x:v>
      </x:c>
      <x:c r="AE638" s="8" t="str">
        <x:v>검토 필요</x:v>
      </x:c>
      <x:c r="AF638" s="8" t="str"/>
    </x:row>
    <x:row r="639">
      <x:c r="A639" s="10" t="n">
        <x:v>638</x:v>
      </x:c>
      <x:c r="B639" s="2" t="str">
        <x:v>2차 보류</x:v>
      </x:c>
      <x:c r="C639" s="2" t="str">
        <x:v>2차 보류</x:v>
      </x:c>
      <x:c r="D639" s="2" t="str">
        <x:v>낮음</x:v>
      </x:c>
      <x:c r="E639" s="2" t="str">
        <x:v>N2</x:v>
      </x:c>
      <x:c r="F639" s="10" t="n">
        <x:v>233</x:v>
      </x:c>
      <x:c r="G639" s="2" t="str">
        <x:v>w_d2505f7e95557e03</x:v>
      </x:c>
      <x:c r="H639" s="2" t="str">
        <x:v>打合せ</x:v>
      </x:c>
      <x:c r="I639" s="2" t="str">
        <x:v>うちあわせ</x:v>
      </x:c>
      <x:c r="J639" s="8" t="str">
        <x:v>사전 협의, 미팅</x:v>
      </x:c>
      <x:c r="K639" s="2" t="str">
        <x:v>noun</x:v>
      </x:c>
      <x:c r="L639" s="9" t="n">
        <x:v>2.9</x:v>
      </x:c>
      <x:c r="M639" s="2" t="str">
        <x:v>없음</x:v>
      </x:c>
      <x:c r="N639" s="11" t="n">
        <x:v>8</x:v>
      </x:c>
      <x:c r="O639" s="8" t="str">
        <x:v>일반 사용 빈도 낮은 편(Zipf ≤ 3.0); 기존 한국어 뜻 품질 감사 대상; 검증된 예문 없음; 기존 데이터의 한국어 콘텐츠 보강 필요 태그</x:v>
      </x:c>
      <x:c r="P639" s="8" t="str">
        <x:v>frequency_le_3_0,legacy_gloss_audit:senses_5_6,no_example,weak_legacy_content</x:v>
      </x:c>
      <x:c r="Q639" s="2" t="str"/>
      <x:c r="R639" s="2" t="str"/>
      <x:c r="S639" s="2" t="str"/>
      <x:c r="T639" s="2" t="str"/>
      <x:c r="U639" s="2" t="str"/>
      <x:c r="V639" s="2" t="str">
        <x:v>아니오</x:v>
      </x:c>
      <x:c r="W639" s="2" t="str">
        <x:v>예</x:v>
      </x:c>
      <x:c r="X639" s="2" t="str">
        <x:v>ichi1</x:v>
      </x:c>
      <x:c r="Y639" s="2" t="n">
        <x:v>100</x:v>
      </x:c>
      <x:c r="Z639" s="2" t="str">
        <x:v>ichi1</x:v>
      </x:c>
      <x:c r="AA639" s="2" t="n">
        <x:v>100</x:v>
      </x:c>
      <x:c r="AB639" s="8" t="str">
        <x:v>archaic</x:v>
      </x:c>
      <x:c r="AC639" s="8" t="str">
        <x:v>senses_5_6</x:v>
      </x:c>
      <x:c r="AD639" s="8" t="str">
        <x:v>["draft-ko-missing"]</x:v>
      </x:c>
      <x:c r="AE639" s="8" t="str">
        <x:v>검토 필요</x:v>
      </x:c>
      <x:c r="AF639" s="8" t="str"/>
    </x:row>
    <x:row r="640">
      <x:c r="A640" s="10" t="n">
        <x:v>639</x:v>
      </x:c>
      <x:c r="B640" s="2" t="str">
        <x:v>2차 보류</x:v>
      </x:c>
      <x:c r="C640" s="2" t="str">
        <x:v>2차 보류</x:v>
      </x:c>
      <x:c r="D640" s="2" t="str">
        <x:v>낮음</x:v>
      </x:c>
      <x:c r="E640" s="2" t="str">
        <x:v>N1</x:v>
      </x:c>
      <x:c r="F640" s="10" t="n">
        <x:v>262</x:v>
      </x:c>
      <x:c r="G640" s="2" t="str">
        <x:v>w_4adc7e948c22cd66</x:v>
      </x:c>
      <x:c r="H640" s="2" t="str">
        <x:v>申し出る</x:v>
      </x:c>
      <x:c r="I640" s="2" t="str">
        <x:v>もうしでる</x:v>
      </x:c>
      <x:c r="J640" s="8" t="str">
        <x:v>(자진해서) 신청하다, 제의하다</x:v>
      </x:c>
      <x:c r="K640" s="2" t="str">
        <x:v>verb</x:v>
      </x:c>
      <x:c r="L640" s="9" t="n">
        <x:v>2.91</x:v>
      </x:c>
      <x:c r="M640" s="2" t="str">
        <x:v>없음</x:v>
      </x:c>
      <x:c r="N640" s="11" t="n">
        <x:v>8</x:v>
      </x:c>
      <x:c r="O640" s="8" t="str">
        <x:v>일반 사용 빈도 낮은 편(Zipf ≤ 3.0); 기존 한국어 뜻 품질 감사 대상; 검증된 예문 없음; 기존 데이터의 한국어 콘텐츠 보강 필요 태그</x:v>
      </x:c>
      <x:c r="P640" s="8" t="str">
        <x:v>frequency_le_3_0,legacy_gloss_audit:senses_5_6,no_example,weak_legacy_content</x:v>
      </x:c>
      <x:c r="Q640" s="2" t="str"/>
      <x:c r="R640" s="2" t="str"/>
      <x:c r="S640" s="2" t="str"/>
      <x:c r="T640" s="2" t="str"/>
      <x:c r="U640" s="2" t="str"/>
      <x:c r="V640" s="2" t="str">
        <x:v>아니오</x:v>
      </x:c>
      <x:c r="W640" s="2" t="str">
        <x:v>예</x:v>
      </x:c>
      <x:c r="X640" s="2" t="str">
        <x:v>ichi1,news2,nf34</x:v>
      </x:c>
      <x:c r="Y640" s="2" t="n">
        <x:v>100</x:v>
      </x:c>
      <x:c r="Z640" s="2" t="str">
        <x:v>ichi1,news2,nf34</x:v>
      </x:c>
      <x:c r="AA640" s="2" t="n">
        <x:v>100</x:v>
      </x:c>
      <x:c r="AB640" s="8" t="str"/>
      <x:c r="AC640" s="8" t="str">
        <x:v>senses_5_6</x:v>
      </x:c>
      <x:c r="AD640" s="8" t="str">
        <x:v>["draft-ko-missing"]</x:v>
      </x:c>
      <x:c r="AE640" s="8" t="str">
        <x:v>검토 필요</x:v>
      </x:c>
      <x:c r="AF640" s="8" t="str"/>
    </x:row>
    <x:row r="641">
      <x:c r="A641" s="10" t="n">
        <x:v>640</x:v>
      </x:c>
      <x:c r="B641" s="2" t="str">
        <x:v>2차 보류</x:v>
      </x:c>
      <x:c r="C641" s="2" t="str">
        <x:v>2차 보류</x:v>
      </x:c>
      <x:c r="D641" s="2" t="str">
        <x:v>낮음</x:v>
      </x:c>
      <x:c r="E641" s="2" t="str">
        <x:v>N1</x:v>
      </x:c>
      <x:c r="F641" s="10" t="n">
        <x:v>263</x:v>
      </x:c>
      <x:c r="G641" s="2" t="str">
        <x:v>w_9b7bb3a4b2773419</x:v>
      </x:c>
      <x:c r="H641" s="2" t="str">
        <x:v>改まる</x:v>
      </x:c>
      <x:c r="I641" s="2" t="str">
        <x:v>あらたまる</x:v>
      </x:c>
      <x:c r="J641" s="8" t="str">
        <x:v>새로워지다, 격식을 차리다</x:v>
      </x:c>
      <x:c r="K641" s="2" t="str">
        <x:v>verb</x:v>
      </x:c>
      <x:c r="L641" s="9" t="n">
        <x:v>1.58</x:v>
      </x:c>
      <x:c r="M641" s="2" t="str">
        <x:v>없음</x:v>
      </x:c>
      <x:c r="N641" s="11" t="n">
        <x:v>7</x:v>
      </x:c>
      <x:c r="O641" s="8" t="str">
        <x:v>일반 사용 빈도 매우 낮음(Zipf ≤ 2.0); 검증된 예문 없음</x:v>
      </x:c>
      <x:c r="P641" s="8" t="str">
        <x:v>frequency_le_2_0,no_example</x:v>
      </x:c>
      <x:c r="Q641" s="2" t="str"/>
      <x:c r="R641" s="2" t="str"/>
      <x:c r="S641" s="2" t="str"/>
      <x:c r="T641" s="2" t="str"/>
      <x:c r="U641" s="2" t="str"/>
      <x:c r="V641" s="2" t="str">
        <x:v>아니오</x:v>
      </x:c>
      <x:c r="W641" s="2" t="str">
        <x:v>예</x:v>
      </x:c>
      <x:c r="X641" s="2" t="str">
        <x:v>ichi1,news2,nf43</x:v>
      </x:c>
      <x:c r="Y641" s="2" t="n">
        <x:v>100</x:v>
      </x:c>
      <x:c r="Z641" s="2" t="str">
        <x:v>ichi1,news2,nf43</x:v>
      </x:c>
      <x:c r="AA641" s="2" t="n">
        <x:v>100</x:v>
      </x:c>
      <x:c r="AB641" s="8" t="str">
        <x:v>esp. 革まる</x:v>
      </x:c>
      <x:c r="AC641" s="8" t="str"/>
      <x:c r="AD641" s="8" t="str">
        <x:v>["ko-reviewed"]</x:v>
      </x:c>
      <x:c r="AE641" s="8" t="str">
        <x:v>검토 필요</x:v>
      </x:c>
      <x:c r="AF641" s="8" t="str"/>
    </x:row>
    <x:row r="642">
      <x:c r="A642" s="10" t="n">
        <x:v>641</x:v>
      </x:c>
      <x:c r="B642" s="2" t="str">
        <x:v>2차 보류</x:v>
      </x:c>
      <x:c r="C642" s="2" t="str">
        <x:v>2차 보류</x:v>
      </x:c>
      <x:c r="D642" s="2" t="str">
        <x:v>낮음</x:v>
      </x:c>
      <x:c r="E642" s="2" t="str">
        <x:v>N2</x:v>
      </x:c>
      <x:c r="F642" s="10" t="n">
        <x:v>234</x:v>
      </x:c>
      <x:c r="G642" s="2" t="str">
        <x:v>w_26e555c5d4a1d9f8</x:v>
      </x:c>
      <x:c r="H642" s="2" t="str">
        <x:v>御無沙汰</x:v>
      </x:c>
      <x:c r="I642" s="2" t="str">
        <x:v>ごぶさた</x:v>
      </x:c>
      <x:c r="J642" s="8" t="str">
        <x:v>오래 연락하지 않음, 소식이 뜸함</x:v>
      </x:c>
      <x:c r="K642" s="2" t="str">
        <x:v>noun</x:v>
      </x:c>
      <x:c r="L642" s="9" t="n">
        <x:v>1.65</x:v>
      </x:c>
      <x:c r="M642" s="2" t="str">
        <x:v>없음</x:v>
      </x:c>
      <x:c r="N642" s="11" t="n">
        <x:v>7</x:v>
      </x:c>
      <x:c r="O642" s="8" t="str">
        <x:v>일반 사용 빈도 매우 낮음(Zipf ≤ 2.0); 검증된 예문 없음</x:v>
      </x:c>
      <x:c r="P642" s="8" t="str">
        <x:v>frequency_le_2_0,no_example</x:v>
      </x:c>
      <x:c r="Q642" s="2" t="str"/>
      <x:c r="R642" s="2" t="str"/>
      <x:c r="S642" s="2" t="str"/>
      <x:c r="T642" s="2" t="str"/>
      <x:c r="U642" s="2" t="str"/>
      <x:c r="V642" s="2" t="str">
        <x:v>아니오</x:v>
      </x:c>
      <x:c r="W642" s="2" t="str">
        <x:v>예</x:v>
      </x:c>
      <x:c r="X642" s="2" t="str">
        <x:v>ichi1,spec1</x:v>
      </x:c>
      <x:c r="Y642" s="2" t="n">
        <x:v>100</x:v>
      </x:c>
      <x:c r="Z642" s="2" t="str">
        <x:v>ichi1</x:v>
      </x:c>
      <x:c r="AA642" s="2" t="n">
        <x:v>100</x:v>
      </x:c>
      <x:c r="AB642" s="8" t="str"/>
      <x:c r="AC642" s="8" t="str"/>
      <x:c r="AD642" s="8" t="str">
        <x:v>["ko-reviewed"]</x:v>
      </x:c>
      <x:c r="AE642" s="8" t="str">
        <x:v>검토 필요</x:v>
      </x:c>
      <x:c r="AF642" s="8" t="str"/>
    </x:row>
    <x:row r="643">
      <x:c r="A643" s="10" t="n">
        <x:v>642</x:v>
      </x:c>
      <x:c r="B643" s="2" t="str">
        <x:v>2차 보류</x:v>
      </x:c>
      <x:c r="C643" s="2" t="str">
        <x:v>2차 보류</x:v>
      </x:c>
      <x:c r="D643" s="2" t="str">
        <x:v>낮음</x:v>
      </x:c>
      <x:c r="E643" s="2" t="str">
        <x:v>N2</x:v>
      </x:c>
      <x:c r="F643" s="10" t="n">
        <x:v>235</x:v>
      </x:c>
      <x:c r="G643" s="2" t="str">
        <x:v>w_e4c9461baa503259</x:v>
      </x:c>
      <x:c r="H643" s="2" t="str">
        <x:v>目覚し</x:v>
      </x:c>
      <x:c r="I643" s="2" t="str">
        <x:v>めざまし</x:v>
      </x:c>
      <x:c r="J643" s="8" t="str">
        <x:v>자명종, 알람</x:v>
      </x:c>
      <x:c r="K643" s="2" t="str">
        <x:v>noun</x:v>
      </x:c>
      <x:c r="L643" s="9" t="n">
        <x:v>1.67</x:v>
      </x:c>
      <x:c r="M643" s="2" t="str">
        <x:v>없음</x:v>
      </x:c>
      <x:c r="N643" s="11" t="n">
        <x:v>7</x:v>
      </x:c>
      <x:c r="O643" s="8" t="str">
        <x:v>일반 사용 빈도 매우 낮음(Zipf ≤ 2.0); 검증된 예문 없음</x:v>
      </x:c>
      <x:c r="P643" s="8" t="str">
        <x:v>frequency_le_2_0,no_example</x:v>
      </x:c>
      <x:c r="Q643" s="2" t="str"/>
      <x:c r="R643" s="2" t="str"/>
      <x:c r="S643" s="2" t="str"/>
      <x:c r="T643" s="2" t="str"/>
      <x:c r="U643" s="2" t="str"/>
      <x:c r="V643" s="2" t="str">
        <x:v>아니오</x:v>
      </x:c>
      <x:c r="W643" s="2" t="str">
        <x:v>예</x:v>
      </x:c>
      <x:c r="X643" s="2" t="str">
        <x:v>ichi1,news2,nf38</x:v>
      </x:c>
      <x:c r="Y643" s="2" t="n">
        <x:v>100</x:v>
      </x:c>
      <x:c r="Z643" s="2" t="str"/>
      <x:c r="AA643" s="2" t="n">
        <x:v>0</x:v>
      </x:c>
      <x:c r="AB643" s="8" t="str">
        <x:v>abbreviation</x:v>
      </x:c>
      <x:c r="AC643" s="8" t="str"/>
      <x:c r="AD643" s="8" t="str">
        <x:v>["backfill-replacement","assistant-ko-reviewed"]</x:v>
      </x:c>
      <x:c r="AE643" s="8" t="str">
        <x:v>검토 필요</x:v>
      </x:c>
      <x:c r="AF643" s="8" t="str"/>
    </x:row>
    <x:row r="644">
      <x:c r="A644" s="10" t="n">
        <x:v>643</x:v>
      </x:c>
      <x:c r="B644" s="2" t="str">
        <x:v>2차 보류</x:v>
      </x:c>
      <x:c r="C644" s="2" t="str">
        <x:v>2차 보류</x:v>
      </x:c>
      <x:c r="D644" s="2" t="str">
        <x:v>낮음</x:v>
      </x:c>
      <x:c r="E644" s="2" t="str">
        <x:v>N1</x:v>
      </x:c>
      <x:c r="F644" s="10" t="n">
        <x:v>264</x:v>
      </x:c>
      <x:c r="G644" s="2" t="str">
        <x:v>w_e40ede65cbe56330</x:v>
      </x:c>
      <x:c r="H644" s="2" t="str">
        <x:v>剥げる</x:v>
      </x:c>
      <x:c r="I644" s="2" t="str">
        <x:v>はげる</x:v>
      </x:c>
      <x:c r="J644" s="8" t="str">
        <x:v>벗겨지다, 색이 바래다</x:v>
      </x:c>
      <x:c r="K644" s="2" t="str">
        <x:v>verb</x:v>
      </x:c>
      <x:c r="L644" s="9" t="n">
        <x:v>1.67</x:v>
      </x:c>
      <x:c r="M644" s="2" t="str">
        <x:v>없음</x:v>
      </x:c>
      <x:c r="N644" s="11" t="n">
        <x:v>7</x:v>
      </x:c>
      <x:c r="O644" s="8" t="str">
        <x:v>일반 사용 빈도 매우 낮음(Zipf ≤ 2.0); 검증된 예문 없음</x:v>
      </x:c>
      <x:c r="P644" s="8" t="str">
        <x:v>frequency_le_2_0,no_example</x:v>
      </x:c>
      <x:c r="Q644" s="2" t="str"/>
      <x:c r="R644" s="2" t="str"/>
      <x:c r="S644" s="2" t="str"/>
      <x:c r="T644" s="2" t="str"/>
      <x:c r="U644" s="2" t="str"/>
      <x:c r="V644" s="2" t="str">
        <x:v>아니오</x:v>
      </x:c>
      <x:c r="W644" s="2" t="str">
        <x:v>예</x:v>
      </x:c>
      <x:c r="X644" s="2" t="str">
        <x:v>ichi1</x:v>
      </x:c>
      <x:c r="Y644" s="2" t="n">
        <x:v>100</x:v>
      </x:c>
      <x:c r="Z644" s="2" t="str">
        <x:v>ichi1</x:v>
      </x:c>
      <x:c r="AA644" s="2" t="n">
        <x:v>100</x:v>
      </x:c>
      <x:c r="AB644" s="8" t="str">
        <x:v>word usually written using kana alone</x:v>
      </x:c>
      <x:c r="AC644" s="8" t="str"/>
      <x:c r="AD644" s="8" t="str">
        <x:v>["ko-reviewed"]</x:v>
      </x:c>
      <x:c r="AE644" s="8" t="str">
        <x:v>검토 필요</x:v>
      </x:c>
      <x:c r="AF644" s="8" t="str"/>
    </x:row>
    <x:row r="645">
      <x:c r="A645" s="10" t="n">
        <x:v>644</x:v>
      </x:c>
      <x:c r="B645" s="2" t="str">
        <x:v>2차 보류</x:v>
      </x:c>
      <x:c r="C645" s="2" t="str">
        <x:v>2차 보류</x:v>
      </x:c>
      <x:c r="D645" s="2" t="str">
        <x:v>낮음</x:v>
      </x:c>
      <x:c r="E645" s="2" t="str">
        <x:v>N3</x:v>
      </x:c>
      <x:c r="F645" s="10" t="n">
        <x:v>80</x:v>
      </x:c>
      <x:c r="G645" s="2" t="str">
        <x:v>w_17f948120f29942a</x:v>
      </x:c>
      <x:c r="H645" s="2" t="str">
        <x:v>代る</x:v>
      </x:c>
      <x:c r="I645" s="2" t="str">
        <x:v>かわる</x:v>
      </x:c>
      <x:c r="J645" s="8" t="str">
        <x:v>대신하다, 교대하다</x:v>
      </x:c>
      <x:c r="K645" s="2" t="str">
        <x:v>verb</x:v>
      </x:c>
      <x:c r="L645" s="9" t="n">
        <x:v>1.69</x:v>
      </x:c>
      <x:c r="M645" s="2" t="str">
        <x:v>없음</x:v>
      </x:c>
      <x:c r="N645" s="11" t="n">
        <x:v>7</x:v>
      </x:c>
      <x:c r="O645" s="8" t="str">
        <x:v>일반 사용 빈도 매우 낮음(Zipf ≤ 2.0); 검증된 예문 없음</x:v>
      </x:c>
      <x:c r="P645" s="8" t="str">
        <x:v>frequency_le_2_0,no_example</x:v>
      </x:c>
      <x:c r="Q645" s="2" t="str"/>
      <x:c r="R645" s="2" t="str"/>
      <x:c r="S645" s="2" t="str"/>
      <x:c r="T645" s="2" t="str"/>
      <x:c r="U645" s="2" t="str"/>
      <x:c r="V645" s="2" t="str">
        <x:v>아니오</x:v>
      </x:c>
      <x:c r="W645" s="2" t="str">
        <x:v>예</x:v>
      </x:c>
      <x:c r="X645" s="2" t="str">
        <x:v>ichi1,news2,nf30</x:v>
      </x:c>
      <x:c r="Y645" s="2" t="n">
        <x:v>100</x:v>
      </x:c>
      <x:c r="Z645" s="2" t="str"/>
      <x:c r="AA645" s="2" t="n">
        <x:v>0</x:v>
      </x:c>
      <x:c r="AB645" s="8" t="str">
        <x:v>esp. 代わる, 代る | esp. 換わる, 換る | esp. 替わる, 替る</x:v>
      </x:c>
      <x:c r="AC645" s="8" t="str"/>
      <x:c r="AD645" s="8" t="str">
        <x:v>["ko-reviewed"]</x:v>
      </x:c>
      <x:c r="AE645" s="8" t="str">
        <x:v>검토 필요</x:v>
      </x:c>
      <x:c r="AF645" s="8" t="str"/>
    </x:row>
    <x:row r="646">
      <x:c r="A646" s="10" t="n">
        <x:v>645</x:v>
      </x:c>
      <x:c r="B646" s="2" t="str">
        <x:v>2차 보류</x:v>
      </x:c>
      <x:c r="C646" s="2" t="str">
        <x:v>2차 보류</x:v>
      </x:c>
      <x:c r="D646" s="2" t="str">
        <x:v>낮음</x:v>
      </x:c>
      <x:c r="E646" s="2" t="str">
        <x:v>N2</x:v>
      </x:c>
      <x:c r="F646" s="10" t="n">
        <x:v>236</x:v>
      </x:c>
      <x:c r="G646" s="2" t="str">
        <x:v>w_96da3acd016b2532</x:v>
      </x:c>
      <x:c r="H646" s="2" t="str">
        <x:v>四つ角</x:v>
      </x:c>
      <x:c r="I646" s="2" t="str">
        <x:v>よつかど</x:v>
      </x:c>
      <x:c r="J646" s="8" t="str">
        <x:v>사거리, 네거리</x:v>
      </x:c>
      <x:c r="K646" s="2" t="str">
        <x:v>noun</x:v>
      </x:c>
      <x:c r="L646" s="9" t="n">
        <x:v>1.75</x:v>
      </x:c>
      <x:c r="M646" s="2" t="str">
        <x:v>없음</x:v>
      </x:c>
      <x:c r="N646" s="11" t="n">
        <x:v>7</x:v>
      </x:c>
      <x:c r="O646" s="8" t="str">
        <x:v>일반 사용 빈도 매우 낮음(Zipf ≤ 2.0); 검증된 예문 없음</x:v>
      </x:c>
      <x:c r="P646" s="8" t="str">
        <x:v>frequency_le_2_0,no_example</x:v>
      </x:c>
      <x:c r="Q646" s="2" t="str"/>
      <x:c r="R646" s="2" t="str"/>
      <x:c r="S646" s="2" t="str"/>
      <x:c r="T646" s="2" t="str"/>
      <x:c r="U646" s="2" t="str"/>
      <x:c r="V646" s="2" t="str">
        <x:v>아니오</x:v>
      </x:c>
      <x:c r="W646" s="2" t="str">
        <x:v>예</x:v>
      </x:c>
      <x:c r="X646" s="2" t="str">
        <x:v>ichi1</x:v>
      </x:c>
      <x:c r="Y646" s="2" t="n">
        <x:v>100</x:v>
      </x:c>
      <x:c r="Z646" s="2" t="str">
        <x:v>ichi1</x:v>
      </x:c>
      <x:c r="AA646" s="2" t="n">
        <x:v>100</x:v>
      </x:c>
      <x:c r="AB646" s="8" t="str"/>
      <x:c r="AC646" s="8" t="str"/>
      <x:c r="AD646" s="8" t="str">
        <x:v>["backfill-replacement","assistant-ko-reviewed"]</x:v>
      </x:c>
      <x:c r="AE646" s="8" t="str">
        <x:v>검토 필요</x:v>
      </x:c>
      <x:c r="AF646" s="8" t="str"/>
    </x:row>
    <x:row r="647">
      <x:c r="A647" s="10" t="n">
        <x:v>646</x:v>
      </x:c>
      <x:c r="B647" s="2" t="str">
        <x:v>2차 보류</x:v>
      </x:c>
      <x:c r="C647" s="2" t="str">
        <x:v>2차 보류</x:v>
      </x:c>
      <x:c r="D647" s="2" t="str">
        <x:v>낮음</x:v>
      </x:c>
      <x:c r="E647" s="2" t="str">
        <x:v>N1</x:v>
      </x:c>
      <x:c r="F647" s="10" t="n">
        <x:v>265</x:v>
      </x:c>
      <x:c r="G647" s="2" t="str">
        <x:v>w_32e23fe00fd876ff</x:v>
      </x:c>
      <x:c r="H647" s="2" t="str">
        <x:v>代る代る</x:v>
      </x:c>
      <x:c r="I647" s="2" t="str">
        <x:v>かわるがわる</x:v>
      </x:c>
      <x:c r="J647" s="8" t="str">
        <x:v>번갈아</x:v>
      </x:c>
      <x:c r="K647" s="2" t="str">
        <x:v>adverb</x:v>
      </x:c>
      <x:c r="L647" s="9" t="n">
        <x:v>1.76</x:v>
      </x:c>
      <x:c r="M647" s="2" t="str">
        <x:v>없음</x:v>
      </x:c>
      <x:c r="N647" s="11" t="n">
        <x:v>7</x:v>
      </x:c>
      <x:c r="O647" s="8" t="str">
        <x:v>일반 사용 빈도 매우 낮음(Zipf ≤ 2.0); 검증된 예문 없음</x:v>
      </x:c>
      <x:c r="P647" s="8" t="str">
        <x:v>frequency_le_2_0,no_example</x:v>
      </x:c>
      <x:c r="Q647" s="2" t="str"/>
      <x:c r="R647" s="2" t="str"/>
      <x:c r="S647" s="2" t="str"/>
      <x:c r="T647" s="2" t="str"/>
      <x:c r="U647" s="2" t="str"/>
      <x:c r="V647" s="2" t="str">
        <x:v>아니오</x:v>
      </x:c>
      <x:c r="W647" s="2" t="str">
        <x:v>예</x:v>
      </x:c>
      <x:c r="X647" s="2" t="str">
        <x:v>ichi1</x:v>
      </x:c>
      <x:c r="Y647" s="2" t="n">
        <x:v>100</x:v>
      </x:c>
      <x:c r="Z647" s="2" t="str"/>
      <x:c r="AA647" s="2" t="n">
        <x:v>0</x:v>
      </x:c>
      <x:c r="AB647" s="8" t="str"/>
      <x:c r="AC647" s="8" t="str"/>
      <x:c r="AD647" s="8" t="str">
        <x:v>["ko-reviewed"]</x:v>
      </x:c>
      <x:c r="AE647" s="8" t="str">
        <x:v>검토 필요</x:v>
      </x:c>
      <x:c r="AF647" s="8" t="str"/>
    </x:row>
    <x:row r="648">
      <x:c r="A648" s="10" t="n">
        <x:v>647</x:v>
      </x:c>
      <x:c r="B648" s="2" t="str">
        <x:v>2차 보류</x:v>
      </x:c>
      <x:c r="C648" s="2" t="str">
        <x:v>2차 보류</x:v>
      </x:c>
      <x:c r="D648" s="2" t="str">
        <x:v>낮음</x:v>
      </x:c>
      <x:c r="E648" s="2" t="str">
        <x:v>N1</x:v>
      </x:c>
      <x:c r="F648" s="10" t="n">
        <x:v>266</x:v>
      </x:c>
      <x:c r="G648" s="2" t="str">
        <x:v>w_a478234dcb47d0fe</x:v>
      </x:c>
      <x:c r="H648" s="2" t="str">
        <x:v>蔵相</x:v>
      </x:c>
      <x:c r="I648" s="2" t="str">
        <x:v>ぞうしょう</x:v>
      </x:c>
      <x:c r="J648" s="8" t="str">
        <x:v>재무상</x:v>
      </x:c>
      <x:c r="K648" s="2" t="str">
        <x:v>noun</x:v>
      </x:c>
      <x:c r="L648" s="9" t="n">
        <x:v>1.8</x:v>
      </x:c>
      <x:c r="M648" s="2" t="str">
        <x:v>없음</x:v>
      </x:c>
      <x:c r="N648" s="11" t="n">
        <x:v>7</x:v>
      </x:c>
      <x:c r="O648" s="8" t="str">
        <x:v>일반 사용 빈도 매우 낮음(Zipf ≤ 2.0); 검증된 예문 없음</x:v>
      </x:c>
      <x:c r="P648" s="8" t="str">
        <x:v>frequency_le_2_0,no_example</x:v>
      </x:c>
      <x:c r="Q648" s="2" t="str"/>
      <x:c r="R648" s="2" t="str"/>
      <x:c r="S648" s="2" t="str"/>
      <x:c r="T648" s="2" t="str"/>
      <x:c r="U648" s="2" t="str"/>
      <x:c r="V648" s="2" t="str">
        <x:v>아니오</x:v>
      </x:c>
      <x:c r="W648" s="2" t="str">
        <x:v>예</x:v>
      </x:c>
      <x:c r="X648" s="2" t="str">
        <x:v>news1,nf02</x:v>
      </x:c>
      <x:c r="Y648" s="2" t="n">
        <x:v>100</x:v>
      </x:c>
      <x:c r="Z648" s="2" t="str">
        <x:v>news1,nf02</x:v>
      </x:c>
      <x:c r="AA648" s="2" t="n">
        <x:v>100</x:v>
      </x:c>
      <x:c r="AB648" s="8" t="str"/>
      <x:c r="AC648" s="8" t="str"/>
      <x:c r="AD648" s="8" t="str">
        <x:v>["ko-reviewed"]</x:v>
      </x:c>
      <x:c r="AE648" s="8" t="str">
        <x:v>검토 필요</x:v>
      </x:c>
      <x:c r="AF648" s="8" t="str"/>
    </x:row>
    <x:row r="649">
      <x:c r="A649" s="10" t="n">
        <x:v>648</x:v>
      </x:c>
      <x:c r="B649" s="2" t="str">
        <x:v>2차 보류</x:v>
      </x:c>
      <x:c r="C649" s="2" t="str">
        <x:v>2차 보류</x:v>
      </x:c>
      <x:c r="D649" s="2" t="str">
        <x:v>낮음</x:v>
      </x:c>
      <x:c r="E649" s="2" t="str">
        <x:v>N2</x:v>
      </x:c>
      <x:c r="F649" s="10" t="n">
        <x:v>237</x:v>
      </x:c>
      <x:c r="G649" s="2" t="str">
        <x:v>w_5f6fbfd5ac4919e5</x:v>
      </x:c>
      <x:c r="H649" s="2" t="str">
        <x:v>尖る</x:v>
      </x:c>
      <x:c r="I649" s="2" t="str">
        <x:v>とがる</x:v>
      </x:c>
      <x:c r="J649" s="8" t="str">
        <x:v>뾰족해지다, 날카로워지다</x:v>
      </x:c>
      <x:c r="K649" s="2" t="str">
        <x:v>verb</x:v>
      </x:c>
      <x:c r="L649" s="9" t="n">
        <x:v>1.81</x:v>
      </x:c>
      <x:c r="M649" s="2" t="str">
        <x:v>없음</x:v>
      </x:c>
      <x:c r="N649" s="11" t="n">
        <x:v>7</x:v>
      </x:c>
      <x:c r="O649" s="8" t="str">
        <x:v>일반 사용 빈도 매우 낮음(Zipf ≤ 2.0); 검증된 예문 없음</x:v>
      </x:c>
      <x:c r="P649" s="8" t="str">
        <x:v>frequency_le_2_0,no_example</x:v>
      </x:c>
      <x:c r="Q649" s="2" t="str"/>
      <x:c r="R649" s="2" t="str"/>
      <x:c r="S649" s="2" t="str"/>
      <x:c r="T649" s="2" t="str"/>
      <x:c r="U649" s="2" t="str"/>
      <x:c r="V649" s="2" t="str">
        <x:v>아니오</x:v>
      </x:c>
      <x:c r="W649" s="2" t="str">
        <x:v>예</x:v>
      </x:c>
      <x:c r="X649" s="2" t="str">
        <x:v>ichi1</x:v>
      </x:c>
      <x:c r="Y649" s="2" t="n">
        <x:v>100</x:v>
      </x:c>
      <x:c r="Z649" s="2" t="str">
        <x:v>ichi1</x:v>
      </x:c>
      <x:c r="AA649" s="2" t="n">
        <x:v>100</x:v>
      </x:c>
      <x:c r="AB649" s="8" t="str"/>
      <x:c r="AC649" s="8" t="str"/>
      <x:c r="AD649" s="8" t="str">
        <x:v>["ko-reviewed"]</x:v>
      </x:c>
      <x:c r="AE649" s="8" t="str">
        <x:v>검토 필요</x:v>
      </x:c>
      <x:c r="AF649" s="8" t="str"/>
    </x:row>
    <x:row r="650">
      <x:c r="A650" s="10" t="n">
        <x:v>649</x:v>
      </x:c>
      <x:c r="B650" s="2" t="str">
        <x:v>2차 보류</x:v>
      </x:c>
      <x:c r="C650" s="2" t="str">
        <x:v>2차 보류</x:v>
      </x:c>
      <x:c r="D650" s="2" t="str">
        <x:v>낮음</x:v>
      </x:c>
      <x:c r="E650" s="2" t="str">
        <x:v>N2</x:v>
      </x:c>
      <x:c r="F650" s="10" t="n">
        <x:v>238</x:v>
      </x:c>
      <x:c r="G650" s="2" t="str">
        <x:v>w_590bf31068aa32f3</x:v>
      </x:c>
      <x:c r="H650" s="2" t="str">
        <x:v>更ける</x:v>
      </x:c>
      <x:c r="I650" s="2" t="str">
        <x:v>ふける</x:v>
      </x:c>
      <x:c r="J650" s="8" t="str">
        <x:v>깊어지다, 밤이 늦어지다</x:v>
      </x:c>
      <x:c r="K650" s="2" t="str">
        <x:v>verb</x:v>
      </x:c>
      <x:c r="L650" s="9" t="n">
        <x:v>1.85</x:v>
      </x:c>
      <x:c r="M650" s="2" t="str">
        <x:v>없음</x:v>
      </x:c>
      <x:c r="N650" s="11" t="n">
        <x:v>7</x:v>
      </x:c>
      <x:c r="O650" s="8" t="str">
        <x:v>일반 사용 빈도 매우 낮음(Zipf ≤ 2.0); 검증된 예문 없음</x:v>
      </x:c>
      <x:c r="P650" s="8" t="str">
        <x:v>frequency_le_2_0,no_example</x:v>
      </x:c>
      <x:c r="Q650" s="2" t="str"/>
      <x:c r="R650" s="2" t="str"/>
      <x:c r="S650" s="2" t="str"/>
      <x:c r="T650" s="2" t="str"/>
      <x:c r="U650" s="2" t="str"/>
      <x:c r="V650" s="2" t="str">
        <x:v>아니오</x:v>
      </x:c>
      <x:c r="W650" s="2" t="str">
        <x:v>예</x:v>
      </x:c>
      <x:c r="X650" s="2" t="str">
        <x:v>ichi1,news2,nf47</x:v>
      </x:c>
      <x:c r="Y650" s="2" t="n">
        <x:v>100</x:v>
      </x:c>
      <x:c r="Z650" s="2" t="str">
        <x:v>ichi1,news2,nf47</x:v>
      </x:c>
      <x:c r="AA650" s="2" t="n">
        <x:v>100</x:v>
      </x:c>
      <x:c r="AB650" s="8" t="str"/>
      <x:c r="AC650" s="8" t="str"/>
      <x:c r="AD650" s="8" t="str">
        <x:v>["ko-reviewed"]</x:v>
      </x:c>
      <x:c r="AE650" s="8" t="str">
        <x:v>검토 필요</x:v>
      </x:c>
      <x:c r="AF650" s="8" t="str"/>
    </x:row>
    <x:row r="651">
      <x:c r="A651" s="10" t="n">
        <x:v>650</x:v>
      </x:c>
      <x:c r="B651" s="2" t="str">
        <x:v>2차 보류</x:v>
      </x:c>
      <x:c r="C651" s="2" t="str">
        <x:v>2차 보류</x:v>
      </x:c>
      <x:c r="D651" s="2" t="str">
        <x:v>낮음</x:v>
      </x:c>
      <x:c r="E651" s="2" t="str">
        <x:v>N1</x:v>
      </x:c>
      <x:c r="F651" s="10" t="n">
        <x:v>267</x:v>
      </x:c>
      <x:c r="G651" s="2" t="str">
        <x:v>w_6503280a9c535d09</x:v>
      </x:c>
      <x:c r="H651" s="2" t="str">
        <x:v>テレックス</x:v>
      </x:c>
      <x:c r="I651" s="2" t="str">
        <x:v>テレックス</x:v>
      </x:c>
      <x:c r="J651" s="8" t="str">
        <x:v>텔렉스</x:v>
      </x:c>
      <x:c r="K651" s="2" t="str">
        <x:v>noun</x:v>
      </x:c>
      <x:c r="L651" s="9" t="n">
        <x:v>1.87</x:v>
      </x:c>
      <x:c r="M651" s="2" t="str">
        <x:v>없음</x:v>
      </x:c>
      <x:c r="N651" s="11" t="n">
        <x:v>7</x:v>
      </x:c>
      <x:c r="O651" s="8" t="str">
        <x:v>일반 사용 빈도 매우 낮음(Zipf ≤ 2.0); 검증된 예문 없음</x:v>
      </x:c>
      <x:c r="P651" s="8" t="str">
        <x:v>frequency_le_2_0,no_example</x:v>
      </x:c>
      <x:c r="Q651" s="2" t="str"/>
      <x:c r="R651" s="2" t="str"/>
      <x:c r="S651" s="2" t="str"/>
      <x:c r="T651" s="2" t="str"/>
      <x:c r="U651" s="2" t="str"/>
      <x:c r="V651" s="2" t="str">
        <x:v>아니오</x:v>
      </x:c>
      <x:c r="W651" s="2" t="str">
        <x:v>예</x:v>
      </x:c>
      <x:c r="X651" s="2" t="str">
        <x:v>gai1</x:v>
      </x:c>
      <x:c r="Y651" s="2" t="n">
        <x:v>100</x:v>
      </x:c>
      <x:c r="Z651" s="2" t="str">
        <x:v>gai1</x:v>
      </x:c>
      <x:c r="AA651" s="2" t="n">
        <x:v>100</x:v>
      </x:c>
      <x:c r="AB651" s="8" t="str">
        <x:v>abbreviation</x:v>
      </x:c>
      <x:c r="AC651" s="8" t="str"/>
      <x:c r="AD651" s="8" t="str">
        <x:v>["ko-reviewed"]</x:v>
      </x:c>
      <x:c r="AE651" s="8" t="str">
        <x:v>검토 필요</x:v>
      </x:c>
      <x:c r="AF651" s="8" t="str"/>
    </x:row>
    <x:row r="652">
      <x:c r="A652" s="10" t="n">
        <x:v>651</x:v>
      </x:c>
      <x:c r="B652" s="2" t="str">
        <x:v>2차 보류</x:v>
      </x:c>
      <x:c r="C652" s="2" t="str">
        <x:v>2차 보류</x:v>
      </x:c>
      <x:c r="D652" s="2" t="str">
        <x:v>낮음</x:v>
      </x:c>
      <x:c r="E652" s="2" t="str">
        <x:v>N2</x:v>
      </x:c>
      <x:c r="F652" s="10" t="n">
        <x:v>239</x:v>
      </x:c>
      <x:c r="G652" s="2" t="str">
        <x:v>w_7dbaaf931093de54</x:v>
      </x:c>
      <x:c r="H652" s="2" t="str">
        <x:v>銘々</x:v>
      </x:c>
      <x:c r="I652" s="2" t="str">
        <x:v>めいめい</x:v>
      </x:c>
      <x:c r="J652" s="8" t="str">
        <x:v>각자, 각각</x:v>
      </x:c>
      <x:c r="K652" s="2" t="str">
        <x:v>adverb</x:v>
      </x:c>
      <x:c r="L652" s="9" t="n">
        <x:v>1.89</x:v>
      </x:c>
      <x:c r="M652" s="2" t="str">
        <x:v>없음</x:v>
      </x:c>
      <x:c r="N652" s="11" t="n">
        <x:v>7</x:v>
      </x:c>
      <x:c r="O652" s="8" t="str">
        <x:v>일반 사용 빈도 매우 낮음(Zipf ≤ 2.0); 검증된 예문 없음</x:v>
      </x:c>
      <x:c r="P652" s="8" t="str">
        <x:v>frequency_le_2_0,no_example</x:v>
      </x:c>
      <x:c r="Q652" s="2" t="str"/>
      <x:c r="R652" s="2" t="str"/>
      <x:c r="S652" s="2" t="str"/>
      <x:c r="T652" s="2" t="str"/>
      <x:c r="U652" s="2" t="str"/>
      <x:c r="V652" s="2" t="str">
        <x:v>아니오</x:v>
      </x:c>
      <x:c r="W652" s="2" t="str">
        <x:v>예</x:v>
      </x:c>
      <x:c r="X652" s="2" t="str">
        <x:v>ichi1</x:v>
      </x:c>
      <x:c r="Y652" s="2" t="n">
        <x:v>100</x:v>
      </x:c>
      <x:c r="Z652" s="2" t="str">
        <x:v>ichi1</x:v>
      </x:c>
      <x:c r="AA652" s="2" t="n">
        <x:v>100</x:v>
      </x:c>
      <x:c r="AB652" s="8" t="str">
        <x:v>word usually written using kana alone</x:v>
      </x:c>
      <x:c r="AC652" s="8" t="str"/>
      <x:c r="AD652" s="8" t="str">
        <x:v>["backfill-replacement","assistant-ko-reviewed"]</x:v>
      </x:c>
      <x:c r="AE652" s="8" t="str">
        <x:v>검토 필요</x:v>
      </x:c>
      <x:c r="AF652" s="8" t="str"/>
    </x:row>
    <x:row r="653">
      <x:c r="A653" s="10" t="n">
        <x:v>652</x:v>
      </x:c>
      <x:c r="B653" s="2" t="str">
        <x:v>2차 보류</x:v>
      </x:c>
      <x:c r="C653" s="2" t="str">
        <x:v>2차 보류</x:v>
      </x:c>
      <x:c r="D653" s="2" t="str">
        <x:v>낮음</x:v>
      </x:c>
      <x:c r="E653" s="2" t="str">
        <x:v>N2</x:v>
      </x:c>
      <x:c r="F653" s="10" t="n">
        <x:v>240</x:v>
      </x:c>
      <x:c r="G653" s="2" t="str">
        <x:v>w_ca9b5a8932d7de1c</x:v>
      </x:c>
      <x:c r="H653" s="2" t="str">
        <x:v>散らかる</x:v>
      </x:c>
      <x:c r="I653" s="2" t="str">
        <x:v>ちらかる</x:v>
      </x:c>
      <x:c r="J653" s="8" t="str">
        <x:v>어질러지다, 흐트러지다</x:v>
      </x:c>
      <x:c r="K653" s="2" t="str">
        <x:v>verb</x:v>
      </x:c>
      <x:c r="L653" s="9" t="n">
        <x:v>1.94</x:v>
      </x:c>
      <x:c r="M653" s="2" t="str">
        <x:v>없음</x:v>
      </x:c>
      <x:c r="N653" s="11" t="n">
        <x:v>7</x:v>
      </x:c>
      <x:c r="O653" s="8" t="str">
        <x:v>일반 사용 빈도 매우 낮음(Zipf ≤ 2.0); 검증된 예문 없음</x:v>
      </x:c>
      <x:c r="P653" s="8" t="str">
        <x:v>frequency_le_2_0,no_example</x:v>
      </x:c>
      <x:c r="Q653" s="2" t="str"/>
      <x:c r="R653" s="2" t="str"/>
      <x:c r="S653" s="2" t="str"/>
      <x:c r="T653" s="2" t="str"/>
      <x:c r="U653" s="2" t="str"/>
      <x:c r="V653" s="2" t="str">
        <x:v>아니오</x:v>
      </x:c>
      <x:c r="W653" s="2" t="str">
        <x:v>예</x:v>
      </x:c>
      <x:c r="X653" s="2" t="str">
        <x:v>ichi1,news2,nf46</x:v>
      </x:c>
      <x:c r="Y653" s="2" t="n">
        <x:v>100</x:v>
      </x:c>
      <x:c r="Z653" s="2" t="str">
        <x:v>ichi1,news2,nf46</x:v>
      </x:c>
      <x:c r="AA653" s="2" t="n">
        <x:v>100</x:v>
      </x:c>
      <x:c r="AB653" s="8" t="str"/>
      <x:c r="AC653" s="8" t="str"/>
      <x:c r="AD653" s="8" t="str">
        <x:v>["ko-reviewed"]</x:v>
      </x:c>
      <x:c r="AE653" s="8" t="str">
        <x:v>검토 필요</x:v>
      </x:c>
      <x:c r="AF653" s="8" t="str"/>
    </x:row>
    <x:row r="654">
      <x:c r="A654" s="10" t="n">
        <x:v>653</x:v>
      </x:c>
      <x:c r="B654" s="2" t="str">
        <x:v>2차 보류</x:v>
      </x:c>
      <x:c r="C654" s="2" t="str">
        <x:v>2차 보류</x:v>
      </x:c>
      <x:c r="D654" s="2" t="str">
        <x:v>낮음</x:v>
      </x:c>
      <x:c r="E654" s="2" t="str">
        <x:v>N2</x:v>
      </x:c>
      <x:c r="F654" s="10" t="n">
        <x:v>241</x:v>
      </x:c>
      <x:c r="G654" s="2" t="str">
        <x:v>w_315abdbe142aee28</x:v>
      </x:c>
      <x:c r="H654" s="2" t="str">
        <x:v>瀬戸物</x:v>
      </x:c>
      <x:c r="I654" s="2" t="str">
        <x:v>せともの</x:v>
      </x:c>
      <x:c r="J654" s="8" t="str">
        <x:v>도자기, 사기그릇</x:v>
      </x:c>
      <x:c r="K654" s="2" t="str">
        <x:v>noun</x:v>
      </x:c>
      <x:c r="L654" s="9" t="n">
        <x:v>1.98</x:v>
      </x:c>
      <x:c r="M654" s="2" t="str">
        <x:v>없음</x:v>
      </x:c>
      <x:c r="N654" s="11" t="n">
        <x:v>7</x:v>
      </x:c>
      <x:c r="O654" s="8" t="str">
        <x:v>일반 사용 빈도 매우 낮음(Zipf ≤ 2.0); 검증된 예문 없음</x:v>
      </x:c>
      <x:c r="P654" s="8" t="str">
        <x:v>frequency_le_2_0,no_example</x:v>
      </x:c>
      <x:c r="Q654" s="2" t="str"/>
      <x:c r="R654" s="2" t="str"/>
      <x:c r="S654" s="2" t="str"/>
      <x:c r="T654" s="2" t="str"/>
      <x:c r="U654" s="2" t="str"/>
      <x:c r="V654" s="2" t="str">
        <x:v>아니오</x:v>
      </x:c>
      <x:c r="W654" s="2" t="str">
        <x:v>예</x:v>
      </x:c>
      <x:c r="X654" s="2" t="str">
        <x:v>ichi1</x:v>
      </x:c>
      <x:c r="Y654" s="2" t="n">
        <x:v>100</x:v>
      </x:c>
      <x:c r="Z654" s="2" t="str">
        <x:v>ichi1</x:v>
      </x:c>
      <x:c r="AA654" s="2" t="n">
        <x:v>100</x:v>
      </x:c>
      <x:c r="AB654" s="8" t="str">
        <x:v>orig. meaning</x:v>
      </x:c>
      <x:c r="AC654" s="8" t="str"/>
      <x:c r="AD654" s="8" t="str">
        <x:v>["ko-reviewed"]</x:v>
      </x:c>
      <x:c r="AE654" s="8" t="str">
        <x:v>검토 필요</x:v>
      </x:c>
      <x:c r="AF654" s="8" t="str"/>
    </x:row>
    <x:row r="655">
      <x:c r="A655" s="10" t="n">
        <x:v>654</x:v>
      </x:c>
      <x:c r="B655" s="2" t="str">
        <x:v>2차 보류</x:v>
      </x:c>
      <x:c r="C655" s="2" t="str">
        <x:v>2차 보류</x:v>
      </x:c>
      <x:c r="D655" s="2" t="str">
        <x:v>낮음</x:v>
      </x:c>
      <x:c r="E655" s="2" t="str">
        <x:v>N2</x:v>
      </x:c>
      <x:c r="F655" s="10" t="n">
        <x:v>242</x:v>
      </x:c>
      <x:c r="G655" s="2" t="str">
        <x:v>w_40a6caa2efc2a517</x:v>
      </x:c>
      <x:c r="H655" s="2" t="str">
        <x:v>乗り越し</x:v>
      </x:c>
      <x:c r="I655" s="2" t="str">
        <x:v>のりこし</x:v>
      </x:c>
      <x:c r="J655" s="8" t="str">
        <x:v>지나쳐 탐</x:v>
      </x:c>
      <x:c r="K655" s="2" t="str">
        <x:v>noun</x:v>
      </x:c>
      <x:c r="L655" s="9" t="n">
        <x:v>1.98</x:v>
      </x:c>
      <x:c r="M655" s="2" t="str">
        <x:v>없음</x:v>
      </x:c>
      <x:c r="N655" s="11" t="n">
        <x:v>7</x:v>
      </x:c>
      <x:c r="O655" s="8" t="str">
        <x:v>일반 사용 빈도 매우 낮음(Zipf ≤ 2.0); 검증된 예문 없음</x:v>
      </x:c>
      <x:c r="P655" s="8" t="str">
        <x:v>frequency_le_2_0,no_example</x:v>
      </x:c>
      <x:c r="Q655" s="2" t="str"/>
      <x:c r="R655" s="2" t="str"/>
      <x:c r="S655" s="2" t="str"/>
      <x:c r="T655" s="2" t="str"/>
      <x:c r="U655" s="2" t="str"/>
      <x:c r="V655" s="2" t="str">
        <x:v>아니오</x:v>
      </x:c>
      <x:c r="W655" s="2" t="str">
        <x:v>예</x:v>
      </x:c>
      <x:c r="X655" s="2" t="str">
        <x:v>ichi1</x:v>
      </x:c>
      <x:c r="Y655" s="2" t="n">
        <x:v>100</x:v>
      </x:c>
      <x:c r="Z655" s="2" t="str">
        <x:v>ichi1</x:v>
      </x:c>
      <x:c r="AA655" s="2" t="n">
        <x:v>100</x:v>
      </x:c>
      <x:c r="AB655" s="8" t="str"/>
      <x:c r="AC655" s="8" t="str"/>
      <x:c r="AD655" s="8" t="str">
        <x:v>["ko-reviewed"]</x:v>
      </x:c>
      <x:c r="AE655" s="8" t="str">
        <x:v>검토 필요</x:v>
      </x:c>
      <x:c r="AF655" s="8" t="str"/>
    </x:row>
    <x:row r="656">
      <x:c r="A656" s="10" t="n">
        <x:v>655</x:v>
      </x:c>
      <x:c r="B656" s="2" t="str">
        <x:v>2차 보류</x:v>
      </x:c>
      <x:c r="C656" s="2" t="str">
        <x:v>2차 보류</x:v>
      </x:c>
      <x:c r="D656" s="2" t="str">
        <x:v>낮음</x:v>
      </x:c>
      <x:c r="E656" s="2" t="str">
        <x:v>N2</x:v>
      </x:c>
      <x:c r="F656" s="10" t="n">
        <x:v>243</x:v>
      </x:c>
      <x:c r="G656" s="2" t="str">
        <x:v>w_d0c435d3cd403082</x:v>
      </x:c>
      <x:c r="H656" s="2" t="str">
        <x:v>まごまご</x:v>
      </x:c>
      <x:c r="I656" s="2" t="str">
        <x:v>まごまご</x:v>
      </x:c>
      <x:c r="J656" s="8" t="str">
        <x:v>우물쭈물, 당황함</x:v>
      </x:c>
      <x:c r="K656" s="2" t="str">
        <x:v>adverb</x:v>
      </x:c>
      <x:c r="L656" s="9" t="n">
        <x:v>1.98</x:v>
      </x:c>
      <x:c r="M656" s="2" t="str">
        <x:v>없음</x:v>
      </x:c>
      <x:c r="N656" s="11" t="n">
        <x:v>7</x:v>
      </x:c>
      <x:c r="O656" s="8" t="str">
        <x:v>일반 사용 빈도 매우 낮음(Zipf ≤ 2.0); 검증된 예문 없음</x:v>
      </x:c>
      <x:c r="P656" s="8" t="str">
        <x:v>frequency_le_2_0,no_example</x:v>
      </x:c>
      <x:c r="Q656" s="2" t="str"/>
      <x:c r="R656" s="2" t="str"/>
      <x:c r="S656" s="2" t="str"/>
      <x:c r="T656" s="2" t="str"/>
      <x:c r="U656" s="2" t="str"/>
      <x:c r="V656" s="2" t="str">
        <x:v>아니오</x:v>
      </x:c>
      <x:c r="W656" s="2" t="str">
        <x:v>예</x:v>
      </x:c>
      <x:c r="X656" s="2" t="str">
        <x:v>ichi1</x:v>
      </x:c>
      <x:c r="Y656" s="2" t="n">
        <x:v>100</x:v>
      </x:c>
      <x:c r="Z656" s="2" t="str">
        <x:v>ichi1</x:v>
      </x:c>
      <x:c r="AA656" s="2" t="n">
        <x:v>100</x:v>
      </x:c>
      <x:c r="AB656" s="8" t="str">
        <x:v>onomatopoeic or mimetic word</x:v>
      </x:c>
      <x:c r="AC656" s="8" t="str"/>
      <x:c r="AD656" s="8" t="str">
        <x:v>["ko-reviewed"]</x:v>
      </x:c>
      <x:c r="AE656" s="8" t="str">
        <x:v>검토 필요</x:v>
      </x:c>
      <x:c r="AF656" s="8" t="str"/>
    </x:row>
    <x:row r="657">
      <x:c r="A657" s="10" t="n">
        <x:v>656</x:v>
      </x:c>
      <x:c r="B657" s="2" t="str">
        <x:v>2차 보류</x:v>
      </x:c>
      <x:c r="C657" s="2" t="str">
        <x:v>2차 보류</x:v>
      </x:c>
      <x:c r="D657" s="2" t="str">
        <x:v>낮음</x:v>
      </x:c>
      <x:c r="E657" s="2" t="str">
        <x:v>N1</x:v>
      </x:c>
      <x:c r="F657" s="10" t="n">
        <x:v>268</x:v>
      </x:c>
      <x:c r="G657" s="2" t="str">
        <x:v>w_72b3908f46cdf2c4</x:v>
      </x:c>
      <x:c r="H657" s="2" t="str">
        <x:v>稲光</x:v>
      </x:c>
      <x:c r="I657" s="2" t="str">
        <x:v>いなびかり</x:v>
      </x:c>
      <x:c r="J657" s="8" t="str">
        <x:v>번갯불</x:v>
      </x:c>
      <x:c r="K657" s="2" t="str">
        <x:v>noun</x:v>
      </x:c>
      <x:c r="L657" s="9" t="n">
        <x:v>2.04</x:v>
      </x:c>
      <x:c r="M657" s="2" t="str">
        <x:v>있음</x:v>
      </x:c>
      <x:c r="N657" s="11" t="n">
        <x:v>7</x:v>
      </x:c>
      <x:c r="O657" s="8" t="str">
        <x:v>일반 사용 빈도 낮음(Zipf ≤ 2.5); JMdict 우선 어휘 표지 없음</x:v>
      </x:c>
      <x:c r="P657" s="8" t="str">
        <x:v>frequency_le_2_5,no_jmdict_priority</x:v>
      </x:c>
      <x:c r="Q657" s="2" t="str"/>
      <x:c r="R657" s="2" t="str"/>
      <x:c r="S657" s="2" t="str"/>
      <x:c r="T657" s="2" t="str"/>
      <x:c r="U657" s="2" t="str"/>
      <x:c r="V657" s="2" t="str">
        <x:v>아니오</x:v>
      </x:c>
      <x:c r="W657" s="2" t="str">
        <x:v>예</x:v>
      </x:c>
      <x:c r="X657" s="2" t="str"/>
      <x:c r="Y657" s="2" t="n">
        <x:v>0</x:v>
      </x:c>
      <x:c r="Z657" s="2" t="str"/>
      <x:c r="AA657" s="2" t="n">
        <x:v>0</x:v>
      </x:c>
      <x:c r="AB657" s="8" t="str"/>
      <x:c r="AC657" s="8" t="str"/>
      <x:c r="AD657" s="8" t="str">
        <x:v>["ko-reviewed"]</x:v>
      </x:c>
      <x:c r="AE657" s="8" t="str">
        <x:v>검토 필요</x:v>
      </x:c>
      <x:c r="AF657" s="8" t="str"/>
    </x:row>
    <x:row r="658">
      <x:c r="A658" s="10" t="n">
        <x:v>657</x:v>
      </x:c>
      <x:c r="B658" s="2" t="str">
        <x:v>2차 보류</x:v>
      </x:c>
      <x:c r="C658" s="2" t="str">
        <x:v>2차 보류</x:v>
      </x:c>
      <x:c r="D658" s="2" t="str">
        <x:v>낮음</x:v>
      </x:c>
      <x:c r="E658" s="2" t="str">
        <x:v>N1</x:v>
      </x:c>
      <x:c r="F658" s="10" t="n">
        <x:v>269</x:v>
      </x:c>
      <x:c r="G658" s="2" t="str">
        <x:v>w_dadb6a6af0c8c1e7</x:v>
      </x:c>
      <x:c r="H658" s="2" t="str">
        <x:v>げっそり</x:v>
      </x:c>
      <x:c r="I658" s="2" t="str">
        <x:v>げっそり</x:v>
      </x:c>
      <x:c r="J658" s="8" t="str">
        <x:v>홀쭉해짐, 기운이 빠짐</x:v>
      </x:c>
      <x:c r="K658" s="2" t="str">
        <x:v>verb</x:v>
      </x:c>
      <x:c r="L658" s="9" t="n">
        <x:v>2.08</x:v>
      </x:c>
      <x:c r="M658" s="2" t="str">
        <x:v>있음</x:v>
      </x:c>
      <x:c r="N658" s="11" t="n">
        <x:v>7</x:v>
      </x:c>
      <x:c r="O658" s="8" t="str">
        <x:v>일반 사용 빈도 낮음(Zipf ≤ 2.5); JMdict 우선 어휘 표지 없음</x:v>
      </x:c>
      <x:c r="P658" s="8" t="str">
        <x:v>frequency_le_2_5,no_jmdict_priority</x:v>
      </x:c>
      <x:c r="Q658" s="2" t="str"/>
      <x:c r="R658" s="2" t="str"/>
      <x:c r="S658" s="2" t="str"/>
      <x:c r="T658" s="2" t="str"/>
      <x:c r="U658" s="2" t="str"/>
      <x:c r="V658" s="2" t="str">
        <x:v>아니오</x:v>
      </x:c>
      <x:c r="W658" s="2" t="str">
        <x:v>예</x:v>
      </x:c>
      <x:c r="X658" s="2" t="str"/>
      <x:c r="Y658" s="2" t="n">
        <x:v>0</x:v>
      </x:c>
      <x:c r="Z658" s="2" t="str"/>
      <x:c r="AA658" s="2" t="n">
        <x:v>0</x:v>
      </x:c>
      <x:c r="AB658" s="8" t="str">
        <x:v>onomatopoeic or mimetic word</x:v>
      </x:c>
      <x:c r="AC658" s="8" t="str"/>
      <x:c r="AD658" s="8" t="str">
        <x:v>["ko-reviewed"]</x:v>
      </x:c>
      <x:c r="AE658" s="8" t="str">
        <x:v>검토 필요</x:v>
      </x:c>
      <x:c r="AF658" s="8" t="str"/>
    </x:row>
    <x:row r="659">
      <x:c r="A659" s="10" t="n">
        <x:v>658</x:v>
      </x:c>
      <x:c r="B659" s="2" t="str">
        <x:v>2차 보류</x:v>
      </x:c>
      <x:c r="C659" s="2" t="str">
        <x:v>2차 보류</x:v>
      </x:c>
      <x:c r="D659" s="2" t="str">
        <x:v>낮음</x:v>
      </x:c>
      <x:c r="E659" s="2" t="str">
        <x:v>N1</x:v>
      </x:c>
      <x:c r="F659" s="10" t="n">
        <x:v>270</x:v>
      </x:c>
      <x:c r="G659" s="2" t="str">
        <x:v>w_6c770dd24e26620c</x:v>
      </x:c>
      <x:c r="H659" s="2" t="str">
        <x:v>いたわる</x:v>
      </x:c>
      <x:c r="I659" s="2" t="str">
        <x:v>いたわる</x:v>
      </x:c>
      <x:c r="J659" s="8" t="str">
        <x:v>위로하다, 보살피다</x:v>
      </x:c>
      <x:c r="K659" s="2" t="str">
        <x:v>verb</x:v>
      </x:c>
      <x:c r="L659" s="9" t="n">
        <x:v>2.1</x:v>
      </x:c>
      <x:c r="M659" s="2" t="str">
        <x:v>있음</x:v>
      </x:c>
      <x:c r="N659" s="11" t="n">
        <x:v>7</x:v>
      </x:c>
      <x:c r="O659" s="8" t="str">
        <x:v>일반 사용 빈도 낮음(Zipf ≤ 2.5); JMdict 우선 어휘 표지 없음</x:v>
      </x:c>
      <x:c r="P659" s="8" t="str">
        <x:v>frequency_le_2_5,no_jmdict_priority</x:v>
      </x:c>
      <x:c r="Q659" s="2" t="str"/>
      <x:c r="R659" s="2" t="str"/>
      <x:c r="S659" s="2" t="str"/>
      <x:c r="T659" s="2" t="str"/>
      <x:c r="U659" s="2" t="str"/>
      <x:c r="V659" s="2" t="str">
        <x:v>아니오</x:v>
      </x:c>
      <x:c r="W659" s="2" t="str">
        <x:v>아니오</x:v>
      </x:c>
      <x:c r="X659" s="2" t="str"/>
      <x:c r="Y659" s="2" t="n">
        <x:v>0</x:v>
      </x:c>
      <x:c r="Z659" s="2" t="str"/>
      <x:c r="AA659" s="2" t="n">
        <x:v>0</x:v>
      </x:c>
      <x:c r="AB659" s="8" t="str"/>
      <x:c r="AC659" s="8" t="str"/>
      <x:c r="AD659" s="8" t="str">
        <x:v>["ko-reviewed"]</x:v>
      </x:c>
      <x:c r="AE659" s="8" t="str">
        <x:v>검토 필요</x:v>
      </x:c>
      <x:c r="AF659" s="8" t="str"/>
    </x:row>
    <x:row r="660">
      <x:c r="A660" s="10" t="n">
        <x:v>659</x:v>
      </x:c>
      <x:c r="B660" s="2" t="str">
        <x:v>2차 보류</x:v>
      </x:c>
      <x:c r="C660" s="2" t="str">
        <x:v>2차 보류</x:v>
      </x:c>
      <x:c r="D660" s="2" t="str">
        <x:v>낮음</x:v>
      </x:c>
      <x:c r="E660" s="2" t="str">
        <x:v>N1</x:v>
      </x:c>
      <x:c r="F660" s="10" t="n">
        <x:v>271</x:v>
      </x:c>
      <x:c r="G660" s="2" t="str">
        <x:v>w_451bf26dd3bcf2e0</x:v>
      </x:c>
      <x:c r="H660" s="2" t="str">
        <x:v>とぼける</x:v>
      </x:c>
      <x:c r="I660" s="2" t="str">
        <x:v>とぼける</x:v>
      </x:c>
      <x:c r="J660" s="8" t="str">
        <x:v>시치미 떼다, 모르는 척하다</x:v>
      </x:c>
      <x:c r="K660" s="2" t="str">
        <x:v>verb</x:v>
      </x:c>
      <x:c r="L660" s="9" t="n">
        <x:v>2.11</x:v>
      </x:c>
      <x:c r="M660" s="2" t="str">
        <x:v>있음</x:v>
      </x:c>
      <x:c r="N660" s="11" t="n">
        <x:v>7</x:v>
      </x:c>
      <x:c r="O660" s="8" t="str">
        <x:v>일반 사용 빈도 낮음(Zipf ≤ 2.5); JMdict 우선 어휘 표지 없음</x:v>
      </x:c>
      <x:c r="P660" s="8" t="str">
        <x:v>frequency_le_2_5,no_jmdict_priority</x:v>
      </x:c>
      <x:c r="Q660" s="2" t="str"/>
      <x:c r="R660" s="2" t="str"/>
      <x:c r="S660" s="2" t="str"/>
      <x:c r="T660" s="2" t="str"/>
      <x:c r="U660" s="2" t="str"/>
      <x:c r="V660" s="2" t="str">
        <x:v>아니오</x:v>
      </x:c>
      <x:c r="W660" s="2" t="str">
        <x:v>아니오</x:v>
      </x:c>
      <x:c r="X660" s="2" t="str"/>
      <x:c r="Y660" s="2" t="n">
        <x:v>0</x:v>
      </x:c>
      <x:c r="Z660" s="2" t="str"/>
      <x:c r="AA660" s="2" t="n">
        <x:v>0</x:v>
      </x:c>
      <x:c r="AB660" s="8" t="str"/>
      <x:c r="AC660" s="8" t="str"/>
      <x:c r="AD660" s="8" t="str">
        <x:v>["ko-reviewed"]</x:v>
      </x:c>
      <x:c r="AE660" s="8" t="str">
        <x:v>검토 필요</x:v>
      </x:c>
      <x:c r="AF660" s="8" t="str"/>
    </x:row>
    <x:row r="661">
      <x:c r="A661" s="10" t="n">
        <x:v>660</x:v>
      </x:c>
      <x:c r="B661" s="2" t="str">
        <x:v>2차 보류</x:v>
      </x:c>
      <x:c r="C661" s="2" t="str">
        <x:v>2차 보류</x:v>
      </x:c>
      <x:c r="D661" s="2" t="str">
        <x:v>낮음</x:v>
      </x:c>
      <x:c r="E661" s="2" t="str">
        <x:v>N1</x:v>
      </x:c>
      <x:c r="F661" s="10" t="n">
        <x:v>272</x:v>
      </x:c>
      <x:c r="G661" s="2" t="str">
        <x:v>w_76936c9c142f0a2c</x:v>
      </x:c>
      <x:c r="H661" s="2" t="str">
        <x:v>焦げ茶</x:v>
      </x:c>
      <x:c r="I661" s="2" t="str">
        <x:v>こげちゃ</x:v>
      </x:c>
      <x:c r="J661" s="8" t="str">
        <x:v>짙은 갈색</x:v>
      </x:c>
      <x:c r="K661" s="2" t="str">
        <x:v>noun</x:v>
      </x:c>
      <x:c r="L661" s="9" t="n">
        <x:v>2.19</x:v>
      </x:c>
      <x:c r="M661" s="2" t="str">
        <x:v>있음</x:v>
      </x:c>
      <x:c r="N661" s="11" t="n">
        <x:v>7</x:v>
      </x:c>
      <x:c r="O661" s="8" t="str">
        <x:v>일반 사용 빈도 낮음(Zipf ≤ 2.5); JMdict 우선 어휘 표지 없음</x:v>
      </x:c>
      <x:c r="P661" s="8" t="str">
        <x:v>frequency_le_2_5,no_jmdict_priority</x:v>
      </x:c>
      <x:c r="Q661" s="2" t="str"/>
      <x:c r="R661" s="2" t="str"/>
      <x:c r="S661" s="2" t="str"/>
      <x:c r="T661" s="2" t="str"/>
      <x:c r="U661" s="2" t="str"/>
      <x:c r="V661" s="2" t="str">
        <x:v>아니오</x:v>
      </x:c>
      <x:c r="W661" s="2" t="str">
        <x:v>예</x:v>
      </x:c>
      <x:c r="X661" s="2" t="str"/>
      <x:c r="Y661" s="2" t="n">
        <x:v>0</x:v>
      </x:c>
      <x:c r="Z661" s="2" t="str"/>
      <x:c r="AA661" s="2" t="n">
        <x:v>0</x:v>
      </x:c>
      <x:c r="AB661" s="8" t="str"/>
      <x:c r="AC661" s="8" t="str"/>
      <x:c r="AD661" s="8" t="str">
        <x:v>["ko-reviewed"]</x:v>
      </x:c>
      <x:c r="AE661" s="8" t="str">
        <x:v>검토 필요</x:v>
      </x:c>
      <x:c r="AF661" s="8" t="str"/>
    </x:row>
    <x:row r="662">
      <x:c r="A662" s="10" t="n">
        <x:v>661</x:v>
      </x:c>
      <x:c r="B662" s="2" t="str">
        <x:v>2차 보류</x:v>
      </x:c>
      <x:c r="C662" s="2" t="str">
        <x:v>2차 보류</x:v>
      </x:c>
      <x:c r="D662" s="2" t="str">
        <x:v>낮음</x:v>
      </x:c>
      <x:c r="E662" s="2" t="str">
        <x:v>N1</x:v>
      </x:c>
      <x:c r="F662" s="10" t="n">
        <x:v>273</x:v>
      </x:c>
      <x:c r="G662" s="2" t="str">
        <x:v>w_854e32c64d79b629</x:v>
      </x:c>
      <x:c r="H662" s="2" t="str">
        <x:v>おどおど</x:v>
      </x:c>
      <x:c r="I662" s="2" t="str">
        <x:v>おどおど</x:v>
      </x:c>
      <x:c r="J662" s="8" t="str">
        <x:v>어쩔 줄 몰라 하는 모양</x:v>
      </x:c>
      <x:c r="K662" s="2" t="str">
        <x:v>adverb</x:v>
      </x:c>
      <x:c r="L662" s="9" t="n">
        <x:v>2.28</x:v>
      </x:c>
      <x:c r="M662" s="2" t="str">
        <x:v>있음</x:v>
      </x:c>
      <x:c r="N662" s="11" t="n">
        <x:v>7</x:v>
      </x:c>
      <x:c r="O662" s="8" t="str">
        <x:v>일반 사용 빈도 낮음(Zipf ≤ 2.5); JMdict 우선 어휘 표지 없음</x:v>
      </x:c>
      <x:c r="P662" s="8" t="str">
        <x:v>frequency_le_2_5,no_jmdict_priority</x:v>
      </x:c>
      <x:c r="Q662" s="2" t="str"/>
      <x:c r="R662" s="2" t="str"/>
      <x:c r="S662" s="2" t="str"/>
      <x:c r="T662" s="2" t="str"/>
      <x:c r="U662" s="2" t="str"/>
      <x:c r="V662" s="2" t="str">
        <x:v>아니오</x:v>
      </x:c>
      <x:c r="W662" s="2" t="str">
        <x:v>예</x:v>
      </x:c>
      <x:c r="X662" s="2" t="str"/>
      <x:c r="Y662" s="2" t="n">
        <x:v>0</x:v>
      </x:c>
      <x:c r="Z662" s="2" t="str"/>
      <x:c r="AA662" s="2" t="n">
        <x:v>0</x:v>
      </x:c>
      <x:c r="AB662" s="8" t="str">
        <x:v>onomatopoeic or mimetic word</x:v>
      </x:c>
      <x:c r="AC662" s="8" t="str"/>
      <x:c r="AD662" s="8" t="str">
        <x:v>["ko-reviewed"]</x:v>
      </x:c>
      <x:c r="AE662" s="8" t="str">
        <x:v>검토 필요</x:v>
      </x:c>
      <x:c r="AF662" s="8" t="str"/>
    </x:row>
    <x:row r="663">
      <x:c r="A663" s="10" t="n">
        <x:v>662</x:v>
      </x:c>
      <x:c r="B663" s="2" t="str">
        <x:v>2차 보류</x:v>
      </x:c>
      <x:c r="C663" s="2" t="str">
        <x:v>2차 보류</x:v>
      </x:c>
      <x:c r="D663" s="2" t="str">
        <x:v>낮음</x:v>
      </x:c>
      <x:c r="E663" s="2" t="str">
        <x:v>N1</x:v>
      </x:c>
      <x:c r="F663" s="10" t="n">
        <x:v>274</x:v>
      </x:c>
      <x:c r="G663" s="2" t="str">
        <x:v>w_a1dfd00d0d68c478</x:v>
      </x:c>
      <x:c r="H663" s="2" t="str">
        <x:v>お宮</x:v>
      </x:c>
      <x:c r="I663" s="2" t="str">
        <x:v>おみや</x:v>
      </x:c>
      <x:c r="J663" s="8" t="str">
        <x:v>신사</x:v>
      </x:c>
      <x:c r="K663" s="2" t="str">
        <x:v>noun</x:v>
      </x:c>
      <x:c r="L663" s="9" t="n">
        <x:v>2.28</x:v>
      </x:c>
      <x:c r="M663" s="2" t="str">
        <x:v>있음</x:v>
      </x:c>
      <x:c r="N663" s="11" t="n">
        <x:v>7</x:v>
      </x:c>
      <x:c r="O663" s="8" t="str">
        <x:v>일반 사용 빈도 낮음(Zipf ≤ 2.5); JMdict 우선 어휘 표지 없음</x:v>
      </x:c>
      <x:c r="P663" s="8" t="str">
        <x:v>frequency_le_2_5,no_jmdict_priority</x:v>
      </x:c>
      <x:c r="Q663" s="2" t="str"/>
      <x:c r="R663" s="2" t="str"/>
      <x:c r="S663" s="2" t="str"/>
      <x:c r="T663" s="2" t="str"/>
      <x:c r="U663" s="2" t="str"/>
      <x:c r="V663" s="2" t="str">
        <x:v>아니오</x:v>
      </x:c>
      <x:c r="W663" s="2" t="str">
        <x:v>예</x:v>
      </x:c>
      <x:c r="X663" s="2" t="str"/>
      <x:c r="Y663" s="2" t="n">
        <x:v>0</x:v>
      </x:c>
      <x:c r="Z663" s="2" t="str"/>
      <x:c r="AA663" s="2" t="n">
        <x:v>0</x:v>
      </x:c>
      <x:c r="AB663" s="8" t="str"/>
      <x:c r="AC663" s="8" t="str"/>
      <x:c r="AD663" s="8" t="str">
        <x:v>["ko-reviewed"]</x:v>
      </x:c>
      <x:c r="AE663" s="8" t="str">
        <x:v>검토 필요</x:v>
      </x:c>
      <x:c r="AF663" s="8" t="str"/>
    </x:row>
    <x:row r="664">
      <x:c r="A664" s="10" t="n">
        <x:v>663</x:v>
      </x:c>
      <x:c r="B664" s="2" t="str">
        <x:v>2차 보류</x:v>
      </x:c>
      <x:c r="C664" s="2" t="str">
        <x:v>2차 보류</x:v>
      </x:c>
      <x:c r="D664" s="2" t="str">
        <x:v>낮음</x:v>
      </x:c>
      <x:c r="E664" s="2" t="str">
        <x:v>N1</x:v>
      </x:c>
      <x:c r="F664" s="10" t="n">
        <x:v>275</x:v>
      </x:c>
      <x:c r="G664" s="2" t="str">
        <x:v>w_6bd4411a881b3eb1</x:v>
      </x:c>
      <x:c r="H664" s="2" t="str">
        <x:v>おおげさ</x:v>
      </x:c>
      <x:c r="I664" s="2" t="str">
        <x:v>おおげさ</x:v>
      </x:c>
      <x:c r="J664" s="8" t="str">
        <x:v>과장됨, 호들갑</x:v>
      </x:c>
      <x:c r="K664" s="2" t="str">
        <x:v>adjective</x:v>
      </x:c>
      <x:c r="L664" s="9" t="n">
        <x:v>2.32</x:v>
      </x:c>
      <x:c r="M664" s="2" t="str">
        <x:v>있음</x:v>
      </x:c>
      <x:c r="N664" s="11" t="n">
        <x:v>7</x:v>
      </x:c>
      <x:c r="O664" s="8" t="str">
        <x:v>일반 사용 빈도 낮음(Zipf ≤ 2.5); JMdict 우선 어휘 표지 없음</x:v>
      </x:c>
      <x:c r="P664" s="8" t="str">
        <x:v>frequency_le_2_5,no_jmdict_priority</x:v>
      </x:c>
      <x:c r="Q664" s="2" t="str"/>
      <x:c r="R664" s="2" t="str"/>
      <x:c r="S664" s="2" t="str"/>
      <x:c r="T664" s="2" t="str"/>
      <x:c r="U664" s="2" t="str"/>
      <x:c r="V664" s="2" t="str">
        <x:v>아니오</x:v>
      </x:c>
      <x:c r="W664" s="2" t="str">
        <x:v>아니오</x:v>
      </x:c>
      <x:c r="X664" s="2" t="str"/>
      <x:c r="Y664" s="2" t="n">
        <x:v>0</x:v>
      </x:c>
      <x:c r="Z664" s="2" t="str"/>
      <x:c r="AA664" s="2" t="n">
        <x:v>0</x:v>
      </x:c>
      <x:c r="AB664" s="8" t="str"/>
      <x:c r="AC664" s="8" t="str"/>
      <x:c r="AD664" s="8" t="str">
        <x:v>["ko-reviewed"]</x:v>
      </x:c>
      <x:c r="AE664" s="8" t="str">
        <x:v>검토 필요</x:v>
      </x:c>
      <x:c r="AF664" s="8" t="str"/>
    </x:row>
    <x:row r="665">
      <x:c r="A665" s="10" t="n">
        <x:v>664</x:v>
      </x:c>
      <x:c r="B665" s="2" t="str">
        <x:v>2차 보류</x:v>
      </x:c>
      <x:c r="C665" s="2" t="str">
        <x:v>2차 보류</x:v>
      </x:c>
      <x:c r="D665" s="2" t="str">
        <x:v>낮음</x:v>
      </x:c>
      <x:c r="E665" s="2" t="str">
        <x:v>N1</x:v>
      </x:c>
      <x:c r="F665" s="10" t="n">
        <x:v>276</x:v>
      </x:c>
      <x:c r="G665" s="2" t="str">
        <x:v>w_ed3b692c35933354</x:v>
      </x:c>
      <x:c r="H665" s="2" t="str">
        <x:v>恐れ入る</x:v>
      </x:c>
      <x:c r="I665" s="2" t="str">
        <x:v>おそれいる</x:v>
      </x:c>
      <x:c r="J665" s="8" t="str">
        <x:v>송구하다, 황송하다</x:v>
      </x:c>
      <x:c r="K665" s="2" t="str">
        <x:v>verb</x:v>
      </x:c>
      <x:c r="L665" s="9" t="n">
        <x:v>2.32</x:v>
      </x:c>
      <x:c r="M665" s="2" t="str">
        <x:v>있음</x:v>
      </x:c>
      <x:c r="N665" s="11" t="n">
        <x:v>7</x:v>
      </x:c>
      <x:c r="O665" s="8" t="str">
        <x:v>일반 사용 빈도 낮음(Zipf ≤ 2.5); JMdict 우선 어휘 표지 없음</x:v>
      </x:c>
      <x:c r="P665" s="8" t="str">
        <x:v>frequency_le_2_5,no_jmdict_priority</x:v>
      </x:c>
      <x:c r="Q665" s="2" t="str"/>
      <x:c r="R665" s="2" t="str"/>
      <x:c r="S665" s="2" t="str"/>
      <x:c r="T665" s="2" t="str"/>
      <x:c r="U665" s="2" t="str"/>
      <x:c r="V665" s="2" t="str">
        <x:v>아니오</x:v>
      </x:c>
      <x:c r="W665" s="2" t="str">
        <x:v>예</x:v>
      </x:c>
      <x:c r="X665" s="2" t="str"/>
      <x:c r="Y665" s="2" t="n">
        <x:v>0</x:v>
      </x:c>
      <x:c r="Z665" s="2" t="str"/>
      <x:c r="AA665" s="2" t="n">
        <x:v>0</x:v>
      </x:c>
      <x:c r="AB665" s="8" t="str"/>
      <x:c r="AC665" s="8" t="str"/>
      <x:c r="AD665" s="8" t="str">
        <x:v>["ko-reviewed"]</x:v>
      </x:c>
      <x:c r="AE665" s="8" t="str">
        <x:v>검토 필요</x:v>
      </x:c>
      <x:c r="AF665" s="8" t="str"/>
    </x:row>
    <x:row r="666">
      <x:c r="A666" s="10" t="n">
        <x:v>665</x:v>
      </x:c>
      <x:c r="B666" s="2" t="str">
        <x:v>2차 보류</x:v>
      </x:c>
      <x:c r="C666" s="2" t="str">
        <x:v>2차 보류</x:v>
      </x:c>
      <x:c r="D666" s="2" t="str">
        <x:v>낮음</x:v>
      </x:c>
      <x:c r="E666" s="2" t="str">
        <x:v>N1</x:v>
      </x:c>
      <x:c r="F666" s="10" t="n">
        <x:v>277</x:v>
      </x:c>
      <x:c r="G666" s="2" t="str">
        <x:v>w_691808e19c0dab9b</x:v>
      </x:c>
      <x:c r="H666" s="2" t="str">
        <x:v>こじれる</x:v>
      </x:c>
      <x:c r="I666" s="2" t="str">
        <x:v>こじれる</x:v>
      </x:c>
      <x:c r="J666" s="8" t="str">
        <x:v>꼬이다, 악화되다</x:v>
      </x:c>
      <x:c r="K666" s="2" t="str">
        <x:v>verb</x:v>
      </x:c>
      <x:c r="L666" s="9" t="n">
        <x:v>2.37</x:v>
      </x:c>
      <x:c r="M666" s="2" t="str">
        <x:v>있음</x:v>
      </x:c>
      <x:c r="N666" s="11" t="n">
        <x:v>7</x:v>
      </x:c>
      <x:c r="O666" s="8" t="str">
        <x:v>일반 사용 빈도 낮음(Zipf ≤ 2.5); JMdict 우선 어휘 표지 없음</x:v>
      </x:c>
      <x:c r="P666" s="8" t="str">
        <x:v>frequency_le_2_5,no_jmdict_priority</x:v>
      </x:c>
      <x:c r="Q666" s="2" t="str"/>
      <x:c r="R666" s="2" t="str"/>
      <x:c r="S666" s="2" t="str"/>
      <x:c r="T666" s="2" t="str"/>
      <x:c r="U666" s="2" t="str"/>
      <x:c r="V666" s="2" t="str">
        <x:v>아니오</x:v>
      </x:c>
      <x:c r="W666" s="2" t="str">
        <x:v>아니오</x:v>
      </x:c>
      <x:c r="X666" s="2" t="str"/>
      <x:c r="Y666" s="2" t="n">
        <x:v>0</x:v>
      </x:c>
      <x:c r="Z666" s="2" t="str"/>
      <x:c r="AA666" s="2" t="n">
        <x:v>0</x:v>
      </x:c>
      <x:c r="AB666" s="8" t="str"/>
      <x:c r="AC666" s="8" t="str"/>
      <x:c r="AD666" s="8" t="str">
        <x:v>["ko-reviewed"]</x:v>
      </x:c>
      <x:c r="AE666" s="8" t="str">
        <x:v>검토 필요</x:v>
      </x:c>
      <x:c r="AF666" s="8" t="str"/>
    </x:row>
    <x:row r="667">
      <x:c r="A667" s="10" t="n">
        <x:v>666</x:v>
      </x:c>
      <x:c r="B667" s="2" t="str">
        <x:v>1차 검토 후보</x:v>
      </x:c>
      <x:c r="C667" s="2" t="str">
        <x:v>표기 교정·교체 검토</x:v>
      </x:c>
      <x:c r="D667" s="2" t="str">
        <x:v>중간</x:v>
      </x:c>
      <x:c r="E667" s="2" t="str">
        <x:v>N3</x:v>
      </x:c>
      <x:c r="F667" s="10" t="n">
        <x:v>81</x:v>
      </x:c>
      <x:c r="G667" s="2" t="str">
        <x:v>w_5cb28e413943d38b</x:v>
      </x:c>
      <x:c r="H667" s="2" t="str">
        <x:v>偶々</x:v>
      </x:c>
      <x:c r="I667" s="2" t="str">
        <x:v>たまたま</x:v>
      </x:c>
      <x:c r="J667" s="8" t="str">
        <x:v>우연히</x:v>
      </x:c>
      <x:c r="K667" s="2" t="str">
        <x:v>adverb</x:v>
      </x:c>
      <x:c r="L667" s="9" t="n">
        <x:v>3.12</x:v>
      </x:c>
      <x:c r="M667" s="2" t="str">
        <x:v>없음</x:v>
      </x:c>
      <x:c r="N667" s="11" t="n">
        <x:v>7</x:v>
      </x:c>
      <x:c r="O667" s="8" t="str">
        <x:v>일반 사용 빈도 보통 이하(Zipf ≤ 3.5); JMdict에서 희귀·비표준 표기로 표시; 검증된 예문 없음</x:v>
      </x:c>
      <x:c r="P667" s="8" t="str">
        <x:v>frequency_le_3_5,jmdict_uncommon_or_irregular,no_example</x:v>
      </x:c>
      <x:c r="Q667" s="2" t="str"/>
      <x:c r="R667" s="2" t="str"/>
      <x:c r="S667" s="2" t="str"/>
      <x:c r="T667" s="2" t="str"/>
      <x:c r="U667" s="2" t="str"/>
      <x:c r="V667" s="2" t="str">
        <x:v>아니오</x:v>
      </x:c>
      <x:c r="W667" s="2" t="str">
        <x:v>예</x:v>
      </x:c>
      <x:c r="X667" s="2" t="str">
        <x:v>ichi1</x:v>
      </x:c>
      <x:c r="Y667" s="2" t="n">
        <x:v>100</x:v>
      </x:c>
      <x:c r="Z667" s="2" t="str"/>
      <x:c r="AA667" s="2" t="n">
        <x:v>0</x:v>
      </x:c>
      <x:c r="AB667" s="8" t="str">
        <x:v>rarely used kanji form | word usually written using kana alone</x:v>
      </x:c>
      <x:c r="AC667" s="8" t="str"/>
      <x:c r="AD667" s="8" t="str">
        <x:v>["ko-reviewed","manual-curated","freq-core"]</x:v>
      </x:c>
      <x:c r="AE667" s="8" t="str">
        <x:v>검토 필요</x:v>
      </x:c>
      <x:c r="AF667" s="8" t="str"/>
    </x:row>
    <x:row r="668">
      <x:c r="A668" s="10" t="n">
        <x:v>667</x:v>
      </x:c>
      <x:c r="B668" s="2" t="str">
        <x:v>2차 보류</x:v>
      </x:c>
      <x:c r="C668" s="2" t="str">
        <x:v>데이터 정규화 검토</x:v>
      </x:c>
      <x:c r="D668" s="2" t="str">
        <x:v>낮음</x:v>
      </x:c>
      <x:c r="E668" s="2" t="str">
        <x:v>N1</x:v>
      </x:c>
      <x:c r="F668" s="10" t="n">
        <x:v>278</x:v>
      </x:c>
      <x:c r="G668" s="2" t="str">
        <x:v>w_e6f86464c0b05783</x:v>
      </x:c>
      <x:c r="H668" s="2" t="str">
        <x:v>副</x:v>
      </x:c>
      <x:c r="I668" s="2" t="str">
        <x:v>とりわけ</x:v>
      </x:c>
      <x:c r="J668" s="8" t="str">
        <x:v>특히, 유난히</x:v>
      </x:c>
      <x:c r="K668" s="2" t="str">
        <x:v>adverb</x:v>
      </x:c>
      <x:c r="L668" s="9" t="n">
        <x:v>4.62</x:v>
      </x:c>
      <x:c r="M668" s="2" t="str">
        <x:v>있음</x:v>
      </x:c>
      <x:c r="N668" s="11" t="n">
        <x:v>7</x:v>
      </x:c>
      <x:c r="O668" s="8" t="str">
        <x:v>현재 표기+읽기 조합을 JMdict에서 확인하지 못함; JMdict 우선 어휘 표지 없음; 기존 데이터의 한국어 콘텐츠 보강 필요 태그</x:v>
      </x:c>
      <x:c r="P668" s="8" t="str">
        <x:v>jmdict_exact_pair_not_found,no_jmdict_priority,weak_legacy_content</x:v>
      </x:c>
      <x:c r="Q668" s="2" t="str"/>
      <x:c r="R668" s="2" t="str"/>
      <x:c r="S668" s="2" t="str"/>
      <x:c r="T668" s="2" t="str"/>
      <x:c r="U668" s="2" t="str"/>
      <x:c r="V668" s="2" t="str">
        <x:v>아니오</x:v>
      </x:c>
      <x:c r="W668" s="2" t="str">
        <x:v>아니오</x:v>
      </x:c>
      <x:c r="X668" s="2" t="str"/>
      <x:c r="Y668" s="2" t="n">
        <x:v>0</x:v>
      </x:c>
      <x:c r="Z668" s="2" t="str"/>
      <x:c r="AA668" s="2" t="n">
        <x:v>0</x:v>
      </x:c>
      <x:c r="AB668" s="8" t="str"/>
      <x:c r="AC668" s="8" t="str"/>
      <x:c r="AD668" s="8" t="str">
        <x:v>["draft-ko-missing"]</x:v>
      </x:c>
      <x:c r="AE668" s="8" t="str">
        <x:v>검토 필요</x:v>
      </x:c>
      <x:c r="AF668" s="8" t="str"/>
    </x:row>
    <x:row r="669">
      <x:c r="A669" s="10" t="n">
        <x:v>668</x:v>
      </x:c>
      <x:c r="B669" s="2" t="str">
        <x:v>2차 보류</x:v>
      </x:c>
      <x:c r="C669" s="2" t="str">
        <x:v>데이터 정규화 검토</x:v>
      </x:c>
      <x:c r="D669" s="2" t="str">
        <x:v>낮음</x:v>
      </x:c>
      <x:c r="E669" s="2" t="str">
        <x:v>N4</x:v>
      </x:c>
      <x:c r="F669" s="10" t="n">
        <x:v>50</x:v>
      </x:c>
      <x:c r="G669" s="2" t="str">
        <x:v>w_75d8c2a5f7f024b5</x:v>
      </x:c>
      <x:c r="H669" s="2" t="str">
        <x:v>準備</x:v>
      </x:c>
      <x:c r="I669" s="2" t="str">
        <x:v>じゅんびする</x:v>
      </x:c>
      <x:c r="J669" s="8" t="str">
        <x:v>준비하다</x:v>
      </x:c>
      <x:c r="K669" s="2" t="str">
        <x:v>noun</x:v>
      </x:c>
      <x:c r="L669" s="9" t="n">
        <x:v>4.97</x:v>
      </x:c>
      <x:c r="M669" s="2" t="str">
        <x:v>있음</x:v>
      </x:c>
      <x:c r="N669" s="11" t="n">
        <x:v>7</x:v>
      </x:c>
      <x:c r="O669" s="8" t="str">
        <x:v>현재 표기+읽기 조합을 JMdict에서 확인하지 못함; JMdict 우선 어휘 표지 없음; 기존 데이터의 한국어 콘텐츠 보강 필요 태그</x:v>
      </x:c>
      <x:c r="P669" s="8" t="str">
        <x:v>jmdict_exact_pair_not_found,no_jmdict_priority,weak_legacy_content</x:v>
      </x:c>
      <x:c r="Q669" s="2" t="str"/>
      <x:c r="R669" s="2" t="str"/>
      <x:c r="S669" s="2" t="str"/>
      <x:c r="T669" s="2" t="str"/>
      <x:c r="U669" s="2" t="str"/>
      <x:c r="V669" s="2" t="str">
        <x:v>아니오</x:v>
      </x:c>
      <x:c r="W669" s="2" t="str">
        <x:v>아니오</x:v>
      </x:c>
      <x:c r="X669" s="2" t="str"/>
      <x:c r="Y669" s="2" t="n">
        <x:v>0</x:v>
      </x:c>
      <x:c r="Z669" s="2" t="str"/>
      <x:c r="AA669" s="2" t="n">
        <x:v>0</x:v>
      </x:c>
      <x:c r="AB669" s="8" t="str"/>
      <x:c r="AC669" s="8" t="str"/>
      <x:c r="AD669" s="8" t="str">
        <x:v>["draft-ko-missing"]</x:v>
      </x:c>
      <x:c r="AE669" s="8" t="str">
        <x:v>검토 필요</x:v>
      </x:c>
      <x:c r="AF669" s="8" t="str"/>
    </x:row>
    <x:row r="670">
      <x:c r="A670" s="10" t="n">
        <x:v>669</x:v>
      </x:c>
      <x:c r="B670" s="2" t="str">
        <x:v>2차 보류</x:v>
      </x:c>
      <x:c r="C670" s="2" t="str">
        <x:v>데이터 정규화 검토</x:v>
      </x:c>
      <x:c r="D670" s="2" t="str">
        <x:v>낮음</x:v>
      </x:c>
      <x:c r="E670" s="2" t="str">
        <x:v>N4</x:v>
      </x:c>
      <x:c r="F670" s="10" t="n">
        <x:v>51</x:v>
      </x:c>
      <x:c r="G670" s="2" t="str">
        <x:v>w_6d79a3fe603a27ca</x:v>
      </x:c>
      <x:c r="H670" s="2" t="str">
        <x:v>運動</x:v>
      </x:c>
      <x:c r="I670" s="2" t="str">
        <x:v>うんどうする</x:v>
      </x:c>
      <x:c r="J670" s="8" t="str">
        <x:v>운동</x:v>
      </x:c>
      <x:c r="K670" s="2" t="str">
        <x:v>noun</x:v>
      </x:c>
      <x:c r="L670" s="9" t="n">
        <x:v>5.02</x:v>
      </x:c>
      <x:c r="M670" s="2" t="str">
        <x:v>있음</x:v>
      </x:c>
      <x:c r="N670" s="11" t="n">
        <x:v>7</x:v>
      </x:c>
      <x:c r="O670" s="8" t="str">
        <x:v>현재 표기+읽기 조합을 JMdict에서 확인하지 못함; JMdict 우선 어휘 표지 없음; 기존 데이터의 한국어 콘텐츠 보강 필요 태그</x:v>
      </x:c>
      <x:c r="P670" s="8" t="str">
        <x:v>jmdict_exact_pair_not_found,no_jmdict_priority,weak_legacy_content</x:v>
      </x:c>
      <x:c r="Q670" s="2" t="str"/>
      <x:c r="R670" s="2" t="str"/>
      <x:c r="S670" s="2" t="str"/>
      <x:c r="T670" s="2" t="str"/>
      <x:c r="U670" s="2" t="str"/>
      <x:c r="V670" s="2" t="str">
        <x:v>아니오</x:v>
      </x:c>
      <x:c r="W670" s="2" t="str">
        <x:v>아니오</x:v>
      </x:c>
      <x:c r="X670" s="2" t="str"/>
      <x:c r="Y670" s="2" t="n">
        <x:v>0</x:v>
      </x:c>
      <x:c r="Z670" s="2" t="str"/>
      <x:c r="AA670" s="2" t="n">
        <x:v>0</x:v>
      </x:c>
      <x:c r="AB670" s="8" t="str"/>
      <x:c r="AC670" s="8" t="str"/>
      <x:c r="AD670" s="8" t="str">
        <x:v>["draft-ko-missing"]</x:v>
      </x:c>
      <x:c r="AE670" s="8" t="str">
        <x:v>검토 필요</x:v>
      </x:c>
      <x:c r="AF670" s="8" t="str"/>
    </x:row>
    <x:row r="671">
      <x:c r="A671" s="10" t="n">
        <x:v>670</x:v>
      </x:c>
      <x:c r="B671" s="2" t="str">
        <x:v>2차 보류</x:v>
      </x:c>
      <x:c r="C671" s="2" t="str">
        <x:v>데이터 정규화 검토</x:v>
      </x:c>
      <x:c r="D671" s="2" t="str">
        <x:v>낮음</x:v>
      </x:c>
      <x:c r="E671" s="2" t="str">
        <x:v>N4</x:v>
      </x:c>
      <x:c r="F671" s="10" t="n">
        <x:v>52</x:v>
      </x:c>
      <x:c r="G671" s="2" t="str">
        <x:v>w_d9fc6247617c192a</x:v>
      </x:c>
      <x:c r="H671" s="2" t="str">
        <x:v>心配</x:v>
      </x:c>
      <x:c r="I671" s="2" t="str">
        <x:v>しんぱいする</x:v>
      </x:c>
      <x:c r="J671" s="8" t="str">
        <x:v>걱정하다, 걱정, 관심사</x:v>
      </x:c>
      <x:c r="K671" s="2" t="str">
        <x:v>noun</x:v>
      </x:c>
      <x:c r="L671" s="9" t="n">
        <x:v>5.05</x:v>
      </x:c>
      <x:c r="M671" s="2" t="str">
        <x:v>있음</x:v>
      </x:c>
      <x:c r="N671" s="11" t="n">
        <x:v>7</x:v>
      </x:c>
      <x:c r="O671" s="8" t="str">
        <x:v>현재 표기+읽기 조합을 JMdict에서 확인하지 못함; JMdict 우선 어휘 표지 없음; 기존 데이터의 한국어 콘텐츠 보강 필요 태그</x:v>
      </x:c>
      <x:c r="P671" s="8" t="str">
        <x:v>jmdict_exact_pair_not_found,no_jmdict_priority,weak_legacy_content</x:v>
      </x:c>
      <x:c r="Q671" s="2" t="str"/>
      <x:c r="R671" s="2" t="str"/>
      <x:c r="S671" s="2" t="str"/>
      <x:c r="T671" s="2" t="str"/>
      <x:c r="U671" s="2" t="str"/>
      <x:c r="V671" s="2" t="str">
        <x:v>아니오</x:v>
      </x:c>
      <x:c r="W671" s="2" t="str">
        <x:v>아니오</x:v>
      </x:c>
      <x:c r="X671" s="2" t="str"/>
      <x:c r="Y671" s="2" t="n">
        <x:v>0</x:v>
      </x:c>
      <x:c r="Z671" s="2" t="str"/>
      <x:c r="AA671" s="2" t="n">
        <x:v>0</x:v>
      </x:c>
      <x:c r="AB671" s="8" t="str"/>
      <x:c r="AC671" s="8" t="str"/>
      <x:c r="AD671" s="8" t="str">
        <x:v>["draft-ko-missing"]</x:v>
      </x:c>
      <x:c r="AE671" s="8" t="str">
        <x:v>검토 필요</x:v>
      </x:c>
      <x:c r="AF671" s="8" t="str"/>
    </x:row>
    <x:row r="672">
      <x:c r="A672" s="10" t="n">
        <x:v>671</x:v>
      </x:c>
      <x:c r="B672" s="2" t="str">
        <x:v>2차 보류</x:v>
      </x:c>
      <x:c r="C672" s="2" t="str">
        <x:v>데이터 정규화 검토</x:v>
      </x:c>
      <x:c r="D672" s="2" t="str">
        <x:v>낮음</x:v>
      </x:c>
      <x:c r="E672" s="2" t="str">
        <x:v>N5</x:v>
      </x:c>
      <x:c r="F672" s="10" t="n">
        <x:v>17</x:v>
      </x:c>
      <x:c r="G672" s="2" t="str">
        <x:v>w_613ffb99d747e5d1</x:v>
      </x:c>
      <x:c r="H672" s="2" t="str">
        <x:v>結婚</x:v>
      </x:c>
      <x:c r="I672" s="2" t="str">
        <x:v>けっこん (する)</x:v>
      </x:c>
      <x:c r="J672" s="8" t="str">
        <x:v>결혼</x:v>
      </x:c>
      <x:c r="K672" s="2" t="str">
        <x:v>noun</x:v>
      </x:c>
      <x:c r="L672" s="9" t="n">
        <x:v>5.28</x:v>
      </x:c>
      <x:c r="M672" s="2" t="str">
        <x:v>있음</x:v>
      </x:c>
      <x:c r="N672" s="11" t="n">
        <x:v>7</x:v>
      </x:c>
      <x:c r="O672" s="8" t="str">
        <x:v>현재 표기+읽기 조합을 JMdict에서 확인하지 못함; JMdict 우선 어휘 표지 없음; 기존 데이터의 한국어 콘텐츠 보강 필요 태그</x:v>
      </x:c>
      <x:c r="P672" s="8" t="str">
        <x:v>jmdict_exact_pair_not_found,no_jmdict_priority,weak_legacy_content</x:v>
      </x:c>
      <x:c r="Q672" s="2" t="str"/>
      <x:c r="R672" s="2" t="str"/>
      <x:c r="S672" s="2" t="str"/>
      <x:c r="T672" s="2" t="str"/>
      <x:c r="U672" s="2" t="str"/>
      <x:c r="V672" s="2" t="str">
        <x:v>아니오</x:v>
      </x:c>
      <x:c r="W672" s="2" t="str">
        <x:v>아니오</x:v>
      </x:c>
      <x:c r="X672" s="2" t="str"/>
      <x:c r="Y672" s="2" t="n">
        <x:v>0</x:v>
      </x:c>
      <x:c r="Z672" s="2" t="str"/>
      <x:c r="AA672" s="2" t="n">
        <x:v>0</x:v>
      </x:c>
      <x:c r="AB672" s="8" t="str"/>
      <x:c r="AC672" s="8" t="str"/>
      <x:c r="AD672" s="8" t="str">
        <x:v>["draft-ko-missing"]</x:v>
      </x:c>
      <x:c r="AE672" s="8" t="str">
        <x:v>검토 필요</x:v>
      </x:c>
      <x:c r="AF672" s="8" t="str"/>
    </x:row>
    <x:row r="673">
      <x:c r="A673" s="10" t="n">
        <x:v>672</x:v>
      </x:c>
      <x:c r="B673" s="2" t="str">
        <x:v>2차 보류</x:v>
      </x:c>
      <x:c r="C673" s="2" t="str">
        <x:v>데이터 정규화 검토</x:v>
      </x:c>
      <x:c r="D673" s="2" t="str">
        <x:v>낮음</x:v>
      </x:c>
      <x:c r="E673" s="2" t="str">
        <x:v>N5</x:v>
      </x:c>
      <x:c r="F673" s="10" t="n">
        <x:v>18</x:v>
      </x:c>
      <x:c r="G673" s="2" t="str">
        <x:v>w_0d75d10f210602c1</x:v>
      </x:c>
      <x:c r="H673" s="2" t="str">
        <x:v>行く</x:v>
      </x:c>
      <x:c r="I673" s="2" t="str">
        <x:v>いく; ゆく</x:v>
      </x:c>
      <x:c r="J673" s="8" t="str">
        <x:v>가다</x:v>
      </x:c>
      <x:c r="K673" s="2" t="str">
        <x:v>verb</x:v>
      </x:c>
      <x:c r="L673" s="9" t="n">
        <x:v>5.52</x:v>
      </x:c>
      <x:c r="M673" s="2" t="str">
        <x:v>있음</x:v>
      </x:c>
      <x:c r="N673" s="11" t="n">
        <x:v>7</x:v>
      </x:c>
      <x:c r="O673" s="8" t="str">
        <x:v>현재 표기+읽기 조합을 JMdict에서 확인하지 못함; JMdict 우선 어휘 표지 없음; 기존 데이터의 한국어 콘텐츠 보강 필요 태그</x:v>
      </x:c>
      <x:c r="P673" s="8" t="str">
        <x:v>jmdict_exact_pair_not_found,no_jmdict_priority,weak_legacy_content</x:v>
      </x:c>
      <x:c r="Q673" s="2" t="str"/>
      <x:c r="R673" s="2" t="str"/>
      <x:c r="S673" s="2" t="str"/>
      <x:c r="T673" s="2" t="str"/>
      <x:c r="U673" s="2" t="str"/>
      <x:c r="V673" s="2" t="str">
        <x:v>아니오</x:v>
      </x:c>
      <x:c r="W673" s="2" t="str">
        <x:v>아니오</x:v>
      </x:c>
      <x:c r="X673" s="2" t="str"/>
      <x:c r="Y673" s="2" t="n">
        <x:v>0</x:v>
      </x:c>
      <x:c r="Z673" s="2" t="str"/>
      <x:c r="AA673" s="2" t="n">
        <x:v>0</x:v>
      </x:c>
      <x:c r="AB673" s="8" t="str"/>
      <x:c r="AC673" s="8" t="str"/>
      <x:c r="AD673" s="8" t="str">
        <x:v>["draft-ko-missing"]</x:v>
      </x:c>
      <x:c r="AE673" s="8" t="str">
        <x:v>검토 필요</x:v>
      </x:c>
      <x:c r="AF673" s="8" t="str"/>
    </x:row>
    <x:row r="674">
      <x:c r="A674" s="10" t="n">
        <x:v>673</x:v>
      </x:c>
      <x:c r="B674" s="2" t="str">
        <x:v>2차 보류</x:v>
      </x:c>
      <x:c r="C674" s="2" t="str">
        <x:v>2차 보류</x:v>
      </x:c>
      <x:c r="D674" s="2" t="str">
        <x:v>낮음</x:v>
      </x:c>
      <x:c r="E674" s="2" t="str">
        <x:v>N2</x:v>
      </x:c>
      <x:c r="F674" s="10" t="n">
        <x:v>244</x:v>
      </x:c>
      <x:c r="G674" s="2" t="str">
        <x:v>w_4ccc7707eb41bcc5</x:v>
      </x:c>
      <x:c r="H674" s="2" t="str">
        <x:v>生る</x:v>
      </x:c>
      <x:c r="I674" s="2" t="str">
        <x:v>なる</x:v>
      </x:c>
      <x:c r="J674" s="8" t="str">
        <x:v>(열매가) 열리다</x:v>
      </x:c>
      <x:c r="K674" s="2" t="str">
        <x:v>verb</x:v>
      </x:c>
      <x:c r="L674" s="9" t="n">
        <x:v>2.05</x:v>
      </x:c>
      <x:c r="M674" s="2" t="str">
        <x:v>없음</x:v>
      </x:c>
      <x:c r="N674" s="11" t="n">
        <x:v>6</x:v>
      </x:c>
      <x:c r="O674" s="8" t="str">
        <x:v>일반 사용 빈도 낮음(Zipf ≤ 2.5); 검증된 예문 없음; 기존 데이터의 한국어 콘텐츠 보강 필요 태그</x:v>
      </x:c>
      <x:c r="P674" s="8" t="str">
        <x:v>frequency_le_2_5,no_example,weak_legacy_content</x:v>
      </x:c>
      <x:c r="Q674" s="2" t="str"/>
      <x:c r="R674" s="2" t="str"/>
      <x:c r="S674" s="2" t="str"/>
      <x:c r="T674" s="2" t="str"/>
      <x:c r="U674" s="2" t="str"/>
      <x:c r="V674" s="2" t="str">
        <x:v>아니오</x:v>
      </x:c>
      <x:c r="W674" s="2" t="str">
        <x:v>예</x:v>
      </x:c>
      <x:c r="X674" s="2" t="str">
        <x:v>ichi1,news1,nf07</x:v>
      </x:c>
      <x:c r="Y674" s="2" t="n">
        <x:v>100</x:v>
      </x:c>
      <x:c r="Z674" s="2" t="str">
        <x:v>ichi1,news1,nf07</x:v>
      </x:c>
      <x:c r="AA674" s="2" t="n">
        <x:v>100</x:v>
      </x:c>
      <x:c r="AB674" s="8" t="str">
        <x:v>word usually written using kana alone</x:v>
      </x:c>
      <x:c r="AC674" s="8" t="str"/>
      <x:c r="AD674" s="8" t="str">
        <x:v>["draft-ko-missing"]</x:v>
      </x:c>
      <x:c r="AE674" s="8" t="str">
        <x:v>검토 필요</x:v>
      </x:c>
      <x:c r="AF674" s="8" t="str"/>
    </x:row>
    <x:row r="675">
      <x:c r="A675" s="10" t="n">
        <x:v>674</x:v>
      </x:c>
      <x:c r="B675" s="2" t="str">
        <x:v>2차 보류</x:v>
      </x:c>
      <x:c r="C675" s="2" t="str">
        <x:v>2차 보류</x:v>
      </x:c>
      <x:c r="D675" s="2" t="str">
        <x:v>낮음</x:v>
      </x:c>
      <x:c r="E675" s="2" t="str">
        <x:v>N1</x:v>
      </x:c>
      <x:c r="F675" s="10" t="n">
        <x:v>279</x:v>
      </x:c>
      <x:c r="G675" s="2" t="str">
        <x:v>w_4860fcbefdb2220f</x:v>
      </x:c>
      <x:c r="H675" s="2" t="str">
        <x:v>聳える</x:v>
      </x:c>
      <x:c r="I675" s="2" t="str">
        <x:v>そびえる</x:v>
      </x:c>
      <x:c r="J675" s="8" t="str">
        <x:v>우뚝 솟다</x:v>
      </x:c>
      <x:c r="K675" s="2" t="str">
        <x:v>verb</x:v>
      </x:c>
      <x:c r="L675" s="9" t="n">
        <x:v>2.06</x:v>
      </x:c>
      <x:c r="M675" s="2" t="str">
        <x:v>없음</x:v>
      </x:c>
      <x:c r="N675" s="11" t="n">
        <x:v>6</x:v>
      </x:c>
      <x:c r="O675" s="8" t="str">
        <x:v>일반 사용 빈도 낮음(Zipf ≤ 2.5); 검증된 예문 없음; 기존 데이터의 한국어 콘텐츠 보강 필요 태그</x:v>
      </x:c>
      <x:c r="P675" s="8" t="str">
        <x:v>frequency_le_2_5,no_example,weak_legacy_content</x:v>
      </x:c>
      <x:c r="Q675" s="2" t="str"/>
      <x:c r="R675" s="2" t="str"/>
      <x:c r="S675" s="2" t="str"/>
      <x:c r="T675" s="2" t="str"/>
      <x:c r="U675" s="2" t="str"/>
      <x:c r="V675" s="2" t="str">
        <x:v>아니오</x:v>
      </x:c>
      <x:c r="W675" s="2" t="str">
        <x:v>예</x:v>
      </x:c>
      <x:c r="X675" s="2" t="str">
        <x:v>ichi1</x:v>
      </x:c>
      <x:c r="Y675" s="2" t="n">
        <x:v>100</x:v>
      </x:c>
      <x:c r="Z675" s="2" t="str">
        <x:v>ichi1</x:v>
      </x:c>
      <x:c r="AA675" s="2" t="n">
        <x:v>100</x:v>
      </x:c>
      <x:c r="AB675" s="8" t="str">
        <x:v>word usually written using kana alone</x:v>
      </x:c>
      <x:c r="AC675" s="8" t="str"/>
      <x:c r="AD675" s="8" t="str">
        <x:v>["draft-ko-missing"]</x:v>
      </x:c>
      <x:c r="AE675" s="8" t="str">
        <x:v>검토 필요</x:v>
      </x:c>
      <x:c r="AF675" s="8" t="str"/>
    </x:row>
    <x:row r="676">
      <x:c r="A676" s="10" t="n">
        <x:v>675</x:v>
      </x:c>
      <x:c r="B676" s="2" t="str">
        <x:v>2차 보류</x:v>
      </x:c>
      <x:c r="C676" s="2" t="str">
        <x:v>2차 보류</x:v>
      </x:c>
      <x:c r="D676" s="2" t="str">
        <x:v>낮음</x:v>
      </x:c>
      <x:c r="E676" s="2" t="str">
        <x:v>N1</x:v>
      </x:c>
      <x:c r="F676" s="10" t="n">
        <x:v>280</x:v>
      </x:c>
      <x:c r="G676" s="2" t="str">
        <x:v>w_91b3f082c72d47e0</x:v>
      </x:c>
      <x:c r="H676" s="2" t="str">
        <x:v>目方</x:v>
      </x:c>
      <x:c r="I676" s="2" t="str">
        <x:v>めかた</x:v>
      </x:c>
      <x:c r="J676" s="8" t="str">
        <x:v>무게, 중량</x:v>
      </x:c>
      <x:c r="K676" s="2" t="str">
        <x:v>noun</x:v>
      </x:c>
      <x:c r="L676" s="9" t="n">
        <x:v>2.06</x:v>
      </x:c>
      <x:c r="M676" s="2" t="str">
        <x:v>없음</x:v>
      </x:c>
      <x:c r="N676" s="11" t="n">
        <x:v>6</x:v>
      </x:c>
      <x:c r="O676" s="8" t="str">
        <x:v>일반 사용 빈도 낮음(Zipf ≤ 2.5); 검증된 예문 없음; 기존 데이터의 한국어 콘텐츠 보강 필요 태그</x:v>
      </x:c>
      <x:c r="P676" s="8" t="str">
        <x:v>frequency_le_2_5,no_example,weak_legacy_content</x:v>
      </x:c>
      <x:c r="Q676" s="2" t="str"/>
      <x:c r="R676" s="2" t="str"/>
      <x:c r="S676" s="2" t="str"/>
      <x:c r="T676" s="2" t="str"/>
      <x:c r="U676" s="2" t="str"/>
      <x:c r="V676" s="2" t="str">
        <x:v>아니오</x:v>
      </x:c>
      <x:c r="W676" s="2" t="str">
        <x:v>예</x:v>
      </x:c>
      <x:c r="X676" s="2" t="str">
        <x:v>ichi1</x:v>
      </x:c>
      <x:c r="Y676" s="2" t="n">
        <x:v>100</x:v>
      </x:c>
      <x:c r="Z676" s="2" t="str">
        <x:v>ichi1</x:v>
      </x:c>
      <x:c r="AA676" s="2" t="n">
        <x:v>100</x:v>
      </x:c>
      <x:c r="AB676" s="8" t="str"/>
      <x:c r="AC676" s="8" t="str"/>
      <x:c r="AD676" s="8" t="str">
        <x:v>["draft-ko-missing"]</x:v>
      </x:c>
      <x:c r="AE676" s="8" t="str">
        <x:v>검토 필요</x:v>
      </x:c>
      <x:c r="AF676" s="8" t="str"/>
    </x:row>
    <x:row r="677">
      <x:c r="A677" s="10" t="n">
        <x:v>676</x:v>
      </x:c>
      <x:c r="B677" s="2" t="str">
        <x:v>2차 보류</x:v>
      </x:c>
      <x:c r="C677" s="2" t="str">
        <x:v>2차 보류</x:v>
      </x:c>
      <x:c r="D677" s="2" t="str">
        <x:v>낮음</x:v>
      </x:c>
      <x:c r="E677" s="2" t="str">
        <x:v>N2</x:v>
      </x:c>
      <x:c r="F677" s="10" t="n">
        <x:v>245</x:v>
      </x:c>
      <x:c r="G677" s="2" t="str">
        <x:v>w_2385034ec0aae4d5</x:v>
      </x:c>
      <x:c r="H677" s="2" t="str">
        <x:v>締め切る</x:v>
      </x:c>
      <x:c r="I677" s="2" t="str">
        <x:v>しめきる</x:v>
      </x:c>
      <x:c r="J677" s="8" t="str">
        <x:v>마감하다, 마감 짓다</x:v>
      </x:c>
      <x:c r="K677" s="2" t="str">
        <x:v>verb</x:v>
      </x:c>
      <x:c r="L677" s="9" t="n">
        <x:v>2.08</x:v>
      </x:c>
      <x:c r="M677" s="2" t="str">
        <x:v>없음</x:v>
      </x:c>
      <x:c r="N677" s="11" t="n">
        <x:v>6</x:v>
      </x:c>
      <x:c r="O677" s="8" t="str">
        <x:v>일반 사용 빈도 낮음(Zipf ≤ 2.5); 검증된 예문 없음; 기존 데이터의 한국어 콘텐츠 보강 필요 태그</x:v>
      </x:c>
      <x:c r="P677" s="8" t="str">
        <x:v>frequency_le_2_5,no_example,weak_legacy_content</x:v>
      </x:c>
      <x:c r="Q677" s="2" t="str"/>
      <x:c r="R677" s="2" t="str"/>
      <x:c r="S677" s="2" t="str"/>
      <x:c r="T677" s="2" t="str"/>
      <x:c r="U677" s="2" t="str"/>
      <x:c r="V677" s="2" t="str">
        <x:v>아니오</x:v>
      </x:c>
      <x:c r="W677" s="2" t="str">
        <x:v>예</x:v>
      </x:c>
      <x:c r="X677" s="2" t="str">
        <x:v>ichi1,news1,nf16</x:v>
      </x:c>
      <x:c r="Y677" s="2" t="n">
        <x:v>100</x:v>
      </x:c>
      <x:c r="Z677" s="2" t="str">
        <x:v>ichi1,news1,nf16</x:v>
      </x:c>
      <x:c r="AA677" s="2" t="n">
        <x:v>100</x:v>
      </x:c>
      <x:c r="AB677" s="8" t="str">
        <x:v>usu. 締め切る</x:v>
      </x:c>
      <x:c r="AC677" s="8" t="str"/>
      <x:c r="AD677" s="8" t="str">
        <x:v>["draft-ko-missing"]</x:v>
      </x:c>
      <x:c r="AE677" s="8" t="str">
        <x:v>검토 필요</x:v>
      </x:c>
      <x:c r="AF677" s="8" t="str"/>
    </x:row>
    <x:row r="678">
      <x:c r="A678" s="10" t="n">
        <x:v>677</x:v>
      </x:c>
      <x:c r="B678" s="2" t="str">
        <x:v>2차 보류</x:v>
      </x:c>
      <x:c r="C678" s="2" t="str">
        <x:v>2차 보류</x:v>
      </x:c>
      <x:c r="D678" s="2" t="str">
        <x:v>낮음</x:v>
      </x:c>
      <x:c r="E678" s="2" t="str">
        <x:v>N1</x:v>
      </x:c>
      <x:c r="F678" s="10" t="n">
        <x:v>281</x:v>
      </x:c>
      <x:c r="G678" s="2" t="str">
        <x:v>w_4b5b41f98cad6c22</x:v>
      </x:c>
      <x:c r="H678" s="2" t="str">
        <x:v>満場</x:v>
      </x:c>
      <x:c r="I678" s="2" t="str">
        <x:v>まんじょう</x:v>
      </x:c>
      <x:c r="J678" s="8" t="str">
        <x:v>만장, 회장 전체</x:v>
      </x:c>
      <x:c r="K678" s="2" t="str">
        <x:v>noun</x:v>
      </x:c>
      <x:c r="L678" s="9" t="n">
        <x:v>2.09</x:v>
      </x:c>
      <x:c r="M678" s="2" t="str">
        <x:v>없음</x:v>
      </x:c>
      <x:c r="N678" s="11" t="n">
        <x:v>6</x:v>
      </x:c>
      <x:c r="O678" s="8" t="str">
        <x:v>일반 사용 빈도 낮음(Zipf ≤ 2.5); 검증된 예문 없음; 기존 데이터의 한국어 콘텐츠 보강 필요 태그</x:v>
      </x:c>
      <x:c r="P678" s="8" t="str">
        <x:v>frequency_le_2_5,no_example,weak_legacy_content</x:v>
      </x:c>
      <x:c r="Q678" s="2" t="str"/>
      <x:c r="R678" s="2" t="str"/>
      <x:c r="S678" s="2" t="str"/>
      <x:c r="T678" s="2" t="str"/>
      <x:c r="U678" s="2" t="str"/>
      <x:c r="V678" s="2" t="str">
        <x:v>아니오</x:v>
      </x:c>
      <x:c r="W678" s="2" t="str">
        <x:v>예</x:v>
      </x:c>
      <x:c r="X678" s="2" t="str">
        <x:v>ichi1,news2,nf43</x:v>
      </x:c>
      <x:c r="Y678" s="2" t="n">
        <x:v>100</x:v>
      </x:c>
      <x:c r="Z678" s="2" t="str">
        <x:v>ichi1,news2,nf43</x:v>
      </x:c>
      <x:c r="AA678" s="2" t="n">
        <x:v>100</x:v>
      </x:c>
      <x:c r="AB678" s="8" t="str"/>
      <x:c r="AC678" s="8" t="str"/>
      <x:c r="AD678" s="8" t="str">
        <x:v>["draft-ko-missing"]</x:v>
      </x:c>
      <x:c r="AE678" s="8" t="str">
        <x:v>검토 필요</x:v>
      </x:c>
      <x:c r="AF678" s="8" t="str"/>
    </x:row>
    <x:row r="679">
      <x:c r="A679" s="10" t="n">
        <x:v>678</x:v>
      </x:c>
      <x:c r="B679" s="2" t="str">
        <x:v>2차 보류</x:v>
      </x:c>
      <x:c r="C679" s="2" t="str">
        <x:v>2차 보류</x:v>
      </x:c>
      <x:c r="D679" s="2" t="str">
        <x:v>낮음</x:v>
      </x:c>
      <x:c r="E679" s="2" t="str">
        <x:v>N1</x:v>
      </x:c>
      <x:c r="F679" s="10" t="n">
        <x:v>282</x:v>
      </x:c>
      <x:c r="G679" s="2" t="str">
        <x:v>w_d6d0a00e3b26c383</x:v>
      </x:c>
      <x:c r="H679" s="2" t="str">
        <x:v>布巾</x:v>
      </x:c>
      <x:c r="I679" s="2" t="str">
        <x:v>ふきん</x:v>
      </x:c>
      <x:c r="J679" s="8" t="str">
        <x:v>행주</x:v>
      </x:c>
      <x:c r="K679" s="2" t="str">
        <x:v>noun</x:v>
      </x:c>
      <x:c r="L679" s="9" t="n">
        <x:v>2.13</x:v>
      </x:c>
      <x:c r="M679" s="2" t="str">
        <x:v>없음</x:v>
      </x:c>
      <x:c r="N679" s="11" t="n">
        <x:v>6</x:v>
      </x:c>
      <x:c r="O679" s="8" t="str">
        <x:v>일반 사용 빈도 낮음(Zipf ≤ 2.5); 검증된 예문 없음; 기존 데이터의 한국어 콘텐츠 보강 필요 태그</x:v>
      </x:c>
      <x:c r="P679" s="8" t="str">
        <x:v>frequency_le_2_5,no_example,weak_legacy_content</x:v>
      </x:c>
      <x:c r="Q679" s="2" t="str"/>
      <x:c r="R679" s="2" t="str"/>
      <x:c r="S679" s="2" t="str"/>
      <x:c r="T679" s="2" t="str"/>
      <x:c r="U679" s="2" t="str"/>
      <x:c r="V679" s="2" t="str">
        <x:v>아니오</x:v>
      </x:c>
      <x:c r="W679" s="2" t="str">
        <x:v>예</x:v>
      </x:c>
      <x:c r="X679" s="2" t="str">
        <x:v>ichi1</x:v>
      </x:c>
      <x:c r="Y679" s="2" t="n">
        <x:v>100</x:v>
      </x:c>
      <x:c r="Z679" s="2" t="str">
        <x:v>ichi1</x:v>
      </x:c>
      <x:c r="AA679" s="2" t="n">
        <x:v>100</x:v>
      </x:c>
      <x:c r="AB679" s="8" t="str"/>
      <x:c r="AC679" s="8" t="str"/>
      <x:c r="AD679" s="8" t="str">
        <x:v>["draft-ko-missing"]</x:v>
      </x:c>
      <x:c r="AE679" s="8" t="str">
        <x:v>검토 필요</x:v>
      </x:c>
      <x:c r="AF679" s="8" t="str"/>
    </x:row>
    <x:row r="680">
      <x:c r="A680" s="10" t="n">
        <x:v>679</x:v>
      </x:c>
      <x:c r="B680" s="2" t="str">
        <x:v>2차 보류</x:v>
      </x:c>
      <x:c r="C680" s="2" t="str">
        <x:v>2차 보류</x:v>
      </x:c>
      <x:c r="D680" s="2" t="str">
        <x:v>낮음</x:v>
      </x:c>
      <x:c r="E680" s="2" t="str">
        <x:v>N4</x:v>
      </x:c>
      <x:c r="F680" s="10" t="n">
        <x:v>53</x:v>
      </x:c>
      <x:c r="G680" s="2" t="str">
        <x:v>w_440e556ac9a1c6e4</x:v>
      </x:c>
      <x:c r="H680" s="2" t="str">
        <x:v>召し上がる</x:v>
      </x:c>
      <x:c r="I680" s="2" t="str">
        <x:v>めしあがる</x:v>
      </x:c>
      <x:c r="J680" s="8" t="str">
        <x:v>드시다(존경어)</x:v>
      </x:c>
      <x:c r="K680" s="2" t="str">
        <x:v>verb</x:v>
      </x:c>
      <x:c r="L680" s="9" t="n">
        <x:v>2.15</x:v>
      </x:c>
      <x:c r="M680" s="2" t="str">
        <x:v>없음</x:v>
      </x:c>
      <x:c r="N680" s="11" t="n">
        <x:v>6</x:v>
      </x:c>
      <x:c r="O680" s="8" t="str">
        <x:v>일반 사용 빈도 낮음(Zipf ≤ 2.5); 검증된 예문 없음; 기존 데이터의 한국어 콘텐츠 보강 필요 태그</x:v>
      </x:c>
      <x:c r="P680" s="8" t="str">
        <x:v>frequency_le_2_5,no_example,weak_legacy_content</x:v>
      </x:c>
      <x:c r="Q680" s="2" t="str"/>
      <x:c r="R680" s="2" t="str"/>
      <x:c r="S680" s="2" t="str"/>
      <x:c r="T680" s="2" t="str"/>
      <x:c r="U680" s="2" t="str"/>
      <x:c r="V680" s="2" t="str">
        <x:v>아니오</x:v>
      </x:c>
      <x:c r="W680" s="2" t="str">
        <x:v>예</x:v>
      </x:c>
      <x:c r="X680" s="2" t="str">
        <x:v>ichi1,news2,nf45</x:v>
      </x:c>
      <x:c r="Y680" s="2" t="n">
        <x:v>100</x:v>
      </x:c>
      <x:c r="Z680" s="2" t="str">
        <x:v>ichi1,news2,nf45</x:v>
      </x:c>
      <x:c r="AA680" s="2" t="n">
        <x:v>100</x:v>
      </x:c>
      <x:c r="AB680" s="8" t="str">
        <x:v>honorific or respectful (sonkeigo) language</x:v>
      </x:c>
      <x:c r="AC680" s="8" t="str"/>
      <x:c r="AD680" s="8" t="str">
        <x:v>["draft-ko-missing"]</x:v>
      </x:c>
      <x:c r="AE680" s="8" t="str">
        <x:v>검토 필요</x:v>
      </x:c>
      <x:c r="AF680" s="8" t="str"/>
    </x:row>
    <x:row r="681">
      <x:c r="A681" s="10" t="n">
        <x:v>680</x:v>
      </x:c>
      <x:c r="B681" s="2" t="str">
        <x:v>2차 보류</x:v>
      </x:c>
      <x:c r="C681" s="2" t="str">
        <x:v>2차 보류</x:v>
      </x:c>
      <x:c r="D681" s="2" t="str">
        <x:v>낮음</x:v>
      </x:c>
      <x:c r="E681" s="2" t="str">
        <x:v>N2</x:v>
      </x:c>
      <x:c r="F681" s="10" t="n">
        <x:v>246</x:v>
      </x:c>
      <x:c r="G681" s="2" t="str">
        <x:v>w_6675bb365919e175</x:v>
      </x:c>
      <x:c r="H681" s="2" t="str">
        <x:v>腰掛ける</x:v>
      </x:c>
      <x:c r="I681" s="2" t="str">
        <x:v>こしかける</x:v>
      </x:c>
      <x:c r="J681" s="8" t="str">
        <x:v>앉다(아래)</x:v>
      </x:c>
      <x:c r="K681" s="2" t="str">
        <x:v>verb</x:v>
      </x:c>
      <x:c r="L681" s="9" t="n">
        <x:v>2.16</x:v>
      </x:c>
      <x:c r="M681" s="2" t="str">
        <x:v>없음</x:v>
      </x:c>
      <x:c r="N681" s="11" t="n">
        <x:v>6</x:v>
      </x:c>
      <x:c r="O681" s="8" t="str">
        <x:v>일반 사용 빈도 낮음(Zipf ≤ 2.5); 검증된 예문 없음; 기존 데이터의 한국어 콘텐츠 보강 필요 태그</x:v>
      </x:c>
      <x:c r="P681" s="8" t="str">
        <x:v>frequency_le_2_5,no_example,weak_legacy_content</x:v>
      </x:c>
      <x:c r="Q681" s="2" t="str"/>
      <x:c r="R681" s="2" t="str"/>
      <x:c r="S681" s="2" t="str"/>
      <x:c r="T681" s="2" t="str"/>
      <x:c r="U681" s="2" t="str"/>
      <x:c r="V681" s="2" t="str">
        <x:v>아니오</x:v>
      </x:c>
      <x:c r="W681" s="2" t="str">
        <x:v>예</x:v>
      </x:c>
      <x:c r="X681" s="2" t="str">
        <x:v>ichi1,news2,nf35</x:v>
      </x:c>
      <x:c r="Y681" s="2" t="n">
        <x:v>100</x:v>
      </x:c>
      <x:c r="Z681" s="2" t="str">
        <x:v>ichi1,news2,nf35</x:v>
      </x:c>
      <x:c r="AA681" s="2" t="n">
        <x:v>100</x:v>
      </x:c>
      <x:c r="AB681" s="8" t="str"/>
      <x:c r="AC681" s="8" t="str"/>
      <x:c r="AD681" s="8" t="str">
        <x:v>["draft-ko-missing"]</x:v>
      </x:c>
      <x:c r="AE681" s="8" t="str">
        <x:v>검토 필요</x:v>
      </x:c>
      <x:c r="AF681" s="8" t="str"/>
    </x:row>
    <x:row r="682">
      <x:c r="A682" s="10" t="n">
        <x:v>681</x:v>
      </x:c>
      <x:c r="B682" s="2" t="str">
        <x:v>2차 보류</x:v>
      </x:c>
      <x:c r="C682" s="2" t="str">
        <x:v>2차 보류</x:v>
      </x:c>
      <x:c r="D682" s="2" t="str">
        <x:v>낮음</x:v>
      </x:c>
      <x:c r="E682" s="2" t="str">
        <x:v>N1</x:v>
      </x:c>
      <x:c r="F682" s="10" t="n">
        <x:v>283</x:v>
      </x:c>
      <x:c r="G682" s="2" t="str">
        <x:v>w_c381716d72503345</x:v>
      </x:c>
      <x:c r="H682" s="2" t="str">
        <x:v>任す</x:v>
      </x:c>
      <x:c r="I682" s="2" t="str">
        <x:v>まかす</x:v>
      </x:c>
      <x:c r="J682" s="8" t="str">
        <x:v>맡기다</x:v>
      </x:c>
      <x:c r="K682" s="2" t="str">
        <x:v>verb</x:v>
      </x:c>
      <x:c r="L682" s="9" t="n">
        <x:v>2.17</x:v>
      </x:c>
      <x:c r="M682" s="2" t="str">
        <x:v>없음</x:v>
      </x:c>
      <x:c r="N682" s="11" t="n">
        <x:v>6</x:v>
      </x:c>
      <x:c r="O682" s="8" t="str">
        <x:v>일반 사용 빈도 낮음(Zipf ≤ 2.5); 검증된 예문 없음; 기존 데이터의 한국어 콘텐츠 보강 필요 태그</x:v>
      </x:c>
      <x:c r="P682" s="8" t="str">
        <x:v>frequency_le_2_5,no_example,weak_legacy_content</x:v>
      </x:c>
      <x:c r="Q682" s="2" t="str"/>
      <x:c r="R682" s="2" t="str"/>
      <x:c r="S682" s="2" t="str"/>
      <x:c r="T682" s="2" t="str"/>
      <x:c r="U682" s="2" t="str"/>
      <x:c r="V682" s="2" t="str">
        <x:v>아니오</x:v>
      </x:c>
      <x:c r="W682" s="2" t="str">
        <x:v>예</x:v>
      </x:c>
      <x:c r="X682" s="2" t="str">
        <x:v>news1,nf13</x:v>
      </x:c>
      <x:c r="Y682" s="2" t="n">
        <x:v>100</x:v>
      </x:c>
      <x:c r="Z682" s="2" t="str">
        <x:v>news1,nf13</x:v>
      </x:c>
      <x:c r="AA682" s="2" t="n">
        <x:v>100</x:v>
      </x:c>
      <x:c r="AB682" s="8" t="str">
        <x:v>oft. in the passive</x:v>
      </x:c>
      <x:c r="AC682" s="8" t="str"/>
      <x:c r="AD682" s="8" t="str">
        <x:v>["draft-ko-missing"]</x:v>
      </x:c>
      <x:c r="AE682" s="8" t="str">
        <x:v>검토 필요</x:v>
      </x:c>
      <x:c r="AF682" s="8" t="str"/>
    </x:row>
    <x:row r="683">
      <x:c r="A683" s="10" t="n">
        <x:v>682</x:v>
      </x:c>
      <x:c r="B683" s="2" t="str">
        <x:v>2차 보류</x:v>
      </x:c>
      <x:c r="C683" s="2" t="str">
        <x:v>2차 보류</x:v>
      </x:c>
      <x:c r="D683" s="2" t="str">
        <x:v>낮음</x:v>
      </x:c>
      <x:c r="E683" s="2" t="str">
        <x:v>N2</x:v>
      </x:c>
      <x:c r="F683" s="10" t="n">
        <x:v>247</x:v>
      </x:c>
      <x:c r="G683" s="2" t="str">
        <x:v>w_36777d1c0b4ca241</x:v>
      </x:c>
      <x:c r="H683" s="2" t="str">
        <x:v>突き当たり</x:v>
      </x:c>
      <x:c r="I683" s="2" t="str">
        <x:v>つきあたり</x:v>
      </x:c>
      <x:c r="J683" s="8" t="str">
        <x:v>끝(의 거리)</x:v>
      </x:c>
      <x:c r="K683" s="2" t="str">
        <x:v>noun</x:v>
      </x:c>
      <x:c r="L683" s="9" t="n">
        <x:v>2.18</x:v>
      </x:c>
      <x:c r="M683" s="2" t="str">
        <x:v>없음</x:v>
      </x:c>
      <x:c r="N683" s="11" t="n">
        <x:v>6</x:v>
      </x:c>
      <x:c r="O683" s="8" t="str">
        <x:v>일반 사용 빈도 낮음(Zipf ≤ 2.5); 검증된 예문 없음; 기존 데이터의 한국어 콘텐츠 보강 필요 태그</x:v>
      </x:c>
      <x:c r="P683" s="8" t="str">
        <x:v>frequency_le_2_5,no_example,weak_legacy_content</x:v>
      </x:c>
      <x:c r="Q683" s="2" t="str"/>
      <x:c r="R683" s="2" t="str"/>
      <x:c r="S683" s="2" t="str"/>
      <x:c r="T683" s="2" t="str"/>
      <x:c r="U683" s="2" t="str"/>
      <x:c r="V683" s="2" t="str">
        <x:v>아니오</x:v>
      </x:c>
      <x:c r="W683" s="2" t="str">
        <x:v>예</x:v>
      </x:c>
      <x:c r="X683" s="2" t="str">
        <x:v>ichi1</x:v>
      </x:c>
      <x:c r="Y683" s="2" t="n">
        <x:v>100</x:v>
      </x:c>
      <x:c r="Z683" s="2" t="str">
        <x:v>ichi1</x:v>
      </x:c>
      <x:c r="AA683" s="2" t="n">
        <x:v>100</x:v>
      </x:c>
      <x:c r="AB683" s="8" t="str"/>
      <x:c r="AC683" s="8" t="str"/>
      <x:c r="AD683" s="8" t="str">
        <x:v>["draft-ko-missing"]</x:v>
      </x:c>
      <x:c r="AE683" s="8" t="str">
        <x:v>검토 필요</x:v>
      </x:c>
      <x:c r="AF683" s="8" t="str"/>
    </x:row>
    <x:row r="684">
      <x:c r="A684" s="10" t="n">
        <x:v>683</x:v>
      </x:c>
      <x:c r="B684" s="2" t="str">
        <x:v>2차 보류</x:v>
      </x:c>
      <x:c r="C684" s="2" t="str">
        <x:v>2차 보류</x:v>
      </x:c>
      <x:c r="D684" s="2" t="str">
        <x:v>낮음</x:v>
      </x:c>
      <x:c r="E684" s="2" t="str">
        <x:v>N2</x:v>
      </x:c>
      <x:c r="F684" s="10" t="n">
        <x:v>248</x:v>
      </x:c>
      <x:c r="G684" s="2" t="str">
        <x:v>w_74ae6b79324143f2</x:v>
      </x:c>
      <x:c r="H684" s="2" t="str">
        <x:v>そそっかしい</x:v>
      </x:c>
      <x:c r="I684" s="2" t="str">
        <x:v>そそっかしい</x:v>
      </x:c>
      <x:c r="J684" s="8" t="str">
        <x:v>부주의한</x:v>
      </x:c>
      <x:c r="K684" s="2" t="str">
        <x:v>adjective</x:v>
      </x:c>
      <x:c r="L684" s="9" t="n">
        <x:v>2.18</x:v>
      </x:c>
      <x:c r="M684" s="2" t="str">
        <x:v>없음</x:v>
      </x:c>
      <x:c r="N684" s="11" t="n">
        <x:v>6</x:v>
      </x:c>
      <x:c r="O684" s="8" t="str">
        <x:v>일반 사용 빈도 낮음(Zipf ≤ 2.5); 검증된 예문 없음; 기존 데이터의 한국어 콘텐츠 보강 필요 태그</x:v>
      </x:c>
      <x:c r="P684" s="8" t="str">
        <x:v>frequency_le_2_5,no_example,weak_legacy_content</x:v>
      </x:c>
      <x:c r="Q684" s="2" t="str"/>
      <x:c r="R684" s="2" t="str"/>
      <x:c r="S684" s="2" t="str"/>
      <x:c r="T684" s="2" t="str"/>
      <x:c r="U684" s="2" t="str"/>
      <x:c r="V684" s="2" t="str">
        <x:v>아니오</x:v>
      </x:c>
      <x:c r="W684" s="2" t="str">
        <x:v>예</x:v>
      </x:c>
      <x:c r="X684" s="2" t="str">
        <x:v>ichi1</x:v>
      </x:c>
      <x:c r="Y684" s="2" t="n">
        <x:v>100</x:v>
      </x:c>
      <x:c r="Z684" s="2" t="str">
        <x:v>ichi1</x:v>
      </x:c>
      <x:c r="AA684" s="2" t="n">
        <x:v>100</x:v>
      </x:c>
      <x:c r="AB684" s="8" t="str"/>
      <x:c r="AC684" s="8" t="str"/>
      <x:c r="AD684" s="8" t="str">
        <x:v>["draft-ko-missing"]</x:v>
      </x:c>
      <x:c r="AE684" s="8" t="str">
        <x:v>검토 필요</x:v>
      </x:c>
      <x:c r="AF684" s="8" t="str"/>
    </x:row>
    <x:row r="685">
      <x:c r="A685" s="10" t="n">
        <x:v>684</x:v>
      </x:c>
      <x:c r="B685" s="2" t="str">
        <x:v>2차 보류</x:v>
      </x:c>
      <x:c r="C685" s="2" t="str">
        <x:v>2차 보류</x:v>
      </x:c>
      <x:c r="D685" s="2" t="str">
        <x:v>낮음</x:v>
      </x:c>
      <x:c r="E685" s="2" t="str">
        <x:v>N2</x:v>
      </x:c>
      <x:c r="F685" s="10" t="n">
        <x:v>249</x:v>
      </x:c>
      <x:c r="G685" s="2" t="str">
        <x:v>w_a2798dd73f43f67a</x:v>
      </x:c>
      <x:c r="H685" s="2" t="str">
        <x:v>倣う</x:v>
      </x:c>
      <x:c r="I685" s="2" t="str">
        <x:v>ならう</x:v>
      </x:c>
      <x:c r="J685" s="8" t="str">
        <x:v>본받다, 모방하다</x:v>
      </x:c>
      <x:c r="K685" s="2" t="str">
        <x:v>verb</x:v>
      </x:c>
      <x:c r="L685" s="9" t="n">
        <x:v>2.19</x:v>
      </x:c>
      <x:c r="M685" s="2" t="str">
        <x:v>없음</x:v>
      </x:c>
      <x:c r="N685" s="11" t="n">
        <x:v>6</x:v>
      </x:c>
      <x:c r="O685" s="8" t="str">
        <x:v>일반 사용 빈도 낮음(Zipf ≤ 2.5); 검증된 예문 없음; 기존 데이터의 한국어 콘텐츠 보강 필요 태그</x:v>
      </x:c>
      <x:c r="P685" s="8" t="str">
        <x:v>frequency_le_2_5,no_example,weak_legacy_content</x:v>
      </x:c>
      <x:c r="Q685" s="2" t="str"/>
      <x:c r="R685" s="2" t="str"/>
      <x:c r="S685" s="2" t="str"/>
      <x:c r="T685" s="2" t="str"/>
      <x:c r="U685" s="2" t="str"/>
      <x:c r="V685" s="2" t="str">
        <x:v>아니오</x:v>
      </x:c>
      <x:c r="W685" s="2" t="str">
        <x:v>예</x:v>
      </x:c>
      <x:c r="X685" s="2" t="str">
        <x:v>ichi1,news2,nf38</x:v>
      </x:c>
      <x:c r="Y685" s="2" t="n">
        <x:v>100</x:v>
      </x:c>
      <x:c r="Z685" s="2" t="str">
        <x:v>ichi1,news2,nf38</x:v>
      </x:c>
      <x:c r="AA685" s="2" t="n">
        <x:v>100</x:v>
      </x:c>
      <x:c r="AB685" s="8" t="str">
        <x:v>word usually written using kana alone</x:v>
      </x:c>
      <x:c r="AC685" s="8" t="str"/>
      <x:c r="AD685" s="8" t="str">
        <x:v>["draft-ko-missing"]</x:v>
      </x:c>
      <x:c r="AE685" s="8" t="str">
        <x:v>검토 필요</x:v>
      </x:c>
      <x:c r="AF685" s="8" t="str"/>
    </x:row>
    <x:row r="686">
      <x:c r="A686" s="10" t="n">
        <x:v>685</x:v>
      </x:c>
      <x:c r="B686" s="2" t="str">
        <x:v>2차 보류</x:v>
      </x:c>
      <x:c r="C686" s="2" t="str">
        <x:v>2차 보류</x:v>
      </x:c>
      <x:c r="D686" s="2" t="str">
        <x:v>낮음</x:v>
      </x:c>
      <x:c r="E686" s="2" t="str">
        <x:v>N2</x:v>
      </x:c>
      <x:c r="F686" s="10" t="n">
        <x:v>250</x:v>
      </x:c>
      <x:c r="G686" s="2" t="str">
        <x:v>w_f0ba80580232c3f8</x:v>
      </x:c>
      <x:c r="H686" s="2" t="str">
        <x:v>感ずる</x:v>
      </x:c>
      <x:c r="I686" s="2" t="str">
        <x:v>かんずる</x:v>
      </x:c>
      <x:c r="J686" s="8" t="str">
        <x:v>느끼다</x:v>
      </x:c>
      <x:c r="K686" s="2" t="str">
        <x:v>verb</x:v>
      </x:c>
      <x:c r="L686" s="9" t="n">
        <x:v>2.19</x:v>
      </x:c>
      <x:c r="M686" s="2" t="str">
        <x:v>없음</x:v>
      </x:c>
      <x:c r="N686" s="11" t="n">
        <x:v>6</x:v>
      </x:c>
      <x:c r="O686" s="8" t="str">
        <x:v>일반 사용 빈도 낮음(Zipf ≤ 2.5); 검증된 예문 없음; 기존 데이터의 한국어 콘텐츠 보강 필요 태그</x:v>
      </x:c>
      <x:c r="P686" s="8" t="str">
        <x:v>frequency_le_2_5,no_example,weak_legacy_content</x:v>
      </x:c>
      <x:c r="Q686" s="2" t="str"/>
      <x:c r="R686" s="2" t="str"/>
      <x:c r="S686" s="2" t="str"/>
      <x:c r="T686" s="2" t="str"/>
      <x:c r="U686" s="2" t="str"/>
      <x:c r="V686" s="2" t="str">
        <x:v>아니오</x:v>
      </x:c>
      <x:c r="W686" s="2" t="str">
        <x:v>예</x:v>
      </x:c>
      <x:c r="X686" s="2" t="str">
        <x:v>ichi1,news2,nf27</x:v>
      </x:c>
      <x:c r="Y686" s="2" t="n">
        <x:v>100</x:v>
      </x:c>
      <x:c r="Z686" s="2" t="str">
        <x:v>ichi1,news2,nf27</x:v>
      </x:c>
      <x:c r="AA686" s="2" t="n">
        <x:v>100</x:v>
      </x:c>
      <x:c r="AB686" s="8" t="str">
        <x:v>dated term</x:v>
      </x:c>
      <x:c r="AC686" s="8" t="str"/>
      <x:c r="AD686" s="8" t="str">
        <x:v>["draft-ko-missing"]</x:v>
      </x:c>
      <x:c r="AE686" s="8" t="str">
        <x:v>검토 필요</x:v>
      </x:c>
      <x:c r="AF686" s="8" t="str"/>
    </x:row>
    <x:row r="687">
      <x:c r="A687" s="10" t="n">
        <x:v>686</x:v>
      </x:c>
      <x:c r="B687" s="2" t="str">
        <x:v>2차 보류</x:v>
      </x:c>
      <x:c r="C687" s="2" t="str">
        <x:v>2차 보류</x:v>
      </x:c>
      <x:c r="D687" s="2" t="str">
        <x:v>낮음</x:v>
      </x:c>
      <x:c r="E687" s="2" t="str">
        <x:v>N3</x:v>
      </x:c>
      <x:c r="F687" s="10" t="n">
        <x:v>82</x:v>
      </x:c>
      <x:c r="G687" s="2" t="str">
        <x:v>w_eed997671fe9f498</x:v>
      </x:c>
      <x:c r="H687" s="2" t="str">
        <x:v>罹る</x:v>
      </x:c>
      <x:c r="I687" s="2" t="str">
        <x:v>かかる</x:v>
      </x:c>
      <x:c r="J687" s="8" t="str">
        <x:v>고통받다 부터</x:v>
      </x:c>
      <x:c r="K687" s="2" t="str">
        <x:v>verb</x:v>
      </x:c>
      <x:c r="L687" s="9" t="n">
        <x:v>2.22</x:v>
      </x:c>
      <x:c r="M687" s="2" t="str">
        <x:v>없음</x:v>
      </x:c>
      <x:c r="N687" s="11" t="n">
        <x:v>6</x:v>
      </x:c>
      <x:c r="O687" s="8" t="str">
        <x:v>일반 사용 빈도 낮음(Zipf ≤ 2.5); 검증된 예문 없음; 기존 데이터의 한국어 콘텐츠 보강 필요 태그</x:v>
      </x:c>
      <x:c r="P687" s="8" t="str">
        <x:v>frequency_le_2_5,no_example,weak_legacy_content</x:v>
      </x:c>
      <x:c r="Q687" s="2" t="str"/>
      <x:c r="R687" s="2" t="str"/>
      <x:c r="S687" s="2" t="str"/>
      <x:c r="T687" s="2" t="str"/>
      <x:c r="U687" s="2" t="str"/>
      <x:c r="V687" s="2" t="str">
        <x:v>아니오</x:v>
      </x:c>
      <x:c r="W687" s="2" t="str">
        <x:v>예</x:v>
      </x:c>
      <x:c r="X687" s="2" t="str">
        <x:v>ichi1</x:v>
      </x:c>
      <x:c r="Y687" s="2" t="n">
        <x:v>100</x:v>
      </x:c>
      <x:c r="Z687" s="2" t="str">
        <x:v>ichi1</x:v>
      </x:c>
      <x:c r="AA687" s="2" t="n">
        <x:v>100</x:v>
      </x:c>
      <x:c r="AB687" s="8" t="str">
        <x:v>word usually written using kana alone</x:v>
      </x:c>
      <x:c r="AC687" s="8" t="str"/>
      <x:c r="AD687" s="8" t="str">
        <x:v>["draft-ko-missing"]</x:v>
      </x:c>
      <x:c r="AE687" s="8" t="str">
        <x:v>검토 필요</x:v>
      </x:c>
      <x:c r="AF687" s="8" t="str"/>
    </x:row>
    <x:row r="688">
      <x:c r="A688" s="10" t="n">
        <x:v>687</x:v>
      </x:c>
      <x:c r="B688" s="2" t="str">
        <x:v>2차 보류</x:v>
      </x:c>
      <x:c r="C688" s="2" t="str">
        <x:v>2차 보류</x:v>
      </x:c>
      <x:c r="D688" s="2" t="str">
        <x:v>낮음</x:v>
      </x:c>
      <x:c r="E688" s="2" t="str">
        <x:v>N2</x:v>
      </x:c>
      <x:c r="F688" s="10" t="n">
        <x:v>251</x:v>
      </x:c>
      <x:c r="G688" s="2" t="str">
        <x:v>w_f63439d78b1f0ae2</x:v>
      </x:c>
      <x:c r="H688" s="2" t="str">
        <x:v>泊める</x:v>
      </x:c>
      <x:c r="I688" s="2" t="str">
        <x:v>とめる</x:v>
      </x:c>
      <x:c r="J688" s="8" t="str">
        <x:v>주다 피난처</x:v>
      </x:c>
      <x:c r="K688" s="2" t="str">
        <x:v>verb</x:v>
      </x:c>
      <x:c r="L688" s="9" t="n">
        <x:v>2.27</x:v>
      </x:c>
      <x:c r="M688" s="2" t="str">
        <x:v>없음</x:v>
      </x:c>
      <x:c r="N688" s="11" t="n">
        <x:v>6</x:v>
      </x:c>
      <x:c r="O688" s="8" t="str">
        <x:v>일반 사용 빈도 낮음(Zipf ≤ 2.5); 검증된 예문 없음; 기존 데이터의 한국어 콘텐츠 보강 필요 태그</x:v>
      </x:c>
      <x:c r="P688" s="8" t="str">
        <x:v>frequency_le_2_5,no_example,weak_legacy_content</x:v>
      </x:c>
      <x:c r="Q688" s="2" t="str"/>
      <x:c r="R688" s="2" t="str"/>
      <x:c r="S688" s="2" t="str"/>
      <x:c r="T688" s="2" t="str"/>
      <x:c r="U688" s="2" t="str"/>
      <x:c r="V688" s="2" t="str">
        <x:v>아니오</x:v>
      </x:c>
      <x:c r="W688" s="2" t="str">
        <x:v>예</x:v>
      </x:c>
      <x:c r="X688" s="2" t="str">
        <x:v>ichi1,news2,nf34</x:v>
      </x:c>
      <x:c r="Y688" s="2" t="n">
        <x:v>100</x:v>
      </x:c>
      <x:c r="Z688" s="2" t="str">
        <x:v>ichi1,news2,nf34</x:v>
      </x:c>
      <x:c r="AA688" s="2" t="n">
        <x:v>100</x:v>
      </x:c>
      <x:c r="AB688" s="8" t="str"/>
      <x:c r="AC688" s="8" t="str"/>
      <x:c r="AD688" s="8" t="str">
        <x:v>["draft-ko-missing"]</x:v>
      </x:c>
      <x:c r="AE688" s="8" t="str">
        <x:v>검토 필요</x:v>
      </x:c>
      <x:c r="AF688" s="8" t="str"/>
    </x:row>
    <x:row r="689">
      <x:c r="A689" s="10" t="n">
        <x:v>688</x:v>
      </x:c>
      <x:c r="B689" s="2" t="str">
        <x:v>2차 보류</x:v>
      </x:c>
      <x:c r="C689" s="2" t="str">
        <x:v>2차 보류</x:v>
      </x:c>
      <x:c r="D689" s="2" t="str">
        <x:v>낮음</x:v>
      </x:c>
      <x:c r="E689" s="2" t="str">
        <x:v>N1</x:v>
      </x:c>
      <x:c r="F689" s="10" t="n">
        <x:v>284</x:v>
      </x:c>
      <x:c r="G689" s="2" t="str">
        <x:v>w_5b502aa2b626af63</x:v>
      </x:c>
      <x:c r="H689" s="2" t="str">
        <x:v>漠然</x:v>
      </x:c>
      <x:c r="I689" s="2" t="str">
        <x:v>ばくぜん</x:v>
      </x:c>
      <x:c r="J689" s="8" t="str">
        <x:v>막연함</x:v>
      </x:c>
      <x:c r="K689" s="2" t="str">
        <x:v>adjective</x:v>
      </x:c>
      <x:c r="L689" s="9" t="n">
        <x:v>2.29</x:v>
      </x:c>
      <x:c r="M689" s="2" t="str">
        <x:v>없음</x:v>
      </x:c>
      <x:c r="N689" s="11" t="n">
        <x:v>6</x:v>
      </x:c>
      <x:c r="O689" s="8" t="str">
        <x:v>일반 사용 빈도 낮음(Zipf ≤ 2.5); 검증된 예문 없음; 기존 데이터의 한국어 콘텐츠 보강 필요 태그</x:v>
      </x:c>
      <x:c r="P689" s="8" t="str">
        <x:v>frequency_le_2_5,no_example,weak_legacy_content</x:v>
      </x:c>
      <x:c r="Q689" s="2" t="str"/>
      <x:c r="R689" s="2" t="str"/>
      <x:c r="S689" s="2" t="str"/>
      <x:c r="T689" s="2" t="str"/>
      <x:c r="U689" s="2" t="str"/>
      <x:c r="V689" s="2" t="str">
        <x:v>아니오</x:v>
      </x:c>
      <x:c r="W689" s="2" t="str">
        <x:v>예</x:v>
      </x:c>
      <x:c r="X689" s="2" t="str">
        <x:v>ichi1,news1,nf22</x:v>
      </x:c>
      <x:c r="Y689" s="2" t="n">
        <x:v>100</x:v>
      </x:c>
      <x:c r="Z689" s="2" t="str">
        <x:v>ichi1,news1,nf22</x:v>
      </x:c>
      <x:c r="AA689" s="2" t="n">
        <x:v>100</x:v>
      </x:c>
      <x:c r="AB689" s="8" t="str"/>
      <x:c r="AC689" s="8" t="str"/>
      <x:c r="AD689" s="8" t="str">
        <x:v>["draft-ko-missing"]</x:v>
      </x:c>
      <x:c r="AE689" s="8" t="str">
        <x:v>검토 필요</x:v>
      </x:c>
      <x:c r="AF689" s="8" t="str"/>
    </x:row>
    <x:row r="690">
      <x:c r="A690" s="10" t="n">
        <x:v>689</x:v>
      </x:c>
      <x:c r="B690" s="2" t="str">
        <x:v>2차 보류</x:v>
      </x:c>
      <x:c r="C690" s="2" t="str">
        <x:v>2차 보류</x:v>
      </x:c>
      <x:c r="D690" s="2" t="str">
        <x:v>낮음</x:v>
      </x:c>
      <x:c r="E690" s="2" t="str">
        <x:v>N2</x:v>
      </x:c>
      <x:c r="F690" s="10" t="n">
        <x:v>252</x:v>
      </x:c>
      <x:c r="G690" s="2" t="str">
        <x:v>w_66944f4ee62ddf57</x:v>
      </x:c>
      <x:c r="H690" s="2" t="str">
        <x:v>船便</x:v>
      </x:c>
      <x:c r="I690" s="2" t="str">
        <x:v>ふなびん</x:v>
      </x:c>
      <x:c r="J690" s="8" t="str">
        <x:v>선편(배편)</x:v>
      </x:c>
      <x:c r="K690" s="2" t="str">
        <x:v>noun</x:v>
      </x:c>
      <x:c r="L690" s="9" t="n">
        <x:v>2.3</x:v>
      </x:c>
      <x:c r="M690" s="2" t="str">
        <x:v>없음</x:v>
      </x:c>
      <x:c r="N690" s="11" t="n">
        <x:v>6</x:v>
      </x:c>
      <x:c r="O690" s="8" t="str">
        <x:v>일반 사용 빈도 낮음(Zipf ≤ 2.5); 검증된 예문 없음; 기존 데이터의 한국어 콘텐츠 보강 필요 태그</x:v>
      </x:c>
      <x:c r="P690" s="8" t="str">
        <x:v>frequency_le_2_5,no_example,weak_legacy_content</x:v>
      </x:c>
      <x:c r="Q690" s="2" t="str"/>
      <x:c r="R690" s="2" t="str"/>
      <x:c r="S690" s="2" t="str"/>
      <x:c r="T690" s="2" t="str"/>
      <x:c r="U690" s="2" t="str"/>
      <x:c r="V690" s="2" t="str">
        <x:v>아니오</x:v>
      </x:c>
      <x:c r="W690" s="2" t="str">
        <x:v>예</x:v>
      </x:c>
      <x:c r="X690" s="2" t="str">
        <x:v>ichi1,news2,nf35</x:v>
      </x:c>
      <x:c r="Y690" s="2" t="n">
        <x:v>100</x:v>
      </x:c>
      <x:c r="Z690" s="2" t="str">
        <x:v>ichi1,news2,nf35</x:v>
      </x:c>
      <x:c r="AA690" s="2" t="n">
        <x:v>100</x:v>
      </x:c>
      <x:c r="AB690" s="8" t="str"/>
      <x:c r="AC690" s="8" t="str"/>
      <x:c r="AD690" s="8" t="str">
        <x:v>["draft-ko-missing"]</x:v>
      </x:c>
      <x:c r="AE690" s="8" t="str">
        <x:v>검토 필요</x:v>
      </x:c>
      <x:c r="AF690" s="8" t="str"/>
    </x:row>
    <x:row r="691">
      <x:c r="A691" s="10" t="n">
        <x:v>690</x:v>
      </x:c>
      <x:c r="B691" s="2" t="str">
        <x:v>2차 보류</x:v>
      </x:c>
      <x:c r="C691" s="2" t="str">
        <x:v>2차 보류</x:v>
      </x:c>
      <x:c r="D691" s="2" t="str">
        <x:v>낮음</x:v>
      </x:c>
      <x:c r="E691" s="2" t="str">
        <x:v>N1</x:v>
      </x:c>
      <x:c r="F691" s="10" t="n">
        <x:v>285</x:v>
      </x:c>
      <x:c r="G691" s="2" t="str">
        <x:v>w_bbbc247120caa97a</x:v>
      </x:c>
      <x:c r="H691" s="2" t="str">
        <x:v>老ける</x:v>
      </x:c>
      <x:c r="I691" s="2" t="str">
        <x:v>ふける</x:v>
      </x:c>
      <x:c r="J691" s="8" t="str">
        <x:v>(나이 들어) 늙다</x:v>
      </x:c>
      <x:c r="K691" s="2" t="str">
        <x:v>verb</x:v>
      </x:c>
      <x:c r="L691" s="9" t="n">
        <x:v>2.32</x:v>
      </x:c>
      <x:c r="M691" s="2" t="str">
        <x:v>없음</x:v>
      </x:c>
      <x:c r="N691" s="11" t="n">
        <x:v>6</x:v>
      </x:c>
      <x:c r="O691" s="8" t="str">
        <x:v>일반 사용 빈도 낮음(Zipf ≤ 2.5); 검증된 예문 없음; 기존 데이터의 한국어 콘텐츠 보강 필요 태그</x:v>
      </x:c>
      <x:c r="P691" s="8" t="str">
        <x:v>frequency_le_2_5,no_example,weak_legacy_content</x:v>
      </x:c>
      <x:c r="Q691" s="2" t="str"/>
      <x:c r="R691" s="2" t="str"/>
      <x:c r="S691" s="2" t="str"/>
      <x:c r="T691" s="2" t="str"/>
      <x:c r="U691" s="2" t="str"/>
      <x:c r="V691" s="2" t="str">
        <x:v>아니오</x:v>
      </x:c>
      <x:c r="W691" s="2" t="str">
        <x:v>예</x:v>
      </x:c>
      <x:c r="X691" s="2" t="str">
        <x:v>ichi1</x:v>
      </x:c>
      <x:c r="Y691" s="2" t="n">
        <x:v>100</x:v>
      </x:c>
      <x:c r="Z691" s="2" t="str">
        <x:v>ichi1</x:v>
      </x:c>
      <x:c r="AA691" s="2" t="n">
        <x:v>100</x:v>
      </x:c>
      <x:c r="AB691" s="8" t="str"/>
      <x:c r="AC691" s="8" t="str"/>
      <x:c r="AD691" s="8" t="str">
        <x:v>["draft-ko-missing"]</x:v>
      </x:c>
      <x:c r="AE691" s="8" t="str">
        <x:v>검토 필요</x:v>
      </x:c>
      <x:c r="AF691" s="8" t="str"/>
    </x:row>
    <x:row r="692">
      <x:c r="A692" s="10" t="n">
        <x:v>691</x:v>
      </x:c>
      <x:c r="B692" s="2" t="str">
        <x:v>2차 보류</x:v>
      </x:c>
      <x:c r="C692" s="2" t="str">
        <x:v>2차 보류</x:v>
      </x:c>
      <x:c r="D692" s="2" t="str">
        <x:v>낮음</x:v>
      </x:c>
      <x:c r="E692" s="2" t="str">
        <x:v>N2</x:v>
      </x:c>
      <x:c r="F692" s="10" t="n">
        <x:v>253</x:v>
      </x:c>
      <x:c r="G692" s="2" t="str">
        <x:v>w_b41d794c45339454</x:v>
      </x:c>
      <x:c r="H692" s="2" t="str">
        <x:v>茂る</x:v>
      </x:c>
      <x:c r="I692" s="2" t="str">
        <x:v>しげる</x:v>
      </x:c>
      <x:c r="J692" s="8" t="str">
        <x:v>우거지다, 무성하다</x:v>
      </x:c>
      <x:c r="K692" s="2" t="str">
        <x:v>verb</x:v>
      </x:c>
      <x:c r="L692" s="9" t="n">
        <x:v>2.33</x:v>
      </x:c>
      <x:c r="M692" s="2" t="str">
        <x:v>없음</x:v>
      </x:c>
      <x:c r="N692" s="11" t="n">
        <x:v>6</x:v>
      </x:c>
      <x:c r="O692" s="8" t="str">
        <x:v>일반 사용 빈도 낮음(Zipf ≤ 2.5); 검증된 예문 없음; 기존 데이터의 한국어 콘텐츠 보강 필요 태그</x:v>
      </x:c>
      <x:c r="P692" s="8" t="str">
        <x:v>frequency_le_2_5,no_example,weak_legacy_content</x:v>
      </x:c>
      <x:c r="Q692" s="2" t="str"/>
      <x:c r="R692" s="2" t="str"/>
      <x:c r="S692" s="2" t="str"/>
      <x:c r="T692" s="2" t="str"/>
      <x:c r="U692" s="2" t="str"/>
      <x:c r="V692" s="2" t="str">
        <x:v>아니오</x:v>
      </x:c>
      <x:c r="W692" s="2" t="str">
        <x:v>예</x:v>
      </x:c>
      <x:c r="X692" s="2" t="str">
        <x:v>ichi1,news2,nf41</x:v>
      </x:c>
      <x:c r="Y692" s="2" t="n">
        <x:v>100</x:v>
      </x:c>
      <x:c r="Z692" s="2" t="str">
        <x:v>ichi1,news2,nf41</x:v>
      </x:c>
      <x:c r="AA692" s="2" t="n">
        <x:v>100</x:v>
      </x:c>
      <x:c r="AB692" s="8" t="str"/>
      <x:c r="AC692" s="8" t="str"/>
      <x:c r="AD692" s="8" t="str">
        <x:v>["draft-ko-missing"]</x:v>
      </x:c>
      <x:c r="AE692" s="8" t="str">
        <x:v>검토 필요</x:v>
      </x:c>
      <x:c r="AF692" s="8" t="str"/>
    </x:row>
    <x:row r="693">
      <x:c r="A693" s="10" t="n">
        <x:v>692</x:v>
      </x:c>
      <x:c r="B693" s="2" t="str">
        <x:v>2차 보류</x:v>
      </x:c>
      <x:c r="C693" s="2" t="str">
        <x:v>2차 보류</x:v>
      </x:c>
      <x:c r="D693" s="2" t="str">
        <x:v>낮음</x:v>
      </x:c>
      <x:c r="E693" s="2" t="str">
        <x:v>N1</x:v>
      </x:c>
      <x:c r="F693" s="10" t="n">
        <x:v>286</x:v>
      </x:c>
      <x:c r="G693" s="2" t="str">
        <x:v>w_290e3a03e5694e68</x:v>
      </x:c>
      <x:c r="H693" s="2" t="str">
        <x:v>目盛</x:v>
      </x:c>
      <x:c r="I693" s="2" t="str">
        <x:v>めもり</x:v>
      </x:c>
      <x:c r="J693" s="8" t="str">
        <x:v>눈금</x:v>
      </x:c>
      <x:c r="K693" s="2" t="str">
        <x:v>noun</x:v>
      </x:c>
      <x:c r="L693" s="9" t="n">
        <x:v>2.37</x:v>
      </x:c>
      <x:c r="M693" s="2" t="str">
        <x:v>없음</x:v>
      </x:c>
      <x:c r="N693" s="11" t="n">
        <x:v>6</x:v>
      </x:c>
      <x:c r="O693" s="8" t="str">
        <x:v>일반 사용 빈도 낮음(Zipf ≤ 2.5); 검증된 예문 없음; 기존 데이터의 한국어 콘텐츠 보강 필요 태그</x:v>
      </x:c>
      <x:c r="P693" s="8" t="str">
        <x:v>frequency_le_2_5,no_example,weak_legacy_content</x:v>
      </x:c>
      <x:c r="Q693" s="2" t="str"/>
      <x:c r="R693" s="2" t="str"/>
      <x:c r="S693" s="2" t="str"/>
      <x:c r="T693" s="2" t="str"/>
      <x:c r="U693" s="2" t="str"/>
      <x:c r="V693" s="2" t="str">
        <x:v>아니오</x:v>
      </x:c>
      <x:c r="W693" s="2" t="str">
        <x:v>예</x:v>
      </x:c>
      <x:c r="X693" s="2" t="str">
        <x:v>ichi1,news2,nf34</x:v>
      </x:c>
      <x:c r="Y693" s="2" t="n">
        <x:v>100</x:v>
      </x:c>
      <x:c r="Z693" s="2" t="str"/>
      <x:c r="AA693" s="2" t="n">
        <x:v>0</x:v>
      </x:c>
      <x:c r="AB693" s="8" t="str"/>
      <x:c r="AC693" s="8" t="str"/>
      <x:c r="AD693" s="8" t="str">
        <x:v>["draft-ko-missing"]</x:v>
      </x:c>
      <x:c r="AE693" s="8" t="str">
        <x:v>검토 필요</x:v>
      </x:c>
      <x:c r="AF693" s="8" t="str"/>
    </x:row>
    <x:row r="694">
      <x:c r="A694" s="10" t="n">
        <x:v>693</x:v>
      </x:c>
      <x:c r="B694" s="2" t="str">
        <x:v>2차 보류</x:v>
      </x:c>
      <x:c r="C694" s="2" t="str">
        <x:v>2차 보류</x:v>
      </x:c>
      <x:c r="D694" s="2" t="str">
        <x:v>낮음</x:v>
      </x:c>
      <x:c r="E694" s="2" t="str">
        <x:v>N1</x:v>
      </x:c>
      <x:c r="F694" s="10" t="n">
        <x:v>287</x:v>
      </x:c>
      <x:c r="G694" s="2" t="str">
        <x:v>w_baf580c85a745303</x:v>
      </x:c>
      <x:c r="H694" s="2" t="str">
        <x:v>帰京</x:v>
      </x:c>
      <x:c r="I694" s="2" t="str">
        <x:v>ききょう</x:v>
      </x:c>
      <x:c r="J694" s="8" t="str">
        <x:v>귀환, 반환 도쿄</x:v>
      </x:c>
      <x:c r="K694" s="2" t="str">
        <x:v>noun</x:v>
      </x:c>
      <x:c r="L694" s="9" t="n">
        <x:v>2.37</x:v>
      </x:c>
      <x:c r="M694" s="2" t="str">
        <x:v>없음</x:v>
      </x:c>
      <x:c r="N694" s="11" t="n">
        <x:v>6</x:v>
      </x:c>
      <x:c r="O694" s="8" t="str">
        <x:v>일반 사용 빈도 낮음(Zipf ≤ 2.5); 검증된 예문 없음; 기존 데이터의 한국어 콘텐츠 보강 필요 태그</x:v>
      </x:c>
      <x:c r="P694" s="8" t="str">
        <x:v>frequency_le_2_5,no_example,weak_legacy_content</x:v>
      </x:c>
      <x:c r="Q694" s="2" t="str"/>
      <x:c r="R694" s="2" t="str"/>
      <x:c r="S694" s="2" t="str"/>
      <x:c r="T694" s="2" t="str"/>
      <x:c r="U694" s="2" t="str"/>
      <x:c r="V694" s="2" t="str">
        <x:v>아니오</x:v>
      </x:c>
      <x:c r="W694" s="2" t="str">
        <x:v>예</x:v>
      </x:c>
      <x:c r="X694" s="2" t="str">
        <x:v>ichi1,news2,nf25</x:v>
      </x:c>
      <x:c r="Y694" s="2" t="n">
        <x:v>100</x:v>
      </x:c>
      <x:c r="Z694" s="2" t="str">
        <x:v>ichi1,news2,nf25</x:v>
      </x:c>
      <x:c r="AA694" s="2" t="n">
        <x:v>100</x:v>
      </x:c>
      <x:c r="AB694" s="8" t="str"/>
      <x:c r="AC694" s="8" t="str"/>
      <x:c r="AD694" s="8" t="str">
        <x:v>["draft-ko-missing"]</x:v>
      </x:c>
      <x:c r="AE694" s="8" t="str">
        <x:v>검토 필요</x:v>
      </x:c>
      <x:c r="AF694" s="8" t="str"/>
    </x:row>
    <x:row r="695">
      <x:c r="A695" s="10" t="n">
        <x:v>694</x:v>
      </x:c>
      <x:c r="B695" s="2" t="str">
        <x:v>2차 보류</x:v>
      </x:c>
      <x:c r="C695" s="2" t="str">
        <x:v>2차 보류</x:v>
      </x:c>
      <x:c r="D695" s="2" t="str">
        <x:v>낮음</x:v>
      </x:c>
      <x:c r="E695" s="2" t="str">
        <x:v>N2</x:v>
      </x:c>
      <x:c r="F695" s="10" t="n">
        <x:v>254</x:v>
      </x:c>
      <x:c r="G695" s="2" t="str">
        <x:v>w_2647ebc555c9e05a</x:v>
      </x:c>
      <x:c r="H695" s="2" t="str">
        <x:v>手拭い</x:v>
      </x:c>
      <x:c r="I695" s="2" t="str">
        <x:v>てぬぐい</x:v>
      </x:c>
      <x:c r="J695" s="8" t="str">
        <x:v>수건(손)</x:v>
      </x:c>
      <x:c r="K695" s="2" t="str">
        <x:v>noun</x:v>
      </x:c>
      <x:c r="L695" s="9" t="n">
        <x:v>2.38</x:v>
      </x:c>
      <x:c r="M695" s="2" t="str">
        <x:v>없음</x:v>
      </x:c>
      <x:c r="N695" s="11" t="n">
        <x:v>6</x:v>
      </x:c>
      <x:c r="O695" s="8" t="str">
        <x:v>일반 사용 빈도 낮음(Zipf ≤ 2.5); 검증된 예문 없음; 기존 데이터의 한국어 콘텐츠 보강 필요 태그</x:v>
      </x:c>
      <x:c r="P695" s="8" t="str">
        <x:v>frequency_le_2_5,no_example,weak_legacy_content</x:v>
      </x:c>
      <x:c r="Q695" s="2" t="str"/>
      <x:c r="R695" s="2" t="str"/>
      <x:c r="S695" s="2" t="str"/>
      <x:c r="T695" s="2" t="str"/>
      <x:c r="U695" s="2" t="str"/>
      <x:c r="V695" s="2" t="str">
        <x:v>아니오</x:v>
      </x:c>
      <x:c r="W695" s="2" t="str">
        <x:v>예</x:v>
      </x:c>
      <x:c r="X695" s="2" t="str">
        <x:v>ichi1,news2,nf34,spec1</x:v>
      </x:c>
      <x:c r="Y695" s="2" t="n">
        <x:v>100</x:v>
      </x:c>
      <x:c r="Z695" s="2" t="str">
        <x:v>ichi1</x:v>
      </x:c>
      <x:c r="AA695" s="2" t="n">
        <x:v>100</x:v>
      </x:c>
      <x:c r="AB695" s="8" t="str"/>
      <x:c r="AC695" s="8" t="str"/>
      <x:c r="AD695" s="8" t="str">
        <x:v>["draft-ko-missing"]</x:v>
      </x:c>
      <x:c r="AE695" s="8" t="str">
        <x:v>검토 필요</x:v>
      </x:c>
      <x:c r="AF695" s="8" t="str"/>
    </x:row>
    <x:row r="696">
      <x:c r="A696" s="10" t="n">
        <x:v>695</x:v>
      </x:c>
      <x:c r="B696" s="2" t="str">
        <x:v>2차 보류</x:v>
      </x:c>
      <x:c r="C696" s="2" t="str">
        <x:v>2차 보류</x:v>
      </x:c>
      <x:c r="D696" s="2" t="str">
        <x:v>낮음</x:v>
      </x:c>
      <x:c r="E696" s="2" t="str">
        <x:v>N2</x:v>
      </x:c>
      <x:c r="F696" s="10" t="n">
        <x:v>255</x:v>
      </x:c>
      <x:c r="G696" s="2" t="str">
        <x:v>w_5031ba90364d3c9e</x:v>
      </x:c>
      <x:c r="H696" s="2" t="str">
        <x:v>膨らます</x:v>
      </x:c>
      <x:c r="I696" s="2" t="str">
        <x:v>ふくらます</x:v>
      </x:c>
      <x:c r="J696" s="8" t="str">
        <x:v>붓다, 부풀다, 확장하다</x:v>
      </x:c>
      <x:c r="K696" s="2" t="str">
        <x:v>verb</x:v>
      </x:c>
      <x:c r="L696" s="9" t="n">
        <x:v>2.38</x:v>
      </x:c>
      <x:c r="M696" s="2" t="str">
        <x:v>없음</x:v>
      </x:c>
      <x:c r="N696" s="11" t="n">
        <x:v>6</x:v>
      </x:c>
      <x:c r="O696" s="8" t="str">
        <x:v>일반 사용 빈도 낮음(Zipf ≤ 2.5); 검증된 예문 없음; 기존 데이터의 한국어 콘텐츠 보강 필요 태그</x:v>
      </x:c>
      <x:c r="P696" s="8" t="str">
        <x:v>frequency_le_2_5,no_example,weak_legacy_content</x:v>
      </x:c>
      <x:c r="Q696" s="2" t="str"/>
      <x:c r="R696" s="2" t="str"/>
      <x:c r="S696" s="2" t="str"/>
      <x:c r="T696" s="2" t="str"/>
      <x:c r="U696" s="2" t="str"/>
      <x:c r="V696" s="2" t="str">
        <x:v>아니오</x:v>
      </x:c>
      <x:c r="W696" s="2" t="str">
        <x:v>예</x:v>
      </x:c>
      <x:c r="X696" s="2" t="str">
        <x:v>news1,nf18</x:v>
      </x:c>
      <x:c r="Y696" s="2" t="n">
        <x:v>100</x:v>
      </x:c>
      <x:c r="Z696" s="2" t="str">
        <x:v>news1,nf18</x:v>
      </x:c>
      <x:c r="AA696" s="2" t="n">
        <x:v>100</x:v>
      </x:c>
      <x:c r="AB696" s="8" t="str"/>
      <x:c r="AC696" s="8" t="str"/>
      <x:c r="AD696" s="8" t="str">
        <x:v>["draft-ko-missing"]</x:v>
      </x:c>
      <x:c r="AE696" s="8" t="str">
        <x:v>검토 필요</x:v>
      </x:c>
      <x:c r="AF696" s="8" t="str"/>
    </x:row>
    <x:row r="697">
      <x:c r="A697" s="10" t="n">
        <x:v>696</x:v>
      </x:c>
      <x:c r="B697" s="2" t="str">
        <x:v>2차 보류</x:v>
      </x:c>
      <x:c r="C697" s="2" t="str">
        <x:v>2차 보류</x:v>
      </x:c>
      <x:c r="D697" s="2" t="str">
        <x:v>낮음</x:v>
      </x:c>
      <x:c r="E697" s="2" t="str">
        <x:v>N2</x:v>
      </x:c>
      <x:c r="F697" s="10" t="n">
        <x:v>256</x:v>
      </x:c>
      <x:c r="G697" s="2" t="str">
        <x:v>w_e06c9c0e0ad90930</x:v>
      </x:c>
      <x:c r="H697" s="2" t="str">
        <x:v>薄める</x:v>
      </x:c>
      <x:c r="I697" s="2" t="str">
        <x:v>うすめる</x:v>
      </x:c>
      <x:c r="J697" s="8" t="str">
        <x:v>희석하다, 묽게 하다</x:v>
      </x:c>
      <x:c r="K697" s="2" t="str">
        <x:v>verb</x:v>
      </x:c>
      <x:c r="L697" s="9" t="n">
        <x:v>2.4</x:v>
      </x:c>
      <x:c r="M697" s="2" t="str">
        <x:v>없음</x:v>
      </x:c>
      <x:c r="N697" s="11" t="n">
        <x:v>6</x:v>
      </x:c>
      <x:c r="O697" s="8" t="str">
        <x:v>일반 사용 빈도 낮음(Zipf ≤ 2.5); 검증된 예문 없음; 기존 데이터의 한국어 콘텐츠 보강 필요 태그</x:v>
      </x:c>
      <x:c r="P697" s="8" t="str">
        <x:v>frequency_le_2_5,no_example,weak_legacy_content</x:v>
      </x:c>
      <x:c r="Q697" s="2" t="str"/>
      <x:c r="R697" s="2" t="str"/>
      <x:c r="S697" s="2" t="str"/>
      <x:c r="T697" s="2" t="str"/>
      <x:c r="U697" s="2" t="str"/>
      <x:c r="V697" s="2" t="str">
        <x:v>아니오</x:v>
      </x:c>
      <x:c r="W697" s="2" t="str">
        <x:v>예</x:v>
      </x:c>
      <x:c r="X697" s="2" t="str">
        <x:v>ichi1,news2,nf34</x:v>
      </x:c>
      <x:c r="Y697" s="2" t="n">
        <x:v>100</x:v>
      </x:c>
      <x:c r="Z697" s="2" t="str">
        <x:v>ichi1,news2,nf34</x:v>
      </x:c>
      <x:c r="AA697" s="2" t="n">
        <x:v>100</x:v>
      </x:c>
      <x:c r="AB697" s="8" t="str"/>
      <x:c r="AC697" s="8" t="str"/>
      <x:c r="AD697" s="8" t="str">
        <x:v>["draft-ko-missing"]</x:v>
      </x:c>
      <x:c r="AE697" s="8" t="str">
        <x:v>검토 필요</x:v>
      </x:c>
      <x:c r="AF697" s="8" t="str"/>
    </x:row>
    <x:row r="698">
      <x:c r="A698" s="10" t="n">
        <x:v>697</x:v>
      </x:c>
      <x:c r="B698" s="2" t="str">
        <x:v>2차 보류</x:v>
      </x:c>
      <x:c r="C698" s="2" t="str">
        <x:v>2차 보류</x:v>
      </x:c>
      <x:c r="D698" s="2" t="str">
        <x:v>낮음</x:v>
      </x:c>
      <x:c r="E698" s="2" t="str">
        <x:v>N1</x:v>
      </x:c>
      <x:c r="F698" s="10" t="n">
        <x:v>288</x:v>
      </x:c>
      <x:c r="G698" s="2" t="str">
        <x:v>w_b74f05ea996a7059</x:v>
      </x:c>
      <x:c r="H698" s="2" t="str">
        <x:v>準じる</x:v>
      </x:c>
      <x:c r="I698" s="2" t="str">
        <x:v>じゅんじる</x:v>
      </x:c>
      <x:c r="J698" s="8" t="str">
        <x:v>준하다, 따르다</x:v>
      </x:c>
      <x:c r="K698" s="2" t="str">
        <x:v>verb</x:v>
      </x:c>
      <x:c r="L698" s="9" t="n">
        <x:v>2.4</x:v>
      </x:c>
      <x:c r="M698" s="2" t="str">
        <x:v>없음</x:v>
      </x:c>
      <x:c r="N698" s="11" t="n">
        <x:v>6</x:v>
      </x:c>
      <x:c r="O698" s="8" t="str">
        <x:v>일반 사용 빈도 낮음(Zipf ≤ 2.5); 검증된 예문 없음; 기존 데이터의 한국어 콘텐츠 보강 필요 태그</x:v>
      </x:c>
      <x:c r="P698" s="8" t="str">
        <x:v>frequency_le_2_5,no_example,weak_legacy_content</x:v>
      </x:c>
      <x:c r="Q698" s="2" t="str"/>
      <x:c r="R698" s="2" t="str"/>
      <x:c r="S698" s="2" t="str"/>
      <x:c r="T698" s="2" t="str"/>
      <x:c r="U698" s="2" t="str"/>
      <x:c r="V698" s="2" t="str">
        <x:v>아니오</x:v>
      </x:c>
      <x:c r="W698" s="2" t="str">
        <x:v>예</x:v>
      </x:c>
      <x:c r="X698" s="2" t="str">
        <x:v>news1,nf20</x:v>
      </x:c>
      <x:c r="Y698" s="2" t="n">
        <x:v>100</x:v>
      </x:c>
      <x:c r="Z698" s="2" t="str">
        <x:v>news1,nf20</x:v>
      </x:c>
      <x:c r="AA698" s="2" t="n">
        <x:v>100</x:v>
      </x:c>
      <x:c r="AB698" s="8" t="str"/>
      <x:c r="AC698" s="8" t="str"/>
      <x:c r="AD698" s="8" t="str">
        <x:v>["draft-ko-missing"]</x:v>
      </x:c>
      <x:c r="AE698" s="8" t="str">
        <x:v>검토 필요</x:v>
      </x:c>
      <x:c r="AF698" s="8" t="str"/>
    </x:row>
    <x:row r="699">
      <x:c r="A699" s="10" t="n">
        <x:v>698</x:v>
      </x:c>
      <x:c r="B699" s="2" t="str">
        <x:v>2차 보류</x:v>
      </x:c>
      <x:c r="C699" s="2" t="str">
        <x:v>2차 보류</x:v>
      </x:c>
      <x:c r="D699" s="2" t="str">
        <x:v>낮음</x:v>
      </x:c>
      <x:c r="E699" s="2" t="str">
        <x:v>N3</x:v>
      </x:c>
      <x:c r="F699" s="10" t="n">
        <x:v>83</x:v>
      </x:c>
      <x:c r="G699" s="2" t="str">
        <x:v>w_bf8d4c2e6d0d64f9</x:v>
      </x:c>
      <x:c r="H699" s="2" t="str">
        <x:v>冷ます</x:v>
      </x:c>
      <x:c r="I699" s="2" t="str">
        <x:v>さます</x:v>
      </x:c>
      <x:c r="J699" s="8" t="str">
        <x:v>식히다, 식다</x:v>
      </x:c>
      <x:c r="K699" s="2" t="str">
        <x:v>verb</x:v>
      </x:c>
      <x:c r="L699" s="9" t="n">
        <x:v>2.41</x:v>
      </x:c>
      <x:c r="M699" s="2" t="str">
        <x:v>없음</x:v>
      </x:c>
      <x:c r="N699" s="11" t="n">
        <x:v>6</x:v>
      </x:c>
      <x:c r="O699" s="8" t="str">
        <x:v>일반 사용 빈도 낮음(Zipf ≤ 2.5); 검증된 예문 없음; 기존 데이터의 한국어 콘텐츠 보강 필요 태그</x:v>
      </x:c>
      <x:c r="P699" s="8" t="str">
        <x:v>frequency_le_2_5,no_example,weak_legacy_content</x:v>
      </x:c>
      <x:c r="Q699" s="2" t="str"/>
      <x:c r="R699" s="2" t="str"/>
      <x:c r="S699" s="2" t="str"/>
      <x:c r="T699" s="2" t="str"/>
      <x:c r="U699" s="2" t="str"/>
      <x:c r="V699" s="2" t="str">
        <x:v>아니오</x:v>
      </x:c>
      <x:c r="W699" s="2" t="str">
        <x:v>예</x:v>
      </x:c>
      <x:c r="X699" s="2" t="str">
        <x:v>ichi1</x:v>
      </x:c>
      <x:c r="Y699" s="2" t="n">
        <x:v>100</x:v>
      </x:c>
      <x:c r="Z699" s="2" t="str">
        <x:v>ichi1</x:v>
      </x:c>
      <x:c r="AA699" s="2" t="n">
        <x:v>100</x:v>
      </x:c>
      <x:c r="AB699" s="8" t="str"/>
      <x:c r="AC699" s="8" t="str"/>
      <x:c r="AD699" s="8" t="str">
        <x:v>["draft-ko-missing"]</x:v>
      </x:c>
      <x:c r="AE699" s="8" t="str">
        <x:v>검토 필요</x:v>
      </x:c>
      <x:c r="AF699" s="8" t="str"/>
    </x:row>
    <x:row r="700">
      <x:c r="A700" s="10" t="n">
        <x:v>699</x:v>
      </x:c>
      <x:c r="B700" s="2" t="str">
        <x:v>2차 보류</x:v>
      </x:c>
      <x:c r="C700" s="2" t="str">
        <x:v>2차 보류</x:v>
      </x:c>
      <x:c r="D700" s="2" t="str">
        <x:v>낮음</x:v>
      </x:c>
      <x:c r="E700" s="2" t="str">
        <x:v>N2</x:v>
      </x:c>
      <x:c r="F700" s="10" t="n">
        <x:v>257</x:v>
      </x:c>
      <x:c r="G700" s="2" t="str">
        <x:v>w_55a2bff59971f4fb</x:v>
      </x:c>
      <x:c r="H700" s="2" t="str">
        <x:v>漢和</x:v>
      </x:c>
      <x:c r="I700" s="2" t="str">
        <x:v>かんわ</x:v>
      </x:c>
      <x:c r="J700" s="8" t="str">
        <x:v>한일(한자-일본어)</x:v>
      </x:c>
      <x:c r="K700" s="2" t="str">
        <x:v>noun</x:v>
      </x:c>
      <x:c r="L700" s="9" t="n">
        <x:v>2.41</x:v>
      </x:c>
      <x:c r="M700" s="2" t="str">
        <x:v>없음</x:v>
      </x:c>
      <x:c r="N700" s="11" t="n">
        <x:v>6</x:v>
      </x:c>
      <x:c r="O700" s="8" t="str">
        <x:v>일반 사용 빈도 낮음(Zipf ≤ 2.5); 검증된 예문 없음; 기존 데이터의 한국어 콘텐츠 보강 필요 태그</x:v>
      </x:c>
      <x:c r="P700" s="8" t="str">
        <x:v>frequency_le_2_5,no_example,weak_legacy_content</x:v>
      </x:c>
      <x:c r="Q700" s="2" t="str"/>
      <x:c r="R700" s="2" t="str"/>
      <x:c r="S700" s="2" t="str"/>
      <x:c r="T700" s="2" t="str"/>
      <x:c r="U700" s="2" t="str"/>
      <x:c r="V700" s="2" t="str">
        <x:v>아니오</x:v>
      </x:c>
      <x:c r="W700" s="2" t="str">
        <x:v>예</x:v>
      </x:c>
      <x:c r="X700" s="2" t="str">
        <x:v>ichi1</x:v>
      </x:c>
      <x:c r="Y700" s="2" t="n">
        <x:v>100</x:v>
      </x:c>
      <x:c r="Z700" s="2" t="str">
        <x:v>ichi1</x:v>
      </x:c>
      <x:c r="AA700" s="2" t="n">
        <x:v>100</x:v>
      </x:c>
      <x:c r="AB700" s="8" t="str">
        <x:v>abbreviation</x:v>
      </x:c>
      <x:c r="AC700" s="8" t="str"/>
      <x:c r="AD700" s="8" t="str">
        <x:v>["draft-ko-missing"]</x:v>
      </x:c>
      <x:c r="AE700" s="8" t="str">
        <x:v>검토 필요</x:v>
      </x:c>
      <x:c r="AF700" s="8" t="str"/>
    </x:row>
    <x:row r="701">
      <x:c r="A701" s="10" t="n">
        <x:v>700</x:v>
      </x:c>
      <x:c r="B701" s="2" t="str">
        <x:v>2차 보류</x:v>
      </x:c>
      <x:c r="C701" s="2" t="str">
        <x:v>2차 보류</x:v>
      </x:c>
      <x:c r="D701" s="2" t="str">
        <x:v>낮음</x:v>
      </x:c>
      <x:c r="E701" s="2" t="str">
        <x:v>N2</x:v>
      </x:c>
      <x:c r="F701" s="10" t="n">
        <x:v>258</x:v>
      </x:c>
      <x:c r="G701" s="2" t="str">
        <x:v>w_7b660d3b6eb8cff8</x:v>
      </x:c>
      <x:c r="H701" s="2" t="str">
        <x:v>牧畜</x:v>
      </x:c>
      <x:c r="I701" s="2" t="str">
        <x:v>ぼくちく</x:v>
      </x:c>
      <x:c r="J701" s="8" t="str">
        <x:v>목축</x:v>
      </x:c>
      <x:c r="K701" s="2" t="str">
        <x:v>noun</x:v>
      </x:c>
      <x:c r="L701" s="9" t="n">
        <x:v>2.42</x:v>
      </x:c>
      <x:c r="M701" s="2" t="str">
        <x:v>없음</x:v>
      </x:c>
      <x:c r="N701" s="11" t="n">
        <x:v>6</x:v>
      </x:c>
      <x:c r="O701" s="8" t="str">
        <x:v>일반 사용 빈도 낮음(Zipf ≤ 2.5); 검증된 예문 없음; 기존 데이터의 한국어 콘텐츠 보강 필요 태그</x:v>
      </x:c>
      <x:c r="P701" s="8" t="str">
        <x:v>frequency_le_2_5,no_example,weak_legacy_content</x:v>
      </x:c>
      <x:c r="Q701" s="2" t="str"/>
      <x:c r="R701" s="2" t="str"/>
      <x:c r="S701" s="2" t="str"/>
      <x:c r="T701" s="2" t="str"/>
      <x:c r="U701" s="2" t="str"/>
      <x:c r="V701" s="2" t="str">
        <x:v>아니오</x:v>
      </x:c>
      <x:c r="W701" s="2" t="str">
        <x:v>예</x:v>
      </x:c>
      <x:c r="X701" s="2" t="str">
        <x:v>ichi1,news2,nf31</x:v>
      </x:c>
      <x:c r="Y701" s="2" t="n">
        <x:v>100</x:v>
      </x:c>
      <x:c r="Z701" s="2" t="str">
        <x:v>ichi1,news2,nf31</x:v>
      </x:c>
      <x:c r="AA701" s="2" t="n">
        <x:v>100</x:v>
      </x:c>
      <x:c r="AB701" s="8" t="str"/>
      <x:c r="AC701" s="8" t="str"/>
      <x:c r="AD701" s="8" t="str">
        <x:v>["draft-ko-missing"]</x:v>
      </x:c>
      <x:c r="AE701" s="8" t="str">
        <x:v>검토 필요</x:v>
      </x:c>
      <x:c r="AF701" s="8" t="str"/>
    </x:row>
    <x:row r="702">
      <x:c r="A702" s="10" t="n">
        <x:v>701</x:v>
      </x:c>
      <x:c r="B702" s="2" t="str">
        <x:v>2차 보류</x:v>
      </x:c>
      <x:c r="C702" s="2" t="str">
        <x:v>2차 보류</x:v>
      </x:c>
      <x:c r="D702" s="2" t="str">
        <x:v>낮음</x:v>
      </x:c>
      <x:c r="E702" s="2" t="str">
        <x:v>N1</x:v>
      </x:c>
      <x:c r="F702" s="10" t="n">
        <x:v>289</x:v>
      </x:c>
      <x:c r="G702" s="2" t="str">
        <x:v>w_e3537583e1470ef9</x:v>
      </x:c>
      <x:c r="H702" s="2" t="str">
        <x:v>あべこべ</x:v>
      </x:c>
      <x:c r="I702" s="2" t="str">
        <x:v>あべこべ</x:v>
      </x:c>
      <x:c r="J702" s="8" t="str">
        <x:v>거꾸로, 반대</x:v>
      </x:c>
      <x:c r="K702" s="2" t="str">
        <x:v>adjective</x:v>
      </x:c>
      <x:c r="L702" s="9" t="n">
        <x:v>2.42</x:v>
      </x:c>
      <x:c r="M702" s="2" t="str">
        <x:v>없음</x:v>
      </x:c>
      <x:c r="N702" s="11" t="n">
        <x:v>6</x:v>
      </x:c>
      <x:c r="O702" s="8" t="str">
        <x:v>일반 사용 빈도 낮음(Zipf ≤ 2.5); 검증된 예문 없음; 기존 데이터의 한국어 콘텐츠 보강 필요 태그</x:v>
      </x:c>
      <x:c r="P702" s="8" t="str">
        <x:v>frequency_le_2_5,no_example,weak_legacy_content</x:v>
      </x:c>
      <x:c r="Q702" s="2" t="str"/>
      <x:c r="R702" s="2" t="str"/>
      <x:c r="S702" s="2" t="str"/>
      <x:c r="T702" s="2" t="str"/>
      <x:c r="U702" s="2" t="str"/>
      <x:c r="V702" s="2" t="str">
        <x:v>아니오</x:v>
      </x:c>
      <x:c r="W702" s="2" t="str">
        <x:v>예</x:v>
      </x:c>
      <x:c r="X702" s="2" t="str">
        <x:v>ichi1</x:v>
      </x:c>
      <x:c r="Y702" s="2" t="n">
        <x:v>100</x:v>
      </x:c>
      <x:c r="Z702" s="2" t="str">
        <x:v>ichi1</x:v>
      </x:c>
      <x:c r="AA702" s="2" t="n">
        <x:v>100</x:v>
      </x:c>
      <x:c r="AB702" s="8" t="str">
        <x:v>onomatopoeic or mimetic word</x:v>
      </x:c>
      <x:c r="AC702" s="8" t="str"/>
      <x:c r="AD702" s="8" t="str">
        <x:v>["draft-ko-missing"]</x:v>
      </x:c>
      <x:c r="AE702" s="8" t="str">
        <x:v>검토 필요</x:v>
      </x:c>
      <x:c r="AF702" s="8" t="str"/>
    </x:row>
    <x:row r="703">
      <x:c r="A703" s="10" t="n">
        <x:v>702</x:v>
      </x:c>
      <x:c r="B703" s="2" t="str">
        <x:v>2차 보류</x:v>
      </x:c>
      <x:c r="C703" s="2" t="str">
        <x:v>2차 보류</x:v>
      </x:c>
      <x:c r="D703" s="2" t="str">
        <x:v>낮음</x:v>
      </x:c>
      <x:c r="E703" s="2" t="str">
        <x:v>N4</x:v>
      </x:c>
      <x:c r="F703" s="10" t="n">
        <x:v>54</x:v>
      </x:c>
      <x:c r="G703" s="2" t="str">
        <x:v>w_1fb1432fdae5690a</x:v>
      </x:c>
      <x:c r="H703" s="2" t="str">
        <x:v>点く</x:v>
      </x:c>
      <x:c r="I703" s="2" t="str">
        <x:v>つく</x:v>
      </x:c>
      <x:c r="J703" s="8" t="str">
        <x:v>켜지다, 불이 붙다</x:v>
      </x:c>
      <x:c r="K703" s="2" t="str">
        <x:v>verb</x:v>
      </x:c>
      <x:c r="L703" s="9" t="n">
        <x:v>2.43</x:v>
      </x:c>
      <x:c r="M703" s="2" t="str">
        <x:v>없음</x:v>
      </x:c>
      <x:c r="N703" s="11" t="n">
        <x:v>6</x:v>
      </x:c>
      <x:c r="O703" s="8" t="str">
        <x:v>일반 사용 빈도 낮음(Zipf ≤ 2.5); 검증된 예문 없음; 기존 데이터의 한국어 콘텐츠 보강 필요 태그</x:v>
      </x:c>
      <x:c r="P703" s="8" t="str">
        <x:v>frequency_le_2_5,no_example,weak_legacy_content</x:v>
      </x:c>
      <x:c r="Q703" s="2" t="str"/>
      <x:c r="R703" s="2" t="str"/>
      <x:c r="S703" s="2" t="str"/>
      <x:c r="T703" s="2" t="str"/>
      <x:c r="U703" s="2" t="str"/>
      <x:c r="V703" s="2" t="str">
        <x:v>아니오</x:v>
      </x:c>
      <x:c r="W703" s="2" t="str">
        <x:v>예</x:v>
      </x:c>
      <x:c r="X703" s="2" t="str">
        <x:v>ichi1</x:v>
      </x:c>
      <x:c r="Y703" s="2" t="n">
        <x:v>100</x:v>
      </x:c>
      <x:c r="Z703" s="2" t="str">
        <x:v>ichi1</x:v>
      </x:c>
      <x:c r="AA703" s="2" t="n">
        <x:v>100</x:v>
      </x:c>
      <x:c r="AB703" s="8" t="str">
        <x:v>word usually written using kana alone</x:v>
      </x:c>
      <x:c r="AC703" s="8" t="str"/>
      <x:c r="AD703" s="8" t="str">
        <x:v>["draft-ko-missing"]</x:v>
      </x:c>
      <x:c r="AE703" s="8" t="str">
        <x:v>검토 필요</x:v>
      </x:c>
      <x:c r="AF703" s="8" t="str"/>
    </x:row>
    <x:row r="704">
      <x:c r="A704" s="10" t="n">
        <x:v>703</x:v>
      </x:c>
      <x:c r="B704" s="2" t="str">
        <x:v>2차 보류</x:v>
      </x:c>
      <x:c r="C704" s="2" t="str">
        <x:v>2차 보류</x:v>
      </x:c>
      <x:c r="D704" s="2" t="str">
        <x:v>낮음</x:v>
      </x:c>
      <x:c r="E704" s="2" t="str">
        <x:v>N1</x:v>
      </x:c>
      <x:c r="F704" s="10" t="n">
        <x:v>290</x:v>
      </x:c>
      <x:c r="G704" s="2" t="str">
        <x:v>w_e478c2e2a5b79c6a</x:v>
      </x:c>
      <x:c r="H704" s="2" t="str">
        <x:v>金槌</x:v>
      </x:c>
      <x:c r="I704" s="2" t="str">
        <x:v>かなづち</x:v>
      </x:c>
      <x:c r="J704" s="8" t="str">
        <x:v>망치(철)</x:v>
      </x:c>
      <x:c r="K704" s="2" t="str">
        <x:v>noun</x:v>
      </x:c>
      <x:c r="L704" s="9" t="n">
        <x:v>2.43</x:v>
      </x:c>
      <x:c r="M704" s="2" t="str">
        <x:v>없음</x:v>
      </x:c>
      <x:c r="N704" s="11" t="n">
        <x:v>6</x:v>
      </x:c>
      <x:c r="O704" s="8" t="str">
        <x:v>일반 사용 빈도 낮음(Zipf ≤ 2.5); 검증된 예문 없음; 기존 데이터의 한국어 콘텐츠 보강 필요 태그</x:v>
      </x:c>
      <x:c r="P704" s="8" t="str">
        <x:v>frequency_le_2_5,no_example,weak_legacy_content</x:v>
      </x:c>
      <x:c r="Q704" s="2" t="str"/>
      <x:c r="R704" s="2" t="str"/>
      <x:c r="S704" s="2" t="str"/>
      <x:c r="T704" s="2" t="str"/>
      <x:c r="U704" s="2" t="str"/>
      <x:c r="V704" s="2" t="str">
        <x:v>아니오</x:v>
      </x:c>
      <x:c r="W704" s="2" t="str">
        <x:v>예</x:v>
      </x:c>
      <x:c r="X704" s="2" t="str">
        <x:v>ichi1</x:v>
      </x:c>
      <x:c r="Y704" s="2" t="n">
        <x:v>100</x:v>
      </x:c>
      <x:c r="Z704" s="2" t="str">
        <x:v>ichi1</x:v>
      </x:c>
      <x:c r="AA704" s="2" t="n">
        <x:v>100</x:v>
      </x:c>
      <x:c r="AB704" s="8" t="str">
        <x:v>word usually written using kana alone</x:v>
      </x:c>
      <x:c r="AC704" s="8" t="str"/>
      <x:c r="AD704" s="8" t="str">
        <x:v>["draft-ko-missing"]</x:v>
      </x:c>
      <x:c r="AE704" s="8" t="str">
        <x:v>검토 필요</x:v>
      </x:c>
      <x:c r="AF704" s="8" t="str"/>
    </x:row>
    <x:row r="705">
      <x:c r="A705" s="10" t="n">
        <x:v>704</x:v>
      </x:c>
      <x:c r="B705" s="2" t="str">
        <x:v>2차 보류</x:v>
      </x:c>
      <x:c r="C705" s="2" t="str">
        <x:v>2차 보류</x:v>
      </x:c>
      <x:c r="D705" s="2" t="str">
        <x:v>낮음</x:v>
      </x:c>
      <x:c r="E705" s="2" t="str">
        <x:v>N2</x:v>
      </x:c>
      <x:c r="F705" s="10" t="n">
        <x:v>259</x:v>
      </x:c>
      <x:c r="G705" s="2" t="str">
        <x:v>w_feade8e1757f1108</x:v>
      </x:c>
      <x:c r="H705" s="2" t="str">
        <x:v>ぴかぴか</x:v>
      </x:c>
      <x:c r="I705" s="2" t="str">
        <x:v>ぴかぴか</x:v>
      </x:c>
      <x:c r="J705" s="8" t="str">
        <x:v>반짝이다</x:v>
      </x:c>
      <x:c r="K705" s="2" t="str">
        <x:v>adverb</x:v>
      </x:c>
      <x:c r="L705" s="9" t="n">
        <x:v>2.45</x:v>
      </x:c>
      <x:c r="M705" s="2" t="str">
        <x:v>없음</x:v>
      </x:c>
      <x:c r="N705" s="11" t="n">
        <x:v>6</x:v>
      </x:c>
      <x:c r="O705" s="8" t="str">
        <x:v>일반 사용 빈도 낮음(Zipf ≤ 2.5); 검증된 예문 없음; 기존 데이터의 한국어 콘텐츠 보강 필요 태그</x:v>
      </x:c>
      <x:c r="P705" s="8" t="str">
        <x:v>frequency_le_2_5,no_example,weak_legacy_content</x:v>
      </x:c>
      <x:c r="Q705" s="2" t="str"/>
      <x:c r="R705" s="2" t="str"/>
      <x:c r="S705" s="2" t="str"/>
      <x:c r="T705" s="2" t="str"/>
      <x:c r="U705" s="2" t="str"/>
      <x:c r="V705" s="2" t="str">
        <x:v>아니오</x:v>
      </x:c>
      <x:c r="W705" s="2" t="str">
        <x:v>예</x:v>
      </x:c>
      <x:c r="X705" s="2" t="str">
        <x:v>ichi1</x:v>
      </x:c>
      <x:c r="Y705" s="2" t="n">
        <x:v>100</x:v>
      </x:c>
      <x:c r="Z705" s="2" t="str">
        <x:v>ichi1</x:v>
      </x:c>
      <x:c r="AA705" s="2" t="n">
        <x:v>100</x:v>
      </x:c>
      <x:c r="AB705" s="8" t="str">
        <x:v>children's language | onomatopoeic or mimetic word | ピッカピカ and ビカビカ are more emphatic</x:v>
      </x:c>
      <x:c r="AC705" s="8" t="str"/>
      <x:c r="AD705" s="8" t="str">
        <x:v>["draft-ko-missing"]</x:v>
      </x:c>
      <x:c r="AE705" s="8" t="str">
        <x:v>검토 필요</x:v>
      </x:c>
      <x:c r="AF705" s="8" t="str"/>
    </x:row>
    <x:row r="706">
      <x:c r="A706" s="10" t="n">
        <x:v>705</x:v>
      </x:c>
      <x:c r="B706" s="2" t="str">
        <x:v>2차 보류</x:v>
      </x:c>
      <x:c r="C706" s="2" t="str">
        <x:v>2차 보류</x:v>
      </x:c>
      <x:c r="D706" s="2" t="str">
        <x:v>낮음</x:v>
      </x:c>
      <x:c r="E706" s="2" t="str">
        <x:v>N1</x:v>
      </x:c>
      <x:c r="F706" s="10" t="n">
        <x:v>291</x:v>
      </x:c>
      <x:c r="G706" s="2" t="str">
        <x:v>w_02c6b17817f6c587</x:v>
      </x:c>
      <x:c r="H706" s="2" t="str">
        <x:v>雨具</x:v>
      </x:c>
      <x:c r="I706" s="2" t="str">
        <x:v>あまぐ</x:v>
      </x:c>
      <x:c r="J706" s="8" t="str">
        <x:v>우비, 비옷</x:v>
      </x:c>
      <x:c r="K706" s="2" t="str">
        <x:v>noun</x:v>
      </x:c>
      <x:c r="L706" s="9" t="n">
        <x:v>2.46</x:v>
      </x:c>
      <x:c r="M706" s="2" t="str">
        <x:v>없음</x:v>
      </x:c>
      <x:c r="N706" s="11" t="n">
        <x:v>6</x:v>
      </x:c>
      <x:c r="O706" s="8" t="str">
        <x:v>일반 사용 빈도 낮음(Zipf ≤ 2.5); 검증된 예문 없음; 기존 데이터의 한국어 콘텐츠 보강 필요 태그</x:v>
      </x:c>
      <x:c r="P706" s="8" t="str">
        <x:v>frequency_le_2_5,no_example,weak_legacy_content</x:v>
      </x:c>
      <x:c r="Q706" s="2" t="str"/>
      <x:c r="R706" s="2" t="str"/>
      <x:c r="S706" s="2" t="str"/>
      <x:c r="T706" s="2" t="str"/>
      <x:c r="U706" s="2" t="str"/>
      <x:c r="V706" s="2" t="str">
        <x:v>아니오</x:v>
      </x:c>
      <x:c r="W706" s="2" t="str">
        <x:v>예</x:v>
      </x:c>
      <x:c r="X706" s="2" t="str">
        <x:v>ichi1,news2,nf46</x:v>
      </x:c>
      <x:c r="Y706" s="2" t="n">
        <x:v>100</x:v>
      </x:c>
      <x:c r="Z706" s="2" t="str">
        <x:v>ichi1,news2,nf46</x:v>
      </x:c>
      <x:c r="AA706" s="2" t="n">
        <x:v>100</x:v>
      </x:c>
      <x:c r="AB706" s="8" t="str"/>
      <x:c r="AC706" s="8" t="str"/>
      <x:c r="AD706" s="8" t="str">
        <x:v>["draft-ko-missing"]</x:v>
      </x:c>
      <x:c r="AE706" s="8" t="str">
        <x:v>검토 필요</x:v>
      </x:c>
      <x:c r="AF706" s="8" t="str"/>
    </x:row>
    <x:row r="707">
      <x:c r="A707" s="10" t="n">
        <x:v>706</x:v>
      </x:c>
      <x:c r="B707" s="2" t="str">
        <x:v>2차 보류</x:v>
      </x:c>
      <x:c r="C707" s="2" t="str">
        <x:v>2차 보류</x:v>
      </x:c>
      <x:c r="D707" s="2" t="str">
        <x:v>낮음</x:v>
      </x:c>
      <x:c r="E707" s="2" t="str">
        <x:v>N1</x:v>
      </x:c>
      <x:c r="F707" s="10" t="n">
        <x:v>292</x:v>
      </x:c>
      <x:c r="G707" s="2" t="str">
        <x:v>w_c22be00951052c34</x:v>
      </x:c>
      <x:c r="H707" s="2" t="str">
        <x:v>聴講</x:v>
      </x:c>
      <x:c r="I707" s="2" t="str">
        <x:v>ちょうこう</x:v>
      </x:c>
      <x:c r="J707" s="8" t="str">
        <x:v>청강</x:v>
      </x:c>
      <x:c r="K707" s="2" t="str">
        <x:v>noun</x:v>
      </x:c>
      <x:c r="L707" s="9" t="n">
        <x:v>2.46</x:v>
      </x:c>
      <x:c r="M707" s="2" t="str">
        <x:v>없음</x:v>
      </x:c>
      <x:c r="N707" s="11" t="n">
        <x:v>6</x:v>
      </x:c>
      <x:c r="O707" s="8" t="str">
        <x:v>일반 사용 빈도 낮음(Zipf ≤ 2.5); 검증된 예문 없음; 기존 데이터의 한국어 콘텐츠 보강 필요 태그</x:v>
      </x:c>
      <x:c r="P707" s="8" t="str">
        <x:v>frequency_le_2_5,no_example,weak_legacy_content</x:v>
      </x:c>
      <x:c r="Q707" s="2" t="str"/>
      <x:c r="R707" s="2" t="str"/>
      <x:c r="S707" s="2" t="str"/>
      <x:c r="T707" s="2" t="str"/>
      <x:c r="U707" s="2" t="str"/>
      <x:c r="V707" s="2" t="str">
        <x:v>아니오</x:v>
      </x:c>
      <x:c r="W707" s="2" t="str">
        <x:v>예</x:v>
      </x:c>
      <x:c r="X707" s="2" t="str">
        <x:v>ichi1,news1,nf21</x:v>
      </x:c>
      <x:c r="Y707" s="2" t="n">
        <x:v>100</x:v>
      </x:c>
      <x:c r="Z707" s="2" t="str">
        <x:v>ichi1,news1,nf21</x:v>
      </x:c>
      <x:c r="AA707" s="2" t="n">
        <x:v>100</x:v>
      </x:c>
      <x:c r="AB707" s="8" t="str"/>
      <x:c r="AC707" s="8" t="str"/>
      <x:c r="AD707" s="8" t="str">
        <x:v>["draft-ko-missing"]</x:v>
      </x:c>
      <x:c r="AE707" s="8" t="str">
        <x:v>검토 필요</x:v>
      </x:c>
      <x:c r="AF707" s="8" t="str"/>
    </x:row>
    <x:row r="708">
      <x:c r="A708" s="10" t="n">
        <x:v>707</x:v>
      </x:c>
      <x:c r="B708" s="2" t="str">
        <x:v>2차 보류</x:v>
      </x:c>
      <x:c r="C708" s="2" t="str">
        <x:v>2차 보류</x:v>
      </x:c>
      <x:c r="D708" s="2" t="str">
        <x:v>낮음</x:v>
      </x:c>
      <x:c r="E708" s="2" t="str">
        <x:v>N1</x:v>
      </x:c>
      <x:c r="F708" s="10" t="n">
        <x:v>293</x:v>
      </x:c>
      <x:c r="G708" s="2" t="str">
        <x:v>w_f00aac944d95339f</x:v>
      </x:c>
      <x:c r="H708" s="2" t="str">
        <x:v>文語</x:v>
      </x:c>
      <x:c r="I708" s="2" t="str">
        <x:v>ぶんご</x:v>
      </x:c>
      <x:c r="J708" s="8" t="str">
        <x:v>문어(文語), 문어체</x:v>
      </x:c>
      <x:c r="K708" s="2" t="str">
        <x:v>noun</x:v>
      </x:c>
      <x:c r="L708" s="9" t="n">
        <x:v>2.46</x:v>
      </x:c>
      <x:c r="M708" s="2" t="str">
        <x:v>없음</x:v>
      </x:c>
      <x:c r="N708" s="11" t="n">
        <x:v>6</x:v>
      </x:c>
      <x:c r="O708" s="8" t="str">
        <x:v>일반 사용 빈도 낮음(Zipf ≤ 2.5); 검증된 예문 없음; 기존 데이터의 한국어 콘텐츠 보강 필요 태그</x:v>
      </x:c>
      <x:c r="P708" s="8" t="str">
        <x:v>frequency_le_2_5,no_example,weak_legacy_content</x:v>
      </x:c>
      <x:c r="Q708" s="2" t="str"/>
      <x:c r="R708" s="2" t="str"/>
      <x:c r="S708" s="2" t="str"/>
      <x:c r="T708" s="2" t="str"/>
      <x:c r="U708" s="2" t="str"/>
      <x:c r="V708" s="2" t="str">
        <x:v>아니오</x:v>
      </x:c>
      <x:c r="W708" s="2" t="str">
        <x:v>예</x:v>
      </x:c>
      <x:c r="X708" s="2" t="str">
        <x:v>ichi1,news2,nf34</x:v>
      </x:c>
      <x:c r="Y708" s="2" t="n">
        <x:v>100</x:v>
      </x:c>
      <x:c r="Z708" s="2" t="str">
        <x:v>ichi1,news2,nf34</x:v>
      </x:c>
      <x:c r="AA708" s="2" t="n">
        <x:v>100</x:v>
      </x:c>
      <x:c r="AB708" s="8" t="str"/>
      <x:c r="AC708" s="8" t="str"/>
      <x:c r="AD708" s="8" t="str">
        <x:v>["draft-ko-missing"]</x:v>
      </x:c>
      <x:c r="AE708" s="8" t="str">
        <x:v>검토 필요</x:v>
      </x:c>
      <x:c r="AF708" s="8" t="str"/>
    </x:row>
    <x:row r="709">
      <x:c r="A709" s="10" t="n">
        <x:v>708</x:v>
      </x:c>
      <x:c r="B709" s="2" t="str">
        <x:v>2차 보류</x:v>
      </x:c>
      <x:c r="C709" s="2" t="str">
        <x:v>2차 보류</x:v>
      </x:c>
      <x:c r="D709" s="2" t="str">
        <x:v>낮음</x:v>
      </x:c>
      <x:c r="E709" s="2" t="str">
        <x:v>N4</x:v>
      </x:c>
      <x:c r="F709" s="10" t="n">
        <x:v>55</x:v>
      </x:c>
      <x:c r="G709" s="2" t="str">
        <x:v>w_0bfe4152b243c799</x:v>
      </x:c>
      <x:c r="H709" s="2" t="str">
        <x:v>落す</x:v>
      </x:c>
      <x:c r="I709" s="2" t="str">
        <x:v>おとす</x:v>
      </x:c>
      <x:c r="J709" s="8" t="str">
        <x:v>떨어뜨리다, 잃다</x:v>
      </x:c>
      <x:c r="K709" s="2" t="str">
        <x:v>verb</x:v>
      </x:c>
      <x:c r="L709" s="9" t="n">
        <x:v>2.47</x:v>
      </x:c>
      <x:c r="M709" s="2" t="str">
        <x:v>없음</x:v>
      </x:c>
      <x:c r="N709" s="11" t="n">
        <x:v>6</x:v>
      </x:c>
      <x:c r="O709" s="8" t="str">
        <x:v>일반 사용 빈도 낮음(Zipf ≤ 2.5); 검증된 예문 없음; 기존 데이터의 한국어 콘텐츠 보강 필요 태그</x:v>
      </x:c>
      <x:c r="P709" s="8" t="str">
        <x:v>frequency_le_2_5,no_example,weak_legacy_content</x:v>
      </x:c>
      <x:c r="Q709" s="2" t="str"/>
      <x:c r="R709" s="2" t="str"/>
      <x:c r="S709" s="2" t="str"/>
      <x:c r="T709" s="2" t="str"/>
      <x:c r="U709" s="2" t="str"/>
      <x:c r="V709" s="2" t="str">
        <x:v>아니오</x:v>
      </x:c>
      <x:c r="W709" s="2" t="str">
        <x:v>예</x:v>
      </x:c>
      <x:c r="X709" s="2" t="str">
        <x:v>ichi1,news1,nf17</x:v>
      </x:c>
      <x:c r="Y709" s="2" t="n">
        <x:v>100</x:v>
      </x:c>
      <x:c r="Z709" s="2" t="str"/>
      <x:c r="AA709" s="2" t="n">
        <x:v>0</x:v>
      </x:c>
      <x:c r="AB709" s="8" t="str">
        <x:v>colloquial</x:v>
      </x:c>
      <x:c r="AC709" s="8" t="str"/>
      <x:c r="AD709" s="8" t="str">
        <x:v>["draft-ko-missing"]</x:v>
      </x:c>
      <x:c r="AE709" s="8" t="str">
        <x:v>검토 필요</x:v>
      </x:c>
      <x:c r="AF709" s="8" t="str"/>
    </x:row>
    <x:row r="710">
      <x:c r="A710" s="10" t="n">
        <x:v>709</x:v>
      </x:c>
      <x:c r="B710" s="2" t="str">
        <x:v>2차 보류</x:v>
      </x:c>
      <x:c r="C710" s="2" t="str">
        <x:v>2차 보류</x:v>
      </x:c>
      <x:c r="D710" s="2" t="str">
        <x:v>낮음</x:v>
      </x:c>
      <x:c r="E710" s="2" t="str">
        <x:v>N2</x:v>
      </x:c>
      <x:c r="F710" s="10" t="n">
        <x:v>260</x:v>
      </x:c>
      <x:c r="G710" s="2" t="str">
        <x:v>w_2bac7e5120c4dcfa</x:v>
      </x:c>
      <x:c r="H710" s="2" t="str">
        <x:v>のろのろ</x:v>
      </x:c>
      <x:c r="I710" s="2" t="str">
        <x:v>のろのろ</x:v>
      </x:c>
      <x:c r="J710" s="8" t="str">
        <x:v>천천히</x:v>
      </x:c>
      <x:c r="K710" s="2" t="str">
        <x:v>adverb</x:v>
      </x:c>
      <x:c r="L710" s="9" t="n">
        <x:v>2.47</x:v>
      </x:c>
      <x:c r="M710" s="2" t="str">
        <x:v>없음</x:v>
      </x:c>
      <x:c r="N710" s="11" t="n">
        <x:v>6</x:v>
      </x:c>
      <x:c r="O710" s="8" t="str">
        <x:v>일반 사용 빈도 낮음(Zipf ≤ 2.5); 검증된 예문 없음; 기존 데이터의 한국어 콘텐츠 보강 필요 태그</x:v>
      </x:c>
      <x:c r="P710" s="8" t="str">
        <x:v>frequency_le_2_5,no_example,weak_legacy_content</x:v>
      </x:c>
      <x:c r="Q710" s="2" t="str"/>
      <x:c r="R710" s="2" t="str"/>
      <x:c r="S710" s="2" t="str"/>
      <x:c r="T710" s="2" t="str"/>
      <x:c r="U710" s="2" t="str"/>
      <x:c r="V710" s="2" t="str">
        <x:v>아니오</x:v>
      </x:c>
      <x:c r="W710" s="2" t="str">
        <x:v>예</x:v>
      </x:c>
      <x:c r="X710" s="2" t="str">
        <x:v>ichi1</x:v>
      </x:c>
      <x:c r="Y710" s="2" t="n">
        <x:v>100</x:v>
      </x:c>
      <x:c r="Z710" s="2" t="str">
        <x:v>ichi1</x:v>
      </x:c>
      <x:c r="AA710" s="2" t="n">
        <x:v>100</x:v>
      </x:c>
      <x:c r="AB710" s="8" t="str">
        <x:v>onomatopoeic or mimetic word</x:v>
      </x:c>
      <x:c r="AC710" s="8" t="str"/>
      <x:c r="AD710" s="8" t="str">
        <x:v>["draft-ko-missing"]</x:v>
      </x:c>
      <x:c r="AE710" s="8" t="str">
        <x:v>검토 필요</x:v>
      </x:c>
      <x:c r="AF710" s="8" t="str"/>
    </x:row>
    <x:row r="711">
      <x:c r="A711" s="10" t="n">
        <x:v>710</x:v>
      </x:c>
      <x:c r="B711" s="2" t="str">
        <x:v>2차 보류</x:v>
      </x:c>
      <x:c r="C711" s="2" t="str">
        <x:v>2차 보류</x:v>
      </x:c>
      <x:c r="D711" s="2" t="str">
        <x:v>낮음</x:v>
      </x:c>
      <x:c r="E711" s="2" t="str">
        <x:v>N2</x:v>
      </x:c>
      <x:c r="F711" s="10" t="n">
        <x:v>261</x:v>
      </x:c>
      <x:c r="G711" s="2" t="str">
        <x:v>w_a1262f0a18c41630</x:v>
      </x:c>
      <x:c r="H711" s="2" t="str">
        <x:v>追い越す</x:v>
      </x:c>
      <x:c r="I711" s="2" t="str">
        <x:v>おいこす</x:v>
      </x:c>
      <x:c r="J711" s="8" t="str">
        <x:v>지나다, 합격하다(차), 앞지르다</x:v>
      </x:c>
      <x:c r="K711" s="2" t="str">
        <x:v>verb</x:v>
      </x:c>
      <x:c r="L711" s="9" t="n">
        <x:v>2.47</x:v>
      </x:c>
      <x:c r="M711" s="2" t="str">
        <x:v>없음</x:v>
      </x:c>
      <x:c r="N711" s="11" t="n">
        <x:v>6</x:v>
      </x:c>
      <x:c r="O711" s="8" t="str">
        <x:v>일반 사용 빈도 낮음(Zipf ≤ 2.5); 검증된 예문 없음; 기존 데이터의 한국어 콘텐츠 보강 필요 태그</x:v>
      </x:c>
      <x:c r="P711" s="8" t="str">
        <x:v>frequency_le_2_5,no_example,weak_legacy_content</x:v>
      </x:c>
      <x:c r="Q711" s="2" t="str"/>
      <x:c r="R711" s="2" t="str"/>
      <x:c r="S711" s="2" t="str"/>
      <x:c r="T711" s="2" t="str"/>
      <x:c r="U711" s="2" t="str"/>
      <x:c r="V711" s="2" t="str">
        <x:v>아니오</x:v>
      </x:c>
      <x:c r="W711" s="2" t="str">
        <x:v>예</x:v>
      </x:c>
      <x:c r="X711" s="2" t="str">
        <x:v>ichi1,news2,nf42</x:v>
      </x:c>
      <x:c r="Y711" s="2" t="n">
        <x:v>100</x:v>
      </x:c>
      <x:c r="Z711" s="2" t="str">
        <x:v>ichi1,news2,nf42</x:v>
      </x:c>
      <x:c r="AA711" s="2" t="n">
        <x:v>100</x:v>
      </x:c>
      <x:c r="AB711" s="8" t="str"/>
      <x:c r="AC711" s="8" t="str"/>
      <x:c r="AD711" s="8" t="str">
        <x:v>["draft-ko-missing"]</x:v>
      </x:c>
      <x:c r="AE711" s="8" t="str">
        <x:v>검토 필요</x:v>
      </x:c>
      <x:c r="AF711" s="8" t="str"/>
    </x:row>
    <x:row r="712">
      <x:c r="A712" s="10" t="n">
        <x:v>711</x:v>
      </x:c>
      <x:c r="B712" s="2" t="str">
        <x:v>2차 보류</x:v>
      </x:c>
      <x:c r="C712" s="2" t="str">
        <x:v>2차 보류</x:v>
      </x:c>
      <x:c r="D712" s="2" t="str">
        <x:v>낮음</x:v>
      </x:c>
      <x:c r="E712" s="2" t="str">
        <x:v>N2</x:v>
      </x:c>
      <x:c r="F712" s="10" t="n">
        <x:v>262</x:v>
      </x:c>
      <x:c r="G712" s="2" t="str">
        <x:v>w_d301b604306eb7f1</x:v>
      </x:c>
      <x:c r="H712" s="2" t="str">
        <x:v>客間</x:v>
      </x:c>
      <x:c r="I712" s="2" t="str">
        <x:v>きゃくま</x:v>
      </x:c>
      <x:c r="J712" s="8" t="str">
        <x:v>객실, 응접실</x:v>
      </x:c>
      <x:c r="K712" s="2" t="str">
        <x:v>noun</x:v>
      </x:c>
      <x:c r="L712" s="9" t="n">
        <x:v>2.47</x:v>
      </x:c>
      <x:c r="M712" s="2" t="str">
        <x:v>없음</x:v>
      </x:c>
      <x:c r="N712" s="11" t="n">
        <x:v>6</x:v>
      </x:c>
      <x:c r="O712" s="8" t="str">
        <x:v>일반 사용 빈도 낮음(Zipf ≤ 2.5); 검증된 예문 없음; 기존 데이터의 한국어 콘텐츠 보강 필요 태그</x:v>
      </x:c>
      <x:c r="P712" s="8" t="str">
        <x:v>frequency_le_2_5,no_example,weak_legacy_content</x:v>
      </x:c>
      <x:c r="Q712" s="2" t="str"/>
      <x:c r="R712" s="2" t="str"/>
      <x:c r="S712" s="2" t="str"/>
      <x:c r="T712" s="2" t="str"/>
      <x:c r="U712" s="2" t="str"/>
      <x:c r="V712" s="2" t="str">
        <x:v>아니오</x:v>
      </x:c>
      <x:c r="W712" s="2" t="str">
        <x:v>예</x:v>
      </x:c>
      <x:c r="X712" s="2" t="str">
        <x:v>ichi1</x:v>
      </x:c>
      <x:c r="Y712" s="2" t="n">
        <x:v>100</x:v>
      </x:c>
      <x:c r="Z712" s="2" t="str">
        <x:v>ichi1</x:v>
      </x:c>
      <x:c r="AA712" s="2" t="n">
        <x:v>100</x:v>
      </x:c>
      <x:c r="AB712" s="8" t="str"/>
      <x:c r="AC712" s="8" t="str"/>
      <x:c r="AD712" s="8" t="str">
        <x:v>["draft-ko-missing"]</x:v>
      </x:c>
      <x:c r="AE712" s="8" t="str">
        <x:v>검토 필요</x:v>
      </x:c>
      <x:c r="AF712" s="8" t="str"/>
    </x:row>
    <x:row r="713">
      <x:c r="A713" s="10" t="n">
        <x:v>712</x:v>
      </x:c>
      <x:c r="B713" s="2" t="str">
        <x:v>2차 보류</x:v>
      </x:c>
      <x:c r="C713" s="2" t="str">
        <x:v>2차 보류</x:v>
      </x:c>
      <x:c r="D713" s="2" t="str">
        <x:v>낮음</x:v>
      </x:c>
      <x:c r="E713" s="2" t="str">
        <x:v>N1</x:v>
      </x:c>
      <x:c r="F713" s="10" t="n">
        <x:v>294</x:v>
      </x:c>
      <x:c r="G713" s="2" t="str">
        <x:v>w_49486c33a1a2067d</x:v>
      </x:c>
      <x:c r="H713" s="2" t="str">
        <x:v>目覚しい</x:v>
      </x:c>
      <x:c r="I713" s="2" t="str">
        <x:v>めざましい</x:v>
      </x:c>
      <x:c r="J713" s="8" t="str">
        <x:v>눈부시다, 놀랍다</x:v>
      </x:c>
      <x:c r="K713" s="2" t="str">
        <x:v>adjective</x:v>
      </x:c>
      <x:c r="L713" s="9" t="n">
        <x:v>2.49</x:v>
      </x:c>
      <x:c r="M713" s="2" t="str">
        <x:v>없음</x:v>
      </x:c>
      <x:c r="N713" s="11" t="n">
        <x:v>6</x:v>
      </x:c>
      <x:c r="O713" s="8" t="str">
        <x:v>일반 사용 빈도 낮음(Zipf ≤ 2.5); 검증된 예문 없음; 기존 데이터의 한국어 콘텐츠 보강 필요 태그</x:v>
      </x:c>
      <x:c r="P713" s="8" t="str">
        <x:v>frequency_le_2_5,no_example,weak_legacy_content</x:v>
      </x:c>
      <x:c r="Q713" s="2" t="str"/>
      <x:c r="R713" s="2" t="str"/>
      <x:c r="S713" s="2" t="str"/>
      <x:c r="T713" s="2" t="str"/>
      <x:c r="U713" s="2" t="str"/>
      <x:c r="V713" s="2" t="str">
        <x:v>아니오</x:v>
      </x:c>
      <x:c r="W713" s="2" t="str">
        <x:v>예</x:v>
      </x:c>
      <x:c r="X713" s="2" t="str">
        <x:v>ichi1,news2,nf39</x:v>
      </x:c>
      <x:c r="Y713" s="2" t="n">
        <x:v>100</x:v>
      </x:c>
      <x:c r="Z713" s="2" t="str"/>
      <x:c r="AA713" s="2" t="n">
        <x:v>0</x:v>
      </x:c>
      <x:c r="AB713" s="8" t="str"/>
      <x:c r="AC713" s="8" t="str"/>
      <x:c r="AD713" s="8" t="str">
        <x:v>["draft-ko-missing"]</x:v>
      </x:c>
      <x:c r="AE713" s="8" t="str">
        <x:v>검토 필요</x:v>
      </x:c>
      <x:c r="AF713" s="8" t="str"/>
    </x:row>
    <x:row r="714">
      <x:c r="A714" s="10" t="n">
        <x:v>713</x:v>
      </x:c>
      <x:c r="B714" s="2" t="str">
        <x:v>2차 보류</x:v>
      </x:c>
      <x:c r="C714" s="2" t="str">
        <x:v>2차 보류</x:v>
      </x:c>
      <x:c r="D714" s="2" t="str">
        <x:v>낮음</x:v>
      </x:c>
      <x:c r="E714" s="2" t="str">
        <x:v>N1</x:v>
      </x:c>
      <x:c r="F714" s="10" t="n">
        <x:v>295</x:v>
      </x:c>
      <x:c r="G714" s="2" t="str">
        <x:v>w_4bb2ccbe762a9365</x:v>
      </x:c>
      <x:c r="H714" s="2" t="str">
        <x:v>空しい</x:v>
      </x:c>
      <x:c r="I714" s="2" t="str">
        <x:v>むなしい</x:v>
      </x:c>
      <x:c r="J714" s="8" t="str">
        <x:v>허무하다, 헛되다</x:v>
      </x:c>
      <x:c r="K714" s="2" t="str">
        <x:v>adjective</x:v>
      </x:c>
      <x:c r="L714" s="9" t="n">
        <x:v>2.49</x:v>
      </x:c>
      <x:c r="M714" s="2" t="str">
        <x:v>없음</x:v>
      </x:c>
      <x:c r="N714" s="11" t="n">
        <x:v>6</x:v>
      </x:c>
      <x:c r="O714" s="8" t="str">
        <x:v>일반 사용 빈도 낮음(Zipf ≤ 2.5); 검증된 예문 없음; 기존 데이터의 한국어 콘텐츠 보강 필요 태그</x:v>
      </x:c>
      <x:c r="P714" s="8" t="str">
        <x:v>frequency_le_2_5,no_example,weak_legacy_content</x:v>
      </x:c>
      <x:c r="Q714" s="2" t="str"/>
      <x:c r="R714" s="2" t="str"/>
      <x:c r="S714" s="2" t="str"/>
      <x:c r="T714" s="2" t="str"/>
      <x:c r="U714" s="2" t="str"/>
      <x:c r="V714" s="2" t="str">
        <x:v>아니오</x:v>
      </x:c>
      <x:c r="W714" s="2" t="str">
        <x:v>예</x:v>
      </x:c>
      <x:c r="X714" s="2" t="str">
        <x:v>ichi1,spec1</x:v>
      </x:c>
      <x:c r="Y714" s="2" t="n">
        <x:v>100</x:v>
      </x:c>
      <x:c r="Z714" s="2" t="str">
        <x:v>ichi1</x:v>
      </x:c>
      <x:c r="AA714" s="2" t="n">
        <x:v>100</x:v>
      </x:c>
      <x:c r="AB714" s="8" t="str"/>
      <x:c r="AC714" s="8" t="str"/>
      <x:c r="AD714" s="8" t="str">
        <x:v>["draft-ko-missing"]</x:v>
      </x:c>
      <x:c r="AE714" s="8" t="str">
        <x:v>검토 필요</x:v>
      </x:c>
      <x:c r="AF714" s="8" t="str"/>
    </x:row>
    <x:row r="715">
      <x:c r="A715" s="10" t="n">
        <x:v>714</x:v>
      </x:c>
      <x:c r="B715" s="2" t="str">
        <x:v>2차 보류</x:v>
      </x:c>
      <x:c r="C715" s="2" t="str">
        <x:v>2차 보류</x:v>
      </x:c>
      <x:c r="D715" s="2" t="str">
        <x:v>낮음</x:v>
      </x:c>
      <x:c r="E715" s="2" t="str">
        <x:v>N2</x:v>
      </x:c>
      <x:c r="F715" s="10" t="n">
        <x:v>263</x:v>
      </x:c>
      <x:c r="G715" s="2" t="str">
        <x:v>w_004f79db367ab175</x:v>
      </x:c>
      <x:c r="H715" s="2" t="str">
        <x:v>驚かす</x:v>
      </x:c>
      <x:c r="I715" s="2" t="str">
        <x:v>おどろかす</x:v>
      </x:c>
      <x:c r="J715" s="8" t="str">
        <x:v>놀라게 하다</x:v>
      </x:c>
      <x:c r="K715" s="2" t="str">
        <x:v>verb</x:v>
      </x:c>
      <x:c r="L715" s="9" t="n">
        <x:v>2.5</x:v>
      </x:c>
      <x:c r="M715" s="2" t="str">
        <x:v>없음</x:v>
      </x:c>
      <x:c r="N715" s="11" t="n">
        <x:v>6</x:v>
      </x:c>
      <x:c r="O715" s="8" t="str">
        <x:v>일반 사용 빈도 낮음(Zipf ≤ 2.5); 검증된 예문 없음; 기존 데이터의 한국어 콘텐츠 보강 필요 태그</x:v>
      </x:c>
      <x:c r="P715" s="8" t="str">
        <x:v>frequency_le_2_5,no_example,weak_legacy_content</x:v>
      </x:c>
      <x:c r="Q715" s="2" t="str"/>
      <x:c r="R715" s="2" t="str"/>
      <x:c r="S715" s="2" t="str"/>
      <x:c r="T715" s="2" t="str"/>
      <x:c r="U715" s="2" t="str"/>
      <x:c r="V715" s="2" t="str">
        <x:v>아니오</x:v>
      </x:c>
      <x:c r="W715" s="2" t="str">
        <x:v>예</x:v>
      </x:c>
      <x:c r="X715" s="2" t="str">
        <x:v>ichi1,news1,nf16</x:v>
      </x:c>
      <x:c r="Y715" s="2" t="n">
        <x:v>100</x:v>
      </x:c>
      <x:c r="Z715" s="2" t="str">
        <x:v>ichi1,news1,nf16</x:v>
      </x:c>
      <x:c r="AA715" s="2" t="n">
        <x:v>100</x:v>
      </x:c>
      <x:c r="AB715" s="8" t="str"/>
      <x:c r="AC715" s="8" t="str"/>
      <x:c r="AD715" s="8" t="str">
        <x:v>["draft-ko-missing"]</x:v>
      </x:c>
      <x:c r="AE715" s="8" t="str">
        <x:v>검토 필요</x:v>
      </x:c>
      <x:c r="AF715" s="8" t="str"/>
    </x:row>
    <x:row r="716">
      <x:c r="A716" s="10" t="n">
        <x:v>715</x:v>
      </x:c>
      <x:c r="B716" s="2" t="str">
        <x:v>2차 보류</x:v>
      </x:c>
      <x:c r="C716" s="2" t="str">
        <x:v>2차 보류</x:v>
      </x:c>
      <x:c r="D716" s="2" t="str">
        <x:v>낮음</x:v>
      </x:c>
      <x:c r="E716" s="2" t="str">
        <x:v>N2</x:v>
      </x:c>
      <x:c r="F716" s="10" t="n">
        <x:v>264</x:v>
      </x:c>
      <x:c r="G716" s="2" t="str">
        <x:v>w_f64428ab29ecd12d</x:v>
      </x:c>
      <x:c r="H716" s="2" t="str">
        <x:v>挟まる</x:v>
      </x:c>
      <x:c r="I716" s="2" t="str">
        <x:v>はさまる</x:v>
      </x:c>
      <x:c r="J716" s="8" t="str">
        <x:v>끼이다</x:v>
      </x:c>
      <x:c r="K716" s="2" t="str">
        <x:v>verb</x:v>
      </x:c>
      <x:c r="L716" s="9" t="n">
        <x:v>2.52</x:v>
      </x:c>
      <x:c r="M716" s="2" t="str">
        <x:v>없음</x:v>
      </x:c>
      <x:c r="N716" s="11" t="n">
        <x:v>6</x:v>
      </x:c>
      <x:c r="O716" s="8" t="str">
        <x:v>일반 사용 빈도 낮은 편(Zipf ≤ 3.0); 검증된 예문 없음</x:v>
      </x:c>
      <x:c r="P716" s="8" t="str">
        <x:v>frequency_le_3_0,no_example</x:v>
      </x:c>
      <x:c r="Q716" s="2" t="str"/>
      <x:c r="R716" s="2" t="str"/>
      <x:c r="S716" s="2" t="str"/>
      <x:c r="T716" s="2" t="str"/>
      <x:c r="U716" s="2" t="str"/>
      <x:c r="V716" s="2" t="str">
        <x:v>아니오</x:v>
      </x:c>
      <x:c r="W716" s="2" t="str">
        <x:v>예</x:v>
      </x:c>
      <x:c r="X716" s="2" t="str">
        <x:v>news2,nf36,spec2</x:v>
      </x:c>
      <x:c r="Y716" s="2" t="n">
        <x:v>70</x:v>
      </x:c>
      <x:c r="Z716" s="2" t="str">
        <x:v>news2,nf36,spec2</x:v>
      </x:c>
      <x:c r="AA716" s="2" t="n">
        <x:v>70</x:v>
      </x:c>
      <x:c r="AB716" s="8" t="str"/>
      <x:c r="AC716" s="8" t="str"/>
      <x:c r="AD716" s="8" t="str">
        <x:v>["ko-reviewed"]</x:v>
      </x:c>
      <x:c r="AE716" s="8" t="str">
        <x:v>검토 필요</x:v>
      </x:c>
      <x:c r="AF716" s="8" t="str"/>
    </x:row>
    <x:row r="717">
      <x:c r="A717" s="10" t="n">
        <x:v>716</x:v>
      </x:c>
      <x:c r="B717" s="2" t="str">
        <x:v>2차 보류</x:v>
      </x:c>
      <x:c r="C717" s="2" t="str">
        <x:v>2차 보류</x:v>
      </x:c>
      <x:c r="D717" s="2" t="str">
        <x:v>낮음</x:v>
      </x:c>
      <x:c r="E717" s="2" t="str">
        <x:v>N1</x:v>
      </x:c>
      <x:c r="F717" s="10" t="n">
        <x:v>296</x:v>
      </x:c>
      <x:c r="G717" s="2" t="str">
        <x:v>w_2619d027d77a983f</x:v>
      </x:c>
      <x:c r="H717" s="2" t="str">
        <x:v>転任</x:v>
      </x:c>
      <x:c r="I717" s="2" t="str">
        <x:v>てんにん</x:v>
      </x:c>
      <x:c r="J717" s="8" t="str">
        <x:v>전임, 전근</x:v>
      </x:c>
      <x:c r="K717" s="2" t="str">
        <x:v>noun</x:v>
      </x:c>
      <x:c r="L717" s="9" t="n">
        <x:v>2.52</x:v>
      </x:c>
      <x:c r="M717" s="2" t="str">
        <x:v>없음</x:v>
      </x:c>
      <x:c r="N717" s="11" t="n">
        <x:v>6</x:v>
      </x:c>
      <x:c r="O717" s="8" t="str">
        <x:v>일반 사용 빈도 낮은 편(Zipf ≤ 3.0); 검증된 예문 없음</x:v>
      </x:c>
      <x:c r="P717" s="8" t="str">
        <x:v>frequency_le_3_0,no_example</x:v>
      </x:c>
      <x:c r="Q717" s="2" t="str"/>
      <x:c r="R717" s="2" t="str"/>
      <x:c r="S717" s="2" t="str"/>
      <x:c r="T717" s="2" t="str"/>
      <x:c r="U717" s="2" t="str"/>
      <x:c r="V717" s="2" t="str">
        <x:v>아니오</x:v>
      </x:c>
      <x:c r="W717" s="2" t="str">
        <x:v>예</x:v>
      </x:c>
      <x:c r="X717" s="2" t="str">
        <x:v>news2,nf47,spec2</x:v>
      </x:c>
      <x:c r="Y717" s="2" t="n">
        <x:v>70</x:v>
      </x:c>
      <x:c r="Z717" s="2" t="str">
        <x:v>news2,nf47,spec2</x:v>
      </x:c>
      <x:c r="AA717" s="2" t="n">
        <x:v>70</x:v>
      </x:c>
      <x:c r="AB717" s="8" t="str"/>
      <x:c r="AC717" s="8" t="str"/>
      <x:c r="AD717" s="8" t="str">
        <x:v>["ko-reviewed"]</x:v>
      </x:c>
      <x:c r="AE717" s="8" t="str">
        <x:v>검토 필요</x:v>
      </x:c>
      <x:c r="AF717" s="8" t="str"/>
    </x:row>
    <x:row r="718">
      <x:c r="A718" s="10" t="n">
        <x:v>717</x:v>
      </x:c>
      <x:c r="B718" s="2" t="str">
        <x:v>2차 보류</x:v>
      </x:c>
      <x:c r="C718" s="2" t="str">
        <x:v>2차 보류</x:v>
      </x:c>
      <x:c r="D718" s="2" t="str">
        <x:v>낮음</x:v>
      </x:c>
      <x:c r="E718" s="2" t="str">
        <x:v>N1</x:v>
      </x:c>
      <x:c r="F718" s="10" t="n">
        <x:v>297</x:v>
      </x:c>
      <x:c r="G718" s="2" t="str">
        <x:v>w_8b10f28bdd01ec80</x:v>
      </x:c>
      <x:c r="H718" s="2" t="str">
        <x:v>興じる</x:v>
      </x:c>
      <x:c r="I718" s="2" t="str">
        <x:v>きょうじる</x:v>
      </x:c>
      <x:c r="J718" s="8" t="str">
        <x:v>즐기다, 흥겨워하다</x:v>
      </x:c>
      <x:c r="K718" s="2" t="str">
        <x:v>verb</x:v>
      </x:c>
      <x:c r="L718" s="9" t="n">
        <x:v>2.59</x:v>
      </x:c>
      <x:c r="M718" s="2" t="str">
        <x:v>없음</x:v>
      </x:c>
      <x:c r="N718" s="11" t="n">
        <x:v>6</x:v>
      </x:c>
      <x:c r="O718" s="8" t="str">
        <x:v>일반 사용 빈도 낮은 편(Zipf ≤ 3.0); 검증된 예문 없음</x:v>
      </x:c>
      <x:c r="P718" s="8" t="str">
        <x:v>frequency_le_3_0,no_example</x:v>
      </x:c>
      <x:c r="Q718" s="2" t="str"/>
      <x:c r="R718" s="2" t="str"/>
      <x:c r="S718" s="2" t="str"/>
      <x:c r="T718" s="2" t="str"/>
      <x:c r="U718" s="2" t="str"/>
      <x:c r="V718" s="2" t="str">
        <x:v>아니오</x:v>
      </x:c>
      <x:c r="W718" s="2" t="str">
        <x:v>예</x:v>
      </x:c>
      <x:c r="X718" s="2" t="str">
        <x:v>news2,nf31</x:v>
      </x:c>
      <x:c r="Y718" s="2" t="n">
        <x:v>70</x:v>
      </x:c>
      <x:c r="Z718" s="2" t="str">
        <x:v>news2,nf31</x:v>
      </x:c>
      <x:c r="AA718" s="2" t="n">
        <x:v>70</x:v>
      </x:c>
      <x:c r="AB718" s="8" t="str"/>
      <x:c r="AC718" s="8" t="str"/>
      <x:c r="AD718" s="8" t="str">
        <x:v>["ko-reviewed"]</x:v>
      </x:c>
      <x:c r="AE718" s="8" t="str">
        <x:v>검토 필요</x:v>
      </x:c>
      <x:c r="AF718" s="8" t="str"/>
    </x:row>
    <x:row r="719">
      <x:c r="A719" s="10" t="n">
        <x:v>718</x:v>
      </x:c>
      <x:c r="B719" s="2" t="str">
        <x:v>2차 보류</x:v>
      </x:c>
      <x:c r="C719" s="2" t="str">
        <x:v>2차 보류</x:v>
      </x:c>
      <x:c r="D719" s="2" t="str">
        <x:v>낮음</x:v>
      </x:c>
      <x:c r="E719" s="2" t="str">
        <x:v>N1</x:v>
      </x:c>
      <x:c r="F719" s="10" t="n">
        <x:v>298</x:v>
      </x:c>
      <x:c r="G719" s="2" t="str">
        <x:v>w_70b6884ae5973a56</x:v>
      </x:c>
      <x:c r="H719" s="2" t="str">
        <x:v>和文</x:v>
      </x:c>
      <x:c r="I719" s="2" t="str">
        <x:v>わぶん</x:v>
      </x:c>
      <x:c r="J719" s="8" t="str">
        <x:v>일본어 글, 일문</x:v>
      </x:c>
      <x:c r="K719" s="2" t="str">
        <x:v>noun</x:v>
      </x:c>
      <x:c r="L719" s="9" t="n">
        <x:v>2.61</x:v>
      </x:c>
      <x:c r="M719" s="2" t="str">
        <x:v>없음</x:v>
      </x:c>
      <x:c r="N719" s="11" t="n">
        <x:v>6</x:v>
      </x:c>
      <x:c r="O719" s="8" t="str">
        <x:v>일반 사용 빈도 낮은 편(Zipf ≤ 3.0); 검증된 예문 없음</x:v>
      </x:c>
      <x:c r="P719" s="8" t="str">
        <x:v>frequency_le_3_0,no_example</x:v>
      </x:c>
      <x:c r="Q719" s="2" t="str"/>
      <x:c r="R719" s="2" t="str"/>
      <x:c r="S719" s="2" t="str"/>
      <x:c r="T719" s="2" t="str"/>
      <x:c r="U719" s="2" t="str"/>
      <x:c r="V719" s="2" t="str">
        <x:v>아니오</x:v>
      </x:c>
      <x:c r="W719" s="2" t="str">
        <x:v>예</x:v>
      </x:c>
      <x:c r="X719" s="2" t="str">
        <x:v>news2,nf34,spec2</x:v>
      </x:c>
      <x:c r="Y719" s="2" t="n">
        <x:v>70</x:v>
      </x:c>
      <x:c r="Z719" s="2" t="str">
        <x:v>news2,nf34,spec2</x:v>
      </x:c>
      <x:c r="AA719" s="2" t="n">
        <x:v>70</x:v>
      </x:c>
      <x:c r="AB719" s="8" t="str"/>
      <x:c r="AC719" s="8" t="str"/>
      <x:c r="AD719" s="8" t="str">
        <x:v>["ko-reviewed"]</x:v>
      </x:c>
      <x:c r="AE719" s="8" t="str">
        <x:v>검토 필요</x:v>
      </x:c>
      <x:c r="AF719" s="8" t="str"/>
    </x:row>
    <x:row r="720">
      <x:c r="A720" s="10" t="n">
        <x:v>719</x:v>
      </x:c>
      <x:c r="B720" s="2" t="str">
        <x:v>2차 보류</x:v>
      </x:c>
      <x:c r="C720" s="2" t="str">
        <x:v>2차 보류</x:v>
      </x:c>
      <x:c r="D720" s="2" t="str">
        <x:v>낮음</x:v>
      </x:c>
      <x:c r="E720" s="2" t="str">
        <x:v>N1</x:v>
      </x:c>
      <x:c r="F720" s="10" t="n">
        <x:v>299</x:v>
      </x:c>
      <x:c r="G720" s="2" t="str">
        <x:v>w_99900cfb8a81d079</x:v>
      </x:c>
      <x:c r="H720" s="2" t="str">
        <x:v>聴診器</x:v>
      </x:c>
      <x:c r="I720" s="2" t="str">
        <x:v>ちょうしんき</x:v>
      </x:c>
      <x:c r="J720" s="8" t="str">
        <x:v>청진기</x:v>
      </x:c>
      <x:c r="K720" s="2" t="str">
        <x:v>noun</x:v>
      </x:c>
      <x:c r="L720" s="9" t="n">
        <x:v>2.66</x:v>
      </x:c>
      <x:c r="M720" s="2" t="str">
        <x:v>없음</x:v>
      </x:c>
      <x:c r="N720" s="11" t="n">
        <x:v>6</x:v>
      </x:c>
      <x:c r="O720" s="8" t="str">
        <x:v>일반 사용 빈도 낮은 편(Zipf ≤ 3.0); 검증된 예문 없음</x:v>
      </x:c>
      <x:c r="P720" s="8" t="str">
        <x:v>frequency_le_3_0,no_example</x:v>
      </x:c>
      <x:c r="Q720" s="2" t="str"/>
      <x:c r="R720" s="2" t="str"/>
      <x:c r="S720" s="2" t="str"/>
      <x:c r="T720" s="2" t="str"/>
      <x:c r="U720" s="2" t="str"/>
      <x:c r="V720" s="2" t="str">
        <x:v>아니오</x:v>
      </x:c>
      <x:c r="W720" s="2" t="str">
        <x:v>예</x:v>
      </x:c>
      <x:c r="X720" s="2" t="str">
        <x:v>news2,nf41</x:v>
      </x:c>
      <x:c r="Y720" s="2" t="n">
        <x:v>70</x:v>
      </x:c>
      <x:c r="Z720" s="2" t="str">
        <x:v>news2,nf41</x:v>
      </x:c>
      <x:c r="AA720" s="2" t="n">
        <x:v>70</x:v>
      </x:c>
      <x:c r="AB720" s="8" t="str"/>
      <x:c r="AC720" s="8" t="str"/>
      <x:c r="AD720" s="8" t="str">
        <x:v>["ko-reviewed"]</x:v>
      </x:c>
      <x:c r="AE720" s="8" t="str">
        <x:v>검토 필요</x:v>
      </x:c>
      <x:c r="AF720" s="8" t="str"/>
    </x:row>
    <x:row r="721">
      <x:c r="A721" s="10" t="n">
        <x:v>720</x:v>
      </x:c>
      <x:c r="B721" s="2" t="str">
        <x:v>2차 보류</x:v>
      </x:c>
      <x:c r="C721" s="2" t="str">
        <x:v>2차 보류</x:v>
      </x:c>
      <x:c r="D721" s="2" t="str">
        <x:v>낮음</x:v>
      </x:c>
      <x:c r="E721" s="2" t="str">
        <x:v>N1</x:v>
      </x:c>
      <x:c r="F721" s="10" t="n">
        <x:v>300</x:v>
      </x:c>
      <x:c r="G721" s="2" t="str">
        <x:v>w_fd095906e18e916f</x:v>
      </x:c>
      <x:c r="H721" s="2" t="str">
        <x:v>浮力</x:v>
      </x:c>
      <x:c r="I721" s="2" t="str">
        <x:v>ふりょく</x:v>
      </x:c>
      <x:c r="J721" s="8" t="str">
        <x:v>부력</x:v>
      </x:c>
      <x:c r="K721" s="2" t="str">
        <x:v>noun</x:v>
      </x:c>
      <x:c r="L721" s="9" t="n">
        <x:v>2.71</x:v>
      </x:c>
      <x:c r="M721" s="2" t="str">
        <x:v>없음</x:v>
      </x:c>
      <x:c r="N721" s="11" t="n">
        <x:v>6</x:v>
      </x:c>
      <x:c r="O721" s="8" t="str">
        <x:v>일반 사용 빈도 낮은 편(Zipf ≤ 3.0); 검증된 예문 없음</x:v>
      </x:c>
      <x:c r="P721" s="8" t="str">
        <x:v>frequency_le_3_0,no_example</x:v>
      </x:c>
      <x:c r="Q721" s="2" t="str"/>
      <x:c r="R721" s="2" t="str"/>
      <x:c r="S721" s="2" t="str"/>
      <x:c r="T721" s="2" t="str"/>
      <x:c r="U721" s="2" t="str"/>
      <x:c r="V721" s="2" t="str">
        <x:v>아니오</x:v>
      </x:c>
      <x:c r="W721" s="2" t="str">
        <x:v>예</x:v>
      </x:c>
      <x:c r="X721" s="2" t="str">
        <x:v>news2,nf33</x:v>
      </x:c>
      <x:c r="Y721" s="2" t="n">
        <x:v>70</x:v>
      </x:c>
      <x:c r="Z721" s="2" t="str">
        <x:v>news2,nf33</x:v>
      </x:c>
      <x:c r="AA721" s="2" t="n">
        <x:v>70</x:v>
      </x:c>
      <x:c r="AB721" s="8" t="str"/>
      <x:c r="AC721" s="8" t="str"/>
      <x:c r="AD721" s="8" t="str">
        <x:v>["ko-reviewed"]</x:v>
      </x:c>
      <x:c r="AE721" s="8" t="str">
        <x:v>검토 필요</x:v>
      </x:c>
      <x:c r="AF721" s="8" t="str"/>
    </x:row>
    <x:row r="722">
      <x:c r="A722" s="10" t="n">
        <x:v>721</x:v>
      </x:c>
      <x:c r="B722" s="2" t="str">
        <x:v>2차 보류</x:v>
      </x:c>
      <x:c r="C722" s="2" t="str">
        <x:v>2차 보류</x:v>
      </x:c>
      <x:c r="D722" s="2" t="str">
        <x:v>낮음</x:v>
      </x:c>
      <x:c r="E722" s="2" t="str">
        <x:v>N1</x:v>
      </x:c>
      <x:c r="F722" s="10" t="n">
        <x:v>301</x:v>
      </x:c>
      <x:c r="G722" s="2" t="str">
        <x:v>w_88a513b6fae7a32e</x:v>
      </x:c>
      <x:c r="H722" s="2" t="str">
        <x:v>宙返り</x:v>
      </x:c>
      <x:c r="I722" s="2" t="str">
        <x:v>ちゅうがえり</x:v>
      </x:c>
      <x:c r="J722" s="8" t="str">
        <x:v>공중제비</x:v>
      </x:c>
      <x:c r="K722" s="2" t="str">
        <x:v>noun</x:v>
      </x:c>
      <x:c r="L722" s="9" t="n">
        <x:v>2.77</x:v>
      </x:c>
      <x:c r="M722" s="2" t="str">
        <x:v>없음</x:v>
      </x:c>
      <x:c r="N722" s="11" t="n">
        <x:v>6</x:v>
      </x:c>
      <x:c r="O722" s="8" t="str">
        <x:v>일반 사용 빈도 낮은 편(Zipf ≤ 3.0); 검증된 예문 없음</x:v>
      </x:c>
      <x:c r="P722" s="8" t="str">
        <x:v>frequency_le_3_0,no_example</x:v>
      </x:c>
      <x:c r="Q722" s="2" t="str"/>
      <x:c r="R722" s="2" t="str"/>
      <x:c r="S722" s="2" t="str"/>
      <x:c r="T722" s="2" t="str"/>
      <x:c r="U722" s="2" t="str"/>
      <x:c r="V722" s="2" t="str">
        <x:v>아니오</x:v>
      </x:c>
      <x:c r="W722" s="2" t="str">
        <x:v>예</x:v>
      </x:c>
      <x:c r="X722" s="2" t="str">
        <x:v>news2,nf26,spec2</x:v>
      </x:c>
      <x:c r="Y722" s="2" t="n">
        <x:v>70</x:v>
      </x:c>
      <x:c r="Z722" s="2" t="str">
        <x:v>news2,nf26,spec2</x:v>
      </x:c>
      <x:c r="AA722" s="2" t="n">
        <x:v>70</x:v>
      </x:c>
      <x:c r="AB722" s="8" t="str"/>
      <x:c r="AC722" s="8" t="str"/>
      <x:c r="AD722" s="8" t="str">
        <x:v>["ko-reviewed"]</x:v>
      </x:c>
      <x:c r="AE722" s="8" t="str">
        <x:v>검토 필요</x:v>
      </x:c>
      <x:c r="AF722" s="8" t="str"/>
    </x:row>
    <x:row r="723">
      <x:c r="A723" s="10" t="n">
        <x:v>722</x:v>
      </x:c>
      <x:c r="B723" s="2" t="str">
        <x:v>2차 보류</x:v>
      </x:c>
      <x:c r="C723" s="2" t="str">
        <x:v>2차 보류</x:v>
      </x:c>
      <x:c r="D723" s="2" t="str">
        <x:v>낮음</x:v>
      </x:c>
      <x:c r="E723" s="2" t="str">
        <x:v>N1</x:v>
      </x:c>
      <x:c r="F723" s="10" t="n">
        <x:v>302</x:v>
      </x:c>
      <x:c r="G723" s="2" t="str">
        <x:v>w_cd63a3ea9196e153</x:v>
      </x:c>
      <x:c r="H723" s="2" t="str">
        <x:v>結び付ける</x:v>
      </x:c>
      <x:c r="I723" s="2" t="str">
        <x:v>むすびつける</x:v>
      </x:c>
      <x:c r="J723" s="8" t="str">
        <x:v>묶다, 연결하다</x:v>
      </x:c>
      <x:c r="K723" s="2" t="str">
        <x:v>verb</x:v>
      </x:c>
      <x:c r="L723" s="9" t="n">
        <x:v>2.79</x:v>
      </x:c>
      <x:c r="M723" s="2" t="str">
        <x:v>없음</x:v>
      </x:c>
      <x:c r="N723" s="11" t="n">
        <x:v>6</x:v>
      </x:c>
      <x:c r="O723" s="8" t="str">
        <x:v>일반 사용 빈도 낮은 편(Zipf ≤ 3.0); 검증된 예문 없음</x:v>
      </x:c>
      <x:c r="P723" s="8" t="str">
        <x:v>frequency_le_3_0,no_example</x:v>
      </x:c>
      <x:c r="Q723" s="2" t="str"/>
      <x:c r="R723" s="2" t="str"/>
      <x:c r="S723" s="2" t="str"/>
      <x:c r="T723" s="2" t="str"/>
      <x:c r="U723" s="2" t="str"/>
      <x:c r="V723" s="2" t="str">
        <x:v>아니오</x:v>
      </x:c>
      <x:c r="W723" s="2" t="str">
        <x:v>예</x:v>
      </x:c>
      <x:c r="X723" s="2" t="str">
        <x:v>news2,nf41</x:v>
      </x:c>
      <x:c r="Y723" s="2" t="n">
        <x:v>70</x:v>
      </x:c>
      <x:c r="Z723" s="2" t="str"/>
      <x:c r="AA723" s="2" t="n">
        <x:v>0</x:v>
      </x:c>
      <x:c r="AB723" s="8" t="str"/>
      <x:c r="AC723" s="8" t="str"/>
      <x:c r="AD723" s="8" t="str">
        <x:v>["ko-reviewed"]</x:v>
      </x:c>
      <x:c r="AE723" s="8" t="str">
        <x:v>검토 필요</x:v>
      </x:c>
      <x:c r="AF723" s="8" t="str"/>
    </x:row>
    <x:row r="724">
      <x:c r="A724" s="10" t="n">
        <x:v>723</x:v>
      </x:c>
      <x:c r="B724" s="2" t="str">
        <x:v>2차 보류</x:v>
      </x:c>
      <x:c r="C724" s="2" t="str">
        <x:v>2차 보류</x:v>
      </x:c>
      <x:c r="D724" s="2" t="str">
        <x:v>낮음</x:v>
      </x:c>
      <x:c r="E724" s="2" t="str">
        <x:v>N2</x:v>
      </x:c>
      <x:c r="F724" s="10" t="n">
        <x:v>265</x:v>
      </x:c>
      <x:c r="G724" s="2" t="str">
        <x:v>w_1c5469d468c7bdf7</x:v>
      </x:c>
      <x:c r="H724" s="2" t="str">
        <x:v>部首</x:v>
      </x:c>
      <x:c r="I724" s="2" t="str">
        <x:v>ぶしゅ</x:v>
      </x:c>
      <x:c r="J724" s="8" t="str">
        <x:v>부수</x:v>
      </x:c>
      <x:c r="K724" s="2" t="str">
        <x:v>noun</x:v>
      </x:c>
      <x:c r="L724" s="9" t="n">
        <x:v>2.8</x:v>
      </x:c>
      <x:c r="M724" s="2" t="str">
        <x:v>없음</x:v>
      </x:c>
      <x:c r="N724" s="11" t="n">
        <x:v>6</x:v>
      </x:c>
      <x:c r="O724" s="8" t="str">
        <x:v>일반 사용 빈도 낮은 편(Zipf ≤ 3.0); 검증된 예문 없음</x:v>
      </x:c>
      <x:c r="P724" s="8" t="str">
        <x:v>frequency_le_3_0,no_example</x:v>
      </x:c>
      <x:c r="Q724" s="2" t="str"/>
      <x:c r="R724" s="2" t="str"/>
      <x:c r="S724" s="2" t="str"/>
      <x:c r="T724" s="2" t="str"/>
      <x:c r="U724" s="2" t="str"/>
      <x:c r="V724" s="2" t="str">
        <x:v>아니오</x:v>
      </x:c>
      <x:c r="W724" s="2" t="str">
        <x:v>예</x:v>
      </x:c>
      <x:c r="X724" s="2" t="str">
        <x:v>news2,nf44,spec2</x:v>
      </x:c>
      <x:c r="Y724" s="2" t="n">
        <x:v>70</x:v>
      </x:c>
      <x:c r="Z724" s="2" t="str">
        <x:v>news2,nf44,spec2</x:v>
      </x:c>
      <x:c r="AA724" s="2" t="n">
        <x:v>70</x:v>
      </x:c>
      <x:c r="AB724" s="8" t="str"/>
      <x:c r="AC724" s="8" t="str"/>
      <x:c r="AD724" s="8" t="str">
        <x:v>["ko-reviewed"]</x:v>
      </x:c>
      <x:c r="AE724" s="8" t="str">
        <x:v>검토 필요</x:v>
      </x:c>
      <x:c r="AF724" s="8" t="str"/>
    </x:row>
    <x:row r="725">
      <x:c r="A725" s="10" t="n">
        <x:v>724</x:v>
      </x:c>
      <x:c r="B725" s="2" t="str">
        <x:v>2차 보류</x:v>
      </x:c>
      <x:c r="C725" s="2" t="str">
        <x:v>2차 보류</x:v>
      </x:c>
      <x:c r="D725" s="2" t="str">
        <x:v>낮음</x:v>
      </x:c>
      <x:c r="E725" s="2" t="str">
        <x:v>N1</x:v>
      </x:c>
      <x:c r="F725" s="10" t="n">
        <x:v>303</x:v>
      </x:c>
      <x:c r="G725" s="2" t="str">
        <x:v>w_114fe9cd24cfcb56</x:v>
      </x:c>
      <x:c r="H725" s="2" t="str">
        <x:v>整然</x:v>
      </x:c>
      <x:c r="I725" s="2" t="str">
        <x:v>せいぜん</x:v>
      </x:c>
      <x:c r="J725" s="8" t="str">
        <x:v>정연함</x:v>
      </x:c>
      <x:c r="K725" s="2" t="str">
        <x:v>adjective</x:v>
      </x:c>
      <x:c r="L725" s="9" t="n">
        <x:v>2.8</x:v>
      </x:c>
      <x:c r="M725" s="2" t="str">
        <x:v>없음</x:v>
      </x:c>
      <x:c r="N725" s="11" t="n">
        <x:v>6</x:v>
      </x:c>
      <x:c r="O725" s="8" t="str">
        <x:v>일반 사용 빈도 낮은 편(Zipf ≤ 3.0); 검증된 예문 없음</x:v>
      </x:c>
      <x:c r="P725" s="8" t="str">
        <x:v>frequency_le_3_0,no_example</x:v>
      </x:c>
      <x:c r="Q725" s="2" t="str"/>
      <x:c r="R725" s="2" t="str"/>
      <x:c r="S725" s="2" t="str"/>
      <x:c r="T725" s="2" t="str"/>
      <x:c r="U725" s="2" t="str"/>
      <x:c r="V725" s="2" t="str">
        <x:v>아니오</x:v>
      </x:c>
      <x:c r="W725" s="2" t="str">
        <x:v>예</x:v>
      </x:c>
      <x:c r="X725" s="2" t="str">
        <x:v>news2,nf32</x:v>
      </x:c>
      <x:c r="Y725" s="2" t="n">
        <x:v>70</x:v>
      </x:c>
      <x:c r="Z725" s="2" t="str">
        <x:v>news2,nf32</x:v>
      </x:c>
      <x:c r="AA725" s="2" t="n">
        <x:v>70</x:v>
      </x:c>
      <x:c r="AB725" s="8" t="str"/>
      <x:c r="AC725" s="8" t="str"/>
      <x:c r="AD725" s="8" t="str">
        <x:v>["ko-reviewed"]</x:v>
      </x:c>
      <x:c r="AE725" s="8" t="str">
        <x:v>검토 필요</x:v>
      </x:c>
      <x:c r="AF725" s="8" t="str"/>
    </x:row>
    <x:row r="726">
      <x:c r="A726" s="10" t="n">
        <x:v>725</x:v>
      </x:c>
      <x:c r="B726" s="2" t="str">
        <x:v>2차 보류</x:v>
      </x:c>
      <x:c r="C726" s="2" t="str">
        <x:v>2차 보류</x:v>
      </x:c>
      <x:c r="D726" s="2" t="str">
        <x:v>낮음</x:v>
      </x:c>
      <x:c r="E726" s="2" t="str">
        <x:v>N2</x:v>
      </x:c>
      <x:c r="F726" s="10" t="n">
        <x:v>266</x:v>
      </x:c>
      <x:c r="G726" s="2" t="str">
        <x:v>w_fb56ee0f5fb82c5c</x:v>
      </x:c>
      <x:c r="H726" s="2" t="str">
        <x:v>正味</x:v>
      </x:c>
      <x:c r="I726" s="2" t="str">
        <x:v>しょうみ</x:v>
      </x:c>
      <x:c r="J726" s="8" t="str">
        <x:v>정량; 순수한 양</x:v>
      </x:c>
      <x:c r="K726" s="2" t="str">
        <x:v>adjective</x:v>
      </x:c>
      <x:c r="L726" s="9" t="n">
        <x:v>2.85</x:v>
      </x:c>
      <x:c r="M726" s="2" t="str">
        <x:v>없음</x:v>
      </x:c>
      <x:c r="N726" s="11" t="n">
        <x:v>6</x:v>
      </x:c>
      <x:c r="O726" s="8" t="str">
        <x:v>일반 사용 빈도 낮은 편(Zipf ≤ 3.0); 검증된 예문 없음</x:v>
      </x:c>
      <x:c r="P726" s="8" t="str">
        <x:v>frequency_le_3_0,no_example</x:v>
      </x:c>
      <x:c r="Q726" s="2" t="str"/>
      <x:c r="R726" s="2" t="str"/>
      <x:c r="S726" s="2" t="str"/>
      <x:c r="T726" s="2" t="str"/>
      <x:c r="U726" s="2" t="str"/>
      <x:c r="V726" s="2" t="str">
        <x:v>아니오</x:v>
      </x:c>
      <x:c r="W726" s="2" t="str">
        <x:v>예</x:v>
      </x:c>
      <x:c r="X726" s="2" t="str">
        <x:v>news2,nf28,spec2</x:v>
      </x:c>
      <x:c r="Y726" s="2" t="n">
        <x:v>70</x:v>
      </x:c>
      <x:c r="Z726" s="2" t="str">
        <x:v>news2,nf28,spec2</x:v>
      </x:c>
      <x:c r="AA726" s="2" t="n">
        <x:v>70</x:v>
      </x:c>
      <x:c r="AB726" s="8" t="str"/>
      <x:c r="AC726" s="8" t="str"/>
      <x:c r="AD726" s="8" t="str">
        <x:v>["ko-reviewed"]</x:v>
      </x:c>
      <x:c r="AE726" s="8" t="str">
        <x:v>검토 필요</x:v>
      </x:c>
      <x:c r="AF726" s="8" t="str"/>
    </x:row>
    <x:row r="727">
      <x:c r="A727" s="10" t="n">
        <x:v>726</x:v>
      </x:c>
      <x:c r="B727" s="2" t="str">
        <x:v>2차 보류</x:v>
      </x:c>
      <x:c r="C727" s="2" t="str">
        <x:v>2차 보류</x:v>
      </x:c>
      <x:c r="D727" s="2" t="str">
        <x:v>낮음</x:v>
      </x:c>
      <x:c r="E727" s="2" t="str">
        <x:v>N2</x:v>
      </x:c>
      <x:c r="F727" s="10" t="n">
        <x:v>267</x:v>
      </x:c>
      <x:c r="G727" s="2" t="str">
        <x:v>w_7423c8d2548d48c3</x:v>
      </x:c>
      <x:c r="H727" s="2" t="str">
        <x:v>習字</x:v>
      </x:c>
      <x:c r="I727" s="2" t="str">
        <x:v>しゅうじ</x:v>
      </x:c>
      <x:c r="J727" s="8" t="str">
        <x:v>습자, 서예</x:v>
      </x:c>
      <x:c r="K727" s="2" t="str">
        <x:v>noun</x:v>
      </x:c>
      <x:c r="L727" s="9" t="n">
        <x:v>2.95</x:v>
      </x:c>
      <x:c r="M727" s="2" t="str">
        <x:v>없음</x:v>
      </x:c>
      <x:c r="N727" s="11" t="n">
        <x:v>6</x:v>
      </x:c>
      <x:c r="O727" s="8" t="str">
        <x:v>일반 사용 빈도 낮은 편(Zipf ≤ 3.0); 검증된 예문 없음</x:v>
      </x:c>
      <x:c r="P727" s="8" t="str">
        <x:v>frequency_le_3_0,no_example</x:v>
      </x:c>
      <x:c r="Q727" s="2" t="str"/>
      <x:c r="R727" s="2" t="str"/>
      <x:c r="S727" s="2" t="str"/>
      <x:c r="T727" s="2" t="str"/>
      <x:c r="U727" s="2" t="str"/>
      <x:c r="V727" s="2" t="str">
        <x:v>아니오</x:v>
      </x:c>
      <x:c r="W727" s="2" t="str">
        <x:v>예</x:v>
      </x:c>
      <x:c r="X727" s="2" t="str">
        <x:v>news2,nf28,spec2</x:v>
      </x:c>
      <x:c r="Y727" s="2" t="n">
        <x:v>70</x:v>
      </x:c>
      <x:c r="Z727" s="2" t="str">
        <x:v>news2,nf28,spec2</x:v>
      </x:c>
      <x:c r="AA727" s="2" t="n">
        <x:v>70</x:v>
      </x:c>
      <x:c r="AB727" s="8" t="str"/>
      <x:c r="AC727" s="8" t="str"/>
      <x:c r="AD727" s="8" t="str">
        <x:v>["ko-reviewed"]</x:v>
      </x:c>
      <x:c r="AE727" s="8" t="str">
        <x:v>검토 필요</x:v>
      </x:c>
      <x:c r="AF727" s="8" t="str"/>
    </x:row>
    <x:row r="728">
      <x:c r="A728" s="10" t="n">
        <x:v>727</x:v>
      </x:c>
      <x:c r="B728" s="2" t="str">
        <x:v>2차 보류</x:v>
      </x:c>
      <x:c r="C728" s="2" t="str">
        <x:v>2차 보류</x:v>
      </x:c>
      <x:c r="D728" s="2" t="str">
        <x:v>낮음</x:v>
      </x:c>
      <x:c r="E728" s="2" t="str">
        <x:v>N2</x:v>
      </x:c>
      <x:c r="F728" s="10" t="n">
        <x:v>268</x:v>
      </x:c>
      <x:c r="G728" s="2" t="str">
        <x:v>w_126432ddc17ee8df</x:v>
      </x:c>
      <x:c r="H728" s="2" t="str">
        <x:v>足袋</x:v>
      </x:c>
      <x:c r="I728" s="2" t="str">
        <x:v>たび</x:v>
      </x:c>
      <x:c r="J728" s="8" t="str">
        <x:v>다비(일본식 버선)</x:v>
      </x:c>
      <x:c r="K728" s="2" t="str">
        <x:v>noun</x:v>
      </x:c>
      <x:c r="L728" s="9" t="n">
        <x:v>2.96</x:v>
      </x:c>
      <x:c r="M728" s="2" t="str">
        <x:v>없음</x:v>
      </x:c>
      <x:c r="N728" s="11" t="n">
        <x:v>6</x:v>
      </x:c>
      <x:c r="O728" s="8" t="str">
        <x:v>일반 사용 빈도 낮은 편(Zipf ≤ 3.0); 검증된 예문 없음</x:v>
      </x:c>
      <x:c r="P728" s="8" t="str">
        <x:v>frequency_le_3_0,no_example</x:v>
      </x:c>
      <x:c r="Q728" s="2" t="str"/>
      <x:c r="R728" s="2" t="str"/>
      <x:c r="S728" s="2" t="str"/>
      <x:c r="T728" s="2" t="str"/>
      <x:c r="U728" s="2" t="str"/>
      <x:c r="V728" s="2" t="str">
        <x:v>아니오</x:v>
      </x:c>
      <x:c r="W728" s="2" t="str">
        <x:v>예</x:v>
      </x:c>
      <x:c r="X728" s="2" t="str">
        <x:v>news2,nf37,spec2</x:v>
      </x:c>
      <x:c r="Y728" s="2" t="n">
        <x:v>70</x:v>
      </x:c>
      <x:c r="Z728" s="2" t="str">
        <x:v>news2,nf37,spec2</x:v>
      </x:c>
      <x:c r="AA728" s="2" t="n">
        <x:v>70</x:v>
      </x:c>
      <x:c r="AB728" s="8" t="str"/>
      <x:c r="AC728" s="8" t="str"/>
      <x:c r="AD728" s="8" t="str">
        <x:v>["ko-reviewed"]</x:v>
      </x:c>
      <x:c r="AE728" s="8" t="str">
        <x:v>검토 필요</x:v>
      </x:c>
      <x:c r="AF728" s="8" t="str"/>
    </x:row>
    <x:row r="729">
      <x:c r="A729" s="10" t="n">
        <x:v>728</x:v>
      </x:c>
      <x:c r="B729" s="2" t="str">
        <x:v>2차 보류</x:v>
      </x:c>
      <x:c r="C729" s="2" t="str">
        <x:v>2차 보류</x:v>
      </x:c>
      <x:c r="D729" s="2" t="str">
        <x:v>낮음</x:v>
      </x:c>
      <x:c r="E729" s="2" t="str">
        <x:v>N1</x:v>
      </x:c>
      <x:c r="F729" s="10" t="n">
        <x:v>304</x:v>
      </x:c>
      <x:c r="G729" s="2" t="str">
        <x:v>w_d6dca37256607df4</x:v>
      </x:c>
      <x:c r="H729" s="2" t="str">
        <x:v>跡継ぎ</x:v>
      </x:c>
      <x:c r="I729" s="2" t="str">
        <x:v>あとつぎ</x:v>
      </x:c>
      <x:c r="J729" s="8" t="str">
        <x:v>후계자, 상속인</x:v>
      </x:c>
      <x:c r="K729" s="2" t="str">
        <x:v>noun</x:v>
      </x:c>
      <x:c r="L729" s="9" t="n">
        <x:v>2.96</x:v>
      </x:c>
      <x:c r="M729" s="2" t="str">
        <x:v>없음</x:v>
      </x:c>
      <x:c r="N729" s="11" t="n">
        <x:v>6</x:v>
      </x:c>
      <x:c r="O729" s="8" t="str">
        <x:v>일반 사용 빈도 낮은 편(Zipf ≤ 3.0); 검증된 예문 없음</x:v>
      </x:c>
      <x:c r="P729" s="8" t="str">
        <x:v>frequency_le_3_0,no_example</x:v>
      </x:c>
      <x:c r="Q729" s="2" t="str"/>
      <x:c r="R729" s="2" t="str"/>
      <x:c r="S729" s="2" t="str"/>
      <x:c r="T729" s="2" t="str"/>
      <x:c r="U729" s="2" t="str"/>
      <x:c r="V729" s="2" t="str">
        <x:v>아니오</x:v>
      </x:c>
      <x:c r="W729" s="2" t="str">
        <x:v>예</x:v>
      </x:c>
      <x:c r="X729" s="2" t="str">
        <x:v>news2,nf34,spec2</x:v>
      </x:c>
      <x:c r="Y729" s="2" t="n">
        <x:v>70</x:v>
      </x:c>
      <x:c r="Z729" s="2" t="str">
        <x:v>news2,nf34,spec2</x:v>
      </x:c>
      <x:c r="AA729" s="2" t="n">
        <x:v>70</x:v>
      </x:c>
      <x:c r="AB729" s="8" t="str"/>
      <x:c r="AC729" s="8" t="str"/>
      <x:c r="AD729" s="8" t="str">
        <x:v>["ko-reviewed"]</x:v>
      </x:c>
      <x:c r="AE729" s="8" t="str">
        <x:v>검토 필요</x:v>
      </x:c>
      <x:c r="AF729" s="8" t="str"/>
    </x:row>
    <x:row r="730">
      <x:c r="A730" s="10" t="n">
        <x:v>729</x:v>
      </x:c>
      <x:c r="B730" s="2" t="str">
        <x:v>2차 보류</x:v>
      </x:c>
      <x:c r="C730" s="2" t="str">
        <x:v>2차 보류</x:v>
      </x:c>
      <x:c r="D730" s="2" t="str">
        <x:v>낮음</x:v>
      </x:c>
      <x:c r="E730" s="2" t="str">
        <x:v>N1</x:v>
      </x:c>
      <x:c r="F730" s="10" t="n">
        <x:v>305</x:v>
      </x:c>
      <x:c r="G730" s="2" t="str">
        <x:v>w_95620730eaa08e7c</x:v>
      </x:c>
      <x:c r="H730" s="2" t="str">
        <x:v>幾多</x:v>
      </x:c>
      <x:c r="I730" s="2" t="str">
        <x:v>いくた</x:v>
      </x:c>
      <x:c r="J730" s="8" t="str">
        <x:v>수많음, 허다함</x:v>
      </x:c>
      <x:c r="K730" s="2" t="str">
        <x:v>adjective</x:v>
      </x:c>
      <x:c r="L730" s="9" t="n">
        <x:v>3.01</x:v>
      </x:c>
      <x:c r="M730" s="2" t="str">
        <x:v>없음</x:v>
      </x:c>
      <x:c r="N730" s="11" t="n">
        <x:v>5</x:v>
      </x:c>
      <x:c r="O730" s="8" t="str">
        <x:v>일반 사용 빈도 보통 이하(Zipf ≤ 3.5); 검증된 예문 없음; 기존 데이터의 한국어 콘텐츠 보강 필요 태그</x:v>
      </x:c>
      <x:c r="P730" s="8" t="str">
        <x:v>frequency_le_3_5,no_example,weak_legacy_content</x:v>
      </x:c>
      <x:c r="Q730" s="2" t="str"/>
      <x:c r="R730" s="2" t="str"/>
      <x:c r="S730" s="2" t="str"/>
      <x:c r="T730" s="2" t="str"/>
      <x:c r="U730" s="2" t="str"/>
      <x:c r="V730" s="2" t="str">
        <x:v>아니오</x:v>
      </x:c>
      <x:c r="W730" s="2" t="str">
        <x:v>예</x:v>
      </x:c>
      <x:c r="X730" s="2" t="str">
        <x:v>news2,nf30</x:v>
      </x:c>
      <x:c r="Y730" s="2" t="n">
        <x:v>70</x:v>
      </x:c>
      <x:c r="Z730" s="2" t="str">
        <x:v>news2,nf30</x:v>
      </x:c>
      <x:c r="AA730" s="2" t="n">
        <x:v>70</x:v>
      </x:c>
      <x:c r="AB730" s="8" t="str"/>
      <x:c r="AC730" s="8" t="str"/>
      <x:c r="AD730" s="8" t="str">
        <x:v>["draft-ko-missing"]</x:v>
      </x:c>
      <x:c r="AE730" s="8" t="str">
        <x:v>검토 필요</x:v>
      </x:c>
      <x:c r="AF730" s="8" t="str"/>
    </x:row>
    <x:row r="731">
      <x:c r="A731" s="10" t="n">
        <x:v>730</x:v>
      </x:c>
      <x:c r="B731" s="2" t="str">
        <x:v>2차 보류</x:v>
      </x:c>
      <x:c r="C731" s="2" t="str">
        <x:v>2차 보류</x:v>
      </x:c>
      <x:c r="D731" s="2" t="str">
        <x:v>낮음</x:v>
      </x:c>
      <x:c r="E731" s="2" t="str">
        <x:v>N1</x:v>
      </x:c>
      <x:c r="F731" s="10" t="n">
        <x:v>306</x:v>
      </x:c>
      <x:c r="G731" s="2" t="str">
        <x:v>w_77adfba80a3e7e5c</x:v>
      </x:c>
      <x:c r="H731" s="2" t="str">
        <x:v>甘口</x:v>
      </x:c>
      <x:c r="I731" s="2" t="str">
        <x:v>あまくち</x:v>
      </x:c>
      <x:c r="J731" s="8" t="str">
        <x:v>단맛(이 나는 것)</x:v>
      </x:c>
      <x:c r="K731" s="2" t="str">
        <x:v>adjective</x:v>
      </x:c>
      <x:c r="L731" s="9" t="n">
        <x:v>3.03</x:v>
      </x:c>
      <x:c r="M731" s="2" t="str">
        <x:v>없음</x:v>
      </x:c>
      <x:c r="N731" s="11" t="n">
        <x:v>5</x:v>
      </x:c>
      <x:c r="O731" s="8" t="str">
        <x:v>일반 사용 빈도 보통 이하(Zipf ≤ 3.5); 검증된 예문 없음; 기존 데이터의 한국어 콘텐츠 보강 필요 태그</x:v>
      </x:c>
      <x:c r="P731" s="8" t="str">
        <x:v>frequency_le_3_5,no_example,weak_legacy_content</x:v>
      </x:c>
      <x:c r="Q731" s="2" t="str"/>
      <x:c r="R731" s="2" t="str"/>
      <x:c r="S731" s="2" t="str"/>
      <x:c r="T731" s="2" t="str"/>
      <x:c r="U731" s="2" t="str"/>
      <x:c r="V731" s="2" t="str">
        <x:v>아니오</x:v>
      </x:c>
      <x:c r="W731" s="2" t="str">
        <x:v>예</x:v>
      </x:c>
      <x:c r="X731" s="2" t="str">
        <x:v>news2,nf37</x:v>
      </x:c>
      <x:c r="Y731" s="2" t="n">
        <x:v>70</x:v>
      </x:c>
      <x:c r="Z731" s="2" t="str">
        <x:v>news2,nf37</x:v>
      </x:c>
      <x:c r="AA731" s="2" t="n">
        <x:v>70</x:v>
      </x:c>
      <x:c r="AB731" s="8" t="str"/>
      <x:c r="AC731" s="8" t="str"/>
      <x:c r="AD731" s="8" t="str">
        <x:v>["draft-ko-missing"]</x:v>
      </x:c>
      <x:c r="AE731" s="8" t="str">
        <x:v>검토 필요</x:v>
      </x:c>
      <x:c r="AF731" s="8" t="str"/>
    </x:row>
    <x:row r="732">
      <x:c r="A732" s="10" t="n">
        <x:v>731</x:v>
      </x:c>
      <x:c r="B732" s="2" t="str">
        <x:v>2차 보류</x:v>
      </x:c>
      <x:c r="C732" s="2" t="str">
        <x:v>2차 보류</x:v>
      </x:c>
      <x:c r="D732" s="2" t="str">
        <x:v>낮음</x:v>
      </x:c>
      <x:c r="E732" s="2" t="str">
        <x:v>N1</x:v>
      </x:c>
      <x:c r="F732" s="10" t="n">
        <x:v>307</x:v>
      </x:c>
      <x:c r="G732" s="2" t="str">
        <x:v>w_a02a7de9f2bc5b9e</x:v>
      </x:c>
      <x:c r="H732" s="2" t="str">
        <x:v>踏み込む</x:v>
      </x:c>
      <x:c r="I732" s="2" t="str">
        <x:v>ふみこむ</x:v>
      </x:c>
      <x:c r="J732" s="8" t="str">
        <x:v>발을 들이다, 깊이 파고들다</x:v>
      </x:c>
      <x:c r="K732" s="2" t="str">
        <x:v>verb</x:v>
      </x:c>
      <x:c r="L732" s="9" t="n">
        <x:v>3.03</x:v>
      </x:c>
      <x:c r="M732" s="2" t="str">
        <x:v>없음</x:v>
      </x:c>
      <x:c r="N732" s="11" t="n">
        <x:v>5</x:v>
      </x:c>
      <x:c r="O732" s="8" t="str">
        <x:v>일반 사용 빈도 보통 이하(Zipf ≤ 3.5); 검증된 예문 없음; 기존 데이터의 한국어 콘텐츠 보강 필요 태그</x:v>
      </x:c>
      <x:c r="P732" s="8" t="str">
        <x:v>frequency_le_3_5,no_example,weak_legacy_content</x:v>
      </x:c>
      <x:c r="Q732" s="2" t="str"/>
      <x:c r="R732" s="2" t="str"/>
      <x:c r="S732" s="2" t="str"/>
      <x:c r="T732" s="2" t="str"/>
      <x:c r="U732" s="2" t="str"/>
      <x:c r="V732" s="2" t="str">
        <x:v>아니오</x:v>
      </x:c>
      <x:c r="W732" s="2" t="str">
        <x:v>예</x:v>
      </x:c>
      <x:c r="X732" s="2" t="str">
        <x:v>news2,nf46</x:v>
      </x:c>
      <x:c r="Y732" s="2" t="n">
        <x:v>70</x:v>
      </x:c>
      <x:c r="Z732" s="2" t="str">
        <x:v>news2,nf46</x:v>
      </x:c>
      <x:c r="AA732" s="2" t="n">
        <x:v>70</x:v>
      </x:c>
      <x:c r="AB732" s="8" t="str"/>
      <x:c r="AC732" s="8" t="str"/>
      <x:c r="AD732" s="8" t="str">
        <x:v>["draft-ko-missing"]</x:v>
      </x:c>
      <x:c r="AE732" s="8" t="str">
        <x:v>검토 필요</x:v>
      </x:c>
      <x:c r="AF732" s="8" t="str"/>
    </x:row>
    <x:row r="733">
      <x:c r="A733" s="10" t="n">
        <x:v>732</x:v>
      </x:c>
      <x:c r="B733" s="2" t="str">
        <x:v>2차 보류</x:v>
      </x:c>
      <x:c r="C733" s="2" t="str">
        <x:v>2차 보류</x:v>
      </x:c>
      <x:c r="D733" s="2" t="str">
        <x:v>낮음</x:v>
      </x:c>
      <x:c r="E733" s="2" t="str">
        <x:v>N1</x:v>
      </x:c>
      <x:c r="F733" s="10" t="n">
        <x:v>308</x:v>
      </x:c>
      <x:c r="G733" s="2" t="str">
        <x:v>w_e184a314b4e46fd5</x:v>
      </x:c>
      <x:c r="H733" s="2" t="str">
        <x:v>仕切る</x:v>
      </x:c>
      <x:c r="I733" s="2" t="str">
        <x:v>しきる</x:v>
      </x:c>
      <x:c r="J733" s="8" t="str">
        <x:v>칸막이하다, 도맡아 처리하다</x:v>
      </x:c>
      <x:c r="K733" s="2" t="str">
        <x:v>verb</x:v>
      </x:c>
      <x:c r="L733" s="9" t="n">
        <x:v>3.03</x:v>
      </x:c>
      <x:c r="M733" s="2" t="str">
        <x:v>없음</x:v>
      </x:c>
      <x:c r="N733" s="11" t="n">
        <x:v>5</x:v>
      </x:c>
      <x:c r="O733" s="8" t="str">
        <x:v>일반 사용 빈도 보통 이하(Zipf ≤ 3.5); 검증된 예문 없음; 기존 데이터의 한국어 콘텐츠 보강 필요 태그</x:v>
      </x:c>
      <x:c r="P733" s="8" t="str">
        <x:v>frequency_le_3_5,no_example,weak_legacy_content</x:v>
      </x:c>
      <x:c r="Q733" s="2" t="str"/>
      <x:c r="R733" s="2" t="str"/>
      <x:c r="S733" s="2" t="str"/>
      <x:c r="T733" s="2" t="str"/>
      <x:c r="U733" s="2" t="str"/>
      <x:c r="V733" s="2" t="str">
        <x:v>아니오</x:v>
      </x:c>
      <x:c r="W733" s="2" t="str">
        <x:v>예</x:v>
      </x:c>
      <x:c r="X733" s="2" t="str">
        <x:v>news2,nf29</x:v>
      </x:c>
      <x:c r="Y733" s="2" t="n">
        <x:v>70</x:v>
      </x:c>
      <x:c r="Z733" s="2" t="str">
        <x:v>news2,nf29</x:v>
      </x:c>
      <x:c r="AA733" s="2" t="n">
        <x:v>70</x:v>
      </x:c>
      <x:c r="AB733" s="8" t="str"/>
      <x:c r="AC733" s="8" t="str"/>
      <x:c r="AD733" s="8" t="str">
        <x:v>["draft-ko-missing"]</x:v>
      </x:c>
      <x:c r="AE733" s="8" t="str">
        <x:v>검토 필요</x:v>
      </x:c>
      <x:c r="AF733" s="8" t="str"/>
    </x:row>
    <x:row r="734">
      <x:c r="A734" s="10" t="n">
        <x:v>733</x:v>
      </x:c>
      <x:c r="B734" s="2" t="str">
        <x:v>2차 보류</x:v>
      </x:c>
      <x:c r="C734" s="2" t="str">
        <x:v>2차 보류</x:v>
      </x:c>
      <x:c r="D734" s="2" t="str">
        <x:v>낮음</x:v>
      </x:c>
      <x:c r="E734" s="2" t="str">
        <x:v>N1</x:v>
      </x:c>
      <x:c r="F734" s="10" t="n">
        <x:v>309</x:v>
      </x:c>
      <x:c r="G734" s="2" t="str">
        <x:v>w_677f6b2f9c117b31</x:v>
      </x:c>
      <x:c r="H734" s="2" t="str">
        <x:v>短波</x:v>
      </x:c>
      <x:c r="I734" s="2" t="str">
        <x:v>たんぱ</x:v>
      </x:c>
      <x:c r="J734" s="8" t="str">
        <x:v>단파</x:v>
      </x:c>
      <x:c r="K734" s="2" t="str">
        <x:v>noun</x:v>
      </x:c>
      <x:c r="L734" s="9" t="n">
        <x:v>3.06</x:v>
      </x:c>
      <x:c r="M734" s="2" t="str">
        <x:v>없음</x:v>
      </x:c>
      <x:c r="N734" s="11" t="n">
        <x:v>5</x:v>
      </x:c>
      <x:c r="O734" s="8" t="str">
        <x:v>일반 사용 빈도 보통 이하(Zipf ≤ 3.5); 검증된 예문 없음; 기존 데이터의 한국어 콘텐츠 보강 필요 태그</x:v>
      </x:c>
      <x:c r="P734" s="8" t="str">
        <x:v>frequency_le_3_5,no_example,weak_legacy_content</x:v>
      </x:c>
      <x:c r="Q734" s="2" t="str"/>
      <x:c r="R734" s="2" t="str"/>
      <x:c r="S734" s="2" t="str"/>
      <x:c r="T734" s="2" t="str"/>
      <x:c r="U734" s="2" t="str"/>
      <x:c r="V734" s="2" t="str">
        <x:v>아니오</x:v>
      </x:c>
      <x:c r="W734" s="2" t="str">
        <x:v>예</x:v>
      </x:c>
      <x:c r="X734" s="2" t="str">
        <x:v>news2,nf28,spec2</x:v>
      </x:c>
      <x:c r="Y734" s="2" t="n">
        <x:v>70</x:v>
      </x:c>
      <x:c r="Z734" s="2" t="str">
        <x:v>news2,nf28,spec2</x:v>
      </x:c>
      <x:c r="AA734" s="2" t="n">
        <x:v>70</x:v>
      </x:c>
      <x:c r="AB734" s="8" t="str"/>
      <x:c r="AC734" s="8" t="str"/>
      <x:c r="AD734" s="8" t="str">
        <x:v>["draft-ko-missing"]</x:v>
      </x:c>
      <x:c r="AE734" s="8" t="str">
        <x:v>검토 필요</x:v>
      </x:c>
      <x:c r="AF734" s="8" t="str"/>
    </x:row>
    <x:row r="735">
      <x:c r="A735" s="10" t="n">
        <x:v>734</x:v>
      </x:c>
      <x:c r="B735" s="2" t="str">
        <x:v>2차 보류</x:v>
      </x:c>
      <x:c r="C735" s="2" t="str">
        <x:v>2차 보류</x:v>
      </x:c>
      <x:c r="D735" s="2" t="str">
        <x:v>낮음</x:v>
      </x:c>
      <x:c r="E735" s="2" t="str">
        <x:v>N1</x:v>
      </x:c>
      <x:c r="F735" s="10" t="n">
        <x:v>310</x:v>
      </x:c>
      <x:c r="G735" s="2" t="str">
        <x:v>w_dd001d345d49bd00</x:v>
      </x:c>
      <x:c r="H735" s="2" t="str">
        <x:v>記名</x:v>
      </x:c>
      <x:c r="I735" s="2" t="str">
        <x:v>きめい</x:v>
      </x:c>
      <x:c r="J735" s="8" t="str">
        <x:v>기명</x:v>
      </x:c>
      <x:c r="K735" s="2" t="str">
        <x:v>noun</x:v>
      </x:c>
      <x:c r="L735" s="9" t="n">
        <x:v>3.06</x:v>
      </x:c>
      <x:c r="M735" s="2" t="str">
        <x:v>없음</x:v>
      </x:c>
      <x:c r="N735" s="11" t="n">
        <x:v>5</x:v>
      </x:c>
      <x:c r="O735" s="8" t="str">
        <x:v>일반 사용 빈도 보통 이하(Zipf ≤ 3.5); 검증된 예문 없음; 기존 데이터의 한국어 콘텐츠 보강 필요 태그</x:v>
      </x:c>
      <x:c r="P735" s="8" t="str">
        <x:v>frequency_le_3_5,no_example,weak_legacy_content</x:v>
      </x:c>
      <x:c r="Q735" s="2" t="str"/>
      <x:c r="R735" s="2" t="str"/>
      <x:c r="S735" s="2" t="str"/>
      <x:c r="T735" s="2" t="str"/>
      <x:c r="U735" s="2" t="str"/>
      <x:c r="V735" s="2" t="str">
        <x:v>아니오</x:v>
      </x:c>
      <x:c r="W735" s="2" t="str">
        <x:v>예</x:v>
      </x:c>
      <x:c r="X735" s="2" t="str">
        <x:v>news2,nf26</x:v>
      </x:c>
      <x:c r="Y735" s="2" t="n">
        <x:v>70</x:v>
      </x:c>
      <x:c r="Z735" s="2" t="str">
        <x:v>news2,nf26</x:v>
      </x:c>
      <x:c r="AA735" s="2" t="n">
        <x:v>70</x:v>
      </x:c>
      <x:c r="AB735" s="8" t="str"/>
      <x:c r="AC735" s="8" t="str"/>
      <x:c r="AD735" s="8" t="str">
        <x:v>["draft-ko-missing"]</x:v>
      </x:c>
      <x:c r="AE735" s="8" t="str">
        <x:v>검토 필요</x:v>
      </x:c>
      <x:c r="AF735" s="8" t="str"/>
    </x:row>
    <x:row r="736">
      <x:c r="A736" s="10" t="n">
        <x:v>735</x:v>
      </x:c>
      <x:c r="B736" s="2" t="str">
        <x:v>2차 보류</x:v>
      </x:c>
      <x:c r="C736" s="2" t="str">
        <x:v>2차 보류</x:v>
      </x:c>
      <x:c r="D736" s="2" t="str">
        <x:v>낮음</x:v>
      </x:c>
      <x:c r="E736" s="2" t="str">
        <x:v>N1</x:v>
      </x:c>
      <x:c r="F736" s="10" t="n">
        <x:v>311</x:v>
      </x:c>
      <x:c r="G736" s="2" t="str">
        <x:v>w_02dfbe8eece8d0fd</x:v>
      </x:c>
      <x:c r="H736" s="2" t="str">
        <x:v>気流</x:v>
      </x:c>
      <x:c r="I736" s="2" t="str">
        <x:v>きりゅう</x:v>
      </x:c>
      <x:c r="J736" s="8" t="str">
        <x:v>기류</x:v>
      </x:c>
      <x:c r="K736" s="2" t="str">
        <x:v>noun</x:v>
      </x:c>
      <x:c r="L736" s="9" t="n">
        <x:v>3.14</x:v>
      </x:c>
      <x:c r="M736" s="2" t="str">
        <x:v>없음</x:v>
      </x:c>
      <x:c r="N736" s="11" t="n">
        <x:v>5</x:v>
      </x:c>
      <x:c r="O736" s="8" t="str">
        <x:v>일반 사용 빈도 보통 이하(Zipf ≤ 3.5); 검증된 예문 없음; 기존 데이터의 한국어 콘텐츠 보강 필요 태그</x:v>
      </x:c>
      <x:c r="P736" s="8" t="str">
        <x:v>frequency_le_3_5,no_example,weak_legacy_content</x:v>
      </x:c>
      <x:c r="Q736" s="2" t="str"/>
      <x:c r="R736" s="2" t="str"/>
      <x:c r="S736" s="2" t="str"/>
      <x:c r="T736" s="2" t="str"/>
      <x:c r="U736" s="2" t="str"/>
      <x:c r="V736" s="2" t="str">
        <x:v>아니오</x:v>
      </x:c>
      <x:c r="W736" s="2" t="str">
        <x:v>예</x:v>
      </x:c>
      <x:c r="X736" s="2" t="str">
        <x:v>news2,nf29</x:v>
      </x:c>
      <x:c r="Y736" s="2" t="n">
        <x:v>70</x:v>
      </x:c>
      <x:c r="Z736" s="2" t="str">
        <x:v>news2,nf29</x:v>
      </x:c>
      <x:c r="AA736" s="2" t="n">
        <x:v>70</x:v>
      </x:c>
      <x:c r="AB736" s="8" t="str"/>
      <x:c r="AC736" s="8" t="str"/>
      <x:c r="AD736" s="8" t="str">
        <x:v>["draft-ko-missing"]</x:v>
      </x:c>
      <x:c r="AE736" s="8" t="str">
        <x:v>검토 필요</x:v>
      </x:c>
      <x:c r="AF736" s="8" t="str"/>
    </x:row>
    <x:row r="737">
      <x:c r="A737" s="10" t="n">
        <x:v>736</x:v>
      </x:c>
      <x:c r="B737" s="2" t="str">
        <x:v>2차 보류</x:v>
      </x:c>
      <x:c r="C737" s="2" t="str">
        <x:v>2차 보류</x:v>
      </x:c>
      <x:c r="D737" s="2" t="str">
        <x:v>낮음</x:v>
      </x:c>
      <x:c r="E737" s="2" t="str">
        <x:v>N1</x:v>
      </x:c>
      <x:c r="F737" s="10" t="n">
        <x:v>312</x:v>
      </x:c>
      <x:c r="G737" s="2" t="str">
        <x:v>w_b91c8af3d78e502d</x:v>
      </x:c>
      <x:c r="H737" s="2" t="str">
        <x:v>照合</x:v>
      </x:c>
      <x:c r="I737" s="2" t="str">
        <x:v>しょうごう</x:v>
      </x:c>
      <x:c r="J737" s="8" t="str">
        <x:v>대조, 조회</x:v>
      </x:c>
      <x:c r="K737" s="2" t="str">
        <x:v>noun</x:v>
      </x:c>
      <x:c r="L737" s="9" t="n">
        <x:v>3.19</x:v>
      </x:c>
      <x:c r="M737" s="2" t="str">
        <x:v>없음</x:v>
      </x:c>
      <x:c r="N737" s="11" t="n">
        <x:v>5</x:v>
      </x:c>
      <x:c r="O737" s="8" t="str">
        <x:v>일반 사용 빈도 보통 이하(Zipf ≤ 3.5); 검증된 예문 없음; 기존 데이터의 한국어 콘텐츠 보강 필요 태그</x:v>
      </x:c>
      <x:c r="P737" s="8" t="str">
        <x:v>frequency_le_3_5,no_example,weak_legacy_content</x:v>
      </x:c>
      <x:c r="Q737" s="2" t="str"/>
      <x:c r="R737" s="2" t="str"/>
      <x:c r="S737" s="2" t="str"/>
      <x:c r="T737" s="2" t="str"/>
      <x:c r="U737" s="2" t="str"/>
      <x:c r="V737" s="2" t="str">
        <x:v>아니오</x:v>
      </x:c>
      <x:c r="W737" s="2" t="str">
        <x:v>예</x:v>
      </x:c>
      <x:c r="X737" s="2" t="str">
        <x:v>news2,nf28</x:v>
      </x:c>
      <x:c r="Y737" s="2" t="n">
        <x:v>70</x:v>
      </x:c>
      <x:c r="Z737" s="2" t="str">
        <x:v>news2,nf28</x:v>
      </x:c>
      <x:c r="AA737" s="2" t="n">
        <x:v>70</x:v>
      </x:c>
      <x:c r="AB737" s="8" t="str"/>
      <x:c r="AC737" s="8" t="str"/>
      <x:c r="AD737" s="8" t="str">
        <x:v>["draft-ko-missing"]</x:v>
      </x:c>
      <x:c r="AE737" s="8" t="str">
        <x:v>검토 필요</x:v>
      </x:c>
      <x:c r="AF737" s="8" t="str"/>
    </x:row>
    <x:row r="738">
      <x:c r="A738" s="10" t="n">
        <x:v>737</x:v>
      </x:c>
      <x:c r="B738" s="2" t="str">
        <x:v>2차 보류</x:v>
      </x:c>
      <x:c r="C738" s="2" t="str">
        <x:v>2차 보류</x:v>
      </x:c>
      <x:c r="D738" s="2" t="str">
        <x:v>낮음</x:v>
      </x:c>
      <x:c r="E738" s="2" t="str">
        <x:v>N2</x:v>
      </x:c>
      <x:c r="F738" s="10" t="n">
        <x:v>269</x:v>
      </x:c>
      <x:c r="G738" s="2" t="str">
        <x:v>w_d3225d0f89f945b4</x:v>
      </x:c>
      <x:c r="H738" s="2" t="str">
        <x:v>激増</x:v>
      </x:c>
      <x:c r="I738" s="2" t="str">
        <x:v>げきぞう</x:v>
      </x:c>
      <x:c r="J738" s="8" t="str">
        <x:v>급증</x:v>
      </x:c>
      <x:c r="K738" s="2" t="str">
        <x:v>noun</x:v>
      </x:c>
      <x:c r="L738" s="9" t="n">
        <x:v>3.21</x:v>
      </x:c>
      <x:c r="M738" s="2" t="str">
        <x:v>없음</x:v>
      </x:c>
      <x:c r="N738" s="11" t="n">
        <x:v>5</x:v>
      </x:c>
      <x:c r="O738" s="8" t="str">
        <x:v>일반 사용 빈도 보통 이하(Zipf ≤ 3.5); 검증된 예문 없음; 기존 데이터의 한국어 콘텐츠 보강 필요 태그</x:v>
      </x:c>
      <x:c r="P738" s="8" t="str">
        <x:v>frequency_le_3_5,no_example,weak_legacy_content</x:v>
      </x:c>
      <x:c r="Q738" s="2" t="str"/>
      <x:c r="R738" s="2" t="str"/>
      <x:c r="S738" s="2" t="str"/>
      <x:c r="T738" s="2" t="str"/>
      <x:c r="U738" s="2" t="str"/>
      <x:c r="V738" s="2" t="str">
        <x:v>아니오</x:v>
      </x:c>
      <x:c r="W738" s="2" t="str">
        <x:v>예</x:v>
      </x:c>
      <x:c r="X738" s="2" t="str">
        <x:v>news2,nf30</x:v>
      </x:c>
      <x:c r="Y738" s="2" t="n">
        <x:v>70</x:v>
      </x:c>
      <x:c r="Z738" s="2" t="str">
        <x:v>news2,nf30</x:v>
      </x:c>
      <x:c r="AA738" s="2" t="n">
        <x:v>70</x:v>
      </x:c>
      <x:c r="AB738" s="8" t="str"/>
      <x:c r="AC738" s="8" t="str"/>
      <x:c r="AD738" s="8" t="str">
        <x:v>["draft-ko-missing"]</x:v>
      </x:c>
      <x:c r="AE738" s="8" t="str">
        <x:v>검토 필요</x:v>
      </x:c>
      <x:c r="AF738" s="8" t="str"/>
    </x:row>
    <x:row r="739">
      <x:c r="A739" s="10" t="n">
        <x:v>738</x:v>
      </x:c>
      <x:c r="B739" s="2" t="str">
        <x:v>2차 보류</x:v>
      </x:c>
      <x:c r="C739" s="2" t="str">
        <x:v>2차 보류</x:v>
      </x:c>
      <x:c r="D739" s="2" t="str">
        <x:v>낮음</x:v>
      </x:c>
      <x:c r="E739" s="2" t="str">
        <x:v>N1</x:v>
      </x:c>
      <x:c r="F739" s="10" t="n">
        <x:v>313</x:v>
      </x:c>
      <x:c r="G739" s="2" t="str">
        <x:v>w_07183669ce858f81</x:v>
      </x:c>
      <x:c r="H739" s="2" t="str">
        <x:v>統率</x:v>
      </x:c>
      <x:c r="I739" s="2" t="str">
        <x:v>とうそつ</x:v>
      </x:c>
      <x:c r="J739" s="8" t="str">
        <x:v>통솔</x:v>
      </x:c>
      <x:c r="K739" s="2" t="str">
        <x:v>noun</x:v>
      </x:c>
      <x:c r="L739" s="9" t="n">
        <x:v>3.23</x:v>
      </x:c>
      <x:c r="M739" s="2" t="str">
        <x:v>없음</x:v>
      </x:c>
      <x:c r="N739" s="11" t="n">
        <x:v>5</x:v>
      </x:c>
      <x:c r="O739" s="8" t="str">
        <x:v>일반 사용 빈도 보통 이하(Zipf ≤ 3.5); 검증된 예문 없음; 기존 데이터의 한국어 콘텐츠 보강 필요 태그</x:v>
      </x:c>
      <x:c r="P739" s="8" t="str">
        <x:v>frequency_le_3_5,no_example,weak_legacy_content</x:v>
      </x:c>
      <x:c r="Q739" s="2" t="str"/>
      <x:c r="R739" s="2" t="str"/>
      <x:c r="S739" s="2" t="str"/>
      <x:c r="T739" s="2" t="str"/>
      <x:c r="U739" s="2" t="str"/>
      <x:c r="V739" s="2" t="str">
        <x:v>아니오</x:v>
      </x:c>
      <x:c r="W739" s="2" t="str">
        <x:v>예</x:v>
      </x:c>
      <x:c r="X739" s="2" t="str">
        <x:v>news2,nf30</x:v>
      </x:c>
      <x:c r="Y739" s="2" t="n">
        <x:v>70</x:v>
      </x:c>
      <x:c r="Z739" s="2" t="str">
        <x:v>news2,nf30</x:v>
      </x:c>
      <x:c r="AA739" s="2" t="n">
        <x:v>70</x:v>
      </x:c>
      <x:c r="AB739" s="8" t="str"/>
      <x:c r="AC739" s="8" t="str"/>
      <x:c r="AD739" s="8" t="str">
        <x:v>["draft-ko-missing"]</x:v>
      </x:c>
      <x:c r="AE739" s="8" t="str">
        <x:v>검토 필요</x:v>
      </x:c>
      <x:c r="AF739" s="8" t="str"/>
    </x:row>
    <x:row r="740">
      <x:c r="A740" s="10" t="n">
        <x:v>739</x:v>
      </x:c>
      <x:c r="B740" s="2" t="str">
        <x:v>2차 보류</x:v>
      </x:c>
      <x:c r="C740" s="2" t="str">
        <x:v>2차 보류</x:v>
      </x:c>
      <x:c r="D740" s="2" t="str">
        <x:v>낮음</x:v>
      </x:c>
      <x:c r="E740" s="2" t="str">
        <x:v>N2</x:v>
      </x:c>
      <x:c r="F740" s="10" t="n">
        <x:v>270</x:v>
      </x:c>
      <x:c r="G740" s="2" t="str">
        <x:v>w_a86c191519a1d223</x:v>
      </x:c>
      <x:c r="H740" s="2" t="str">
        <x:v>主語</x:v>
      </x:c>
      <x:c r="I740" s="2" t="str">
        <x:v>しゅご</x:v>
      </x:c>
      <x:c r="J740" s="8" t="str">
        <x:v>주어</x:v>
      </x:c>
      <x:c r="K740" s="2" t="str">
        <x:v>noun</x:v>
      </x:c>
      <x:c r="L740" s="9" t="n">
        <x:v>3.24</x:v>
      </x:c>
      <x:c r="M740" s="2" t="str">
        <x:v>없음</x:v>
      </x:c>
      <x:c r="N740" s="11" t="n">
        <x:v>5</x:v>
      </x:c>
      <x:c r="O740" s="8" t="str">
        <x:v>일반 사용 빈도 보통 이하(Zipf ≤ 3.5); 검증된 예문 없음; 기존 데이터의 한국어 콘텐츠 보강 필요 태그</x:v>
      </x:c>
      <x:c r="P740" s="8" t="str">
        <x:v>frequency_le_3_5,no_example,weak_legacy_content</x:v>
      </x:c>
      <x:c r="Q740" s="2" t="str"/>
      <x:c r="R740" s="2" t="str"/>
      <x:c r="S740" s="2" t="str"/>
      <x:c r="T740" s="2" t="str"/>
      <x:c r="U740" s="2" t="str"/>
      <x:c r="V740" s="2" t="str">
        <x:v>아니오</x:v>
      </x:c>
      <x:c r="W740" s="2" t="str">
        <x:v>예</x:v>
      </x:c>
      <x:c r="X740" s="2" t="str">
        <x:v>news2,nf39,spec2</x:v>
      </x:c>
      <x:c r="Y740" s="2" t="n">
        <x:v>70</x:v>
      </x:c>
      <x:c r="Z740" s="2" t="str">
        <x:v>news2,nf39,spec2</x:v>
      </x:c>
      <x:c r="AA740" s="2" t="n">
        <x:v>70</x:v>
      </x:c>
      <x:c r="AB740" s="8" t="str"/>
      <x:c r="AC740" s="8" t="str"/>
      <x:c r="AD740" s="8" t="str">
        <x:v>["draft-ko-missing"]</x:v>
      </x:c>
      <x:c r="AE740" s="8" t="str">
        <x:v>검토 필요</x:v>
      </x:c>
      <x:c r="AF740" s="8" t="str"/>
    </x:row>
    <x:row r="741">
      <x:c r="A741" s="10" t="n">
        <x:v>740</x:v>
      </x:c>
      <x:c r="B741" s="2" t="str">
        <x:v>2차 보류</x:v>
      </x:c>
      <x:c r="C741" s="2" t="str">
        <x:v>2차 보류</x:v>
      </x:c>
      <x:c r="D741" s="2" t="str">
        <x:v>낮음</x:v>
      </x:c>
      <x:c r="E741" s="2" t="str">
        <x:v>N2</x:v>
      </x:c>
      <x:c r="F741" s="10" t="n">
        <x:v>271</x:v>
      </x:c>
      <x:c r="G741" s="2" t="str">
        <x:v>w_d060a6e4dbed8ad5</x:v>
      </x:c>
      <x:c r="H741" s="2" t="str">
        <x:v>坊や</x:v>
      </x:c>
      <x:c r="I741" s="2" t="str">
        <x:v>ぼうや</x:v>
      </x:c>
      <x:c r="J741" s="8" t="str">
        <x:v>소년, 남자아이</x:v>
      </x:c>
      <x:c r="K741" s="2" t="str">
        <x:v>noun</x:v>
      </x:c>
      <x:c r="L741" s="9" t="n">
        <x:v>3.26</x:v>
      </x:c>
      <x:c r="M741" s="2" t="str">
        <x:v>없음</x:v>
      </x:c>
      <x:c r="N741" s="11" t="n">
        <x:v>5</x:v>
      </x:c>
      <x:c r="O741" s="8" t="str">
        <x:v>일반 사용 빈도 보통 이하(Zipf ≤ 3.5); 검증된 예문 없음; 기존 데이터의 한국어 콘텐츠 보강 필요 태그</x:v>
      </x:c>
      <x:c r="P741" s="8" t="str">
        <x:v>frequency_le_3_5,no_example,weak_legacy_content</x:v>
      </x:c>
      <x:c r="Q741" s="2" t="str"/>
      <x:c r="R741" s="2" t="str"/>
      <x:c r="S741" s="2" t="str"/>
      <x:c r="T741" s="2" t="str"/>
      <x:c r="U741" s="2" t="str"/>
      <x:c r="V741" s="2" t="str">
        <x:v>아니오</x:v>
      </x:c>
      <x:c r="W741" s="2" t="str">
        <x:v>예</x:v>
      </x:c>
      <x:c r="X741" s="2" t="str">
        <x:v>news2,nf28</x:v>
      </x:c>
      <x:c r="Y741" s="2" t="n">
        <x:v>70</x:v>
      </x:c>
      <x:c r="Z741" s="2" t="str">
        <x:v>news2,nf28</x:v>
      </x:c>
      <x:c r="AA741" s="2" t="n">
        <x:v>70</x:v>
      </x:c>
      <x:c r="AB741" s="8" t="str">
        <x:v>derogatory | familiar language</x:v>
      </x:c>
      <x:c r="AC741" s="8" t="str"/>
      <x:c r="AD741" s="8" t="str">
        <x:v>["draft-ko-missing"]</x:v>
      </x:c>
      <x:c r="AE741" s="8" t="str">
        <x:v>검토 필요</x:v>
      </x:c>
      <x:c r="AF741" s="8" t="str"/>
    </x:row>
    <x:row r="742">
      <x:c r="A742" s="10" t="n">
        <x:v>741</x:v>
      </x:c>
      <x:c r="B742" s="2" t="str">
        <x:v>2차 보류</x:v>
      </x:c>
      <x:c r="C742" s="2" t="str">
        <x:v>2차 보류</x:v>
      </x:c>
      <x:c r="D742" s="2" t="str">
        <x:v>낮음</x:v>
      </x:c>
      <x:c r="E742" s="2" t="str">
        <x:v>N1</x:v>
      </x:c>
      <x:c r="F742" s="10" t="n">
        <x:v>314</x:v>
      </x:c>
      <x:c r="G742" s="2" t="str">
        <x:v>w_5d541a4b700b811d</x:v>
      </x:c>
      <x:c r="H742" s="2" t="str">
        <x:v>下心</x:v>
      </x:c>
      <x:c r="I742" s="2" t="str">
        <x:v>したごころ</x:v>
      </x:c>
      <x:c r="J742" s="8" t="str">
        <x:v>속셈, 흑심</x:v>
      </x:c>
      <x:c r="K742" s="2" t="str">
        <x:v>noun</x:v>
      </x:c>
      <x:c r="L742" s="9" t="n">
        <x:v>3.3</x:v>
      </x:c>
      <x:c r="M742" s="2" t="str">
        <x:v>없음</x:v>
      </x:c>
      <x:c r="N742" s="11" t="n">
        <x:v>5</x:v>
      </x:c>
      <x:c r="O742" s="8" t="str">
        <x:v>일반 사용 빈도 보통 이하(Zipf ≤ 3.5); 검증된 예문 없음; 기존 데이터의 한국어 콘텐츠 보강 필요 태그</x:v>
      </x:c>
      <x:c r="P742" s="8" t="str">
        <x:v>frequency_le_3_5,no_example,weak_legacy_content</x:v>
      </x:c>
      <x:c r="Q742" s="2" t="str"/>
      <x:c r="R742" s="2" t="str"/>
      <x:c r="S742" s="2" t="str"/>
      <x:c r="T742" s="2" t="str"/>
      <x:c r="U742" s="2" t="str"/>
      <x:c r="V742" s="2" t="str">
        <x:v>아니오</x:v>
      </x:c>
      <x:c r="W742" s="2" t="str">
        <x:v>예</x:v>
      </x:c>
      <x:c r="X742" s="2" t="str">
        <x:v>news2,nf47</x:v>
      </x:c>
      <x:c r="Y742" s="2" t="n">
        <x:v>70</x:v>
      </x:c>
      <x:c r="Z742" s="2" t="str">
        <x:v>news2,nf47</x:v>
      </x:c>
      <x:c r="AA742" s="2" t="n">
        <x:v>70</x:v>
      </x:c>
      <x:c r="AB742" s="8" t="str"/>
      <x:c r="AC742" s="8" t="str"/>
      <x:c r="AD742" s="8" t="str">
        <x:v>["draft-ko-missing"]</x:v>
      </x:c>
      <x:c r="AE742" s="8" t="str">
        <x:v>검토 필요</x:v>
      </x:c>
      <x:c r="AF742" s="8" t="str"/>
    </x:row>
    <x:row r="743">
      <x:c r="A743" s="10" t="n">
        <x:v>742</x:v>
      </x:c>
      <x:c r="B743" s="2" t="str">
        <x:v>2차 보류</x:v>
      </x:c>
      <x:c r="C743" s="2" t="str">
        <x:v>2차 보류</x:v>
      </x:c>
      <x:c r="D743" s="2" t="str">
        <x:v>낮음</x:v>
      </x:c>
      <x:c r="E743" s="2" t="str">
        <x:v>N1</x:v>
      </x:c>
      <x:c r="F743" s="10" t="n">
        <x:v>315</x:v>
      </x:c>
      <x:c r="G743" s="2" t="str">
        <x:v>w_931fdf57163ecd84</x:v>
      </x:c>
      <x:c r="H743" s="2" t="str">
        <x:v>申し分</x:v>
      </x:c>
      <x:c r="I743" s="2" t="str">
        <x:v>もうしぶん</x:v>
      </x:c>
      <x:c r="J743" s="8" t="str">
        <x:v>흠잡을 데; 나무랄 데</x:v>
      </x:c>
      <x:c r="K743" s="2" t="str">
        <x:v>noun</x:v>
      </x:c>
      <x:c r="L743" s="9" t="n">
        <x:v>3.3</x:v>
      </x:c>
      <x:c r="M743" s="2" t="str">
        <x:v>없음</x:v>
      </x:c>
      <x:c r="N743" s="11" t="n">
        <x:v>5</x:v>
      </x:c>
      <x:c r="O743" s="8" t="str">
        <x:v>일반 사용 빈도 보통 이하(Zipf ≤ 3.5); 검증된 예문 없음; 기존 데이터의 한국어 콘텐츠 보강 필요 태그</x:v>
      </x:c>
      <x:c r="P743" s="8" t="str">
        <x:v>frequency_le_3_5,no_example,weak_legacy_content</x:v>
      </x:c>
      <x:c r="Q743" s="2" t="str"/>
      <x:c r="R743" s="2" t="str"/>
      <x:c r="S743" s="2" t="str"/>
      <x:c r="T743" s="2" t="str"/>
      <x:c r="U743" s="2" t="str"/>
      <x:c r="V743" s="2" t="str">
        <x:v>아니오</x:v>
      </x:c>
      <x:c r="W743" s="2" t="str">
        <x:v>예</x:v>
      </x:c>
      <x:c r="X743" s="2" t="str">
        <x:v>news2,nf25</x:v>
      </x:c>
      <x:c r="Y743" s="2" t="n">
        <x:v>70</x:v>
      </x:c>
      <x:c r="Z743" s="2" t="str">
        <x:v>news2,nf25</x:v>
      </x:c>
      <x:c r="AA743" s="2" t="n">
        <x:v>70</x:v>
      </x:c>
      <x:c r="AB743" s="8" t="str">
        <x:v>with neg. sentence</x:v>
      </x:c>
      <x:c r="AC743" s="8" t="str"/>
      <x:c r="AD743" s="8" t="str">
        <x:v>["draft-ko-missing"]</x:v>
      </x:c>
      <x:c r="AE743" s="8" t="str">
        <x:v>검토 필요</x:v>
      </x:c>
      <x:c r="AF743" s="8" t="str"/>
    </x:row>
    <x:row r="744">
      <x:c r="A744" s="10" t="n">
        <x:v>743</x:v>
      </x:c>
      <x:c r="B744" s="2" t="str">
        <x:v>2차 보류</x:v>
      </x:c>
      <x:c r="C744" s="2" t="str">
        <x:v>2차 보류</x:v>
      </x:c>
      <x:c r="D744" s="2" t="str">
        <x:v>낮음</x:v>
      </x:c>
      <x:c r="E744" s="2" t="str">
        <x:v>N2</x:v>
      </x:c>
      <x:c r="F744" s="10" t="n">
        <x:v>272</x:v>
      </x:c>
      <x:c r="G744" s="2" t="str">
        <x:v>w_845ddd24252f0cf9</x:v>
      </x:c>
      <x:c r="H744" s="2" t="str">
        <x:v>加速度</x:v>
      </x:c>
      <x:c r="I744" s="2" t="str">
        <x:v>かそくど</x:v>
      </x:c>
      <x:c r="J744" s="8" t="str">
        <x:v>가속</x:v>
      </x:c>
      <x:c r="K744" s="2" t="str">
        <x:v>noun</x:v>
      </x:c>
      <x:c r="L744" s="9" t="n">
        <x:v>3.33</x:v>
      </x:c>
      <x:c r="M744" s="2" t="str">
        <x:v>없음</x:v>
      </x:c>
      <x:c r="N744" s="11" t="n">
        <x:v>5</x:v>
      </x:c>
      <x:c r="O744" s="8" t="str">
        <x:v>일반 사용 빈도 보통 이하(Zipf ≤ 3.5); 검증된 예문 없음; 기존 데이터의 한국어 콘텐츠 보강 필요 태그</x:v>
      </x:c>
      <x:c r="P744" s="8" t="str">
        <x:v>frequency_le_3_5,no_example,weak_legacy_content</x:v>
      </x:c>
      <x:c r="Q744" s="2" t="str"/>
      <x:c r="R744" s="2" t="str"/>
      <x:c r="S744" s="2" t="str"/>
      <x:c r="T744" s="2" t="str"/>
      <x:c r="U744" s="2" t="str"/>
      <x:c r="V744" s="2" t="str">
        <x:v>아니오</x:v>
      </x:c>
      <x:c r="W744" s="2" t="str">
        <x:v>예</x:v>
      </x:c>
      <x:c r="X744" s="2" t="str">
        <x:v>news2,nf26</x:v>
      </x:c>
      <x:c r="Y744" s="2" t="n">
        <x:v>70</x:v>
      </x:c>
      <x:c r="Z744" s="2" t="str">
        <x:v>news2,nf26</x:v>
      </x:c>
      <x:c r="AA744" s="2" t="n">
        <x:v>70</x:v>
      </x:c>
      <x:c r="AB744" s="8" t="str"/>
      <x:c r="AC744" s="8" t="str"/>
      <x:c r="AD744" s="8" t="str">
        <x:v>["draft-ko-missing"]</x:v>
      </x:c>
      <x:c r="AE744" s="8" t="str">
        <x:v>검토 필요</x:v>
      </x:c>
      <x:c r="AF744" s="8" t="str"/>
    </x:row>
    <x:row r="745">
      <x:c r="A745" s="10" t="n">
        <x:v>744</x:v>
      </x:c>
      <x:c r="B745" s="2" t="str">
        <x:v>2차 보류</x:v>
      </x:c>
      <x:c r="C745" s="2" t="str">
        <x:v>2차 보류</x:v>
      </x:c>
      <x:c r="D745" s="2" t="str">
        <x:v>낮음</x:v>
      </x:c>
      <x:c r="E745" s="2" t="str">
        <x:v>N1</x:v>
      </x:c>
      <x:c r="F745" s="10" t="n">
        <x:v>316</x:v>
      </x:c>
      <x:c r="G745" s="2" t="str">
        <x:v>w_fb6e50e1bc66f099</x:v>
      </x:c>
      <x:c r="H745" s="2" t="str">
        <x:v>名産</x:v>
      </x:c>
      <x:c r="I745" s="2" t="str">
        <x:v>めいさん</x:v>
      </x:c>
      <x:c r="J745" s="8" t="str">
        <x:v>명산품, 특산물</x:v>
      </x:c>
      <x:c r="K745" s="2" t="str">
        <x:v>noun</x:v>
      </x:c>
      <x:c r="L745" s="9" t="n">
        <x:v>3.34</x:v>
      </x:c>
      <x:c r="M745" s="2" t="str">
        <x:v>없음</x:v>
      </x:c>
      <x:c r="N745" s="11" t="n">
        <x:v>5</x:v>
      </x:c>
      <x:c r="O745" s="8" t="str">
        <x:v>일반 사용 빈도 보통 이하(Zipf ≤ 3.5); 검증된 예문 없음; 기존 데이터의 한국어 콘텐츠 보강 필요 태그</x:v>
      </x:c>
      <x:c r="P745" s="8" t="str">
        <x:v>frequency_le_3_5,no_example,weak_legacy_content</x:v>
      </x:c>
      <x:c r="Q745" s="2" t="str"/>
      <x:c r="R745" s="2" t="str"/>
      <x:c r="S745" s="2" t="str"/>
      <x:c r="T745" s="2" t="str"/>
      <x:c r="U745" s="2" t="str"/>
      <x:c r="V745" s="2" t="str">
        <x:v>아니오</x:v>
      </x:c>
      <x:c r="W745" s="2" t="str">
        <x:v>예</x:v>
      </x:c>
      <x:c r="X745" s="2" t="str">
        <x:v>news2,nf27</x:v>
      </x:c>
      <x:c r="Y745" s="2" t="n">
        <x:v>70</x:v>
      </x:c>
      <x:c r="Z745" s="2" t="str">
        <x:v>news2,nf27</x:v>
      </x:c>
      <x:c r="AA745" s="2" t="n">
        <x:v>70</x:v>
      </x:c>
      <x:c r="AB745" s="8" t="str"/>
      <x:c r="AC745" s="8" t="str"/>
      <x:c r="AD745" s="8" t="str">
        <x:v>["draft-ko-missing"]</x:v>
      </x:c>
      <x:c r="AE745" s="8" t="str">
        <x:v>검토 필요</x:v>
      </x:c>
      <x:c r="AF745" s="8" t="str"/>
    </x:row>
    <x:row r="746">
      <x:c r="A746" s="10" t="n">
        <x:v>745</x:v>
      </x:c>
      <x:c r="B746" s="2" t="str">
        <x:v>2차 보류</x:v>
      </x:c>
      <x:c r="C746" s="2" t="str">
        <x:v>2차 보류</x:v>
      </x:c>
      <x:c r="D746" s="2" t="str">
        <x:v>낮음</x:v>
      </x:c>
      <x:c r="E746" s="2" t="str">
        <x:v>N1</x:v>
      </x:c>
      <x:c r="F746" s="10" t="n">
        <x:v>317</x:v>
      </x:c>
      <x:c r="G746" s="2" t="str">
        <x:v>w_5606783d7f22cc07</x:v>
      </x:c>
      <x:c r="H746" s="2" t="str">
        <x:v>真下</x:v>
      </x:c>
      <x:c r="I746" s="2" t="str">
        <x:v>ました</x:v>
      </x:c>
      <x:c r="J746" s="8" t="str">
        <x:v>권리, 오른쪽, 맞음 아래, 직접 아래</x:v>
      </x:c>
      <x:c r="K746" s="2" t="str">
        <x:v>noun</x:v>
      </x:c>
      <x:c r="L746" s="9" t="n">
        <x:v>3.4</x:v>
      </x:c>
      <x:c r="M746" s="2" t="str">
        <x:v>없음</x:v>
      </x:c>
      <x:c r="N746" s="11" t="n">
        <x:v>5</x:v>
      </x:c>
      <x:c r="O746" s="8" t="str">
        <x:v>일반 사용 빈도 보통 이하(Zipf ≤ 3.5); 검증된 예문 없음; 기존 데이터의 한국어 콘텐츠 보강 필요 태그</x:v>
      </x:c>
      <x:c r="P746" s="8" t="str">
        <x:v>frequency_le_3_5,no_example,weak_legacy_content</x:v>
      </x:c>
      <x:c r="Q746" s="2" t="str"/>
      <x:c r="R746" s="2" t="str"/>
      <x:c r="S746" s="2" t="str"/>
      <x:c r="T746" s="2" t="str"/>
      <x:c r="U746" s="2" t="str"/>
      <x:c r="V746" s="2" t="str">
        <x:v>아니오</x:v>
      </x:c>
      <x:c r="W746" s="2" t="str">
        <x:v>예</x:v>
      </x:c>
      <x:c r="X746" s="2" t="str">
        <x:v>news2,nf27</x:v>
      </x:c>
      <x:c r="Y746" s="2" t="n">
        <x:v>70</x:v>
      </x:c>
      <x:c r="Z746" s="2" t="str">
        <x:v>news2,nf27</x:v>
      </x:c>
      <x:c r="AA746" s="2" t="n">
        <x:v>70</x:v>
      </x:c>
      <x:c r="AB746" s="8" t="str"/>
      <x:c r="AC746" s="8" t="str"/>
      <x:c r="AD746" s="8" t="str">
        <x:v>["draft-ko-missing"]</x:v>
      </x:c>
      <x:c r="AE746" s="8" t="str">
        <x:v>검토 필요</x:v>
      </x:c>
      <x:c r="AF746" s="8" t="str"/>
    </x:row>
    <x:row r="747">
      <x:c r="A747" s="10" t="n">
        <x:v>746</x:v>
      </x:c>
      <x:c r="B747" s="2" t="str">
        <x:v>2차 보류</x:v>
      </x:c>
      <x:c r="C747" s="2" t="str">
        <x:v>2차 보류</x:v>
      </x:c>
      <x:c r="D747" s="2" t="str">
        <x:v>낮음</x:v>
      </x:c>
      <x:c r="E747" s="2" t="str">
        <x:v>N1</x:v>
      </x:c>
      <x:c r="F747" s="10" t="n">
        <x:v>318</x:v>
      </x:c>
      <x:c r="G747" s="2" t="str">
        <x:v>w_9ba5cbd4b3f88eaf</x:v>
      </x:c>
      <x:c r="H747" s="2" t="str">
        <x:v>等級</x:v>
      </x:c>
      <x:c r="I747" s="2" t="str">
        <x:v>とうきゅう</x:v>
      </x:c>
      <x:c r="J747" s="8" t="str">
        <x:v>등급</x:v>
      </x:c>
      <x:c r="K747" s="2" t="str">
        <x:v>noun</x:v>
      </x:c>
      <x:c r="L747" s="9" t="n">
        <x:v>3.5</x:v>
      </x:c>
      <x:c r="M747" s="2" t="str">
        <x:v>없음</x:v>
      </x:c>
      <x:c r="N747" s="11" t="n">
        <x:v>5</x:v>
      </x:c>
      <x:c r="O747" s="8" t="str">
        <x:v>일반 사용 빈도 보통 이하(Zipf ≤ 3.5); 검증된 예문 없음; 기존 데이터의 한국어 콘텐츠 보강 필요 태그</x:v>
      </x:c>
      <x:c r="P747" s="8" t="str">
        <x:v>frequency_le_3_5,no_example,weak_legacy_content</x:v>
      </x:c>
      <x:c r="Q747" s="2" t="str"/>
      <x:c r="R747" s="2" t="str"/>
      <x:c r="S747" s="2" t="str"/>
      <x:c r="T747" s="2" t="str"/>
      <x:c r="U747" s="2" t="str"/>
      <x:c r="V747" s="2" t="str">
        <x:v>아니오</x:v>
      </x:c>
      <x:c r="W747" s="2" t="str">
        <x:v>예</x:v>
      </x:c>
      <x:c r="X747" s="2" t="str">
        <x:v>news2,nf25,spec2</x:v>
      </x:c>
      <x:c r="Y747" s="2" t="n">
        <x:v>70</x:v>
      </x:c>
      <x:c r="Z747" s="2" t="str">
        <x:v>news2,nf25,spec2</x:v>
      </x:c>
      <x:c r="AA747" s="2" t="n">
        <x:v>70</x:v>
      </x:c>
      <x:c r="AB747" s="8" t="str"/>
      <x:c r="AC747" s="8" t="str"/>
      <x:c r="AD747" s="8" t="str">
        <x:v>["draft-ko-missing"]</x:v>
      </x:c>
      <x:c r="AE747" s="8" t="str">
        <x:v>검토 필요</x:v>
      </x:c>
      <x:c r="AF747" s="8" t="str"/>
    </x:row>
    <x:row r="748">
      <x:c r="A748" s="10" t="n">
        <x:v>747</x:v>
      </x:c>
      <x:c r="B748" s="2" t="str">
        <x:v>1차 검토 후보</x:v>
      </x:c>
      <x:c r="C748" s="2" t="str">
        <x:v>표기 교정·교체 검토</x:v>
      </x:c>
      <x:c r="D748" s="2" t="str">
        <x:v>중간</x:v>
      </x:c>
      <x:c r="E748" s="2" t="str">
        <x:v>N1</x:v>
      </x:c>
      <x:c r="F748" s="10" t="n">
        <x:v>319</x:v>
      </x:c>
      <x:c r="G748" s="2" t="str">
        <x:v>w_6d62fb914342d125</x:v>
      </x:c>
      <x:c r="H748" s="2" t="str">
        <x:v>情無い</x:v>
      </x:c>
      <x:c r="I748" s="2" t="str">
        <x:v>なさけない</x:v>
      </x:c>
      <x:c r="J748" s="8" t="str">
        <x:v>한심하다, 비참하다</x:v>
      </x:c>
      <x:c r="K748" s="2" t="str">
        <x:v>adjective</x:v>
      </x:c>
      <x:c r="L748" s="9" t="n">
        <x:v>3.91</x:v>
      </x:c>
      <x:c r="M748" s="2" t="str">
        <x:v>있음</x:v>
      </x:c>
      <x:c r="N748" s="11" t="n">
        <x:v>5</x:v>
      </x:c>
      <x:c r="O748" s="8" t="str">
        <x:v>JMdict에서 희귀·비표준 표기로 표시; 기존 데이터의 한국어 콘텐츠 보강 필요 태그</x:v>
      </x:c>
      <x:c r="P748" s="8" t="str">
        <x:v>jmdict_uncommon_or_irregular,weak_legacy_content</x:v>
      </x:c>
      <x:c r="Q748" s="2" t="str"/>
      <x:c r="R748" s="2" t="str"/>
      <x:c r="S748" s="2" t="str"/>
      <x:c r="T748" s="2" t="str"/>
      <x:c r="U748" s="2" t="str"/>
      <x:c r="V748" s="2" t="str">
        <x:v>아니오</x:v>
      </x:c>
      <x:c r="W748" s="2" t="str">
        <x:v>예</x:v>
      </x:c>
      <x:c r="X748" s="2" t="str">
        <x:v>ichi1,news2,nf45</x:v>
      </x:c>
      <x:c r="Y748" s="2" t="n">
        <x:v>100</x:v>
      </x:c>
      <x:c r="Z748" s="2" t="str"/>
      <x:c r="AA748" s="2" t="n">
        <x:v>0</x:v>
      </x:c>
      <x:c r="AB748" s="8" t="str">
        <x:v>search-only kanji form</x:v>
      </x:c>
      <x:c r="AC748" s="8" t="str"/>
      <x:c r="AD748" s="8" t="str">
        <x:v>["draft-ko-missing"]</x:v>
      </x:c>
      <x:c r="AE748" s="8" t="str">
        <x:v>검토 필요</x:v>
      </x:c>
      <x:c r="AF748" s="8" t="str"/>
    </x:row>
    <x:row r="749">
      <x:c r="A749" s="10" t="n">
        <x:v>748</x:v>
      </x:c>
      <x:c r="B749" s="2" t="str">
        <x:v>2차 보류</x:v>
      </x:c>
      <x:c r="C749" s="2" t="str">
        <x:v>2차 보류</x:v>
      </x:c>
      <x:c r="D749" s="2" t="str">
        <x:v>낮음</x:v>
      </x:c>
      <x:c r="E749" s="2" t="str">
        <x:v>N1</x:v>
      </x:c>
      <x:c r="F749" s="10" t="n">
        <x:v>320</x:v>
      </x:c>
      <x:c r="G749" s="2" t="str">
        <x:v>w_808bf4bf0edd9943</x:v>
      </x:c>
      <x:c r="H749" s="2" t="str">
        <x:v>けなす</x:v>
      </x:c>
      <x:c r="I749" s="2" t="str">
        <x:v>けなす</x:v>
      </x:c>
      <x:c r="J749" s="8" t="str">
        <x:v>헐뜯다, 깎아내리다</x:v>
      </x:c>
      <x:c r="K749" s="2" t="str">
        <x:v>verb</x:v>
      </x:c>
      <x:c r="L749" s="9" t="n">
        <x:v>2.54</x:v>
      </x:c>
      <x:c r="M749" s="2" t="str">
        <x:v>있음</x:v>
      </x:c>
      <x:c r="N749" s="11" t="n">
        <x:v>4</x:v>
      </x:c>
      <x:c r="O749" s="8" t="str">
        <x:v>일반 사용 빈도 낮은 편(Zipf ≤ 3.0); JMdict 우선 어휘 표지 없음; 기존 데이터의 한국어 콘텐츠 보강 필요 태그</x:v>
      </x:c>
      <x:c r="P749" s="8" t="str">
        <x:v>frequency_le_3_0,no_jmdict_priority,weak_legacy_content</x:v>
      </x:c>
      <x:c r="Q749" s="2" t="str"/>
      <x:c r="R749" s="2" t="str"/>
      <x:c r="S749" s="2" t="str"/>
      <x:c r="T749" s="2" t="str"/>
      <x:c r="U749" s="2" t="str"/>
      <x:c r="V749" s="2" t="str">
        <x:v>아니오</x:v>
      </x:c>
      <x:c r="W749" s="2" t="str">
        <x:v>아니오</x:v>
      </x:c>
      <x:c r="X749" s="2" t="str"/>
      <x:c r="Y749" s="2" t="n">
        <x:v>0</x:v>
      </x:c>
      <x:c r="Z749" s="2" t="str"/>
      <x:c r="AA749" s="2" t="n">
        <x:v>0</x:v>
      </x:c>
      <x:c r="AB749" s="8" t="str"/>
      <x:c r="AC749" s="8" t="str"/>
      <x:c r="AD749" s="8" t="str">
        <x:v>["draft-ko-missing"]</x:v>
      </x:c>
      <x:c r="AE749" s="8" t="str">
        <x:v>검토 필요</x:v>
      </x:c>
      <x:c r="AF749" s="8" t="str"/>
    </x:row>
    <x:row r="750">
      <x:c r="A750" s="10" t="n">
        <x:v>749</x:v>
      </x:c>
      <x:c r="B750" s="2" t="str">
        <x:v>2차 보류</x:v>
      </x:c>
      <x:c r="C750" s="2" t="str">
        <x:v>2차 보류</x:v>
      </x:c>
      <x:c r="D750" s="2" t="str">
        <x:v>낮음</x:v>
      </x:c>
      <x:c r="E750" s="2" t="str">
        <x:v>N1</x:v>
      </x:c>
      <x:c r="F750" s="10" t="n">
        <x:v>321</x:v>
      </x:c>
      <x:c r="G750" s="2" t="str">
        <x:v>w_dccafa7233121f28</x:v>
      </x:c>
      <x:c r="H750" s="2" t="str">
        <x:v>講読</x:v>
      </x:c>
      <x:c r="I750" s="2" t="str">
        <x:v>こうどく</x:v>
      </x:c>
      <x:c r="J750" s="8" t="str">
        <x:v>강독</x:v>
      </x:c>
      <x:c r="K750" s="2" t="str">
        <x:v>noun</x:v>
      </x:c>
      <x:c r="L750" s="9" t="n">
        <x:v>2.56</x:v>
      </x:c>
      <x:c r="M750" s="2" t="str">
        <x:v>있음</x:v>
      </x:c>
      <x:c r="N750" s="11" t="n">
        <x:v>4</x:v>
      </x:c>
      <x:c r="O750" s="8" t="str">
        <x:v>일반 사용 빈도 낮은 편(Zipf ≤ 3.0); JMdict 우선 어휘 표지 없음; 기존 데이터의 한국어 콘텐츠 보강 필요 태그</x:v>
      </x:c>
      <x:c r="P750" s="8" t="str">
        <x:v>frequency_le_3_0,no_jmdict_priority,weak_legacy_content</x:v>
      </x:c>
      <x:c r="Q750" s="2" t="str"/>
      <x:c r="R750" s="2" t="str"/>
      <x:c r="S750" s="2" t="str"/>
      <x:c r="T750" s="2" t="str"/>
      <x:c r="U750" s="2" t="str"/>
      <x:c r="V750" s="2" t="str">
        <x:v>아니오</x:v>
      </x:c>
      <x:c r="W750" s="2" t="str">
        <x:v>예</x:v>
      </x:c>
      <x:c r="X750" s="2" t="str"/>
      <x:c r="Y750" s="2" t="n">
        <x:v>0</x:v>
      </x:c>
      <x:c r="Z750" s="2" t="str"/>
      <x:c r="AA750" s="2" t="n">
        <x:v>0</x:v>
      </x:c>
      <x:c r="AB750" s="8" t="str"/>
      <x:c r="AC750" s="8" t="str"/>
      <x:c r="AD750" s="8" t="str">
        <x:v>["draft-ko-missing"]</x:v>
      </x:c>
      <x:c r="AE750" s="8" t="str">
        <x:v>검토 필요</x:v>
      </x:c>
      <x:c r="AF750" s="8" t="str"/>
    </x:row>
    <x:row r="751">
      <x:c r="A751" s="10" t="n">
        <x:v>750</x:v>
      </x:c>
      <x:c r="B751" s="2" t="str">
        <x:v>2차 보류</x:v>
      </x:c>
      <x:c r="C751" s="2" t="str">
        <x:v>2차 보류</x:v>
      </x:c>
      <x:c r="D751" s="2" t="str">
        <x:v>낮음</x:v>
      </x:c>
      <x:c r="E751" s="2" t="str">
        <x:v>N1</x:v>
      </x:c>
      <x:c r="F751" s="10" t="n">
        <x:v>322</x:v>
      </x:c>
      <x:c r="G751" s="2" t="str">
        <x:v>w_a172145e6a7a76d8</x:v>
      </x:c>
      <x:c r="H751" s="2" t="str">
        <x:v>うたた寝</x:v>
      </x:c>
      <x:c r="I751" s="2" t="str">
        <x:v>うたたね</x:v>
      </x:c>
      <x:c r="J751" s="8" t="str">
        <x:v>졸고 있음</x:v>
      </x:c>
      <x:c r="K751" s="2" t="str">
        <x:v>noun</x:v>
      </x:c>
      <x:c r="L751" s="9" t="n">
        <x:v>2.64</x:v>
      </x:c>
      <x:c r="M751" s="2" t="str">
        <x:v>있음</x:v>
      </x:c>
      <x:c r="N751" s="11" t="n">
        <x:v>4</x:v>
      </x:c>
      <x:c r="O751" s="8" t="str">
        <x:v>일반 사용 빈도 낮은 편(Zipf ≤ 3.0); JMdict 우선 어휘 표지 없음; 기존 데이터의 한국어 콘텐츠 보강 필요 태그</x:v>
      </x:c>
      <x:c r="P751" s="8" t="str">
        <x:v>frequency_le_3_0,no_jmdict_priority,weak_legacy_content</x:v>
      </x:c>
      <x:c r="Q751" s="2" t="str"/>
      <x:c r="R751" s="2" t="str"/>
      <x:c r="S751" s="2" t="str"/>
      <x:c r="T751" s="2" t="str"/>
      <x:c r="U751" s="2" t="str"/>
      <x:c r="V751" s="2" t="str">
        <x:v>아니오</x:v>
      </x:c>
      <x:c r="W751" s="2" t="str">
        <x:v>예</x:v>
      </x:c>
      <x:c r="X751" s="2" t="str"/>
      <x:c r="Y751" s="2" t="n">
        <x:v>0</x:v>
      </x:c>
      <x:c r="Z751" s="2" t="str"/>
      <x:c r="AA751" s="2" t="n">
        <x:v>0</x:v>
      </x:c>
      <x:c r="AB751" s="8" t="str"/>
      <x:c r="AC751" s="8" t="str"/>
      <x:c r="AD751" s="8" t="str">
        <x:v>["draft-ko-missing"]</x:v>
      </x:c>
      <x:c r="AE751" s="8" t="str">
        <x:v>검토 필요</x:v>
      </x:c>
      <x:c r="AF751" s="8" t="str"/>
    </x:row>
    <x:row r="752">
      <x:c r="A752" s="10" t="n">
        <x:v>751</x:v>
      </x:c>
      <x:c r="B752" s="2" t="str">
        <x:v>2차 보류</x:v>
      </x:c>
      <x:c r="C752" s="2" t="str">
        <x:v>2차 보류</x:v>
      </x:c>
      <x:c r="D752" s="2" t="str">
        <x:v>낮음</x:v>
      </x:c>
      <x:c r="E752" s="2" t="str">
        <x:v>N1</x:v>
      </x:c>
      <x:c r="F752" s="10" t="n">
        <x:v>323</x:v>
      </x:c>
      <x:c r="G752" s="2" t="str">
        <x:v>w_74d7cc3819066b87</x:v>
      </x:c>
      <x:c r="H752" s="2" t="str">
        <x:v>ドライブイン</x:v>
      </x:c>
      <x:c r="I752" s="2" t="str">
        <x:v>ドライブイン</x:v>
      </x:c>
      <x:c r="J752" s="8" t="str">
        <x:v>드라이브인</x:v>
      </x:c>
      <x:c r="K752" s="2" t="str">
        <x:v>noun</x:v>
      </x:c>
      <x:c r="L752" s="9" t="n">
        <x:v>2.65</x:v>
      </x:c>
      <x:c r="M752" s="2" t="str">
        <x:v>있음</x:v>
      </x:c>
      <x:c r="N752" s="11" t="n">
        <x:v>4</x:v>
      </x:c>
      <x:c r="O752" s="8" t="str">
        <x:v>일반 사용 빈도 낮은 편(Zipf ≤ 3.0); JMdict 우선 어휘 표지 없음; 기존 데이터의 한국어 콘텐츠 보강 필요 태그</x:v>
      </x:c>
      <x:c r="P752" s="8" t="str">
        <x:v>frequency_le_3_0,no_jmdict_priority,weak_legacy_content</x:v>
      </x:c>
      <x:c r="Q752" s="2" t="str"/>
      <x:c r="R752" s="2" t="str"/>
      <x:c r="S752" s="2" t="str"/>
      <x:c r="T752" s="2" t="str"/>
      <x:c r="U752" s="2" t="str"/>
      <x:c r="V752" s="2" t="str">
        <x:v>아니오</x:v>
      </x:c>
      <x:c r="W752" s="2" t="str">
        <x:v>예</x:v>
      </x:c>
      <x:c r="X752" s="2" t="str"/>
      <x:c r="Y752" s="2" t="n">
        <x:v>0</x:v>
      </x:c>
      <x:c r="Z752" s="2" t="str"/>
      <x:c r="AA752" s="2" t="n">
        <x:v>0</x:v>
      </x:c>
      <x:c r="AB752" s="8" t="str"/>
      <x:c r="AC752" s="8" t="str"/>
      <x:c r="AD752" s="8" t="str">
        <x:v>["draft-ko-missing"]</x:v>
      </x:c>
      <x:c r="AE752" s="8" t="str">
        <x:v>검토 필요</x:v>
      </x:c>
      <x:c r="AF752" s="8" t="str"/>
    </x:row>
    <x:row r="753">
      <x:c r="A753" s="10" t="n">
        <x:v>752</x:v>
      </x:c>
      <x:c r="B753" s="2" t="str">
        <x:v>2차 보류</x:v>
      </x:c>
      <x:c r="C753" s="2" t="str">
        <x:v>2차 보류</x:v>
      </x:c>
      <x:c r="D753" s="2" t="str">
        <x:v>낮음</x:v>
      </x:c>
      <x:c r="E753" s="2" t="str">
        <x:v>N1</x:v>
      </x:c>
      <x:c r="F753" s="10" t="n">
        <x:v>324</x:v>
      </x:c>
      <x:c r="G753" s="2" t="str">
        <x:v>w_f109f753b8d58a39</x:v>
      </x:c>
      <x:c r="H753" s="2" t="str">
        <x:v>うぬぼれ</x:v>
      </x:c>
      <x:c r="I753" s="2" t="str">
        <x:v>うぬぼれ</x:v>
      </x:c>
      <x:c r="J753" s="8" t="str">
        <x:v>자만</x:v>
      </x:c>
      <x:c r="K753" s="2" t="str">
        <x:v>noun</x:v>
      </x:c>
      <x:c r="L753" s="9" t="n">
        <x:v>2.65</x:v>
      </x:c>
      <x:c r="M753" s="2" t="str">
        <x:v>있음</x:v>
      </x:c>
      <x:c r="N753" s="11" t="n">
        <x:v>4</x:v>
      </x:c>
      <x:c r="O753" s="8" t="str">
        <x:v>일반 사용 빈도 낮은 편(Zipf ≤ 3.0); JMdict 우선 어휘 표지 없음; 기존 데이터의 한국어 콘텐츠 보강 필요 태그</x:v>
      </x:c>
      <x:c r="P753" s="8" t="str">
        <x:v>frequency_le_3_0,no_jmdict_priority,weak_legacy_content</x:v>
      </x:c>
      <x:c r="Q753" s="2" t="str"/>
      <x:c r="R753" s="2" t="str"/>
      <x:c r="S753" s="2" t="str"/>
      <x:c r="T753" s="2" t="str"/>
      <x:c r="U753" s="2" t="str"/>
      <x:c r="V753" s="2" t="str">
        <x:v>아니오</x:v>
      </x:c>
      <x:c r="W753" s="2" t="str">
        <x:v>아니오</x:v>
      </x:c>
      <x:c r="X753" s="2" t="str"/>
      <x:c r="Y753" s="2" t="n">
        <x:v>0</x:v>
      </x:c>
      <x:c r="Z753" s="2" t="str"/>
      <x:c r="AA753" s="2" t="n">
        <x:v>0</x:v>
      </x:c>
      <x:c r="AB753" s="8" t="str"/>
      <x:c r="AC753" s="8" t="str"/>
      <x:c r="AD753" s="8" t="str">
        <x:v>["draft-ko-missing"]</x:v>
      </x:c>
      <x:c r="AE753" s="8" t="str">
        <x:v>검토 필요</x:v>
      </x:c>
      <x:c r="AF753" s="8" t="str"/>
    </x:row>
    <x:row r="754">
      <x:c r="A754" s="10" t="n">
        <x:v>753</x:v>
      </x:c>
      <x:c r="B754" s="2" t="str">
        <x:v>2차 보류</x:v>
      </x:c>
      <x:c r="C754" s="2" t="str">
        <x:v>2차 보류</x:v>
      </x:c>
      <x:c r="D754" s="2" t="str">
        <x:v>낮음</x:v>
      </x:c>
      <x:c r="E754" s="2" t="str">
        <x:v>N4</x:v>
      </x:c>
      <x:c r="F754" s="10" t="n">
        <x:v>56</x:v>
      </x:c>
      <x:c r="G754" s="2" t="str">
        <x:v>w_8055df2a8ee6ed9e</x:v>
      </x:c>
      <x:c r="H754" s="2" t="str">
        <x:v>うかがう</x:v>
      </x:c>
      <x:c r="I754" s="2" t="str">
        <x:v>うかがう</x:v>
      </x:c>
      <x:c r="J754" s="8" t="str">
        <x:v>묻다, 부탁하다</x:v>
      </x:c>
      <x:c r="K754" s="2" t="str">
        <x:v>verb</x:v>
      </x:c>
      <x:c r="L754" s="9" t="n">
        <x:v>2.71</x:v>
      </x:c>
      <x:c r="M754" s="2" t="str">
        <x:v>있음</x:v>
      </x:c>
      <x:c r="N754" s="11" t="n">
        <x:v>4</x:v>
      </x:c>
      <x:c r="O754" s="8" t="str">
        <x:v>일반 사용 빈도 낮은 편(Zipf ≤ 3.0); JMdict 우선 어휘 표지 없음; 기존 데이터의 한국어 콘텐츠 보강 필요 태그</x:v>
      </x:c>
      <x:c r="P754" s="8" t="str">
        <x:v>frequency_le_3_0,no_jmdict_priority,weak_legacy_content</x:v>
      </x:c>
      <x:c r="Q754" s="2" t="str"/>
      <x:c r="R754" s="2" t="str"/>
      <x:c r="S754" s="2" t="str"/>
      <x:c r="T754" s="2" t="str"/>
      <x:c r="U754" s="2" t="str"/>
      <x:c r="V754" s="2" t="str">
        <x:v>아니오</x:v>
      </x:c>
      <x:c r="W754" s="2" t="str">
        <x:v>아니오</x:v>
      </x:c>
      <x:c r="X754" s="2" t="str"/>
      <x:c r="Y754" s="2" t="n">
        <x:v>0</x:v>
      </x:c>
      <x:c r="Z754" s="2" t="str"/>
      <x:c r="AA754" s="2" t="n">
        <x:v>0</x:v>
      </x:c>
      <x:c r="AB754" s="8" t="str"/>
      <x:c r="AC754" s="8" t="str"/>
      <x:c r="AD754" s="8" t="str">
        <x:v>["draft-ko-missing"]</x:v>
      </x:c>
      <x:c r="AE754" s="8" t="str">
        <x:v>검토 필요</x:v>
      </x:c>
      <x:c r="AF754" s="8" t="str"/>
    </x:row>
    <x:row r="755">
      <x:c r="A755" s="10" t="n">
        <x:v>754</x:v>
      </x:c>
      <x:c r="B755" s="2" t="str">
        <x:v>2차 보류</x:v>
      </x:c>
      <x:c r="C755" s="2" t="str">
        <x:v>2차 보류</x:v>
      </x:c>
      <x:c r="D755" s="2" t="str">
        <x:v>낮음</x:v>
      </x:c>
      <x:c r="E755" s="2" t="str">
        <x:v>N1</x:v>
      </x:c>
      <x:c r="F755" s="10" t="n">
        <x:v>325</x:v>
      </x:c>
      <x:c r="G755" s="2" t="str">
        <x:v>w_ca1206ba76e163ac</x:v>
      </x:c>
      <x:c r="H755" s="2" t="str">
        <x:v>うっとうしい</x:v>
      </x:c>
      <x:c r="I755" s="2" t="str">
        <x:v>うっとうしい</x:v>
      </x:c>
      <x:c r="J755" s="8" t="str">
        <x:v>성가신</x:v>
      </x:c>
      <x:c r="K755" s="2" t="str">
        <x:v>adjective</x:v>
      </x:c>
      <x:c r="L755" s="9" t="n">
        <x:v>2.73</x:v>
      </x:c>
      <x:c r="M755" s="2" t="str">
        <x:v>있음</x:v>
      </x:c>
      <x:c r="N755" s="11" t="n">
        <x:v>4</x:v>
      </x:c>
      <x:c r="O755" s="8" t="str">
        <x:v>일반 사용 빈도 낮은 편(Zipf ≤ 3.0); JMdict 우선 어휘 표지 없음; 기존 데이터의 한국어 콘텐츠 보강 필요 태그</x:v>
      </x:c>
      <x:c r="P755" s="8" t="str">
        <x:v>frequency_le_3_0,no_jmdict_priority,weak_legacy_content</x:v>
      </x:c>
      <x:c r="Q755" s="2" t="str"/>
      <x:c r="R755" s="2" t="str"/>
      <x:c r="S755" s="2" t="str"/>
      <x:c r="T755" s="2" t="str"/>
      <x:c r="U755" s="2" t="str"/>
      <x:c r="V755" s="2" t="str">
        <x:v>아니오</x:v>
      </x:c>
      <x:c r="W755" s="2" t="str">
        <x:v>아니오</x:v>
      </x:c>
      <x:c r="X755" s="2" t="str"/>
      <x:c r="Y755" s="2" t="n">
        <x:v>0</x:v>
      </x:c>
      <x:c r="Z755" s="2" t="str"/>
      <x:c r="AA755" s="2" t="n">
        <x:v>0</x:v>
      </x:c>
      <x:c r="AB755" s="8" t="str"/>
      <x:c r="AC755" s="8" t="str"/>
      <x:c r="AD755" s="8" t="str">
        <x:v>["draft-ko-missing"]</x:v>
      </x:c>
      <x:c r="AE755" s="8" t="str">
        <x:v>검토 필요</x:v>
      </x:c>
      <x:c r="AF755" s="8" t="str"/>
    </x:row>
    <x:row r="756">
      <x:c r="A756" s="10" t="n">
        <x:v>755</x:v>
      </x:c>
      <x:c r="B756" s="2" t="str">
        <x:v>2차 보류</x:v>
      </x:c>
      <x:c r="C756" s="2" t="str">
        <x:v>2차 보류</x:v>
      </x:c>
      <x:c r="D756" s="2" t="str">
        <x:v>낮음</x:v>
      </x:c>
      <x:c r="E756" s="2" t="str">
        <x:v>N1</x:v>
      </x:c>
      <x:c r="F756" s="10" t="n">
        <x:v>326</x:v>
      </x:c>
      <x:c r="G756" s="2" t="str">
        <x:v>w_f96ea49c4898698b</x:v>
      </x:c>
      <x:c r="H756" s="2" t="str">
        <x:v>ねだる</x:v>
      </x:c>
      <x:c r="I756" s="2" t="str">
        <x:v>ねだる</x:v>
      </x:c>
      <x:c r="J756" s="8" t="str">
        <x:v>조르다, 떼쓰다</x:v>
      </x:c>
      <x:c r="K756" s="2" t="str">
        <x:v>verb</x:v>
      </x:c>
      <x:c r="L756" s="9" t="n">
        <x:v>2.75</x:v>
      </x:c>
      <x:c r="M756" s="2" t="str">
        <x:v>있음</x:v>
      </x:c>
      <x:c r="N756" s="11" t="n">
        <x:v>4</x:v>
      </x:c>
      <x:c r="O756" s="8" t="str">
        <x:v>일반 사용 빈도 낮은 편(Zipf ≤ 3.0); JMdict 우선 어휘 표지 없음; 기존 데이터의 한국어 콘텐츠 보강 필요 태그</x:v>
      </x:c>
      <x:c r="P756" s="8" t="str">
        <x:v>frequency_le_3_0,no_jmdict_priority,weak_legacy_content</x:v>
      </x:c>
      <x:c r="Q756" s="2" t="str"/>
      <x:c r="R756" s="2" t="str"/>
      <x:c r="S756" s="2" t="str"/>
      <x:c r="T756" s="2" t="str"/>
      <x:c r="U756" s="2" t="str"/>
      <x:c r="V756" s="2" t="str">
        <x:v>아니오</x:v>
      </x:c>
      <x:c r="W756" s="2" t="str">
        <x:v>아니오</x:v>
      </x:c>
      <x:c r="X756" s="2" t="str"/>
      <x:c r="Y756" s="2" t="n">
        <x:v>0</x:v>
      </x:c>
      <x:c r="Z756" s="2" t="str"/>
      <x:c r="AA756" s="2" t="n">
        <x:v>0</x:v>
      </x:c>
      <x:c r="AB756" s="8" t="str"/>
      <x:c r="AC756" s="8" t="str"/>
      <x:c r="AD756" s="8" t="str">
        <x:v>["draft-ko-missing"]</x:v>
      </x:c>
      <x:c r="AE756" s="8" t="str">
        <x:v>검토 필요</x:v>
      </x:c>
      <x:c r="AF756" s="8" t="str"/>
    </x:row>
    <x:row r="757">
      <x:c r="A757" s="10" t="n">
        <x:v>756</x:v>
      </x:c>
      <x:c r="B757" s="2" t="str">
        <x:v>2차 보류</x:v>
      </x:c>
      <x:c r="C757" s="2" t="str">
        <x:v>2차 보류</x:v>
      </x:c>
      <x:c r="D757" s="2" t="str">
        <x:v>낮음</x:v>
      </x:c>
      <x:c r="E757" s="2" t="str">
        <x:v>N1</x:v>
      </x:c>
      <x:c r="F757" s="10" t="n">
        <x:v>327</x:v>
      </x:c>
      <x:c r="G757" s="2" t="str">
        <x:v>w_5ef13c5777b12129</x:v>
      </x:c>
      <x:c r="H757" s="2" t="str">
        <x:v>おおまかな</x:v>
      </x:c>
      <x:c r="I757" s="2" t="str">
        <x:v>おおまかな</x:v>
      </x:c>
      <x:c r="J757" s="8" t="str">
        <x:v>거친, 대략적인, 대략의</x:v>
      </x:c>
      <x:c r="K757" s="2" t="str">
        <x:v>noun</x:v>
      </x:c>
      <x:c r="L757" s="9" t="n">
        <x:v>2.79</x:v>
      </x:c>
      <x:c r="M757" s="2" t="str">
        <x:v>있음</x:v>
      </x:c>
      <x:c r="N757" s="11" t="n">
        <x:v>4</x:v>
      </x:c>
      <x:c r="O757" s="8" t="str">
        <x:v>일반 사용 빈도 낮은 편(Zipf ≤ 3.0); JMdict 우선 어휘 표지 없음; 기존 데이터의 한국어 콘텐츠 보강 필요 태그</x:v>
      </x:c>
      <x:c r="P757" s="8" t="str">
        <x:v>frequency_le_3_0,no_jmdict_priority,weak_legacy_content</x:v>
      </x:c>
      <x:c r="Q757" s="2" t="str"/>
      <x:c r="R757" s="2" t="str"/>
      <x:c r="S757" s="2" t="str"/>
      <x:c r="T757" s="2" t="str"/>
      <x:c r="U757" s="2" t="str"/>
      <x:c r="V757" s="2" t="str">
        <x:v>아니오</x:v>
      </x:c>
      <x:c r="W757" s="2" t="str">
        <x:v>아니오</x:v>
      </x:c>
      <x:c r="X757" s="2" t="str"/>
      <x:c r="Y757" s="2" t="n">
        <x:v>0</x:v>
      </x:c>
      <x:c r="Z757" s="2" t="str"/>
      <x:c r="AA757" s="2" t="n">
        <x:v>0</x:v>
      </x:c>
      <x:c r="AB757" s="8" t="str"/>
      <x:c r="AC757" s="8" t="str"/>
      <x:c r="AD757" s="8" t="str">
        <x:v>["draft-ko-missing"]</x:v>
      </x:c>
      <x:c r="AE757" s="8" t="str">
        <x:v>검토 필요</x:v>
      </x:c>
      <x:c r="AF757" s="8" t="str"/>
    </x:row>
    <x:row r="758">
      <x:c r="A758" s="10" t="n">
        <x:v>757</x:v>
      </x:c>
      <x:c r="B758" s="2" t="str">
        <x:v>2차 보류</x:v>
      </x:c>
      <x:c r="C758" s="2" t="str">
        <x:v>2차 보류</x:v>
      </x:c>
      <x:c r="D758" s="2" t="str">
        <x:v>낮음</x:v>
      </x:c>
      <x:c r="E758" s="2" t="str">
        <x:v>N1</x:v>
      </x:c>
      <x:c r="F758" s="10" t="n">
        <x:v>328</x:v>
      </x:c>
      <x:c r="G758" s="2" t="str">
        <x:v>w_bbab9ac7568abe75</x:v>
      </x:c>
      <x:c r="H758" s="2" t="str">
        <x:v>インターチェンジ</x:v>
      </x:c>
      <x:c r="I758" s="2" t="str">
        <x:v>インターチェンジ</x:v>
      </x:c>
      <x:c r="J758" s="8" t="str">
        <x:v>인터체인지</x:v>
      </x:c>
      <x:c r="K758" s="2" t="str">
        <x:v>noun</x:v>
      </x:c>
      <x:c r="L758" s="9" t="n">
        <x:v>2.81</x:v>
      </x:c>
      <x:c r="M758" s="2" t="str">
        <x:v>있음</x:v>
      </x:c>
      <x:c r="N758" s="11" t="n">
        <x:v>4</x:v>
      </x:c>
      <x:c r="O758" s="8" t="str">
        <x:v>일반 사용 빈도 낮은 편(Zipf ≤ 3.0); JMdict 우선 어휘 표지 없음; 기존 데이터의 한국어 콘텐츠 보강 필요 태그</x:v>
      </x:c>
      <x:c r="P758" s="8" t="str">
        <x:v>frequency_le_3_0,no_jmdict_priority,weak_legacy_content</x:v>
      </x:c>
      <x:c r="Q758" s="2" t="str"/>
      <x:c r="R758" s="2" t="str"/>
      <x:c r="S758" s="2" t="str"/>
      <x:c r="T758" s="2" t="str"/>
      <x:c r="U758" s="2" t="str"/>
      <x:c r="V758" s="2" t="str">
        <x:v>아니오</x:v>
      </x:c>
      <x:c r="W758" s="2" t="str">
        <x:v>예</x:v>
      </x:c>
      <x:c r="X758" s="2" t="str"/>
      <x:c r="Y758" s="2" t="n">
        <x:v>0</x:v>
      </x:c>
      <x:c r="Z758" s="2" t="str"/>
      <x:c r="AA758" s="2" t="n">
        <x:v>0</x:v>
      </x:c>
      <x:c r="AB758" s="8" t="str"/>
      <x:c r="AC758" s="8" t="str"/>
      <x:c r="AD758" s="8" t="str">
        <x:v>["draft-ko-missing"]</x:v>
      </x:c>
      <x:c r="AE758" s="8" t="str">
        <x:v>검토 필요</x:v>
      </x:c>
      <x:c r="AF758" s="8" t="str"/>
    </x:row>
    <x:row r="759">
      <x:c r="A759" s="10" t="n">
        <x:v>758</x:v>
      </x:c>
      <x:c r="B759" s="2" t="str">
        <x:v>2차 보류</x:v>
      </x:c>
      <x:c r="C759" s="2" t="str">
        <x:v>2차 보류</x:v>
      </x:c>
      <x:c r="D759" s="2" t="str">
        <x:v>낮음</x:v>
      </x:c>
      <x:c r="E759" s="2" t="str">
        <x:v>N1</x:v>
      </x:c>
      <x:c r="F759" s="10" t="n">
        <x:v>329</x:v>
      </x:c>
      <x:c r="G759" s="2" t="str">
        <x:v>w_ed86d3d08d22d18b</x:v>
      </x:c>
      <x:c r="H759" s="2" t="str">
        <x:v>梢</x:v>
      </x:c>
      <x:c r="I759" s="2" t="str">
        <x:v>こずえ</x:v>
      </x:c>
      <x:c r="J759" s="8" t="str">
        <x:v>나무 꼭대기</x:v>
      </x:c>
      <x:c r="K759" s="2" t="str">
        <x:v>noun</x:v>
      </x:c>
      <x:c r="L759" s="9" t="n">
        <x:v>2.84</x:v>
      </x:c>
      <x:c r="M759" s="2" t="str">
        <x:v>있음</x:v>
      </x:c>
      <x:c r="N759" s="11" t="n">
        <x:v>4</x:v>
      </x:c>
      <x:c r="O759" s="8" t="str">
        <x:v>일반 사용 빈도 낮은 편(Zipf ≤ 3.0); JMdict 우선 어휘 표지 없음; 기존 데이터의 한국어 콘텐츠 보강 필요 태그</x:v>
      </x:c>
      <x:c r="P759" s="8" t="str">
        <x:v>frequency_le_3_0,no_jmdict_priority,weak_legacy_content</x:v>
      </x:c>
      <x:c r="Q759" s="2" t="str"/>
      <x:c r="R759" s="2" t="str"/>
      <x:c r="S759" s="2" t="str"/>
      <x:c r="T759" s="2" t="str"/>
      <x:c r="U759" s="2" t="str"/>
      <x:c r="V759" s="2" t="str">
        <x:v>아니오</x:v>
      </x:c>
      <x:c r="W759" s="2" t="str">
        <x:v>예</x:v>
      </x:c>
      <x:c r="X759" s="2" t="str"/>
      <x:c r="Y759" s="2" t="n">
        <x:v>0</x:v>
      </x:c>
      <x:c r="Z759" s="2" t="str"/>
      <x:c r="AA759" s="2" t="n">
        <x:v>0</x:v>
      </x:c>
      <x:c r="AB759" s="8" t="str"/>
      <x:c r="AC759" s="8" t="str"/>
      <x:c r="AD759" s="8" t="str">
        <x:v>["draft-ko-missing"]</x:v>
      </x:c>
      <x:c r="AE759" s="8" t="str">
        <x:v>검토 필요</x:v>
      </x:c>
      <x:c r="AF759" s="8" t="str"/>
    </x:row>
    <x:row r="760">
      <x:c r="A760" s="10" t="n">
        <x:v>759</x:v>
      </x:c>
      <x:c r="B760" s="2" t="str">
        <x:v>2차 보류</x:v>
      </x:c>
      <x:c r="C760" s="2" t="str">
        <x:v>2차 보류</x:v>
      </x:c>
      <x:c r="D760" s="2" t="str">
        <x:v>낮음</x:v>
      </x:c>
      <x:c r="E760" s="2" t="str">
        <x:v>N1</x:v>
      </x:c>
      <x:c r="F760" s="10" t="n">
        <x:v>330</x:v>
      </x:c>
      <x:c r="G760" s="2" t="str">
        <x:v>w_92993006c5583d81</x:v>
      </x:c>
      <x:c r="H760" s="2" t="str">
        <x:v>おっかない</x:v>
      </x:c>
      <x:c r="I760" s="2" t="str">
        <x:v>おっかない</x:v>
      </x:c>
      <x:c r="J760" s="8" t="str">
        <x:v>무서운</x:v>
      </x:c>
      <x:c r="K760" s="2" t="str">
        <x:v>adjective</x:v>
      </x:c>
      <x:c r="L760" s="9" t="n">
        <x:v>2.89</x:v>
      </x:c>
      <x:c r="M760" s="2" t="str">
        <x:v>있음</x:v>
      </x:c>
      <x:c r="N760" s="11" t="n">
        <x:v>4</x:v>
      </x:c>
      <x:c r="O760" s="8" t="str">
        <x:v>일반 사용 빈도 낮은 편(Zipf ≤ 3.0); JMdict 우선 어휘 표지 없음; 기존 데이터의 한국어 콘텐츠 보강 필요 태그</x:v>
      </x:c>
      <x:c r="P760" s="8" t="str">
        <x:v>frequency_le_3_0,no_jmdict_priority,weak_legacy_content</x:v>
      </x:c>
      <x:c r="Q760" s="2" t="str"/>
      <x:c r="R760" s="2" t="str"/>
      <x:c r="S760" s="2" t="str"/>
      <x:c r="T760" s="2" t="str"/>
      <x:c r="U760" s="2" t="str"/>
      <x:c r="V760" s="2" t="str">
        <x:v>아니오</x:v>
      </x:c>
      <x:c r="W760" s="2" t="str">
        <x:v>예</x:v>
      </x:c>
      <x:c r="X760" s="2" t="str"/>
      <x:c r="Y760" s="2" t="n">
        <x:v>0</x:v>
      </x:c>
      <x:c r="Z760" s="2" t="str"/>
      <x:c r="AA760" s="2" t="n">
        <x:v>0</x:v>
      </x:c>
      <x:c r="AB760" s="8" t="str">
        <x:v>archaic | colloquial</x:v>
      </x:c>
      <x:c r="AC760" s="8" t="str"/>
      <x:c r="AD760" s="8" t="str">
        <x:v>["draft-ko-missing"]</x:v>
      </x:c>
      <x:c r="AE760" s="8" t="str">
        <x:v>검토 필요</x:v>
      </x:c>
      <x:c r="AF760" s="8" t="str"/>
    </x:row>
    <x:row r="761">
      <x:c r="A761" s="10" t="n">
        <x:v>760</x:v>
      </x:c>
      <x:c r="B761" s="2" t="str">
        <x:v>2차 보류</x:v>
      </x:c>
      <x:c r="C761" s="2" t="str">
        <x:v>2차 보류</x:v>
      </x:c>
      <x:c r="D761" s="2" t="str">
        <x:v>낮음</x:v>
      </x:c>
      <x:c r="E761" s="2" t="str">
        <x:v>N1</x:v>
      </x:c>
      <x:c r="F761" s="10" t="n">
        <x:v>331</x:v>
      </x:c>
      <x:c r="G761" s="2" t="str">
        <x:v>w_24f78b7b84fbad86</x:v>
      </x:c>
      <x:c r="H761" s="2" t="str">
        <x:v>細やか</x:v>
      </x:c>
      <x:c r="I761" s="2" t="str">
        <x:v>こまやか</x:v>
      </x:c>
      <x:c r="J761" s="8" t="str">
        <x:v>섬세함, 자상함</x:v>
      </x:c>
      <x:c r="K761" s="2" t="str">
        <x:v>adjective</x:v>
      </x:c>
      <x:c r="L761" s="9" t="n">
        <x:v>2.96</x:v>
      </x:c>
      <x:c r="M761" s="2" t="str">
        <x:v>있음</x:v>
      </x:c>
      <x:c r="N761" s="11" t="n">
        <x:v>4</x:v>
      </x:c>
      <x:c r="O761" s="8" t="str">
        <x:v>일반 사용 빈도 낮은 편(Zipf ≤ 3.0); JMdict 우선 어휘 표지 없음; 기존 데이터의 한국어 콘텐츠 보강 필요 태그</x:v>
      </x:c>
      <x:c r="P761" s="8" t="str">
        <x:v>frequency_le_3_0,no_jmdict_priority,weak_legacy_content</x:v>
      </x:c>
      <x:c r="Q761" s="2" t="str"/>
      <x:c r="R761" s="2" t="str"/>
      <x:c r="S761" s="2" t="str"/>
      <x:c r="T761" s="2" t="str"/>
      <x:c r="U761" s="2" t="str"/>
      <x:c r="V761" s="2" t="str">
        <x:v>아니오</x:v>
      </x:c>
      <x:c r="W761" s="2" t="str">
        <x:v>예</x:v>
      </x:c>
      <x:c r="X761" s="2" t="str"/>
      <x:c r="Y761" s="2" t="n">
        <x:v>0</x:v>
      </x:c>
      <x:c r="Z761" s="2" t="str"/>
      <x:c r="AA761" s="2" t="n">
        <x:v>0</x:v>
      </x:c>
      <x:c r="AB761" s="8" t="str"/>
      <x:c r="AC761" s="8" t="str"/>
      <x:c r="AD761" s="8" t="str">
        <x:v>["draft-ko-missing"]</x:v>
      </x:c>
      <x:c r="AE761" s="8" t="str">
        <x:v>검토 필요</x:v>
      </x:c>
      <x:c r="AF761" s="8" t="str"/>
    </x:row>
    <x:row r="762">
      <x:c r="A762" s="10" t="n">
        <x:v>761</x:v>
      </x:c>
      <x:c r="B762" s="2" t="str">
        <x:v>2차 보류</x:v>
      </x:c>
      <x:c r="C762" s="2" t="str">
        <x:v>2차 보류</x:v>
      </x:c>
      <x:c r="D762" s="2" t="str">
        <x:v>낮음</x:v>
      </x:c>
      <x:c r="E762" s="2" t="str">
        <x:v>N1</x:v>
      </x:c>
      <x:c r="F762" s="10" t="n">
        <x:v>332</x:v>
      </x:c>
      <x:c r="G762" s="2" t="str">
        <x:v>w_27580d886b879a64</x:v>
      </x:c>
      <x:c r="H762" s="2" t="str">
        <x:v>おろそか</x:v>
      </x:c>
      <x:c r="I762" s="2" t="str">
        <x:v>おろそか</x:v>
      </x:c>
      <x:c r="J762" s="8" t="str">
        <x:v>소홀함, 등한시</x:v>
      </x:c>
      <x:c r="K762" s="2" t="str">
        <x:v>adjective</x:v>
      </x:c>
      <x:c r="L762" s="9" t="n">
        <x:v>2.96</x:v>
      </x:c>
      <x:c r="M762" s="2" t="str">
        <x:v>있음</x:v>
      </x:c>
      <x:c r="N762" s="11" t="n">
        <x:v>4</x:v>
      </x:c>
      <x:c r="O762" s="8" t="str">
        <x:v>일반 사용 빈도 낮은 편(Zipf ≤ 3.0); JMdict 우선 어휘 표지 없음; 기존 데이터의 한국어 콘텐츠 보강 필요 태그</x:v>
      </x:c>
      <x:c r="P762" s="8" t="str">
        <x:v>frequency_le_3_0,no_jmdict_priority,weak_legacy_content</x:v>
      </x:c>
      <x:c r="Q762" s="2" t="str"/>
      <x:c r="R762" s="2" t="str"/>
      <x:c r="S762" s="2" t="str"/>
      <x:c r="T762" s="2" t="str"/>
      <x:c r="U762" s="2" t="str"/>
      <x:c r="V762" s="2" t="str">
        <x:v>아니오</x:v>
      </x:c>
      <x:c r="W762" s="2" t="str">
        <x:v>아니오</x:v>
      </x:c>
      <x:c r="X762" s="2" t="str"/>
      <x:c r="Y762" s="2" t="n">
        <x:v>0</x:v>
      </x:c>
      <x:c r="Z762" s="2" t="str"/>
      <x:c r="AA762" s="2" t="n">
        <x:v>0</x:v>
      </x:c>
      <x:c r="AB762" s="8" t="str"/>
      <x:c r="AC762" s="8" t="str"/>
      <x:c r="AD762" s="8" t="str">
        <x:v>["draft-ko-missing"]</x:v>
      </x:c>
      <x:c r="AE762" s="8" t="str">
        <x:v>검토 필요</x:v>
      </x:c>
      <x:c r="AF762" s="8" t="str"/>
    </x:row>
    <x:row r="763">
      <x:c r="A763" s="10" t="n">
        <x:v>762</x:v>
      </x:c>
      <x:c r="B763" s="2" t="str">
        <x:v>2차 보류</x:v>
      </x:c>
      <x:c r="C763" s="2" t="str">
        <x:v>2차 보류</x:v>
      </x:c>
      <x:c r="D763" s="2" t="str">
        <x:v>낮음</x:v>
      </x:c>
      <x:c r="E763" s="2" t="str">
        <x:v>N1</x:v>
      </x:c>
      <x:c r="F763" s="10" t="n">
        <x:v>333</x:v>
      </x:c>
      <x:c r="G763" s="2" t="str">
        <x:v>w_4b8574e4cbd2e533</x:v>
      </x:c>
      <x:c r="H763" s="2" t="str">
        <x:v>介抱</x:v>
      </x:c>
      <x:c r="I763" s="2" t="str">
        <x:v>かいほう</x:v>
      </x:c>
      <x:c r="J763" s="8" t="str">
        <x:v>간호, 병구완</x:v>
      </x:c>
      <x:c r="K763" s="2" t="str">
        <x:v>noun</x:v>
      </x:c>
      <x:c r="L763" s="9" t="n">
        <x:v>2.99</x:v>
      </x:c>
      <x:c r="M763" s="2" t="str">
        <x:v>있음</x:v>
      </x:c>
      <x:c r="N763" s="11" t="n">
        <x:v>4</x:v>
      </x:c>
      <x:c r="O763" s="8" t="str">
        <x:v>일반 사용 빈도 낮은 편(Zipf ≤ 3.0); JMdict 우선 어휘 표지 없음; 기존 데이터의 한국어 콘텐츠 보강 필요 태그</x:v>
      </x:c>
      <x:c r="P763" s="8" t="str">
        <x:v>frequency_le_3_0,no_jmdict_priority,weak_legacy_content</x:v>
      </x:c>
      <x:c r="Q763" s="2" t="str"/>
      <x:c r="R763" s="2" t="str"/>
      <x:c r="S763" s="2" t="str"/>
      <x:c r="T763" s="2" t="str"/>
      <x:c r="U763" s="2" t="str"/>
      <x:c r="V763" s="2" t="str">
        <x:v>아니오</x:v>
      </x:c>
      <x:c r="W763" s="2" t="str">
        <x:v>예</x:v>
      </x:c>
      <x:c r="X763" s="2" t="str"/>
      <x:c r="Y763" s="2" t="n">
        <x:v>0</x:v>
      </x:c>
      <x:c r="Z763" s="2" t="str"/>
      <x:c r="AA763" s="2" t="n">
        <x:v>0</x:v>
      </x:c>
      <x:c r="AB763" s="8" t="str"/>
      <x:c r="AC763" s="8" t="str"/>
      <x:c r="AD763" s="8" t="str">
        <x:v>["draft-ko-missing"]</x:v>
      </x:c>
      <x:c r="AE763" s="8" t="str">
        <x:v>검토 필요</x:v>
      </x:c>
      <x:c r="AF763" s="8" t="str"/>
    </x:row>
    <x:row r="764">
      <x:c r="A764" s="10" t="n">
        <x:v>763</x:v>
      </x:c>
      <x:c r="B764" s="2" t="str">
        <x:v>2차 보류</x:v>
      </x:c>
      <x:c r="C764" s="2" t="str">
        <x:v>2차 보류</x:v>
      </x:c>
      <x:c r="D764" s="2" t="str">
        <x:v>낮음</x:v>
      </x:c>
      <x:c r="E764" s="2" t="str">
        <x:v>N3</x:v>
      </x:c>
      <x:c r="F764" s="10" t="n">
        <x:v>84</x:v>
      </x:c>
      <x:c r="G764" s="2" t="str">
        <x:v>w_0513d7c7e92231c6</x:v>
      </x:c>
      <x:c r="H764" s="2" t="str">
        <x:v>いわゆる</x:v>
      </x:c>
      <x:c r="I764" s="2" t="str">
        <x:v>いわゆる</x:v>
      </x:c>
      <x:c r="J764" s="8" t="str">
        <x:v>이른바, 소위</x:v>
      </x:c>
      <x:c r="K764" s="2" t="str">
        <x:v>adjective</x:v>
      </x:c>
      <x:c r="L764" s="9" t="n">
        <x:v>4.5</x:v>
      </x:c>
      <x:c r="M764" s="2" t="str">
        <x:v>없음</x:v>
      </x:c>
      <x:c r="N764" s="11" t="n">
        <x:v>3</x:v>
      </x:c>
      <x:c r="O764" s="8" t="str">
        <x:v>검증된 예문 없음; JMdict 우선 어휘 표지 없음; 기존 데이터의 한국어 콘텐츠 보강 필요 태그</x:v>
      </x:c>
      <x:c r="P764" s="8" t="str">
        <x:v>no_example,no_jmdict_priority,weak_legacy_content</x:v>
      </x:c>
      <x:c r="Q764" s="2" t="str"/>
      <x:c r="R764" s="2" t="str"/>
      <x:c r="S764" s="2" t="str"/>
      <x:c r="T764" s="2" t="str"/>
      <x:c r="U764" s="2" t="str"/>
      <x:c r="V764" s="2" t="str">
        <x:v>아니오</x:v>
      </x:c>
      <x:c r="W764" s="2" t="str">
        <x:v>아니오</x:v>
      </x:c>
      <x:c r="X764" s="2" t="str"/>
      <x:c r="Y764" s="2" t="n">
        <x:v>0</x:v>
      </x:c>
      <x:c r="Z764" s="2" t="str"/>
      <x:c r="AA764" s="2" t="n">
        <x:v>0</x:v>
      </x:c>
      <x:c r="AB764" s="8" t="str"/>
      <x:c r="AC764" s="8" t="str"/>
      <x:c r="AD764" s="8" t="str">
        <x:v>["draft-ko-missing"]</x:v>
      </x:c>
      <x:c r="AE764" s="8" t="str">
        <x:v>검토 필요</x:v>
      </x:c>
      <x:c r="AF764" s="8" t="str"/>
    </x:row>
    <x:row r="765">
      <x:c r="A765" s="10" t="n">
        <x:v>764</x:v>
      </x:c>
      <x:c r="B765" s="2" t="str">
        <x:v>2차 보류</x:v>
      </x:c>
      <x:c r="C765" s="2" t="str">
        <x:v>2차 보류</x:v>
      </x:c>
      <x:c r="D765" s="2" t="str">
        <x:v>낮음</x:v>
      </x:c>
      <x:c r="E765" s="2" t="str">
        <x:v>N2</x:v>
      </x:c>
      <x:c r="F765" s="10" t="n">
        <x:v>273</x:v>
      </x:c>
      <x:c r="G765" s="2" t="str">
        <x:v>w_320433fac64d8f72</x:v>
      </x:c>
      <x:c r="H765" s="2" t="str">
        <x:v>きっかけ</x:v>
      </x:c>
      <x:c r="I765" s="2" t="str">
        <x:v>きっかけ</x:v>
      </x:c>
      <x:c r="J765" s="8" t="str">
        <x:v>계기, 실마리</x:v>
      </x:c>
      <x:c r="K765" s="2" t="str">
        <x:v>noun</x:v>
      </x:c>
      <x:c r="L765" s="9" t="n">
        <x:v>4.58</x:v>
      </x:c>
      <x:c r="M765" s="2" t="str">
        <x:v>없음</x:v>
      </x:c>
      <x:c r="N765" s="11" t="n">
        <x:v>3</x:v>
      </x:c>
      <x:c r="O765" s="8" t="str">
        <x:v>검증된 예문 없음; JMdict 우선 어휘 표지 없음; 기존 데이터의 한국어 콘텐츠 보강 필요 태그</x:v>
      </x:c>
      <x:c r="P765" s="8" t="str">
        <x:v>no_example,no_jmdict_priority,weak_legacy_content</x:v>
      </x:c>
      <x:c r="Q765" s="2" t="str"/>
      <x:c r="R765" s="2" t="str"/>
      <x:c r="S765" s="2" t="str"/>
      <x:c r="T765" s="2" t="str"/>
      <x:c r="U765" s="2" t="str"/>
      <x:c r="V765" s="2" t="str">
        <x:v>아니오</x:v>
      </x:c>
      <x:c r="W765" s="2" t="str">
        <x:v>아니오</x:v>
      </x:c>
      <x:c r="X765" s="2" t="str"/>
      <x:c r="Y765" s="2" t="n">
        <x:v>0</x:v>
      </x:c>
      <x:c r="Z765" s="2" t="str"/>
      <x:c r="AA765" s="2" t="n">
        <x:v>0</x:v>
      </x:c>
      <x:c r="AB765" s="8" t="str"/>
      <x:c r="AC765" s="8" t="str"/>
      <x:c r="AD765" s="8" t="str">
        <x:v>["draft-ko-missing"]</x:v>
      </x:c>
      <x:c r="AE765" s="8" t="str">
        <x:v>검토 필요</x:v>
      </x:c>
      <x:c r="AF765" s="8" t="str"/>
    </x:row>
    <x:row r="766">
      <x:c r="A766" s="10" t="n">
        <x:v>765</x:v>
      </x:c>
      <x:c r="B766" s="2" t="str">
        <x:v>2차 보류</x:v>
      </x:c>
      <x:c r="C766" s="2" t="str">
        <x:v>2차 보류</x:v>
      </x:c>
      <x:c r="D766" s="2" t="str">
        <x:v>낮음</x:v>
      </x:c>
      <x:c r="E766" s="2" t="str">
        <x:v>N4</x:v>
      </x:c>
      <x:c r="F766" s="10" t="n">
        <x:v>57</x:v>
      </x:c>
      <x:c r="G766" s="2" t="str">
        <x:v>w_2f22a51db540eabf</x:v>
      </x:c>
      <x:c r="H766" s="2" t="str">
        <x:v>アジア</x:v>
      </x:c>
      <x:c r="I766" s="2" t="str">
        <x:v>アジア</x:v>
      </x:c>
      <x:c r="J766" s="8" t="str">
        <x:v>아시아</x:v>
      </x:c>
      <x:c r="K766" s="2" t="str">
        <x:v>noun</x:v>
      </x:c>
      <x:c r="L766" s="9" t="n">
        <x:v>4.6</x:v>
      </x:c>
      <x:c r="M766" s="2" t="str">
        <x:v>없음</x:v>
      </x:c>
      <x:c r="N766" s="11" t="n">
        <x:v>3</x:v>
      </x:c>
      <x:c r="O766" s="8" t="str">
        <x:v>검증된 예문 없음; JMdict 우선 어휘 표지 없음; 기존 데이터의 한국어 콘텐츠 보강 필요 태그</x:v>
      </x:c>
      <x:c r="P766" s="8" t="str">
        <x:v>no_example,no_jmdict_priority,weak_legacy_content</x:v>
      </x:c>
      <x:c r="Q766" s="2" t="str"/>
      <x:c r="R766" s="2" t="str"/>
      <x:c r="S766" s="2" t="str"/>
      <x:c r="T766" s="2" t="str"/>
      <x:c r="U766" s="2" t="str"/>
      <x:c r="V766" s="2" t="str">
        <x:v>아니오</x:v>
      </x:c>
      <x:c r="W766" s="2" t="str">
        <x:v>아니오</x:v>
      </x:c>
      <x:c r="X766" s="2" t="str"/>
      <x:c r="Y766" s="2" t="n">
        <x:v>0</x:v>
      </x:c>
      <x:c r="Z766" s="2" t="str"/>
      <x:c r="AA766" s="2" t="n">
        <x:v>0</x:v>
      </x:c>
      <x:c r="AB766" s="8" t="str"/>
      <x:c r="AC766" s="8" t="str"/>
      <x:c r="AD766" s="8" t="str">
        <x:v>["draft-ko-missing"]</x:v>
      </x:c>
      <x:c r="AE766" s="8" t="str">
        <x:v>검토 필요</x:v>
      </x:c>
      <x:c r="AF766" s="8" t="str"/>
    </x:row>
    <x:row r="767">
      <x:c r="A767" s="10" t="n">
        <x:v>766</x:v>
      </x:c>
      <x:c r="B767" s="2" t="str">
        <x:v>2차 보류</x:v>
      </x:c>
      <x:c r="C767" s="2" t="str">
        <x:v>2차 보류</x:v>
      </x:c>
      <x:c r="D767" s="2" t="str">
        <x:v>낮음</x:v>
      </x:c>
      <x:c r="E767" s="2" t="str">
        <x:v>N4</x:v>
      </x:c>
      <x:c r="F767" s="10" t="n">
        <x:v>58</x:v>
      </x:c>
      <x:c r="G767" s="2" t="str">
        <x:v>w_8794ea0733093080</x:v>
      </x:c>
      <x:c r="H767" s="2" t="str">
        <x:v>びっくりする</x:v>
      </x:c>
      <x:c r="I767" s="2" t="str">
        <x:v>びっくりする</x:v>
      </x:c>
      <x:c r="J767" s="8" t="str">
        <x:v>놀라다</x:v>
      </x:c>
      <x:c r="K767" s="2" t="str">
        <x:v>verb</x:v>
      </x:c>
      <x:c r="L767" s="9" t="n">
        <x:v>4.62</x:v>
      </x:c>
      <x:c r="M767" s="2" t="str">
        <x:v>없음</x:v>
      </x:c>
      <x:c r="N767" s="11" t="n">
        <x:v>3</x:v>
      </x:c>
      <x:c r="O767" s="8" t="str">
        <x:v>검증된 예문 없음; JMdict 우선 어휘 표지 없음; 기존 데이터의 한국어 콘텐츠 보강 필요 태그</x:v>
      </x:c>
      <x:c r="P767" s="8" t="str">
        <x:v>no_example,no_jmdict_priority,weak_legacy_content</x:v>
      </x:c>
      <x:c r="Q767" s="2" t="str"/>
      <x:c r="R767" s="2" t="str"/>
      <x:c r="S767" s="2" t="str"/>
      <x:c r="T767" s="2" t="str"/>
      <x:c r="U767" s="2" t="str"/>
      <x:c r="V767" s="2" t="str">
        <x:v>아니오</x:v>
      </x:c>
      <x:c r="W767" s="2" t="str">
        <x:v>아니오</x:v>
      </x:c>
      <x:c r="X767" s="2" t="str"/>
      <x:c r="Y767" s="2" t="n">
        <x:v>0</x:v>
      </x:c>
      <x:c r="Z767" s="2" t="str"/>
      <x:c r="AA767" s="2" t="n">
        <x:v>0</x:v>
      </x:c>
      <x:c r="AB767" s="8" t="str"/>
      <x:c r="AC767" s="8" t="str"/>
      <x:c r="AD767" s="8" t="str">
        <x:v>["draft-ko-missing"]</x:v>
      </x:c>
      <x:c r="AE767" s="8" t="str">
        <x:v>검토 필요</x:v>
      </x:c>
      <x:c r="AF767" s="8" t="str"/>
    </x:row>
    <x:row r="768">
      <x:c r="A768" s="10" t="n">
        <x:v>767</x:v>
      </x:c>
      <x:c r="B768" s="2" t="str">
        <x:v>2차 보류</x:v>
      </x:c>
      <x:c r="C768" s="2" t="str">
        <x:v>2차 보류</x:v>
      </x:c>
      <x:c r="D768" s="2" t="str">
        <x:v>낮음</x:v>
      </x:c>
      <x:c r="E768" s="2" t="str">
        <x:v>N1</x:v>
      </x:c>
      <x:c r="F768" s="10" t="n">
        <x:v>334</x:v>
      </x:c>
      <x:c r="G768" s="2" t="str">
        <x:v>w_338ee5e182c16518</x:v>
      </x:c>
      <x:c r="H768" s="2" t="str">
        <x:v>諦め</x:v>
      </x:c>
      <x:c r="I768" s="2" t="str">
        <x:v>あきらめ</x:v>
      </x:c>
      <x:c r="J768" s="8" t="str">
        <x:v>체념, 포기, 화해, 위로</x:v>
      </x:c>
      <x:c r="K768" s="2" t="str">
        <x:v>noun</x:v>
      </x:c>
      <x:c r="L768" s="9" t="n">
        <x:v>4.62</x:v>
      </x:c>
      <x:c r="M768" s="2" t="str">
        <x:v>없음</x:v>
      </x:c>
      <x:c r="N768" s="11" t="n">
        <x:v>3</x:v>
      </x:c>
      <x:c r="O768" s="8" t="str">
        <x:v>검증된 예문 없음; JMdict 우선 어휘 표지 없음; 기존 데이터의 한국어 콘텐츠 보강 필요 태그</x:v>
      </x:c>
      <x:c r="P768" s="8" t="str">
        <x:v>no_example,no_jmdict_priority,weak_legacy_content</x:v>
      </x:c>
      <x:c r="Q768" s="2" t="str"/>
      <x:c r="R768" s="2" t="str"/>
      <x:c r="S768" s="2" t="str"/>
      <x:c r="T768" s="2" t="str"/>
      <x:c r="U768" s="2" t="str"/>
      <x:c r="V768" s="2" t="str">
        <x:v>아니오</x:v>
      </x:c>
      <x:c r="W768" s="2" t="str">
        <x:v>예</x:v>
      </x:c>
      <x:c r="X768" s="2" t="str"/>
      <x:c r="Y768" s="2" t="n">
        <x:v>0</x:v>
      </x:c>
      <x:c r="Z768" s="2" t="str"/>
      <x:c r="AA768" s="2" t="n">
        <x:v>0</x:v>
      </x:c>
      <x:c r="AB768" s="8" t="str"/>
      <x:c r="AC768" s="8" t="str"/>
      <x:c r="AD768" s="8" t="str">
        <x:v>["draft-ko-missing"]</x:v>
      </x:c>
      <x:c r="AE768" s="8" t="str">
        <x:v>검토 필요</x:v>
      </x:c>
      <x:c r="AF768" s="8" t="str"/>
    </x:row>
    <x:row r="769">
      <x:c r="A769" s="10" t="n">
        <x:v>768</x:v>
      </x:c>
      <x:c r="B769" s="2" t="str">
        <x:v>2차 보류</x:v>
      </x:c>
      <x:c r="C769" s="2" t="str">
        <x:v>2차 보류</x:v>
      </x:c>
      <x:c r="D769" s="2" t="str">
        <x:v>낮음</x:v>
      </x:c>
      <x:c r="E769" s="2" t="str">
        <x:v>N3</x:v>
      </x:c>
      <x:c r="F769" s="10" t="n">
        <x:v>85</x:v>
      </x:c>
      <x:c r="G769" s="2" t="str">
        <x:v>w_0f0130a63fc69529</x:v>
      </x:c>
      <x:c r="H769" s="2" t="str">
        <x:v>あんまり</x:v>
      </x:c>
      <x:c r="I769" s="2" t="str">
        <x:v>あんまり</x:v>
      </x:c>
      <x:c r="J769" s="8" t="str">
        <x:v>그다지, 별로 (~않다)</x:v>
      </x:c>
      <x:c r="K769" s="2" t="str">
        <x:v>noun</x:v>
      </x:c>
      <x:c r="L769" s="9" t="n">
        <x:v>4.64</x:v>
      </x:c>
      <x:c r="M769" s="2" t="str">
        <x:v>없음</x:v>
      </x:c>
      <x:c r="N769" s="11" t="n">
        <x:v>3</x:v>
      </x:c>
      <x:c r="O769" s="8" t="str">
        <x:v>검증된 예문 없음; JMdict 우선 어휘 표지 없음; 기존 데이터의 한국어 콘텐츠 보강 필요 태그</x:v>
      </x:c>
      <x:c r="P769" s="8" t="str">
        <x:v>no_example,no_jmdict_priority,weak_legacy_content</x:v>
      </x:c>
      <x:c r="Q769" s="2" t="str"/>
      <x:c r="R769" s="2" t="str"/>
      <x:c r="S769" s="2" t="str"/>
      <x:c r="T769" s="2" t="str"/>
      <x:c r="U769" s="2" t="str"/>
      <x:c r="V769" s="2" t="str">
        <x:v>아니오</x:v>
      </x:c>
      <x:c r="W769" s="2" t="str">
        <x:v>아니오</x:v>
      </x:c>
      <x:c r="X769" s="2" t="str"/>
      <x:c r="Y769" s="2" t="n">
        <x:v>0</x:v>
      </x:c>
      <x:c r="Z769" s="2" t="str"/>
      <x:c r="AA769" s="2" t="n">
        <x:v>0</x:v>
      </x:c>
      <x:c r="AB769" s="8" t="str"/>
      <x:c r="AC769" s="8" t="str"/>
      <x:c r="AD769" s="8" t="str">
        <x:v>["draft-ko-missing"]</x:v>
      </x:c>
      <x:c r="AE769" s="8" t="str">
        <x:v>검토 필요</x:v>
      </x:c>
      <x:c r="AF769" s="8" t="str"/>
    </x:row>
    <x:row r="770">
      <x:c r="A770" s="10" t="n">
        <x:v>769</x:v>
      </x:c>
      <x:c r="B770" s="2" t="str">
        <x:v>2차 보류</x:v>
      </x:c>
      <x:c r="C770" s="2" t="str">
        <x:v>2차 보류</x:v>
      </x:c>
      <x:c r="D770" s="2" t="str">
        <x:v>낮음</x:v>
      </x:c>
      <x:c r="E770" s="2" t="str">
        <x:v>N1</x:v>
      </x:c>
      <x:c r="F770" s="10" t="n">
        <x:v>335</x:v>
      </x:c>
      <x:c r="G770" s="2" t="str">
        <x:v>w_6a8b9fc35622cafd</x:v>
      </x:c>
      <x:c r="H770" s="2" t="str">
        <x:v>かつて</x:v>
      </x:c>
      <x:c r="I770" s="2" t="str">
        <x:v>かつて</x:v>
      </x:c>
      <x:c r="J770" s="8" t="str">
        <x:v>한 번, 전</x:v>
      </x:c>
      <x:c r="K770" s="2" t="str">
        <x:v>adverb</x:v>
      </x:c>
      <x:c r="L770" s="9" t="n">
        <x:v>4.66</x:v>
      </x:c>
      <x:c r="M770" s="2" t="str">
        <x:v>없음</x:v>
      </x:c>
      <x:c r="N770" s="11" t="n">
        <x:v>3</x:v>
      </x:c>
      <x:c r="O770" s="8" t="str">
        <x:v>검증된 예문 없음; JMdict 우선 어휘 표지 없음; 기존 데이터의 한국어 콘텐츠 보강 필요 태그</x:v>
      </x:c>
      <x:c r="P770" s="8" t="str">
        <x:v>no_example,no_jmdict_priority,weak_legacy_content</x:v>
      </x:c>
      <x:c r="Q770" s="2" t="str"/>
      <x:c r="R770" s="2" t="str"/>
      <x:c r="S770" s="2" t="str"/>
      <x:c r="T770" s="2" t="str"/>
      <x:c r="U770" s="2" t="str"/>
      <x:c r="V770" s="2" t="str">
        <x:v>아니오</x:v>
      </x:c>
      <x:c r="W770" s="2" t="str">
        <x:v>아니오</x:v>
      </x:c>
      <x:c r="X770" s="2" t="str"/>
      <x:c r="Y770" s="2" t="n">
        <x:v>0</x:v>
      </x:c>
      <x:c r="Z770" s="2" t="str"/>
      <x:c r="AA770" s="2" t="n">
        <x:v>0</x:v>
      </x:c>
      <x:c r="AB770" s="8" t="str"/>
      <x:c r="AC770" s="8" t="str"/>
      <x:c r="AD770" s="8" t="str">
        <x:v>["draft-ko-missing"]</x:v>
      </x:c>
      <x:c r="AE770" s="8" t="str">
        <x:v>검토 필요</x:v>
      </x:c>
      <x:c r="AF770" s="8" t="str"/>
    </x:row>
    <x:row r="771">
      <x:c r="A771" s="10" t="n">
        <x:v>770</x:v>
      </x:c>
      <x:c r="B771" s="2" t="str">
        <x:v>2차 보류</x:v>
      </x:c>
      <x:c r="C771" s="2" t="str">
        <x:v>2차 보류</x:v>
      </x:c>
      <x:c r="D771" s="2" t="str">
        <x:v>낮음</x:v>
      </x:c>
      <x:c r="E771" s="2" t="str">
        <x:v>N1</x:v>
      </x:c>
      <x:c r="F771" s="10" t="n">
        <x:v>336</x:v>
      </x:c>
      <x:c r="G771" s="2" t="str">
        <x:v>w_abbb0d75fda64d06</x:v>
      </x:c>
      <x:c r="H771" s="2" t="str">
        <x:v>もしくは</x:v>
      </x:c>
      <x:c r="I771" s="2" t="str">
        <x:v>もしくは</x:v>
      </x:c>
      <x:c r="J771" s="8" t="str">
        <x:v>또는, 그렇지 않으면</x:v>
      </x:c>
      <x:c r="K771" s="2" t="str">
        <x:v>conjunction</x:v>
      </x:c>
      <x:c r="L771" s="9" t="n">
        <x:v>4.69</x:v>
      </x:c>
      <x:c r="M771" s="2" t="str">
        <x:v>없음</x:v>
      </x:c>
      <x:c r="N771" s="11" t="n">
        <x:v>3</x:v>
      </x:c>
      <x:c r="O771" s="8" t="str">
        <x:v>검증된 예문 없음; JMdict 우선 어휘 표지 없음; 기존 데이터의 한국어 콘텐츠 보강 필요 태그</x:v>
      </x:c>
      <x:c r="P771" s="8" t="str">
        <x:v>no_example,no_jmdict_priority,weak_legacy_content</x:v>
      </x:c>
      <x:c r="Q771" s="2" t="str"/>
      <x:c r="R771" s="2" t="str"/>
      <x:c r="S771" s="2" t="str"/>
      <x:c r="T771" s="2" t="str"/>
      <x:c r="U771" s="2" t="str"/>
      <x:c r="V771" s="2" t="str">
        <x:v>아니오</x:v>
      </x:c>
      <x:c r="W771" s="2" t="str">
        <x:v>아니오</x:v>
      </x:c>
      <x:c r="X771" s="2" t="str"/>
      <x:c r="Y771" s="2" t="n">
        <x:v>0</x:v>
      </x:c>
      <x:c r="Z771" s="2" t="str"/>
      <x:c r="AA771" s="2" t="n">
        <x:v>0</x:v>
      </x:c>
      <x:c r="AB771" s="8" t="str"/>
      <x:c r="AC771" s="8" t="str"/>
      <x:c r="AD771" s="8" t="str">
        <x:v>["draft-ko-missing"]</x:v>
      </x:c>
      <x:c r="AE771" s="8" t="str">
        <x:v>검토 필요</x:v>
      </x:c>
      <x:c r="AF771" s="8" t="str"/>
    </x:row>
    <x:row r="772">
      <x:c r="A772" s="10" t="n">
        <x:v>771</x:v>
      </x:c>
      <x:c r="B772" s="2" t="str">
        <x:v>2차 보류</x:v>
      </x:c>
      <x:c r="C772" s="2" t="str">
        <x:v>2차 보류</x:v>
      </x:c>
      <x:c r="D772" s="2" t="str">
        <x:v>낮음</x:v>
      </x:c>
      <x:c r="E772" s="2" t="str">
        <x:v>N3</x:v>
      </x:c>
      <x:c r="F772" s="10" t="n">
        <x:v>86</x:v>
      </x:c>
      <x:c r="G772" s="2" t="str">
        <x:v>w_becb668d42acc36a</x:v>
      </x:c>
      <x:c r="H772" s="2" t="str">
        <x:v>税</x:v>
      </x:c>
      <x:c r="I772" s="2" t="str">
        <x:v>ぜい</x:v>
      </x:c>
      <x:c r="J772" s="8" t="str">
        <x:v>세금</x:v>
      </x:c>
      <x:c r="K772" s="2" t="str">
        <x:v>noun</x:v>
      </x:c>
      <x:c r="L772" s="9" t="n">
        <x:v>4.7</x:v>
      </x:c>
      <x:c r="M772" s="2" t="str">
        <x:v>없음</x:v>
      </x:c>
      <x:c r="N772" s="11" t="n">
        <x:v>3</x:v>
      </x:c>
      <x:c r="O772" s="8" t="str">
        <x:v>검증된 예문 없음; JMdict 우선 어휘 표지 없음; 기존 데이터의 한국어 콘텐츠 보강 필요 태그</x:v>
      </x:c>
      <x:c r="P772" s="8" t="str">
        <x:v>no_example,no_jmdict_priority,weak_legacy_content</x:v>
      </x:c>
      <x:c r="Q772" s="2" t="str"/>
      <x:c r="R772" s="2" t="str"/>
      <x:c r="S772" s="2" t="str"/>
      <x:c r="T772" s="2" t="str"/>
      <x:c r="U772" s="2" t="str"/>
      <x:c r="V772" s="2" t="str">
        <x:v>아니오</x:v>
      </x:c>
      <x:c r="W772" s="2" t="str">
        <x:v>예</x:v>
      </x:c>
      <x:c r="X772" s="2" t="str"/>
      <x:c r="Y772" s="2" t="n">
        <x:v>0</x:v>
      </x:c>
      <x:c r="Z772" s="2" t="str"/>
      <x:c r="AA772" s="2" t="n">
        <x:v>0</x:v>
      </x:c>
      <x:c r="AB772" s="8" t="str"/>
      <x:c r="AC772" s="8" t="str"/>
      <x:c r="AD772" s="8" t="str">
        <x:v>["draft-ko-missing"]</x:v>
      </x:c>
      <x:c r="AE772" s="8" t="str">
        <x:v>검토 필요</x:v>
      </x:c>
      <x:c r="AF772" s="8" t="str"/>
    </x:row>
    <x:row r="773">
      <x:c r="A773" s="10" t="n">
        <x:v>772</x:v>
      </x:c>
      <x:c r="B773" s="2" t="str">
        <x:v>2차 보류</x:v>
      </x:c>
      <x:c r="C773" s="2" t="str">
        <x:v>2차 보류</x:v>
      </x:c>
      <x:c r="D773" s="2" t="str">
        <x:v>낮음</x:v>
      </x:c>
      <x:c r="E773" s="2" t="str">
        <x:v>N4</x:v>
      </x:c>
      <x:c r="F773" s="10" t="n">
        <x:v>59</x:v>
      </x:c>
      <x:c r="G773" s="2" t="str">
        <x:v>w_abe8ce16dbbe2552</x:v>
      </x:c>
      <x:c r="H773" s="2" t="str">
        <x:v>ひどい</x:v>
      </x:c>
      <x:c r="I773" s="2" t="str">
        <x:v>ひどい</x:v>
      </x:c>
      <x:c r="J773" s="8" t="str">
        <x:v>끔찍한, 대단한, 불공평한, 잔인한</x:v>
      </x:c>
      <x:c r="K773" s="2" t="str">
        <x:v>adjective</x:v>
      </x:c>
      <x:c r="L773" s="9" t="n">
        <x:v>4.71</x:v>
      </x:c>
      <x:c r="M773" s="2" t="str">
        <x:v>없음</x:v>
      </x:c>
      <x:c r="N773" s="11" t="n">
        <x:v>3</x:v>
      </x:c>
      <x:c r="O773" s="8" t="str">
        <x:v>검증된 예문 없음; JMdict 우선 어휘 표지 없음; 기존 데이터의 한국어 콘텐츠 보강 필요 태그</x:v>
      </x:c>
      <x:c r="P773" s="8" t="str">
        <x:v>no_example,no_jmdict_priority,weak_legacy_content</x:v>
      </x:c>
      <x:c r="Q773" s="2" t="str"/>
      <x:c r="R773" s="2" t="str"/>
      <x:c r="S773" s="2" t="str"/>
      <x:c r="T773" s="2" t="str"/>
      <x:c r="U773" s="2" t="str"/>
      <x:c r="V773" s="2" t="str">
        <x:v>아니오</x:v>
      </x:c>
      <x:c r="W773" s="2" t="str">
        <x:v>아니오</x:v>
      </x:c>
      <x:c r="X773" s="2" t="str"/>
      <x:c r="Y773" s="2" t="n">
        <x:v>0</x:v>
      </x:c>
      <x:c r="Z773" s="2" t="str"/>
      <x:c r="AA773" s="2" t="n">
        <x:v>0</x:v>
      </x:c>
      <x:c r="AB773" s="8" t="str"/>
      <x:c r="AC773" s="8" t="str"/>
      <x:c r="AD773" s="8" t="str">
        <x:v>["draft-ko-missing"]</x:v>
      </x:c>
      <x:c r="AE773" s="8" t="str">
        <x:v>검토 필요</x:v>
      </x:c>
      <x:c r="AF773" s="8" t="str"/>
    </x:row>
    <x:row r="774">
      <x:c r="A774" s="10" t="n">
        <x:v>773</x:v>
      </x:c>
      <x:c r="B774" s="2" t="str">
        <x:v>2차 보류</x:v>
      </x:c>
      <x:c r="C774" s="2" t="str">
        <x:v>2차 보류</x:v>
      </x:c>
      <x:c r="D774" s="2" t="str">
        <x:v>낮음</x:v>
      </x:c>
      <x:c r="E774" s="2" t="str">
        <x:v>N3</x:v>
      </x:c>
      <x:c r="F774" s="10" t="n">
        <x:v>87</x:v>
      </x:c>
      <x:c r="G774" s="2" t="str">
        <x:v>w_e431b1a6abf799bf</x:v>
      </x:c>
      <x:c r="H774" s="2" t="str">
        <x:v>お互い</x:v>
      </x:c>
      <x:c r="I774" s="2" t="str">
        <x:v>おたがい</x:v>
      </x:c>
      <x:c r="J774" s="8" t="str">
        <x:v>서로, 상호</x:v>
      </x:c>
      <x:c r="K774" s="2" t="str">
        <x:v>noun</x:v>
      </x:c>
      <x:c r="L774" s="9" t="n">
        <x:v>4.73</x:v>
      </x:c>
      <x:c r="M774" s="2" t="str">
        <x:v>없음</x:v>
      </x:c>
      <x:c r="N774" s="11" t="n">
        <x:v>3</x:v>
      </x:c>
      <x:c r="O774" s="8" t="str">
        <x:v>검증된 예문 없음; JMdict 우선 어휘 표지 없음; 기존 데이터의 한국어 콘텐츠 보강 필요 태그</x:v>
      </x:c>
      <x:c r="P774" s="8" t="str">
        <x:v>no_example,no_jmdict_priority,weak_legacy_content</x:v>
      </x:c>
      <x:c r="Q774" s="2" t="str"/>
      <x:c r="R774" s="2" t="str"/>
      <x:c r="S774" s="2" t="str"/>
      <x:c r="T774" s="2" t="str"/>
      <x:c r="U774" s="2" t="str"/>
      <x:c r="V774" s="2" t="str">
        <x:v>아니오</x:v>
      </x:c>
      <x:c r="W774" s="2" t="str">
        <x:v>예</x:v>
      </x:c>
      <x:c r="X774" s="2" t="str"/>
      <x:c r="Y774" s="2" t="n">
        <x:v>0</x:v>
      </x:c>
      <x:c r="Z774" s="2" t="str"/>
      <x:c r="AA774" s="2" t="n">
        <x:v>0</x:v>
      </x:c>
      <x:c r="AB774" s="8" t="str">
        <x:v>polite (teineigo) language</x:v>
      </x:c>
      <x:c r="AC774" s="8" t="str"/>
      <x:c r="AD774" s="8" t="str">
        <x:v>["draft-ko-missing"]</x:v>
      </x:c>
      <x:c r="AE774" s="8" t="str">
        <x:v>검토 필요</x:v>
      </x:c>
      <x:c r="AF774" s="8" t="str"/>
    </x:row>
    <x:row r="775">
      <x:c r="A775" s="10" t="n">
        <x:v>774</x:v>
      </x:c>
      <x:c r="B775" s="2" t="str">
        <x:v>2차 보류</x:v>
      </x:c>
      <x:c r="C775" s="2" t="str">
        <x:v>2차 보류</x:v>
      </x:c>
      <x:c r="D775" s="2" t="str">
        <x:v>낮음</x:v>
      </x:c>
      <x:c r="E775" s="2" t="str">
        <x:v>N3</x:v>
      </x:c>
      <x:c r="F775" s="10" t="n">
        <x:v>88</x:v>
      </x:c>
      <x:c r="G775" s="2" t="str">
        <x:v>w_ca920ef451a01aa8</x:v>
      </x:c>
      <x:c r="H775" s="2" t="str">
        <x:v>さて</x:v>
      </x:c>
      <x:c r="I775" s="2" t="str">
        <x:v>さて</x:v>
      </x:c>
      <x:c r="J775" s="8" t="str">
        <x:v>그런데, 자</x:v>
      </x:c>
      <x:c r="K775" s="2" t="str">
        <x:v>conjunction</x:v>
      </x:c>
      <x:c r="L775" s="9" t="n">
        <x:v>4.74</x:v>
      </x:c>
      <x:c r="M775" s="2" t="str">
        <x:v>없음</x:v>
      </x:c>
      <x:c r="N775" s="11" t="n">
        <x:v>3</x:v>
      </x:c>
      <x:c r="O775" s="8" t="str">
        <x:v>검증된 예문 없음; JMdict 우선 어휘 표지 없음; 기존 데이터의 한국어 콘텐츠 보강 필요 태그</x:v>
      </x:c>
      <x:c r="P775" s="8" t="str">
        <x:v>no_example,no_jmdict_priority,weak_legacy_content</x:v>
      </x:c>
      <x:c r="Q775" s="2" t="str"/>
      <x:c r="R775" s="2" t="str"/>
      <x:c r="S775" s="2" t="str"/>
      <x:c r="T775" s="2" t="str"/>
      <x:c r="U775" s="2" t="str"/>
      <x:c r="V775" s="2" t="str">
        <x:v>아니오</x:v>
      </x:c>
      <x:c r="W775" s="2" t="str">
        <x:v>아니오</x:v>
      </x:c>
      <x:c r="X775" s="2" t="str"/>
      <x:c r="Y775" s="2" t="n">
        <x:v>0</x:v>
      </x:c>
      <x:c r="Z775" s="2" t="str"/>
      <x:c r="AA775" s="2" t="n">
        <x:v>0</x:v>
      </x:c>
      <x:c r="AB775" s="8" t="str"/>
      <x:c r="AC775" s="8" t="str"/>
      <x:c r="AD775" s="8" t="str">
        <x:v>["draft-ko-missing"]</x:v>
      </x:c>
      <x:c r="AE775" s="8" t="str">
        <x:v>검토 필요</x:v>
      </x:c>
      <x:c r="AF775" s="8" t="str"/>
    </x:row>
    <x:row r="776">
      <x:c r="A776" s="10" t="n">
        <x:v>775</x:v>
      </x:c>
      <x:c r="B776" s="2" t="str">
        <x:v>2차 보류</x:v>
      </x:c>
      <x:c r="C776" s="2" t="str">
        <x:v>2차 보류</x:v>
      </x:c>
      <x:c r="D776" s="2" t="str">
        <x:v>낮음</x:v>
      </x:c>
      <x:c r="E776" s="2" t="str">
        <x:v>N3</x:v>
      </x:c>
      <x:c r="F776" s="10" t="n">
        <x:v>89</x:v>
      </x:c>
      <x:c r="G776" s="2" t="str">
        <x:v>w_44f5a21a231cf355</x:v>
      </x:c>
      <x:c r="H776" s="2" t="str">
        <x:v>いつか</x:v>
      </x:c>
      <x:c r="I776" s="2" t="str">
        <x:v>いつか</x:v>
      </x:c>
      <x:c r="J776" s="8" t="str">
        <x:v>하나 날, 하루</x:v>
      </x:c>
      <x:c r="K776" s="2" t="str">
        <x:v>adverb</x:v>
      </x:c>
      <x:c r="L776" s="9" t="n">
        <x:v>4.75</x:v>
      </x:c>
      <x:c r="M776" s="2" t="str">
        <x:v>없음</x:v>
      </x:c>
      <x:c r="N776" s="11" t="n">
        <x:v>3</x:v>
      </x:c>
      <x:c r="O776" s="8" t="str">
        <x:v>검증된 예문 없음; JMdict 우선 어휘 표지 없음; 기존 데이터의 한국어 콘텐츠 보강 필요 태그</x:v>
      </x:c>
      <x:c r="P776" s="8" t="str">
        <x:v>no_example,no_jmdict_priority,weak_legacy_content</x:v>
      </x:c>
      <x:c r="Q776" s="2" t="str"/>
      <x:c r="R776" s="2" t="str"/>
      <x:c r="S776" s="2" t="str"/>
      <x:c r="T776" s="2" t="str"/>
      <x:c r="U776" s="2" t="str"/>
      <x:c r="V776" s="2" t="str">
        <x:v>아니오</x:v>
      </x:c>
      <x:c r="W776" s="2" t="str">
        <x:v>아니오</x:v>
      </x:c>
      <x:c r="X776" s="2" t="str"/>
      <x:c r="Y776" s="2" t="n">
        <x:v>0</x:v>
      </x:c>
      <x:c r="Z776" s="2" t="str"/>
      <x:c r="AA776" s="2" t="n">
        <x:v>0</x:v>
      </x:c>
      <x:c r="AB776" s="8" t="str"/>
      <x:c r="AC776" s="8" t="str"/>
      <x:c r="AD776" s="8" t="str">
        <x:v>["draft-ko-missing"]</x:v>
      </x:c>
      <x:c r="AE776" s="8" t="str">
        <x:v>검토 필요</x:v>
      </x:c>
      <x:c r="AF776" s="8" t="str"/>
    </x:row>
    <x:row r="777">
      <x:c r="A777" s="10" t="n">
        <x:v>776</x:v>
      </x:c>
      <x:c r="B777" s="2" t="str">
        <x:v>2차 보류</x:v>
      </x:c>
      <x:c r="C777" s="2" t="str">
        <x:v>2차 보류</x:v>
      </x:c>
      <x:c r="D777" s="2" t="str">
        <x:v>낮음</x:v>
      </x:c>
      <x:c r="E777" s="2" t="str">
        <x:v>N1</x:v>
      </x:c>
      <x:c r="F777" s="10" t="n">
        <x:v>337</x:v>
      </x:c>
      <x:c r="G777" s="2" t="str">
        <x:v>w_42e0c253cb34d45b</x:v>
      </x:c>
      <x:c r="H777" s="2" t="str">
        <x:v>強</x:v>
      </x:c>
      <x:c r="I777" s="2" t="str">
        <x:v>きょう</x:v>
      </x:c>
      <x:c r="J777" s="8" t="str">
        <x:v>강한</x:v>
      </x:c>
      <x:c r="K777" s="2" t="str">
        <x:v>suffix</x:v>
      </x:c>
      <x:c r="L777" s="9" t="n">
        <x:v>4.76</x:v>
      </x:c>
      <x:c r="M777" s="2" t="str">
        <x:v>없음</x:v>
      </x:c>
      <x:c r="N777" s="11" t="n">
        <x:v>3</x:v>
      </x:c>
      <x:c r="O777" s="8" t="str">
        <x:v>검증된 예문 없음; JMdict 우선 어휘 표지 없음; 기존 데이터의 한국어 콘텐츠 보강 필요 태그</x:v>
      </x:c>
      <x:c r="P777" s="8" t="str">
        <x:v>no_example,no_jmdict_priority,weak_legacy_content</x:v>
      </x:c>
      <x:c r="Q777" s="2" t="str"/>
      <x:c r="R777" s="2" t="str"/>
      <x:c r="S777" s="2" t="str"/>
      <x:c r="T777" s="2" t="str"/>
      <x:c r="U777" s="2" t="str"/>
      <x:c r="V777" s="2" t="str">
        <x:v>아니오</x:v>
      </x:c>
      <x:c r="W777" s="2" t="str">
        <x:v>예</x:v>
      </x:c>
      <x:c r="X777" s="2" t="str"/>
      <x:c r="Y777" s="2" t="n">
        <x:v>0</x:v>
      </x:c>
      <x:c r="Z777" s="2" t="str"/>
      <x:c r="AA777" s="2" t="n">
        <x:v>0</x:v>
      </x:c>
      <x:c r="AB777" s="8" t="str">
        <x:v>after a number on the Japan Meteorological Agency seismic intensity scale; e.g. 5強</x:v>
      </x:c>
      <x:c r="AC777" s="8" t="str"/>
      <x:c r="AD777" s="8" t="str">
        <x:v>["draft-ko-missing"]</x:v>
      </x:c>
      <x:c r="AE777" s="8" t="str">
        <x:v>검토 필요</x:v>
      </x:c>
      <x:c r="AF777" s="8" t="str"/>
    </x:row>
    <x:row r="778">
      <x:c r="A778" s="10" t="n">
        <x:v>777</x:v>
      </x:c>
      <x:c r="B778" s="2" t="str">
        <x:v>2차 보류</x:v>
      </x:c>
      <x:c r="C778" s="2" t="str">
        <x:v>2차 보류</x:v>
      </x:c>
      <x:c r="D778" s="2" t="str">
        <x:v>낮음</x:v>
      </x:c>
      <x:c r="E778" s="2" t="str">
        <x:v>N4</x:v>
      </x:c>
      <x:c r="F778" s="10" t="n">
        <x:v>60</x:v>
      </x:c>
      <x:c r="G778" s="2" t="str">
        <x:v>w_10bb84681c578e93</x:v>
      </x:c>
      <x:c r="H778" s="2" t="str">
        <x:v>なるほど</x:v>
      </x:c>
      <x:c r="I778" s="2" t="str">
        <x:v>なるほど</x:v>
      </x:c>
      <x:c r="J778" s="8" t="str">
        <x:v>과연, 그렇구나</x:v>
      </x:c>
      <x:c r="K778" s="2" t="str">
        <x:v>interjection</x:v>
      </x:c>
      <x:c r="L778" s="9" t="n">
        <x:v>4.78</x:v>
      </x:c>
      <x:c r="M778" s="2" t="str">
        <x:v>없음</x:v>
      </x:c>
      <x:c r="N778" s="11" t="n">
        <x:v>3</x:v>
      </x:c>
      <x:c r="O778" s="8" t="str">
        <x:v>검증된 예문 없음; JMdict 우선 어휘 표지 없음; 기존 데이터의 한국어 콘텐츠 보강 필요 태그</x:v>
      </x:c>
      <x:c r="P778" s="8" t="str">
        <x:v>no_example,no_jmdict_priority,weak_legacy_content</x:v>
      </x:c>
      <x:c r="Q778" s="2" t="str"/>
      <x:c r="R778" s="2" t="str"/>
      <x:c r="S778" s="2" t="str"/>
      <x:c r="T778" s="2" t="str"/>
      <x:c r="U778" s="2" t="str"/>
      <x:c r="V778" s="2" t="str">
        <x:v>아니오</x:v>
      </x:c>
      <x:c r="W778" s="2" t="str">
        <x:v>아니오</x:v>
      </x:c>
      <x:c r="X778" s="2" t="str"/>
      <x:c r="Y778" s="2" t="n">
        <x:v>0</x:v>
      </x:c>
      <x:c r="Z778" s="2" t="str"/>
      <x:c r="AA778" s="2" t="n">
        <x:v>0</x:v>
      </x:c>
      <x:c r="AB778" s="8" t="str"/>
      <x:c r="AC778" s="8" t="str"/>
      <x:c r="AD778" s="8" t="str">
        <x:v>["draft-ko-missing"]</x:v>
      </x:c>
      <x:c r="AE778" s="8" t="str">
        <x:v>검토 필요</x:v>
      </x:c>
      <x:c r="AF778" s="8" t="str"/>
    </x:row>
    <x:row r="779">
      <x:c r="A779" s="10" t="n">
        <x:v>778</x:v>
      </x:c>
      <x:c r="B779" s="2" t="str">
        <x:v>2차 보류</x:v>
      </x:c>
      <x:c r="C779" s="2" t="str">
        <x:v>2차 보류</x:v>
      </x:c>
      <x:c r="D779" s="2" t="str">
        <x:v>낮음</x:v>
      </x:c>
      <x:c r="E779" s="2" t="str">
        <x:v>N3</x:v>
      </x:c>
      <x:c r="F779" s="10" t="n">
        <x:v>90</x:v>
      </x:c>
      <x:c r="G779" s="2" t="str">
        <x:v>w_45ab19ce71cbb933</x:v>
      </x:c>
      <x:c r="H779" s="2" t="str">
        <x:v>あるいは</x:v>
      </x:c>
      <x:c r="I779" s="2" t="str">
        <x:v>あるいは</x:v>
      </x:c>
      <x:c r="J779" s="8" t="str">
        <x:v>또는, 아마</x:v>
      </x:c>
      <x:c r="K779" s="2" t="str">
        <x:v>conjunction</x:v>
      </x:c>
      <x:c r="L779" s="9" t="n">
        <x:v>4.79</x:v>
      </x:c>
      <x:c r="M779" s="2" t="str">
        <x:v>없음</x:v>
      </x:c>
      <x:c r="N779" s="11" t="n">
        <x:v>3</x:v>
      </x:c>
      <x:c r="O779" s="8" t="str">
        <x:v>검증된 예문 없음; JMdict 우선 어휘 표지 없음; 기존 데이터의 한국어 콘텐츠 보강 필요 태그</x:v>
      </x:c>
      <x:c r="P779" s="8" t="str">
        <x:v>no_example,no_jmdict_priority,weak_legacy_content</x:v>
      </x:c>
      <x:c r="Q779" s="2" t="str"/>
      <x:c r="R779" s="2" t="str"/>
      <x:c r="S779" s="2" t="str"/>
      <x:c r="T779" s="2" t="str"/>
      <x:c r="U779" s="2" t="str"/>
      <x:c r="V779" s="2" t="str">
        <x:v>아니오</x:v>
      </x:c>
      <x:c r="W779" s="2" t="str">
        <x:v>아니오</x:v>
      </x:c>
      <x:c r="X779" s="2" t="str"/>
      <x:c r="Y779" s="2" t="n">
        <x:v>0</x:v>
      </x:c>
      <x:c r="Z779" s="2" t="str"/>
      <x:c r="AA779" s="2" t="n">
        <x:v>0</x:v>
      </x:c>
      <x:c r="AB779" s="8" t="str"/>
      <x:c r="AC779" s="8" t="str"/>
      <x:c r="AD779" s="8" t="str">
        <x:v>["draft-ko-missing"]</x:v>
      </x:c>
      <x:c r="AE779" s="8" t="str">
        <x:v>검토 필요</x:v>
      </x:c>
      <x:c r="AF779" s="8" t="str"/>
    </x:row>
    <x:row r="780">
      <x:c r="A780" s="10" t="n">
        <x:v>779</x:v>
      </x:c>
      <x:c r="B780" s="2" t="str">
        <x:v>2차 보류</x:v>
      </x:c>
      <x:c r="C780" s="2" t="str">
        <x:v>2차 보류</x:v>
      </x:c>
      <x:c r="D780" s="2" t="str">
        <x:v>낮음</x:v>
      </x:c>
      <x:c r="E780" s="2" t="str">
        <x:v>N4</x:v>
      </x:c>
      <x:c r="F780" s="10" t="n">
        <x:v>61</x:v>
      </x:c>
      <x:c r="G780" s="2" t="str">
        <x:v>w_a2adf1cb9c70191e</x:v>
      </x:c>
      <x:c r="H780" s="2" t="str">
        <x:v>あげる</x:v>
      </x:c>
      <x:c r="I780" s="2" t="str">
        <x:v>あげる</x:v>
      </x:c>
      <x:c r="J780" s="8" t="str">
        <x:v>주다</x:v>
      </x:c>
      <x:c r="K780" s="2" t="str">
        <x:v>verb</x:v>
      </x:c>
      <x:c r="L780" s="9" t="n">
        <x:v>4.81</x:v>
      </x:c>
      <x:c r="M780" s="2" t="str">
        <x:v>없음</x:v>
      </x:c>
      <x:c r="N780" s="11" t="n">
        <x:v>3</x:v>
      </x:c>
      <x:c r="O780" s="8" t="str">
        <x:v>검증된 예문 없음; JMdict 우선 어휘 표지 없음; 기존 데이터의 한국어 콘텐츠 보강 필요 태그</x:v>
      </x:c>
      <x:c r="P780" s="8" t="str">
        <x:v>no_example,no_jmdict_priority,weak_legacy_content</x:v>
      </x:c>
      <x:c r="Q780" s="2" t="str"/>
      <x:c r="R780" s="2" t="str"/>
      <x:c r="S780" s="2" t="str"/>
      <x:c r="T780" s="2" t="str"/>
      <x:c r="U780" s="2" t="str"/>
      <x:c r="V780" s="2" t="str">
        <x:v>아니오</x:v>
      </x:c>
      <x:c r="W780" s="2" t="str">
        <x:v>아니오</x:v>
      </x:c>
      <x:c r="X780" s="2" t="str"/>
      <x:c r="Y780" s="2" t="n">
        <x:v>0</x:v>
      </x:c>
      <x:c r="Z780" s="2" t="str"/>
      <x:c r="AA780" s="2" t="n">
        <x:v>0</x:v>
      </x:c>
      <x:c r="AB780" s="8" t="str"/>
      <x:c r="AC780" s="8" t="str"/>
      <x:c r="AD780" s="8" t="str">
        <x:v>["draft-ko-missing"]</x:v>
      </x:c>
      <x:c r="AE780" s="8" t="str">
        <x:v>검토 필요</x:v>
      </x:c>
      <x:c r="AF780" s="8" t="str"/>
    </x:row>
    <x:row r="781">
      <x:c r="A781" s="10" t="n">
        <x:v>780</x:v>
      </x:c>
      <x:c r="B781" s="2" t="str">
        <x:v>2차 보류</x:v>
      </x:c>
      <x:c r="C781" s="2" t="str">
        <x:v>2차 보류</x:v>
      </x:c>
      <x:c r="D781" s="2" t="str">
        <x:v>낮음</x:v>
      </x:c>
      <x:c r="E781" s="2" t="str">
        <x:v>N3</x:v>
      </x:c>
      <x:c r="F781" s="10" t="n">
        <x:v>91</x:v>
      </x:c>
      <x:c r="G781" s="2" t="str">
        <x:v>w_ff1cb7abea5c169d</x:v>
      </x:c>
      <x:c r="H781" s="2" t="str">
        <x:v>いずれ</x:v>
      </x:c>
      <x:c r="I781" s="2" t="str">
        <x:v>いずれ</x:v>
      </x:c>
      <x:c r="J781" s="8" t="str">
        <x:v>어느 것; 머지않아</x:v>
      </x:c>
      <x:c r="K781" s="2" t="str">
        <x:v>pronoun</x:v>
      </x:c>
      <x:c r="L781" s="9" t="n">
        <x:v>4.81</x:v>
      </x:c>
      <x:c r="M781" s="2" t="str">
        <x:v>없음</x:v>
      </x:c>
      <x:c r="N781" s="11" t="n">
        <x:v>3</x:v>
      </x:c>
      <x:c r="O781" s="8" t="str">
        <x:v>검증된 예문 없음; JMdict 우선 어휘 표지 없음; 기존 데이터의 한국어 콘텐츠 보강 필요 태그</x:v>
      </x:c>
      <x:c r="P781" s="8" t="str">
        <x:v>no_example,no_jmdict_priority,weak_legacy_content</x:v>
      </x:c>
      <x:c r="Q781" s="2" t="str"/>
      <x:c r="R781" s="2" t="str"/>
      <x:c r="S781" s="2" t="str"/>
      <x:c r="T781" s="2" t="str"/>
      <x:c r="U781" s="2" t="str"/>
      <x:c r="V781" s="2" t="str">
        <x:v>아니오</x:v>
      </x:c>
      <x:c r="W781" s="2" t="str">
        <x:v>아니오</x:v>
      </x:c>
      <x:c r="X781" s="2" t="str"/>
      <x:c r="Y781" s="2" t="n">
        <x:v>0</x:v>
      </x:c>
      <x:c r="Z781" s="2" t="str"/>
      <x:c r="AA781" s="2" t="n">
        <x:v>0</x:v>
      </x:c>
      <x:c r="AB781" s="8" t="str"/>
      <x:c r="AC781" s="8" t="str"/>
      <x:c r="AD781" s="8" t="str">
        <x:v>["draft-ko-missing"]</x:v>
      </x:c>
      <x:c r="AE781" s="8" t="str">
        <x:v>검토 필요</x:v>
      </x:c>
      <x:c r="AF781" s="8" t="str"/>
    </x:row>
    <x:row r="782">
      <x:c r="A782" s="10" t="n">
        <x:v>781</x:v>
      </x:c>
      <x:c r="B782" s="2" t="str">
        <x:v>2차 보류</x:v>
      </x:c>
      <x:c r="C782" s="2" t="str">
        <x:v>2차 보류</x:v>
      </x:c>
      <x:c r="D782" s="2" t="str">
        <x:v>낮음</x:v>
      </x:c>
      <x:c r="E782" s="2" t="str">
        <x:v>N2</x:v>
      </x:c>
      <x:c r="F782" s="10" t="n">
        <x:v>274</x:v>
      </x:c>
      <x:c r="G782" s="2" t="str">
        <x:v>w_0f985655aefb7416</x:v>
      </x:c>
      <x:c r="H782" s="2" t="str">
        <x:v>おはよう</x:v>
      </x:c>
      <x:c r="I782" s="2" t="str">
        <x:v>おはよう</x:v>
      </x:c>
      <x:c r="J782" s="8" t="str">
        <x:v>좋은 아침, 안녕하세요(약어)</x:v>
      </x:c>
      <x:c r="K782" s="2" t="str">
        <x:v>interjection</x:v>
      </x:c>
      <x:c r="L782" s="9" t="n">
        <x:v>4.83</x:v>
      </x:c>
      <x:c r="M782" s="2" t="str">
        <x:v>없음</x:v>
      </x:c>
      <x:c r="N782" s="11" t="n">
        <x:v>3</x:v>
      </x:c>
      <x:c r="O782" s="8" t="str">
        <x:v>검증된 예문 없음; JMdict 우선 어휘 표지 없음; 기존 데이터의 한국어 콘텐츠 보강 필요 태그</x:v>
      </x:c>
      <x:c r="P782" s="8" t="str">
        <x:v>no_example,no_jmdict_priority,weak_legacy_content</x:v>
      </x:c>
      <x:c r="Q782" s="2" t="str"/>
      <x:c r="R782" s="2" t="str"/>
      <x:c r="S782" s="2" t="str"/>
      <x:c r="T782" s="2" t="str"/>
      <x:c r="U782" s="2" t="str"/>
      <x:c r="V782" s="2" t="str">
        <x:v>아니오</x:v>
      </x:c>
      <x:c r="W782" s="2" t="str">
        <x:v>아니오</x:v>
      </x:c>
      <x:c r="X782" s="2" t="str"/>
      <x:c r="Y782" s="2" t="n">
        <x:v>0</x:v>
      </x:c>
      <x:c r="Z782" s="2" t="str"/>
      <x:c r="AA782" s="2" t="n">
        <x:v>0</x:v>
      </x:c>
      <x:c r="AB782" s="8" t="str"/>
      <x:c r="AC782" s="8" t="str"/>
      <x:c r="AD782" s="8" t="str">
        <x:v>["draft-ko-missing"]</x:v>
      </x:c>
      <x:c r="AE782" s="8" t="str">
        <x:v>검토 필요</x:v>
      </x:c>
      <x:c r="AF782" s="8" t="str"/>
    </x:row>
    <x:row r="783">
      <x:c r="A783" s="10" t="n">
        <x:v>782</x:v>
      </x:c>
      <x:c r="B783" s="2" t="str">
        <x:v>2차 보류</x:v>
      </x:c>
      <x:c r="C783" s="2" t="str">
        <x:v>2차 보류</x:v>
      </x:c>
      <x:c r="D783" s="2" t="str">
        <x:v>낮음</x:v>
      </x:c>
      <x:c r="E783" s="2" t="str">
        <x:v>N4</x:v>
      </x:c>
      <x:c r="F783" s="10" t="n">
        <x:v>62</x:v>
      </x:c>
      <x:c r="G783" s="2" t="str">
        <x:v>w_7f53883dfec13912</x:v>
      </x:c>
      <x:c r="H783" s="2" t="str">
        <x:v>都</x:v>
      </x:c>
      <x:c r="I783" s="2" t="str">
        <x:v>と</x:v>
      </x:c>
      <x:c r="J783" s="8" t="str">
        <x:v>수도의, 대도시의</x:v>
      </x:c>
      <x:c r="K783" s="2" t="str">
        <x:v>noun</x:v>
      </x:c>
      <x:c r="L783" s="9" t="n">
        <x:v>4.87</x:v>
      </x:c>
      <x:c r="M783" s="2" t="str">
        <x:v>없음</x:v>
      </x:c>
      <x:c r="N783" s="11" t="n">
        <x:v>3</x:v>
      </x:c>
      <x:c r="O783" s="8" t="str">
        <x:v>검증된 예문 없음; JMdict 우선 어휘 표지 없음; 기존 데이터의 한국어 콘텐츠 보강 필요 태그</x:v>
      </x:c>
      <x:c r="P783" s="8" t="str">
        <x:v>no_example,no_jmdict_priority,weak_legacy_content</x:v>
      </x:c>
      <x:c r="Q783" s="2" t="str"/>
      <x:c r="R783" s="2" t="str"/>
      <x:c r="S783" s="2" t="str"/>
      <x:c r="T783" s="2" t="str"/>
      <x:c r="U783" s="2" t="str"/>
      <x:c r="V783" s="2" t="str">
        <x:v>아니오</x:v>
      </x:c>
      <x:c r="W783" s="2" t="str">
        <x:v>예</x:v>
      </x:c>
      <x:c r="X783" s="2" t="str"/>
      <x:c r="Y783" s="2" t="n">
        <x:v>0</x:v>
      </x:c>
      <x:c r="Z783" s="2" t="str"/>
      <x:c r="AA783" s="2" t="n">
        <x:v>0</x:v>
      </x:c>
      <x:c r="AB783" s="8" t="str"/>
      <x:c r="AC783" s="8" t="str"/>
      <x:c r="AD783" s="8" t="str">
        <x:v>["draft-ko-missing"]</x:v>
      </x:c>
      <x:c r="AE783" s="8" t="str">
        <x:v>검토 필요</x:v>
      </x:c>
      <x:c r="AF783" s="8" t="str"/>
    </x:row>
    <x:row r="784">
      <x:c r="A784" s="10" t="n">
        <x:v>783</x:v>
      </x:c>
      <x:c r="B784" s="2" t="str">
        <x:v>2차 보류</x:v>
      </x:c>
      <x:c r="C784" s="2" t="str">
        <x:v>2차 보류</x:v>
      </x:c>
      <x:c r="D784" s="2" t="str">
        <x:v>낮음</x:v>
      </x:c>
      <x:c r="E784" s="2" t="str">
        <x:v>N3</x:v>
      </x:c>
      <x:c r="F784" s="10" t="n">
        <x:v>92</x:v>
      </x:c>
      <x:c r="G784" s="2" t="str">
        <x:v>w_ee8feeec8a1af066</x:v>
      </x:c>
      <x:c r="H784" s="2" t="str">
        <x:v>これら</x:v>
      </x:c>
      <x:c r="I784" s="2" t="str">
        <x:v>これら</x:v>
      </x:c>
      <x:c r="J784" s="8" t="str">
        <x:v>이것들</x:v>
      </x:c>
      <x:c r="K784" s="2" t="str">
        <x:v>pronoun</x:v>
      </x:c>
      <x:c r="L784" s="9" t="n">
        <x:v>4.88</x:v>
      </x:c>
      <x:c r="M784" s="2" t="str">
        <x:v>없음</x:v>
      </x:c>
      <x:c r="N784" s="11" t="n">
        <x:v>3</x:v>
      </x:c>
      <x:c r="O784" s="8" t="str">
        <x:v>검증된 예문 없음; JMdict 우선 어휘 표지 없음; 기존 데이터의 한국어 콘텐츠 보강 필요 태그</x:v>
      </x:c>
      <x:c r="P784" s="8" t="str">
        <x:v>no_example,no_jmdict_priority,weak_legacy_content</x:v>
      </x:c>
      <x:c r="Q784" s="2" t="str"/>
      <x:c r="R784" s="2" t="str"/>
      <x:c r="S784" s="2" t="str"/>
      <x:c r="T784" s="2" t="str"/>
      <x:c r="U784" s="2" t="str"/>
      <x:c r="V784" s="2" t="str">
        <x:v>아니오</x:v>
      </x:c>
      <x:c r="W784" s="2" t="str">
        <x:v>아니오</x:v>
      </x:c>
      <x:c r="X784" s="2" t="str"/>
      <x:c r="Y784" s="2" t="n">
        <x:v>0</x:v>
      </x:c>
      <x:c r="Z784" s="2" t="str"/>
      <x:c r="AA784" s="2" t="n">
        <x:v>0</x:v>
      </x:c>
      <x:c r="AB784" s="8" t="str"/>
      <x:c r="AC784" s="8" t="str"/>
      <x:c r="AD784" s="8" t="str">
        <x:v>["draft-ko-missing"]</x:v>
      </x:c>
      <x:c r="AE784" s="8" t="str">
        <x:v>검토 필요</x:v>
      </x:c>
      <x:c r="AF784" s="8" t="str"/>
    </x:row>
    <x:row r="785">
      <x:c r="A785" s="10" t="n">
        <x:v>784</x:v>
      </x:c>
      <x:c r="B785" s="2" t="str">
        <x:v>2차 보류</x:v>
      </x:c>
      <x:c r="C785" s="2" t="str">
        <x:v>2차 보류</x:v>
      </x:c>
      <x:c r="D785" s="2" t="str">
        <x:v>낮음</x:v>
      </x:c>
      <x:c r="E785" s="2" t="str">
        <x:v>N1</x:v>
      </x:c>
      <x:c r="F785" s="10" t="n">
        <x:v>338</x:v>
      </x:c>
      <x:c r="G785" s="2" t="str">
        <x:v>w_adac5888a59ff412</x:v>
      </x:c>
      <x:c r="H785" s="2" t="str">
        <x:v>種</x:v>
      </x:c>
      <x:c r="I785" s="2" t="str">
        <x:v>しゅ</x:v>
      </x:c>
      <x:c r="J785" s="8" t="str">
        <x:v>종(種), 종류</x:v>
      </x:c>
      <x:c r="K785" s="2" t="str">
        <x:v>noun</x:v>
      </x:c>
      <x:c r="L785" s="9" t="n">
        <x:v>4.96</x:v>
      </x:c>
      <x:c r="M785" s="2" t="str">
        <x:v>없음</x:v>
      </x:c>
      <x:c r="N785" s="11" t="n">
        <x:v>3</x:v>
      </x:c>
      <x:c r="O785" s="8" t="str">
        <x:v>검증된 예문 없음; JMdict 우선 어휘 표지 없음; 기존 데이터의 한국어 콘텐츠 보강 필요 태그</x:v>
      </x:c>
      <x:c r="P785" s="8" t="str">
        <x:v>no_example,no_jmdict_priority,weak_legacy_content</x:v>
      </x:c>
      <x:c r="Q785" s="2" t="str"/>
      <x:c r="R785" s="2" t="str"/>
      <x:c r="S785" s="2" t="str"/>
      <x:c r="T785" s="2" t="str"/>
      <x:c r="U785" s="2" t="str"/>
      <x:c r="V785" s="2" t="str">
        <x:v>아니오</x:v>
      </x:c>
      <x:c r="W785" s="2" t="str">
        <x:v>예</x:v>
      </x:c>
      <x:c r="X785" s="2" t="str"/>
      <x:c r="Y785" s="2" t="n">
        <x:v>0</x:v>
      </x:c>
      <x:c r="Z785" s="2" t="str"/>
      <x:c r="AA785" s="2" t="n">
        <x:v>0</x:v>
      </x:c>
      <x:c r="AB785" s="8" t="str">
        <x:v>abbreviation</x:v>
      </x:c>
      <x:c r="AC785" s="8" t="str"/>
      <x:c r="AD785" s="8" t="str">
        <x:v>["draft-ko-missing"]</x:v>
      </x:c>
      <x:c r="AE785" s="8" t="str">
        <x:v>검토 필요</x:v>
      </x:c>
      <x:c r="AF785" s="8" t="str"/>
    </x:row>
    <x:row r="786">
      <x:c r="A786" s="10" t="n">
        <x:v>785</x:v>
      </x:c>
      <x:c r="B786" s="2" t="str">
        <x:v>2차 보류</x:v>
      </x:c>
      <x:c r="C786" s="2" t="str">
        <x:v>2차 보류</x:v>
      </x:c>
      <x:c r="D786" s="2" t="str">
        <x:v>낮음</x:v>
      </x:c>
      <x:c r="E786" s="2" t="str">
        <x:v>N4</x:v>
      </x:c>
      <x:c r="F786" s="10" t="n">
        <x:v>63</x:v>
      </x:c>
      <x:c r="G786" s="2" t="str">
        <x:v>w_64df6e045aa7c770</x:v>
      </x:c>
      <x:c r="H786" s="2" t="str">
        <x:v>きっと</x:v>
      </x:c>
      <x:c r="I786" s="2" t="str">
        <x:v>きっと</x:v>
      </x:c>
      <x:c r="J786" s="8" t="str">
        <x:v>확실히, 의심할 여지 없이</x:v>
      </x:c>
      <x:c r="K786" s="2" t="str">
        <x:v>adverb</x:v>
      </x:c>
      <x:c r="L786" s="9" t="n">
        <x:v>4.97</x:v>
      </x:c>
      <x:c r="M786" s="2" t="str">
        <x:v>없음</x:v>
      </x:c>
      <x:c r="N786" s="11" t="n">
        <x:v>3</x:v>
      </x:c>
      <x:c r="O786" s="8" t="str">
        <x:v>검증된 예문 없음; JMdict 우선 어휘 표지 없음; 기존 데이터의 한국어 콘텐츠 보강 필요 태그</x:v>
      </x:c>
      <x:c r="P786" s="8" t="str">
        <x:v>no_example,no_jmdict_priority,weak_legacy_content</x:v>
      </x:c>
      <x:c r="Q786" s="2" t="str"/>
      <x:c r="R786" s="2" t="str"/>
      <x:c r="S786" s="2" t="str"/>
      <x:c r="T786" s="2" t="str"/>
      <x:c r="U786" s="2" t="str"/>
      <x:c r="V786" s="2" t="str">
        <x:v>아니오</x:v>
      </x:c>
      <x:c r="W786" s="2" t="str">
        <x:v>아니오</x:v>
      </x:c>
      <x:c r="X786" s="2" t="str"/>
      <x:c r="Y786" s="2" t="n">
        <x:v>0</x:v>
      </x:c>
      <x:c r="Z786" s="2" t="str"/>
      <x:c r="AA786" s="2" t="n">
        <x:v>0</x:v>
      </x:c>
      <x:c r="AB786" s="8" t="str"/>
      <x:c r="AC786" s="8" t="str"/>
      <x:c r="AD786" s="8" t="str">
        <x:v>["draft-ko-missing"]</x:v>
      </x:c>
      <x:c r="AE786" s="8" t="str">
        <x:v>검토 필요</x:v>
      </x:c>
      <x:c r="AF786" s="8" t="str"/>
    </x:row>
    <x:row r="787">
      <x:c r="A787" s="10" t="n">
        <x:v>786</x:v>
      </x:c>
      <x:c r="B787" s="2" t="str">
        <x:v>2차 보류</x:v>
      </x:c>
      <x:c r="C787" s="2" t="str">
        <x:v>2차 보류</x:v>
      </x:c>
      <x:c r="D787" s="2" t="str">
        <x:v>낮음</x:v>
      </x:c>
      <x:c r="E787" s="2" t="str">
        <x:v>N3</x:v>
      </x:c>
      <x:c r="F787" s="10" t="n">
        <x:v>93</x:v>
      </x:c>
      <x:c r="G787" s="2" t="str">
        <x:v>w_0fdee89d4ad3a5cd</x:v>
      </x:c>
      <x:c r="H787" s="2" t="str">
        <x:v>しかも</x:v>
      </x:c>
      <x:c r="I787" s="2" t="str">
        <x:v>しかも</x:v>
      </x:c>
      <x:c r="J787" s="8" t="str">
        <x:v>게다가, 더욱이</x:v>
      </x:c>
      <x:c r="K787" s="2" t="str">
        <x:v>conjunction</x:v>
      </x:c>
      <x:c r="L787" s="9" t="n">
        <x:v>4.98</x:v>
      </x:c>
      <x:c r="M787" s="2" t="str">
        <x:v>없음</x:v>
      </x:c>
      <x:c r="N787" s="11" t="n">
        <x:v>3</x:v>
      </x:c>
      <x:c r="O787" s="8" t="str">
        <x:v>검증된 예문 없음; JMdict 우선 어휘 표지 없음; 기존 데이터의 한국어 콘텐츠 보강 필요 태그</x:v>
      </x:c>
      <x:c r="P787" s="8" t="str">
        <x:v>no_example,no_jmdict_priority,weak_legacy_content</x:v>
      </x:c>
      <x:c r="Q787" s="2" t="str"/>
      <x:c r="R787" s="2" t="str"/>
      <x:c r="S787" s="2" t="str"/>
      <x:c r="T787" s="2" t="str"/>
      <x:c r="U787" s="2" t="str"/>
      <x:c r="V787" s="2" t="str">
        <x:v>아니오</x:v>
      </x:c>
      <x:c r="W787" s="2" t="str">
        <x:v>아니오</x:v>
      </x:c>
      <x:c r="X787" s="2" t="str"/>
      <x:c r="Y787" s="2" t="n">
        <x:v>0</x:v>
      </x:c>
      <x:c r="Z787" s="2" t="str"/>
      <x:c r="AA787" s="2" t="n">
        <x:v>0</x:v>
      </x:c>
      <x:c r="AB787" s="8" t="str"/>
      <x:c r="AC787" s="8" t="str"/>
      <x:c r="AD787" s="8" t="str">
        <x:v>["draft-ko-missing"]</x:v>
      </x:c>
      <x:c r="AE787" s="8" t="str">
        <x:v>검토 필요</x:v>
      </x:c>
      <x:c r="AF787" s="8" t="str"/>
    </x:row>
    <x:row r="788">
      <x:c r="A788" s="10" t="n">
        <x:v>787</x:v>
      </x:c>
      <x:c r="B788" s="2" t="str">
        <x:v>2차 보류</x:v>
      </x:c>
      <x:c r="C788" s="2" t="str">
        <x:v>2차 보류</x:v>
      </x:c>
      <x:c r="D788" s="2" t="str">
        <x:v>낮음</x:v>
      </x:c>
      <x:c r="E788" s="2" t="str">
        <x:v>N3</x:v>
      </x:c>
      <x:c r="F788" s="10" t="n">
        <x:v>94</x:v>
      </x:c>
      <x:c r="G788" s="2" t="str">
        <x:v>w_be72fb5e742abac1</x:v>
      </x:c>
      <x:c r="H788" s="2" t="str">
        <x:v>訳</x:v>
      </x:c>
      <x:c r="I788" s="2" t="str">
        <x:v>やく</x:v>
      </x:c>
      <x:c r="J788" s="8" t="str">
        <x:v>번역</x:v>
      </x:c>
      <x:c r="K788" s="2" t="str">
        <x:v>noun</x:v>
      </x:c>
      <x:c r="L788" s="9" t="n">
        <x:v>5.02</x:v>
      </x:c>
      <x:c r="M788" s="2" t="str">
        <x:v>없음</x:v>
      </x:c>
      <x:c r="N788" s="11" t="n">
        <x:v>3</x:v>
      </x:c>
      <x:c r="O788" s="8" t="str">
        <x:v>검증된 예문 없음; JMdict 우선 어휘 표지 없음; 기존 데이터의 한국어 콘텐츠 보강 필요 태그</x:v>
      </x:c>
      <x:c r="P788" s="8" t="str">
        <x:v>no_example,no_jmdict_priority,weak_legacy_content</x:v>
      </x:c>
      <x:c r="Q788" s="2" t="str"/>
      <x:c r="R788" s="2" t="str"/>
      <x:c r="S788" s="2" t="str"/>
      <x:c r="T788" s="2" t="str"/>
      <x:c r="U788" s="2" t="str"/>
      <x:c r="V788" s="2" t="str">
        <x:v>아니오</x:v>
      </x:c>
      <x:c r="W788" s="2" t="str">
        <x:v>예</x:v>
      </x:c>
      <x:c r="X788" s="2" t="str"/>
      <x:c r="Y788" s="2" t="n">
        <x:v>0</x:v>
      </x:c>
      <x:c r="Z788" s="2" t="str"/>
      <x:c r="AA788" s="2" t="n">
        <x:v>0</x:v>
      </x:c>
      <x:c r="AB788" s="8" t="str"/>
      <x:c r="AC788" s="8" t="str"/>
      <x:c r="AD788" s="8" t="str">
        <x:v>["draft-ko-missing"]</x:v>
      </x:c>
      <x:c r="AE788" s="8" t="str">
        <x:v>검토 필요</x:v>
      </x:c>
      <x:c r="AF788" s="8" t="str"/>
    </x:row>
    <x:row r="789">
      <x:c r="A789" s="10" t="n">
        <x:v>788</x:v>
      </x:c>
      <x:c r="B789" s="2" t="str">
        <x:v>2차 보류</x:v>
      </x:c>
      <x:c r="C789" s="2" t="str">
        <x:v>2차 보류</x:v>
      </x:c>
      <x:c r="D789" s="2" t="str">
        <x:v>낮음</x:v>
      </x:c>
      <x:c r="E789" s="2" t="str">
        <x:v>N3</x:v>
      </x:c>
      <x:c r="F789" s="10" t="n">
        <x:v>95</x:v>
      </x:c>
      <x:c r="G789" s="2" t="str">
        <x:v>w_155335c07d28c16f</x:v>
      </x:c>
      <x:c r="H789" s="2" t="str">
        <x:v>いつでも</x:v>
      </x:c>
      <x:c r="I789" s="2" t="str">
        <x:v>いつでも</x:v>
      </x:c>
      <x:c r="J789" s="8" t="str">
        <x:v>언제든지(에서), 항상</x:v>
      </x:c>
      <x:c r="K789" s="2" t="str">
        <x:v>adverb</x:v>
      </x:c>
      <x:c r="L789" s="9" t="n">
        <x:v>5.18</x:v>
      </x:c>
      <x:c r="M789" s="2" t="str">
        <x:v>없음</x:v>
      </x:c>
      <x:c r="N789" s="11" t="n">
        <x:v>3</x:v>
      </x:c>
      <x:c r="O789" s="8" t="str">
        <x:v>검증된 예문 없음; JMdict 우선 어휘 표지 없음; 기존 데이터의 한국어 콘텐츠 보강 필요 태그</x:v>
      </x:c>
      <x:c r="P789" s="8" t="str">
        <x:v>no_example,no_jmdict_priority,weak_legacy_content</x:v>
      </x:c>
      <x:c r="Q789" s="2" t="str"/>
      <x:c r="R789" s="2" t="str"/>
      <x:c r="S789" s="2" t="str"/>
      <x:c r="T789" s="2" t="str"/>
      <x:c r="U789" s="2" t="str"/>
      <x:c r="V789" s="2" t="str">
        <x:v>아니오</x:v>
      </x:c>
      <x:c r="W789" s="2" t="str">
        <x:v>아니오</x:v>
      </x:c>
      <x:c r="X789" s="2" t="str"/>
      <x:c r="Y789" s="2" t="n">
        <x:v>0</x:v>
      </x:c>
      <x:c r="Z789" s="2" t="str"/>
      <x:c r="AA789" s="2" t="n">
        <x:v>0</x:v>
      </x:c>
      <x:c r="AB789" s="8" t="str"/>
      <x:c r="AC789" s="8" t="str"/>
      <x:c r="AD789" s="8" t="str">
        <x:v>["draft-ko-missing"]</x:v>
      </x:c>
      <x:c r="AE789" s="8" t="str">
        <x:v>검토 필요</x:v>
      </x:c>
      <x:c r="AF789" s="8" t="str"/>
    </x:row>
    <x:row r="790">
      <x:c r="A790" s="10" t="n">
        <x:v>789</x:v>
      </x:c>
      <x:c r="B790" s="2" t="str">
        <x:v>2차 보류</x:v>
      </x:c>
      <x:c r="C790" s="2" t="str">
        <x:v>2차 보류</x:v>
      </x:c>
      <x:c r="D790" s="2" t="str">
        <x:v>낮음</x:v>
      </x:c>
      <x:c r="E790" s="2" t="str">
        <x:v>N1</x:v>
      </x:c>
      <x:c r="F790" s="10" t="n">
        <x:v>339</x:v>
      </x:c>
      <x:c r="G790" s="2" t="str">
        <x:v>w_292817345462763f</x:v>
      </x:c>
      <x:c r="H790" s="2" t="str">
        <x:v>来る</x:v>
      </x:c>
      <x:c r="I790" s="2" t="str">
        <x:v>きたる</x:v>
      </x:c>
      <x:c r="J790" s="8" t="str">
        <x:v>오는, 다가올</x:v>
      </x:c>
      <x:c r="K790" s="2" t="str">
        <x:v>adjective</x:v>
      </x:c>
      <x:c r="L790" s="9" t="n">
        <x:v>5.18</x:v>
      </x:c>
      <x:c r="M790" s="2" t="str">
        <x:v>없음</x:v>
      </x:c>
      <x:c r="N790" s="11" t="n">
        <x:v>3</x:v>
      </x:c>
      <x:c r="O790" s="8" t="str">
        <x:v>검증된 예문 없음; JMdict 우선 어휘 표지 없음; 기존 데이터의 한국어 콘텐츠 보강 필요 태그</x:v>
      </x:c>
      <x:c r="P790" s="8" t="str">
        <x:v>no_example,no_jmdict_priority,weak_legacy_content</x:v>
      </x:c>
      <x:c r="Q790" s="2" t="str"/>
      <x:c r="R790" s="2" t="str"/>
      <x:c r="S790" s="2" t="str"/>
      <x:c r="T790" s="2" t="str"/>
      <x:c r="U790" s="2" t="str"/>
      <x:c r="V790" s="2" t="str">
        <x:v>아니오</x:v>
      </x:c>
      <x:c r="W790" s="2" t="str">
        <x:v>예</x:v>
      </x:c>
      <x:c r="X790" s="2" t="str"/>
      <x:c r="Y790" s="2" t="n">
        <x:v>0</x:v>
      </x:c>
      <x:c r="Z790" s="2" t="str"/>
      <x:c r="AA790" s="2" t="n">
        <x:v>0</x:v>
      </x:c>
      <x:c r="AB790" s="8" t="str">
        <x:v>orig. meaning</x:v>
      </x:c>
      <x:c r="AC790" s="8" t="str"/>
      <x:c r="AD790" s="8" t="str">
        <x:v>["draft-ko-missing"]</x:v>
      </x:c>
      <x:c r="AE790" s="8" t="str">
        <x:v>검토 필요</x:v>
      </x:c>
      <x:c r="AF790" s="8" t="str"/>
    </x:row>
    <x:row r="791">
      <x:c r="A791" s="10" t="n">
        <x:v>790</x:v>
      </x:c>
      <x:c r="B791" s="2" t="str">
        <x:v>2차 보류</x:v>
      </x:c>
      <x:c r="C791" s="2" t="str">
        <x:v>2차 보류</x:v>
      </x:c>
      <x:c r="D791" s="2" t="str">
        <x:v>낮음</x:v>
      </x:c>
      <x:c r="E791" s="2" t="str">
        <x:v>N3</x:v>
      </x:c>
      <x:c r="F791" s="10" t="n">
        <x:v>96</x:v>
      </x:c>
      <x:c r="G791" s="2" t="str">
        <x:v>w_f007df3b1f8867ce</x:v>
      </x:c>
      <x:c r="H791" s="2" t="str">
        <x:v>かなり</x:v>
      </x:c>
      <x:c r="I791" s="2" t="str">
        <x:v>かなり</x:v>
      </x:c>
      <x:c r="J791" s="8" t="str">
        <x:v>상당히, 공정하게, 꽤</x:v>
      </x:c>
      <x:c r="K791" s="2" t="str">
        <x:v>adverb</x:v>
      </x:c>
      <x:c r="L791" s="9" t="n">
        <x:v>5.25</x:v>
      </x:c>
      <x:c r="M791" s="2" t="str">
        <x:v>없음</x:v>
      </x:c>
      <x:c r="N791" s="11" t="n">
        <x:v>3</x:v>
      </x:c>
      <x:c r="O791" s="8" t="str">
        <x:v>검증된 예문 없음; JMdict 우선 어휘 표지 없음; 기존 데이터의 한국어 콘텐츠 보강 필요 태그</x:v>
      </x:c>
      <x:c r="P791" s="8" t="str">
        <x:v>no_example,no_jmdict_priority,weak_legacy_content</x:v>
      </x:c>
      <x:c r="Q791" s="2" t="str"/>
      <x:c r="R791" s="2" t="str"/>
      <x:c r="S791" s="2" t="str"/>
      <x:c r="T791" s="2" t="str"/>
      <x:c r="U791" s="2" t="str"/>
      <x:c r="V791" s="2" t="str">
        <x:v>아니오</x:v>
      </x:c>
      <x:c r="W791" s="2" t="str">
        <x:v>아니오</x:v>
      </x:c>
      <x:c r="X791" s="2" t="str"/>
      <x:c r="Y791" s="2" t="n">
        <x:v>0</x:v>
      </x:c>
      <x:c r="Z791" s="2" t="str"/>
      <x:c r="AA791" s="2" t="n">
        <x:v>0</x:v>
      </x:c>
      <x:c r="AB791" s="8" t="str"/>
      <x:c r="AC791" s="8" t="str"/>
      <x:c r="AD791" s="8" t="str">
        <x:v>["draft-ko-missing"]</x:v>
      </x:c>
      <x:c r="AE791" s="8" t="str">
        <x:v>검토 필요</x:v>
      </x:c>
      <x:c r="AF791" s="8" t="str"/>
    </x:row>
    <x:row r="792">
      <x:c r="A792" s="10" t="n">
        <x:v>791</x:v>
      </x:c>
      <x:c r="B792" s="2" t="str">
        <x:v>2차 보류</x:v>
      </x:c>
      <x:c r="C792" s="2" t="str">
        <x:v>2차 보류</x:v>
      </x:c>
      <x:c r="D792" s="2" t="str">
        <x:v>낮음</x:v>
      </x:c>
      <x:c r="E792" s="2" t="str">
        <x:v>N1</x:v>
      </x:c>
      <x:c r="F792" s="10" t="n">
        <x:v>340</x:v>
      </x:c>
      <x:c r="G792" s="2" t="str">
        <x:v>w_e2e3863ce345255f</x:v>
      </x:c>
      <x:c r="H792" s="2" t="str">
        <x:v>一別</x:v>
      </x:c>
      <x:c r="I792" s="2" t="str">
        <x:v>いちべつ</x:v>
      </x:c>
      <x:c r="J792" s="8" t="str">
        <x:v>이별, 헤어짐</x:v>
      </x:c>
      <x:c r="K792" s="2" t="str">
        <x:v>noun</x:v>
      </x:c>
      <x:c r="L792" s="9" t="n">
        <x:v>5.32</x:v>
      </x:c>
      <x:c r="M792" s="2" t="str">
        <x:v>없음</x:v>
      </x:c>
      <x:c r="N792" s="11" t="n">
        <x:v>3</x:v>
      </x:c>
      <x:c r="O792" s="8" t="str">
        <x:v>검증된 예문 없음; JMdict 우선 어휘 표지 없음; 기존 데이터의 한국어 콘텐츠 보강 필요 태그</x:v>
      </x:c>
      <x:c r="P792" s="8" t="str">
        <x:v>no_example,no_jmdict_priority,weak_legacy_content</x:v>
      </x:c>
      <x:c r="Q792" s="2" t="str"/>
      <x:c r="R792" s="2" t="str"/>
      <x:c r="S792" s="2" t="str"/>
      <x:c r="T792" s="2" t="str"/>
      <x:c r="U792" s="2" t="str"/>
      <x:c r="V792" s="2" t="str">
        <x:v>아니오</x:v>
      </x:c>
      <x:c r="W792" s="2" t="str">
        <x:v>예</x:v>
      </x:c>
      <x:c r="X792" s="2" t="str"/>
      <x:c r="Y792" s="2" t="n">
        <x:v>0</x:v>
      </x:c>
      <x:c r="Z792" s="2" t="str"/>
      <x:c r="AA792" s="2" t="n">
        <x:v>0</x:v>
      </x:c>
      <x:c r="AB792" s="8" t="str"/>
      <x:c r="AC792" s="8" t="str"/>
      <x:c r="AD792" s="8" t="str">
        <x:v>["draft-ko-missing"]</x:v>
      </x:c>
      <x:c r="AE792" s="8" t="str">
        <x:v>검토 필요</x:v>
      </x:c>
      <x:c r="AF792" s="8" t="str"/>
    </x:row>
    <x:row r="793">
      <x:c r="A793" s="10" t="n">
        <x:v>792</x:v>
      </x:c>
      <x:c r="B793" s="2" t="str">
        <x:v>2차 보류</x:v>
      </x:c>
      <x:c r="C793" s="2" t="str">
        <x:v>2차 보류</x:v>
      </x:c>
      <x:c r="D793" s="2" t="str">
        <x:v>낮음</x:v>
      </x:c>
      <x:c r="E793" s="2" t="str">
        <x:v>N3</x:v>
      </x:c>
      <x:c r="F793" s="10" t="n">
        <x:v>97</x:v>
      </x:c>
      <x:c r="G793" s="2" t="str">
        <x:v>w_c1fa05de22c8bc5d</x:v>
      </x:c>
      <x:c r="H793" s="2" t="str">
        <x:v>かもしれない</x:v>
      </x:c>
      <x:c r="I793" s="2" t="str">
        <x:v>かもしれない</x:v>
      </x:c>
      <x:c r="J793" s="8" t="str">
        <x:v>아마</x:v>
      </x:c>
      <x:c r="K793" s="2" t="str">
        <x:v>expression</x:v>
      </x:c>
      <x:c r="L793" s="9" t="n">
        <x:v>5.33</x:v>
      </x:c>
      <x:c r="M793" s="2" t="str">
        <x:v>없음</x:v>
      </x:c>
      <x:c r="N793" s="11" t="n">
        <x:v>3</x:v>
      </x:c>
      <x:c r="O793" s="8" t="str">
        <x:v>검증된 예문 없음; JMdict 우선 어휘 표지 없음; 기존 데이터의 한국어 콘텐츠 보강 필요 태그</x:v>
      </x:c>
      <x:c r="P793" s="8" t="str">
        <x:v>no_example,no_jmdict_priority,weak_legacy_content</x:v>
      </x:c>
      <x:c r="Q793" s="2" t="str"/>
      <x:c r="R793" s="2" t="str"/>
      <x:c r="S793" s="2" t="str"/>
      <x:c r="T793" s="2" t="str"/>
      <x:c r="U793" s="2" t="str"/>
      <x:c r="V793" s="2" t="str">
        <x:v>아니오</x:v>
      </x:c>
      <x:c r="W793" s="2" t="str">
        <x:v>아니오</x:v>
      </x:c>
      <x:c r="X793" s="2" t="str"/>
      <x:c r="Y793" s="2" t="n">
        <x:v>0</x:v>
      </x:c>
      <x:c r="Z793" s="2" t="str"/>
      <x:c r="AA793" s="2" t="n">
        <x:v>0</x:v>
      </x:c>
      <x:c r="AB793" s="8" t="str"/>
      <x:c r="AC793" s="8" t="str"/>
      <x:c r="AD793" s="8" t="str">
        <x:v>["draft-ko-missing"]</x:v>
      </x:c>
      <x:c r="AE793" s="8" t="str">
        <x:v>검토 필요</x:v>
      </x:c>
      <x:c r="AF793" s="8" t="str"/>
    </x:row>
    <x:row r="794">
      <x:c r="A794" s="10" t="n">
        <x:v>793</x:v>
      </x:c>
      <x:c r="B794" s="2" t="str">
        <x:v>2차 보류</x:v>
      </x:c>
      <x:c r="C794" s="2" t="str">
        <x:v>2차 보류</x:v>
      </x:c>
      <x:c r="D794" s="2" t="str">
        <x:v>낮음</x:v>
      </x:c>
      <x:c r="E794" s="2" t="str">
        <x:v>N3</x:v>
      </x:c>
      <x:c r="F794" s="10" t="n">
        <x:v>98</x:v>
      </x:c>
      <x:c r="G794" s="2" t="str">
        <x:v>w_d137de623e1e1eed</x:v>
      </x:c>
      <x:c r="H794" s="2" t="str">
        <x:v>いけない</x:v>
      </x:c>
      <x:c r="I794" s="2" t="str">
        <x:v>いけない</x:v>
      </x:c>
      <x:c r="J794" s="8" t="str">
        <x:v>안 된다, 못쓰다</x:v>
      </x:c>
      <x:c r="K794" s="2" t="str">
        <x:v>adjective</x:v>
      </x:c>
      <x:c r="L794" s="9" t="n">
        <x:v>5.38</x:v>
      </x:c>
      <x:c r="M794" s="2" t="str">
        <x:v>없음</x:v>
      </x:c>
      <x:c r="N794" s="11" t="n">
        <x:v>3</x:v>
      </x:c>
      <x:c r="O794" s="8" t="str">
        <x:v>검증된 예문 없음; JMdict 우선 어휘 표지 없음; 기존 데이터의 한국어 콘텐츠 보강 필요 태그</x:v>
      </x:c>
      <x:c r="P794" s="8" t="str">
        <x:v>no_example,no_jmdict_priority,weak_legacy_content</x:v>
      </x:c>
      <x:c r="Q794" s="2" t="str"/>
      <x:c r="R794" s="2" t="str"/>
      <x:c r="S794" s="2" t="str"/>
      <x:c r="T794" s="2" t="str"/>
      <x:c r="U794" s="2" t="str"/>
      <x:c r="V794" s="2" t="str">
        <x:v>아니오</x:v>
      </x:c>
      <x:c r="W794" s="2" t="str">
        <x:v>아니오</x:v>
      </x:c>
      <x:c r="X794" s="2" t="str"/>
      <x:c r="Y794" s="2" t="n">
        <x:v>0</x:v>
      </x:c>
      <x:c r="Z794" s="2" t="str"/>
      <x:c r="AA794" s="2" t="n">
        <x:v>0</x:v>
      </x:c>
      <x:c r="AB794" s="8" t="str"/>
      <x:c r="AC794" s="8" t="str"/>
      <x:c r="AD794" s="8" t="str">
        <x:v>["draft-ko-missing"]</x:v>
      </x:c>
      <x:c r="AE794" s="8" t="str">
        <x:v>검토 필요</x:v>
      </x:c>
      <x:c r="AF794" s="8" t="str"/>
    </x:row>
    <x:row r="795">
      <x:c r="A795" s="10" t="n">
        <x:v>794</x:v>
      </x:c>
      <x:c r="B795" s="2" t="str">
        <x:v>2차 보류</x:v>
      </x:c>
      <x:c r="C795" s="2" t="str">
        <x:v>2차 보류</x:v>
      </x:c>
      <x:c r="D795" s="2" t="str">
        <x:v>낮음</x:v>
      </x:c>
      <x:c r="E795" s="2" t="str">
        <x:v>N3</x:v>
      </x:c>
      <x:c r="F795" s="10" t="n">
        <x:v>99</x:v>
      </x:c>
      <x:c r="G795" s="2" t="str">
        <x:v>w_918c3022ec6cc0f1</x:v>
      </x:c>
      <x:c r="H795" s="2" t="str">
        <x:v>下</x:v>
      </x:c>
      <x:c r="I795" s="2" t="str">
        <x:v>げ</x:v>
      </x:c>
      <x:c r="J795" s="8" t="str">
        <x:v>아래</x:v>
      </x:c>
      <x:c r="K795" s="2" t="str">
        <x:v>noun</x:v>
      </x:c>
      <x:c r="L795" s="9" t="n">
        <x:v>5.4</x:v>
      </x:c>
      <x:c r="M795" s="2" t="str">
        <x:v>없음</x:v>
      </x:c>
      <x:c r="N795" s="11" t="n">
        <x:v>3</x:v>
      </x:c>
      <x:c r="O795" s="8" t="str">
        <x:v>검증된 예문 없음; JMdict 우선 어휘 표지 없음; 기존 데이터의 한국어 콘텐츠 보강 필요 태그</x:v>
      </x:c>
      <x:c r="P795" s="8" t="str">
        <x:v>no_example,no_jmdict_priority,weak_legacy_content</x:v>
      </x:c>
      <x:c r="Q795" s="2" t="str"/>
      <x:c r="R795" s="2" t="str"/>
      <x:c r="S795" s="2" t="str"/>
      <x:c r="T795" s="2" t="str"/>
      <x:c r="U795" s="2" t="str"/>
      <x:c r="V795" s="2" t="str">
        <x:v>아니오</x:v>
      </x:c>
      <x:c r="W795" s="2" t="str">
        <x:v>예</x:v>
      </x:c>
      <x:c r="X795" s="2" t="str"/>
      <x:c r="Y795" s="2" t="n">
        <x:v>0</x:v>
      </x:c>
      <x:c r="Z795" s="2" t="str"/>
      <x:c r="AA795" s="2" t="n">
        <x:v>0</x:v>
      </x:c>
      <x:c r="AB795" s="8" t="str"/>
      <x:c r="AC795" s="8" t="str"/>
      <x:c r="AD795" s="8" t="str">
        <x:v>["draft-ko-missing"]</x:v>
      </x:c>
      <x:c r="AE795" s="8" t="str">
        <x:v>검토 필요</x:v>
      </x:c>
      <x:c r="AF795" s="8" t="str"/>
    </x:row>
    <x:row r="796">
      <x:c r="A796" s="10" t="n">
        <x:v>795</x:v>
      </x:c>
      <x:c r="B796" s="2" t="str">
        <x:v>2차 보류</x:v>
      </x:c>
      <x:c r="C796" s="2" t="str">
        <x:v>2차 보류</x:v>
      </x:c>
      <x:c r="D796" s="2" t="str">
        <x:v>낮음</x:v>
      </x:c>
      <x:c r="E796" s="2" t="str">
        <x:v>N3</x:v>
      </x:c>
      <x:c r="F796" s="10" t="n">
        <x:v>100</x:v>
      </x:c>
      <x:c r="G796" s="2" t="str">
        <x:v>w_dfb409211ee33e05</x:v>
      </x:c>
      <x:c r="H796" s="2" t="str">
        <x:v>下</x:v>
      </x:c>
      <x:c r="I796" s="2" t="str">
        <x:v>しも</x:v>
      </x:c>
      <x:c r="J796" s="8" t="str">
        <x:v>아래</x:v>
      </x:c>
      <x:c r="K796" s="2" t="str">
        <x:v>noun</x:v>
      </x:c>
      <x:c r="L796" s="9" t="n">
        <x:v>5.4</x:v>
      </x:c>
      <x:c r="M796" s="2" t="str">
        <x:v>없음</x:v>
      </x:c>
      <x:c r="N796" s="11" t="n">
        <x:v>3</x:v>
      </x:c>
      <x:c r="O796" s="8" t="str">
        <x:v>검증된 예문 없음; JMdict 우선 어휘 표지 없음; 기존 데이터의 한국어 콘텐츠 보강 필요 태그</x:v>
      </x:c>
      <x:c r="P796" s="8" t="str">
        <x:v>no_example,no_jmdict_priority,weak_legacy_content</x:v>
      </x:c>
      <x:c r="Q796" s="2" t="str"/>
      <x:c r="R796" s="2" t="str"/>
      <x:c r="S796" s="2" t="str"/>
      <x:c r="T796" s="2" t="str"/>
      <x:c r="U796" s="2" t="str"/>
      <x:c r="V796" s="2" t="str">
        <x:v>아니오</x:v>
      </x:c>
      <x:c r="W796" s="2" t="str">
        <x:v>예</x:v>
      </x:c>
      <x:c r="X796" s="2" t="str"/>
      <x:c r="Y796" s="2" t="n">
        <x:v>0</x:v>
      </x:c>
      <x:c r="Z796" s="2" t="str"/>
      <x:c r="AA796" s="2" t="n">
        <x:v>0</x:v>
      </x:c>
      <x:c r="AB796" s="8" t="str"/>
      <x:c r="AC796" s="8" t="str"/>
      <x:c r="AD796" s="8" t="str">
        <x:v>["draft-ko-missing"]</x:v>
      </x:c>
      <x:c r="AE796" s="8" t="str">
        <x:v>검토 필요</x:v>
      </x:c>
      <x:c r="AF796" s="8" t="str"/>
    </x:row>
    <x:row r="797">
      <x:c r="A797" s="10" t="n">
        <x:v>796</x:v>
      </x:c>
      <x:c r="B797" s="2" t="str">
        <x:v>2차 보류</x:v>
      </x:c>
      <x:c r="C797" s="2" t="str">
        <x:v>2차 보류</x:v>
      </x:c>
      <x:c r="D797" s="2" t="str">
        <x:v>낮음</x:v>
      </x:c>
      <x:c r="E797" s="2" t="str">
        <x:v>N4</x:v>
      </x:c>
      <x:c r="F797" s="10" t="n">
        <x:v>64</x:v>
      </x:c>
      <x:c r="G797" s="2" t="str">
        <x:v>w_45e6afe394050228</x:v>
      </x:c>
      <x:c r="H797" s="2" t="str">
        <x:v>アメリカ</x:v>
      </x:c>
      <x:c r="I797" s="2" t="str">
        <x:v>アメリカ</x:v>
      </x:c>
      <x:c r="J797" s="8" t="str">
        <x:v>미국</x:v>
      </x:c>
      <x:c r="K797" s="2" t="str">
        <x:v>noun</x:v>
      </x:c>
      <x:c r="L797" s="9" t="n">
        <x:v>5.42</x:v>
      </x:c>
      <x:c r="M797" s="2" t="str">
        <x:v>없음</x:v>
      </x:c>
      <x:c r="N797" s="11" t="n">
        <x:v>3</x:v>
      </x:c>
      <x:c r="O797" s="8" t="str">
        <x:v>검증된 예문 없음; JMdict 우선 어휘 표지 없음; 기존 데이터의 한국어 콘텐츠 보강 필요 태그</x:v>
      </x:c>
      <x:c r="P797" s="8" t="str">
        <x:v>no_example,no_jmdict_priority,weak_legacy_content</x:v>
      </x:c>
      <x:c r="Q797" s="2" t="str"/>
      <x:c r="R797" s="2" t="str"/>
      <x:c r="S797" s="2" t="str"/>
      <x:c r="T797" s="2" t="str"/>
      <x:c r="U797" s="2" t="str"/>
      <x:c r="V797" s="2" t="str">
        <x:v>아니오</x:v>
      </x:c>
      <x:c r="W797" s="2" t="str">
        <x:v>아니오</x:v>
      </x:c>
      <x:c r="X797" s="2" t="str"/>
      <x:c r="Y797" s="2" t="n">
        <x:v>0</x:v>
      </x:c>
      <x:c r="Z797" s="2" t="str"/>
      <x:c r="AA797" s="2" t="n">
        <x:v>0</x:v>
      </x:c>
      <x:c r="AB797" s="8" t="str"/>
      <x:c r="AC797" s="8" t="str"/>
      <x:c r="AD797" s="8" t="str">
        <x:v>["draft-ko-missing"]</x:v>
      </x:c>
      <x:c r="AE797" s="8" t="str">
        <x:v>검토 필요</x:v>
      </x:c>
      <x:c r="AF797" s="8" t="str"/>
    </x:row>
    <x:row r="798">
      <x:c r="A798" s="10" t="n">
        <x:v>797</x:v>
      </x:c>
      <x:c r="B798" s="2" t="str">
        <x:v>2차 보류</x:v>
      </x:c>
      <x:c r="C798" s="2" t="str">
        <x:v>2차 보류</x:v>
      </x:c>
      <x:c r="D798" s="2" t="str">
        <x:v>낮음</x:v>
      </x:c>
      <x:c r="E798" s="2" t="str">
        <x:v>N1</x:v>
      </x:c>
      <x:c r="F798" s="10" t="n">
        <x:v>341</x:v>
      </x:c>
      <x:c r="G798" s="2" t="str">
        <x:v>w_2c6e4aba3ed37abd</x:v>
      </x:c>
      <x:c r="H798" s="2" t="str">
        <x:v>まと</x:v>
      </x:c>
      <x:c r="I798" s="2" t="str">
        <x:v>まと</x:v>
      </x:c>
      <x:c r="J798" s="8" t="str">
        <x:v>과녁, 표적</x:v>
      </x:c>
      <x:c r="K798" s="2" t="str">
        <x:v>noun</x:v>
      </x:c>
      <x:c r="L798" s="9" t="n">
        <x:v>5.42</x:v>
      </x:c>
      <x:c r="M798" s="2" t="str">
        <x:v>없음</x:v>
      </x:c>
      <x:c r="N798" s="11" t="n">
        <x:v>3</x:v>
      </x:c>
      <x:c r="O798" s="8" t="str">
        <x:v>검증된 예문 없음; JMdict 우선 어휘 표지 없음; 기존 데이터의 한국어 콘텐츠 보강 필요 태그</x:v>
      </x:c>
      <x:c r="P798" s="8" t="str">
        <x:v>no_example,no_jmdict_priority,weak_legacy_content</x:v>
      </x:c>
      <x:c r="Q798" s="2" t="str"/>
      <x:c r="R798" s="2" t="str"/>
      <x:c r="S798" s="2" t="str"/>
      <x:c r="T798" s="2" t="str"/>
      <x:c r="U798" s="2" t="str"/>
      <x:c r="V798" s="2" t="str">
        <x:v>아니오</x:v>
      </x:c>
      <x:c r="W798" s="2" t="str">
        <x:v>아니오</x:v>
      </x:c>
      <x:c r="X798" s="2" t="str"/>
      <x:c r="Y798" s="2" t="n">
        <x:v>0</x:v>
      </x:c>
      <x:c r="Z798" s="2" t="str"/>
      <x:c r="AA798" s="2" t="n">
        <x:v>0</x:v>
      </x:c>
      <x:c r="AB798" s="8" t="str"/>
      <x:c r="AC798" s="8" t="str"/>
      <x:c r="AD798" s="8" t="str">
        <x:v>["draft-ko-missing"]</x:v>
      </x:c>
      <x:c r="AE798" s="8" t="str">
        <x:v>검토 필요</x:v>
      </x:c>
      <x:c r="AF798" s="8" t="str"/>
    </x:row>
    <x:row r="799">
      <x:c r="A799" s="10" t="n">
        <x:v>798</x:v>
      </x:c>
      <x:c r="B799" s="2" t="str">
        <x:v>2차 보류</x:v>
      </x:c>
      <x:c r="C799" s="2" t="str">
        <x:v>2차 보류</x:v>
      </x:c>
      <x:c r="D799" s="2" t="str">
        <x:v>낮음</x:v>
      </x:c>
      <x:c r="E799" s="2" t="str">
        <x:v>N1</x:v>
      </x:c>
      <x:c r="F799" s="10" t="n">
        <x:v>342</x:v>
      </x:c>
      <x:c r="G799" s="2" t="str">
        <x:v>w_0f16fd59d0e6a997</x:v>
      </x:c>
      <x:c r="H799" s="2" t="str">
        <x:v>先</x:v>
      </x:c>
      <x:c r="I799" s="2" t="str">
        <x:v>せん</x:v>
      </x:c>
      <x:c r="J799" s="8" t="str">
        <x:v>앞, 먼저</x:v>
      </x:c>
      <x:c r="K799" s="2" t="str">
        <x:v>adjective</x:v>
      </x:c>
      <x:c r="L799" s="9" t="n">
        <x:v>5.45</x:v>
      </x:c>
      <x:c r="M799" s="2" t="str">
        <x:v>없음</x:v>
      </x:c>
      <x:c r="N799" s="11" t="n">
        <x:v>3</x:v>
      </x:c>
      <x:c r="O799" s="8" t="str">
        <x:v>검증된 예문 없음; JMdict 우선 어휘 표지 없음; 기존 데이터의 한국어 콘텐츠 보강 필요 태그</x:v>
      </x:c>
      <x:c r="P799" s="8" t="str">
        <x:v>no_example,no_jmdict_priority,weak_legacy_content</x:v>
      </x:c>
      <x:c r="Q799" s="2" t="str"/>
      <x:c r="R799" s="2" t="str"/>
      <x:c r="S799" s="2" t="str"/>
      <x:c r="T799" s="2" t="str"/>
      <x:c r="U799" s="2" t="str"/>
      <x:c r="V799" s="2" t="str">
        <x:v>아니오</x:v>
      </x:c>
      <x:c r="W799" s="2" t="str">
        <x:v>예</x:v>
      </x:c>
      <x:c r="X799" s="2" t="str"/>
      <x:c r="Y799" s="2" t="n">
        <x:v>0</x:v>
      </x:c>
      <x:c r="Z799" s="2" t="str"/>
      <x:c r="AA799" s="2" t="n">
        <x:v>0</x:v>
      </x:c>
      <x:c r="AB799" s="8" t="str"/>
      <x:c r="AC799" s="8" t="str"/>
      <x:c r="AD799" s="8" t="str">
        <x:v>["draft-ko-missing"]</x:v>
      </x:c>
      <x:c r="AE799" s="8" t="str">
        <x:v>검토 필요</x:v>
      </x:c>
      <x:c r="AF799" s="8" t="str"/>
    </x:row>
    <x:row r="800">
      <x:c r="A800" s="10" t="n">
        <x:v>799</x:v>
      </x:c>
      <x:c r="B800" s="2" t="str">
        <x:v>2차 보류</x:v>
      </x:c>
      <x:c r="C800" s="2" t="str">
        <x:v>2차 보류</x:v>
      </x:c>
      <x:c r="D800" s="2" t="str">
        <x:v>낮음</x:v>
      </x:c>
      <x:c r="E800" s="2" t="str">
        <x:v>N3</x:v>
      </x:c>
      <x:c r="F800" s="10" t="n">
        <x:v>101</x:v>
      </x:c>
      <x:c r="G800" s="2" t="str">
        <x:v>w_a9187b269305746d</x:v>
      </x:c>
      <x:c r="H800" s="2" t="str">
        <x:v>生</x:v>
      </x:c>
      <x:c r="I800" s="2" t="str">
        <x:v>せい</x:v>
      </x:c>
      <x:c r="J800" s="8" t="str">
        <x:v>출생</x:v>
      </x:c>
      <x:c r="K800" s="2" t="str">
        <x:v>noun</x:v>
      </x:c>
      <x:c r="L800" s="9" t="n">
        <x:v>5.46</x:v>
      </x:c>
      <x:c r="M800" s="2" t="str">
        <x:v>없음</x:v>
      </x:c>
      <x:c r="N800" s="11" t="n">
        <x:v>3</x:v>
      </x:c>
      <x:c r="O800" s="8" t="str">
        <x:v>검증된 예문 없음; JMdict 우선 어휘 표지 없음; 기존 데이터의 한국어 콘텐츠 보강 필요 태그</x:v>
      </x:c>
      <x:c r="P800" s="8" t="str">
        <x:v>no_example,no_jmdict_priority,weak_legacy_content</x:v>
      </x:c>
      <x:c r="Q800" s="2" t="str"/>
      <x:c r="R800" s="2" t="str"/>
      <x:c r="S800" s="2" t="str"/>
      <x:c r="T800" s="2" t="str"/>
      <x:c r="U800" s="2" t="str"/>
      <x:c r="V800" s="2" t="str">
        <x:v>아니오</x:v>
      </x:c>
      <x:c r="W800" s="2" t="str">
        <x:v>예</x:v>
      </x:c>
      <x:c r="X800" s="2" t="str"/>
      <x:c r="Y800" s="2" t="n">
        <x:v>0</x:v>
      </x:c>
      <x:c r="Z800" s="2" t="str"/>
      <x:c r="AA800" s="2" t="n">
        <x:v>0</x:v>
      </x:c>
      <x:c r="AB800" s="8" t="str">
        <x:v>abbreviation | humble (kenjougo) language | male term or language</x:v>
      </x:c>
      <x:c r="AC800" s="8" t="str"/>
      <x:c r="AD800" s="8" t="str">
        <x:v>["draft-ko-missing"]</x:v>
      </x:c>
      <x:c r="AE800" s="8" t="str">
        <x:v>검토 필요</x:v>
      </x:c>
      <x:c r="AF800" s="8" t="str"/>
    </x:row>
    <x:row r="801">
      <x:c r="A801" s="10" t="n">
        <x:v>800</x:v>
      </x:c>
      <x:c r="B801" s="2" t="str">
        <x:v>2차 보류</x:v>
      </x:c>
      <x:c r="C801" s="2" t="str">
        <x:v>2차 보류</x:v>
      </x:c>
      <x:c r="D801" s="2" t="str">
        <x:v>낮음</x:v>
      </x:c>
      <x:c r="E801" s="2" t="str">
        <x:v>N3</x:v>
      </x:c>
      <x:c r="F801" s="10" t="n">
        <x:v>102</x:v>
      </x:c>
      <x:c r="G801" s="2" t="str">
        <x:v>w_c41c1b47224d5c11</x:v>
      </x:c>
      <x:c r="H801" s="2" t="str">
        <x:v>ありがとう</x:v>
      </x:c>
      <x:c r="I801" s="2" t="str">
        <x:v>ありがとう</x:v>
      </x:c>
      <x:c r="J801" s="8" t="str">
        <x:v>고맙습니다</x:v>
      </x:c>
      <x:c r="K801" s="2" t="str">
        <x:v>interjection</x:v>
      </x:c>
      <x:c r="L801" s="9" t="n">
        <x:v>5.7</x:v>
      </x:c>
      <x:c r="M801" s="2" t="str">
        <x:v>없음</x:v>
      </x:c>
      <x:c r="N801" s="11" t="n">
        <x:v>3</x:v>
      </x:c>
      <x:c r="O801" s="8" t="str">
        <x:v>검증된 예문 없음; JMdict 우선 어휘 표지 없음; 기존 데이터의 한국어 콘텐츠 보강 필요 태그</x:v>
      </x:c>
      <x:c r="P801" s="8" t="str">
        <x:v>no_example,no_jmdict_priority,weak_legacy_content</x:v>
      </x:c>
      <x:c r="Q801" s="2" t="str"/>
      <x:c r="R801" s="2" t="str"/>
      <x:c r="S801" s="2" t="str"/>
      <x:c r="T801" s="2" t="str"/>
      <x:c r="U801" s="2" t="str"/>
      <x:c r="V801" s="2" t="str">
        <x:v>아니오</x:v>
      </x:c>
      <x:c r="W801" s="2" t="str">
        <x:v>아니오</x:v>
      </x:c>
      <x:c r="X801" s="2" t="str"/>
      <x:c r="Y801" s="2" t="n">
        <x:v>0</x:v>
      </x:c>
      <x:c r="Z801" s="2" t="str"/>
      <x:c r="AA801" s="2" t="n">
        <x:v>0</x:v>
      </x:c>
      <x:c r="AB801" s="8" t="str"/>
      <x:c r="AC801" s="8" t="str"/>
      <x:c r="AD801" s="8" t="str">
        <x:v>["draft-ko-missing"]</x:v>
      </x:c>
      <x:c r="AE801" s="8" t="str">
        <x:v>검토 필요</x:v>
      </x:c>
      <x:c r="AF801" s="8" t="str"/>
    </x:row>
    <x:row r="802">
      <x:c r="A802" s="10" t="n">
        <x:v>801</x:v>
      </x:c>
      <x:c r="B802" s="2" t="str">
        <x:v>2차 보류</x:v>
      </x:c>
      <x:c r="C802" s="2" t="str">
        <x:v>2차 보류</x:v>
      </x:c>
      <x:c r="D802" s="2" t="str">
        <x:v>낮음</x:v>
      </x:c>
      <x:c r="E802" s="2" t="str">
        <x:v>N3</x:v>
      </x:c>
      <x:c r="F802" s="10" t="n">
        <x:v>103</x:v>
      </x:c>
      <x:c r="G802" s="2" t="str">
        <x:v>w_cd21637b9647fa3c</x:v>
      </x:c>
      <x:c r="H802" s="2" t="str">
        <x:v>上</x:v>
      </x:c>
      <x:c r="I802" s="2" t="str">
        <x:v>うわ</x:v>
      </x:c>
      <x:c r="J802" s="8" t="str">
        <x:v>위</x:v>
      </x:c>
      <x:c r="K802" s="2" t="str">
        <x:v>noun</x:v>
      </x:c>
      <x:c r="L802" s="9" t="n">
        <x:v>5.75</x:v>
      </x:c>
      <x:c r="M802" s="2" t="str">
        <x:v>없음</x:v>
      </x:c>
      <x:c r="N802" s="11" t="n">
        <x:v>3</x:v>
      </x:c>
      <x:c r="O802" s="8" t="str">
        <x:v>검증된 예문 없음; JMdict 우선 어휘 표지 없음; 기존 데이터의 한국어 콘텐츠 보강 필요 태그</x:v>
      </x:c>
      <x:c r="P802" s="8" t="str">
        <x:v>no_example,no_jmdict_priority,weak_legacy_content</x:v>
      </x:c>
      <x:c r="Q802" s="2" t="str"/>
      <x:c r="R802" s="2" t="str"/>
      <x:c r="S802" s="2" t="str"/>
      <x:c r="T802" s="2" t="str"/>
      <x:c r="U802" s="2" t="str"/>
      <x:c r="V802" s="2" t="str">
        <x:v>아니오</x:v>
      </x:c>
      <x:c r="W802" s="2" t="str">
        <x:v>예</x:v>
      </x:c>
      <x:c r="X802" s="2" t="str"/>
      <x:c r="Y802" s="2" t="n">
        <x:v>0</x:v>
      </x:c>
      <x:c r="Z802" s="2" t="str"/>
      <x:c r="AA802" s="2" t="n">
        <x:v>0</x:v>
      </x:c>
      <x:c r="AB802" s="8" t="str"/>
      <x:c r="AC802" s="8" t="str"/>
      <x:c r="AD802" s="8" t="str">
        <x:v>["draft-ko-missing"]</x:v>
      </x:c>
      <x:c r="AE802" s="8" t="str">
        <x:v>검토 필요</x:v>
      </x:c>
      <x:c r="AF802" s="8" t="str"/>
    </x:row>
    <x:row r="803">
      <x:c r="A803" s="10" t="n">
        <x:v>802</x:v>
      </x:c>
      <x:c r="B803" s="2" t="str">
        <x:v>2차 보류</x:v>
      </x:c>
      <x:c r="C803" s="2" t="str">
        <x:v>2차 보류</x:v>
      </x:c>
      <x:c r="D803" s="2" t="str">
        <x:v>낮음</x:v>
      </x:c>
      <x:c r="E803" s="2" t="str">
        <x:v>N2</x:v>
      </x:c>
      <x:c r="F803" s="10" t="n">
        <x:v>275</x:v>
      </x:c>
      <x:c r="G803" s="2" t="str">
        <x:v>w_5c91c9030e80a0f2</x:v>
      </x:c>
      <x:c r="H803" s="2" t="str">
        <x:v>そのため</x:v>
      </x:c>
      <x:c r="I803" s="2" t="str">
        <x:v>そのため</x:v>
      </x:c>
      <x:c r="J803" s="8" t="str">
        <x:v>그 때문에, 그래서</x:v>
      </x:c>
      <x:c r="K803" s="2" t="str">
        <x:v>expression</x:v>
      </x:c>
      <x:c r="L803" s="9" t="n">
        <x:v>5.87</x:v>
      </x:c>
      <x:c r="M803" s="2" t="str">
        <x:v>없음</x:v>
      </x:c>
      <x:c r="N803" s="11" t="n">
        <x:v>3</x:v>
      </x:c>
      <x:c r="O803" s="8" t="str">
        <x:v>검증된 예문 없음; JMdict 우선 어휘 표지 없음; 기존 데이터의 한국어 콘텐츠 보강 필요 태그</x:v>
      </x:c>
      <x:c r="P803" s="8" t="str">
        <x:v>no_example,no_jmdict_priority,weak_legacy_content</x:v>
      </x:c>
      <x:c r="Q803" s="2" t="str"/>
      <x:c r="R803" s="2" t="str"/>
      <x:c r="S803" s="2" t="str"/>
      <x:c r="T803" s="2" t="str"/>
      <x:c r="U803" s="2" t="str"/>
      <x:c r="V803" s="2" t="str">
        <x:v>아니오</x:v>
      </x:c>
      <x:c r="W803" s="2" t="str">
        <x:v>아니오</x:v>
      </x:c>
      <x:c r="X803" s="2" t="str"/>
      <x:c r="Y803" s="2" t="n">
        <x:v>0</x:v>
      </x:c>
      <x:c r="Z803" s="2" t="str"/>
      <x:c r="AA803" s="2" t="n">
        <x:v>0</x:v>
      </x:c>
      <x:c r="AB803" s="8" t="str"/>
      <x:c r="AC803" s="8" t="str"/>
      <x:c r="AD803" s="8" t="str">
        <x:v>["draft-ko-missing"]</x:v>
      </x:c>
      <x:c r="AE803" s="8" t="str">
        <x:v>검토 필요</x:v>
      </x:c>
      <x:c r="AF803" s="8" t="str"/>
    </x:row>
    <x:row r="804">
      <x:c r="A804" s="10" t="n">
        <x:v>803</x:v>
      </x:c>
      <x:c r="B804" s="2" t="str">
        <x:v>2차 보류</x:v>
      </x:c>
      <x:c r="C804" s="2" t="str">
        <x:v>2차 보류</x:v>
      </x:c>
      <x:c r="D804" s="2" t="str">
        <x:v>낮음</x:v>
      </x:c>
      <x:c r="E804" s="2" t="str">
        <x:v>N1</x:v>
      </x:c>
      <x:c r="F804" s="10" t="n">
        <x:v>343</x:v>
      </x:c>
      <x:c r="G804" s="2" t="str">
        <x:v>w_cd1baf088a8d0ce8</x:v>
      </x:c>
      <x:c r="H804" s="2" t="str">
        <x:v>だと</x:v>
      </x:c>
      <x:c r="I804" s="2" t="str">
        <x:v>だと</x:v>
      </x:c>
      <x:c r="J804" s="8" t="str">
        <x:v>~라면, ~라고 하면</x:v>
      </x:c>
      <x:c r="K804" s="2" t="str">
        <x:v>noun</x:v>
      </x:c>
      <x:c r="L804" s="9" t="n">
        <x:v>6.78</x:v>
      </x:c>
      <x:c r="M804" s="2" t="str">
        <x:v>없음</x:v>
      </x:c>
      <x:c r="N804" s="11" t="n">
        <x:v>3</x:v>
      </x:c>
      <x:c r="O804" s="8" t="str">
        <x:v>검증된 예문 없음; JMdict 우선 어휘 표지 없음; 기존 데이터의 한국어 콘텐츠 보강 필요 태그</x:v>
      </x:c>
      <x:c r="P804" s="8" t="str">
        <x:v>no_example,no_jmdict_priority,weak_legacy_content</x:v>
      </x:c>
      <x:c r="Q804" s="2" t="str"/>
      <x:c r="R804" s="2" t="str"/>
      <x:c r="S804" s="2" t="str"/>
      <x:c r="T804" s="2" t="str"/>
      <x:c r="U804" s="2" t="str"/>
      <x:c r="V804" s="2" t="str">
        <x:v>아니오</x:v>
      </x:c>
      <x:c r="W804" s="2" t="str">
        <x:v>아니오</x:v>
      </x:c>
      <x:c r="X804" s="2" t="str"/>
      <x:c r="Y804" s="2" t="n">
        <x:v>0</x:v>
      </x:c>
      <x:c r="Z804" s="2" t="str"/>
      <x:c r="AA804" s="2" t="n">
        <x:v>0</x:v>
      </x:c>
      <x:c r="AB804" s="8" t="str"/>
      <x:c r="AC804" s="8" t="str"/>
      <x:c r="AD804" s="8" t="str">
        <x:v>["draft-ko-missing"]</x:v>
      </x:c>
      <x:c r="AE804" s="8" t="str">
        <x:v>검토 필요</x:v>
      </x:c>
      <x:c r="AF804" s="8" t="str"/>
    </x:row>
    <x:row r="805">
      <x:c r="A805" s="10" t="n">
        <x:v>804</x:v>
      </x:c>
      <x:c r="B805" s="2" t="str">
        <x:v>2차 보류</x:v>
      </x:c>
      <x:c r="C805" s="2" t="str">
        <x:v>2차 보류</x:v>
      </x:c>
      <x:c r="D805" s="2" t="str">
        <x:v>낮음</x:v>
      </x:c>
      <x:c r="E805" s="2" t="str">
        <x:v>N2</x:v>
      </x:c>
      <x:c r="F805" s="10" t="n">
        <x:v>276</x:v>
      </x:c>
      <x:c r="G805" s="2" t="str">
        <x:v>w_7e06d636660c15e5</x:v>
      </x:c>
      <x:c r="H805" s="2" t="str">
        <x:v>下書き</x:v>
      </x:c>
      <x:c r="I805" s="2" t="str">
        <x:v>したがき</x:v>
      </x:c>
      <x:c r="J805" s="8" t="str">
        <x:v>초고, 초안</x:v>
      </x:c>
      <x:c r="K805" s="2" t="str">
        <x:v>noun</x:v>
      </x:c>
      <x:c r="L805" s="9" t="n">
        <x:v>3.06</x:v>
      </x:c>
      <x:c r="M805" s="2" t="str">
        <x:v>없음</x:v>
      </x:c>
      <x:c r="N805" s="11" t="n">
        <x:v>2</x:v>
      </x:c>
      <x:c r="O805" s="8" t="str">
        <x:v>일반 사용 빈도 보통 이하(Zipf ≤ 3.5); 기존 한국어 뜻 품질 감사 대상; 검증된 예문 없음; 기존 데이터의 한국어 콘텐츠 보강 필요 태그</x:v>
      </x:c>
      <x:c r="P805" s="8" t="str">
        <x:v>frequency_le_3_5,legacy_gloss_audit:senses_5_6,no_example,weak_legacy_content</x:v>
      </x:c>
      <x:c r="Q805" s="2" t="str"/>
      <x:c r="R805" s="2" t="str"/>
      <x:c r="S805" s="2" t="str"/>
      <x:c r="T805" s="2" t="str"/>
      <x:c r="U805" s="2" t="str"/>
      <x:c r="V805" s="2" t="str">
        <x:v>아니오</x:v>
      </x:c>
      <x:c r="W805" s="2" t="str">
        <x:v>예</x:v>
      </x:c>
      <x:c r="X805" s="2" t="str">
        <x:v>ichi1,news2,nf37</x:v>
      </x:c>
      <x:c r="Y805" s="2" t="n">
        <x:v>100</x:v>
      </x:c>
      <x:c r="Z805" s="2" t="str">
        <x:v>ichi1,news2,nf37</x:v>
      </x:c>
      <x:c r="AA805" s="2" t="n">
        <x:v>100</x:v>
      </x:c>
      <x:c r="AB805" s="8" t="str"/>
      <x:c r="AC805" s="8" t="str">
        <x:v>senses_5_6</x:v>
      </x:c>
      <x:c r="AD805" s="8" t="str">
        <x:v>["draft-ko-missing"]</x:v>
      </x:c>
      <x:c r="AE805" s="8" t="str">
        <x:v>검토 필요</x:v>
      </x:c>
      <x:c r="AF805" s="8" t="str"/>
    </x:row>
    <x:row r="806">
      <x:c r="A806" s="10" t="n">
        <x:v>805</x:v>
      </x:c>
      <x:c r="B806" s="2" t="str">
        <x:v>2차 보류</x:v>
      </x:c>
      <x:c r="C806" s="2" t="str">
        <x:v>2차 보류</x:v>
      </x:c>
      <x:c r="D806" s="2" t="str">
        <x:v>낮음</x:v>
      </x:c>
      <x:c r="E806" s="2" t="str">
        <x:v>N1</x:v>
      </x:c>
      <x:c r="F806" s="10" t="n">
        <x:v>344</x:v>
      </x:c>
      <x:c r="G806" s="2" t="str">
        <x:v>w_34785a47420da59e</x:v>
      </x:c>
      <x:c r="H806" s="2" t="str">
        <x:v>調印</x:v>
      </x:c>
      <x:c r="I806" s="2" t="str">
        <x:v>ちょういん</x:v>
      </x:c>
      <x:c r="J806" s="8" t="str">
        <x:v>조인, 서명 날인</x:v>
      </x:c>
      <x:c r="K806" s="2" t="str">
        <x:v>noun</x:v>
      </x:c>
      <x:c r="L806" s="9" t="n">
        <x:v>3.08</x:v>
      </x:c>
      <x:c r="M806" s="2" t="str">
        <x:v>없음</x:v>
      </x:c>
      <x:c r="N806" s="11" t="n">
        <x:v>2</x:v>
      </x:c>
      <x:c r="O806" s="8" t="str">
        <x:v>일반 사용 빈도 보통 이하(Zipf ≤ 3.5); 기존 한국어 뜻 품질 감사 대상; 검증된 예문 없음; 기존 데이터의 한국어 콘텐츠 보강 필요 태그</x:v>
      </x:c>
      <x:c r="P806" s="8" t="str">
        <x:v>frequency_le_3_5,legacy_gloss_audit:senses_5_6,no_example,weak_legacy_content</x:v>
      </x:c>
      <x:c r="Q806" s="2" t="str"/>
      <x:c r="R806" s="2" t="str"/>
      <x:c r="S806" s="2" t="str"/>
      <x:c r="T806" s="2" t="str"/>
      <x:c r="U806" s="2" t="str"/>
      <x:c r="V806" s="2" t="str">
        <x:v>아니오</x:v>
      </x:c>
      <x:c r="W806" s="2" t="str">
        <x:v>예</x:v>
      </x:c>
      <x:c r="X806" s="2" t="str">
        <x:v>ichi1,news1,nf04</x:v>
      </x:c>
      <x:c r="Y806" s="2" t="n">
        <x:v>100</x:v>
      </x:c>
      <x:c r="Z806" s="2" t="str">
        <x:v>ichi1,news1,nf04</x:v>
      </x:c>
      <x:c r="AA806" s="2" t="n">
        <x:v>100</x:v>
      </x:c>
      <x:c r="AB806" s="8" t="str"/>
      <x:c r="AC806" s="8" t="str">
        <x:v>senses_5_6</x:v>
      </x:c>
      <x:c r="AD806" s="8" t="str">
        <x:v>["draft-ko-missing"]</x:v>
      </x:c>
      <x:c r="AE806" s="8" t="str">
        <x:v>검토 필요</x:v>
      </x:c>
      <x:c r="AF806" s="8" t="str"/>
    </x:row>
    <x:row r="807">
      <x:c r="A807" s="10" t="n">
        <x:v>806</x:v>
      </x:c>
      <x:c r="B807" s="2" t="str">
        <x:v>2차 보류</x:v>
      </x:c>
      <x:c r="C807" s="2" t="str">
        <x:v>2차 보류</x:v>
      </x:c>
      <x:c r="D807" s="2" t="str">
        <x:v>낮음</x:v>
      </x:c>
      <x:c r="E807" s="2" t="str">
        <x:v>N2</x:v>
      </x:c>
      <x:c r="F807" s="10" t="n">
        <x:v>277</x:v>
      </x:c>
      <x:c r="G807" s="2" t="str">
        <x:v>w_c4b5090294066033</x:v>
      </x:c>
      <x:c r="H807" s="2" t="str">
        <x:v>塞ぐ</x:v>
      </x:c>
      <x:c r="I807" s="2" t="str">
        <x:v>ふさぐ</x:v>
      </x:c>
      <x:c r="J807" s="8" t="str">
        <x:v>막다, 메우다</x:v>
      </x:c>
      <x:c r="K807" s="2" t="str">
        <x:v>verb</x:v>
      </x:c>
      <x:c r="L807" s="9" t="n">
        <x:v>3.11</x:v>
      </x:c>
      <x:c r="M807" s="2" t="str">
        <x:v>없음</x:v>
      </x:c>
      <x:c r="N807" s="11" t="n">
        <x:v>2</x:v>
      </x:c>
      <x:c r="O807" s="8" t="str">
        <x:v>일반 사용 빈도 보통 이하(Zipf ≤ 3.5); 기존 한국어 뜻 품질 감사 대상; 검증된 예문 없음; 기존 데이터의 한국어 콘텐츠 보강 필요 태그</x:v>
      </x:c>
      <x:c r="P807" s="8" t="str">
        <x:v>frequency_le_3_5,legacy_gloss_audit:mt_noise_token,no_example,weak_legacy_content</x:v>
      </x:c>
      <x:c r="Q807" s="2" t="str"/>
      <x:c r="R807" s="2" t="str"/>
      <x:c r="S807" s="2" t="str"/>
      <x:c r="T807" s="2" t="str"/>
      <x:c r="U807" s="2" t="str"/>
      <x:c r="V807" s="2" t="str">
        <x:v>아니오</x:v>
      </x:c>
      <x:c r="W807" s="2" t="str">
        <x:v>예</x:v>
      </x:c>
      <x:c r="X807" s="2" t="str">
        <x:v>ichi1</x:v>
      </x:c>
      <x:c r="Y807" s="2" t="n">
        <x:v>100</x:v>
      </x:c>
      <x:c r="Z807" s="2" t="str">
        <x:v>ichi1</x:v>
      </x:c>
      <x:c r="AA807" s="2" t="n">
        <x:v>100</x:v>
      </x:c>
      <x:c r="AB807" s="8" t="str"/>
      <x:c r="AC807" s="8" t="str">
        <x:v>mt_noise_token</x:v>
      </x:c>
      <x:c r="AD807" s="8" t="str">
        <x:v>["draft-ko-missing"]</x:v>
      </x:c>
      <x:c r="AE807" s="8" t="str">
        <x:v>검토 필요</x:v>
      </x:c>
      <x:c r="AF807" s="8" t="str"/>
    </x:row>
    <x:row r="808">
      <x:c r="A808" s="10" t="n">
        <x:v>807</x:v>
      </x:c>
      <x:c r="B808" s="2" t="str">
        <x:v>2차 보류</x:v>
      </x:c>
      <x:c r="C808" s="2" t="str">
        <x:v>2차 보류</x:v>
      </x:c>
      <x:c r="D808" s="2" t="str">
        <x:v>낮음</x:v>
      </x:c>
      <x:c r="E808" s="2" t="str">
        <x:v>N1</x:v>
      </x:c>
      <x:c r="F808" s="10" t="n">
        <x:v>345</x:v>
      </x:c>
      <x:c r="G808" s="2" t="str">
        <x:v>w_88265cfe3e5a8b9b</x:v>
      </x:c>
      <x:c r="H808" s="2" t="str">
        <x:v>済ます</x:v>
      </x:c>
      <x:c r="I808" s="2" t="str">
        <x:v>すます</x:v>
      </x:c>
      <x:c r="J808" s="8" t="str">
        <x:v>끝마치다, 해결하다</x:v>
      </x:c>
      <x:c r="K808" s="2" t="str">
        <x:v>verb</x:v>
      </x:c>
      <x:c r="L808" s="9" t="n">
        <x:v>3.11</x:v>
      </x:c>
      <x:c r="M808" s="2" t="str">
        <x:v>없음</x:v>
      </x:c>
      <x:c r="N808" s="11" t="n">
        <x:v>2</x:v>
      </x:c>
      <x:c r="O808" s="8" t="str">
        <x:v>일반 사용 빈도 보통 이하(Zipf ≤ 3.5); 기존 한국어 뜻 품질 감사 대상; 검증된 예문 없음; 기존 데이터의 한국어 콘텐츠 보강 필요 태그</x:v>
      </x:c>
      <x:c r="P808" s="8" t="str">
        <x:v>frequency_le_3_5,legacy_gloss_audit:senses_5_6,no_example,weak_legacy_content</x:v>
      </x:c>
      <x:c r="Q808" s="2" t="str"/>
      <x:c r="R808" s="2" t="str"/>
      <x:c r="S808" s="2" t="str"/>
      <x:c r="T808" s="2" t="str"/>
      <x:c r="U808" s="2" t="str"/>
      <x:c r="V808" s="2" t="str">
        <x:v>아니오</x:v>
      </x:c>
      <x:c r="W808" s="2" t="str">
        <x:v>예</x:v>
      </x:c>
      <x:c r="X808" s="2" t="str">
        <x:v>ichi1,news2,nf28</x:v>
      </x:c>
      <x:c r="Y808" s="2" t="n">
        <x:v>100</x:v>
      </x:c>
      <x:c r="Z808" s="2" t="str">
        <x:v>ichi1,news2,nf28</x:v>
      </x:c>
      <x:c r="AA808" s="2" t="n">
        <x:v>100</x:v>
      </x:c>
      <x:c r="AB808" s="8" t="str">
        <x:v>often with で</x:v>
      </x:c>
      <x:c r="AC808" s="8" t="str">
        <x:v>senses_5_6</x:v>
      </x:c>
      <x:c r="AD808" s="8" t="str">
        <x:v>["draft-ko-missing"]</x:v>
      </x:c>
      <x:c r="AE808" s="8" t="str">
        <x:v>검토 필요</x:v>
      </x:c>
      <x:c r="AF808" s="8" t="str"/>
    </x:row>
    <x:row r="809">
      <x:c r="A809" s="10" t="n">
        <x:v>808</x:v>
      </x:c>
      <x:c r="B809" s="2" t="str">
        <x:v>2차 보류</x:v>
      </x:c>
      <x:c r="C809" s="2" t="str">
        <x:v>2차 보류</x:v>
      </x:c>
      <x:c r="D809" s="2" t="str">
        <x:v>낮음</x:v>
      </x:c>
      <x:c r="E809" s="2" t="str">
        <x:v>N2</x:v>
      </x:c>
      <x:c r="F809" s="10" t="n">
        <x:v>278</x:v>
      </x:c>
      <x:c r="G809" s="2" t="str">
        <x:v>w_863ee6ef1cf05126</x:v>
      </x:c>
      <x:c r="H809" s="2" t="str">
        <x:v>採る</x:v>
      </x:c>
      <x:c r="I809" s="2" t="str">
        <x:v>とる</x:v>
      </x:c>
      <x:c r="J809" s="8" t="str">
        <x:v>채택하다; (열매를) 따다</x:v>
      </x:c>
      <x:c r="K809" s="2" t="str">
        <x:v>verb</x:v>
      </x:c>
      <x:c r="L809" s="9" t="n">
        <x:v>3.12</x:v>
      </x:c>
      <x:c r="M809" s="2" t="str">
        <x:v>없음</x:v>
      </x:c>
      <x:c r="N809" s="11" t="n">
        <x:v>2</x:v>
      </x:c>
      <x:c r="O809" s="8" t="str">
        <x:v>일반 사용 빈도 보통 이하(Zipf ≤ 3.5); 기존 한국어 뜻 품질 감사 대상; 검증된 예문 없음; 기존 데이터의 한국어 콘텐츠 보강 필요 태그</x:v>
      </x:c>
      <x:c r="P809" s="8" t="str">
        <x:v>frequency_le_3_5,legacy_gloss_audit:senses_5_6,no_example,weak_legacy_content</x:v>
      </x:c>
      <x:c r="Q809" s="2" t="str"/>
      <x:c r="R809" s="2" t="str"/>
      <x:c r="S809" s="2" t="str"/>
      <x:c r="T809" s="2" t="str"/>
      <x:c r="U809" s="2" t="str"/>
      <x:c r="V809" s="2" t="str">
        <x:v>아니오</x:v>
      </x:c>
      <x:c r="W809" s="2" t="str">
        <x:v>예</x:v>
      </x:c>
      <x:c r="X809" s="2" t="str">
        <x:v>ichi1,news2,nf37</x:v>
      </x:c>
      <x:c r="Y809" s="2" t="n">
        <x:v>100</x:v>
      </x:c>
      <x:c r="Z809" s="2" t="str">
        <x:v>ichi1,news2,nf37</x:v>
      </x:c>
      <x:c r="AA809" s="2" t="n">
        <x:v>100</x:v>
      </x:c>
      <x:c r="AB809" s="8" t="str"/>
      <x:c r="AC809" s="8" t="str">
        <x:v>senses_5_6</x:v>
      </x:c>
      <x:c r="AD809" s="8" t="str">
        <x:v>["draft-ko-missing"]</x:v>
      </x:c>
      <x:c r="AE809" s="8" t="str">
        <x:v>검토 필요</x:v>
      </x:c>
      <x:c r="AF809" s="8" t="str"/>
    </x:row>
    <x:row r="810">
      <x:c r="A810" s="10" t="n">
        <x:v>809</x:v>
      </x:c>
      <x:c r="B810" s="2" t="str">
        <x:v>2차 보류</x:v>
      </x:c>
      <x:c r="C810" s="2" t="str">
        <x:v>2차 보류</x:v>
      </x:c>
      <x:c r="D810" s="2" t="str">
        <x:v>낮음</x:v>
      </x:c>
      <x:c r="E810" s="2" t="str">
        <x:v>N1</x:v>
      </x:c>
      <x:c r="F810" s="10" t="n">
        <x:v>346</x:v>
      </x:c>
      <x:c r="G810" s="2" t="str">
        <x:v>w_0dd587a4b8e102a2</x:v>
      </x:c>
      <x:c r="H810" s="2" t="str">
        <x:v>切れ目</x:v>
      </x:c>
      <x:c r="I810" s="2" t="str">
        <x:v>きれめ</x:v>
      </x:c>
      <x:c r="J810" s="8" t="str">
        <x:v>끊긴 곳, 짬, 단락</x:v>
      </x:c>
      <x:c r="K810" s="2" t="str">
        <x:v>noun</x:v>
      </x:c>
      <x:c r="L810" s="9" t="n">
        <x:v>3.12</x:v>
      </x:c>
      <x:c r="M810" s="2" t="str">
        <x:v>없음</x:v>
      </x:c>
      <x:c r="N810" s="11" t="n">
        <x:v>2</x:v>
      </x:c>
      <x:c r="O810" s="8" t="str">
        <x:v>일반 사용 빈도 보통 이하(Zipf ≤ 3.5); 기존 한국어 뜻 품질 감사 대상; 검증된 예문 없음; 기존 데이터의 한국어 콘텐츠 보강 필요 태그</x:v>
      </x:c>
      <x:c r="P810" s="8" t="str">
        <x:v>frequency_le_3_5,legacy_gloss_audit:senses_5_6,no_example,weak_legacy_content</x:v>
      </x:c>
      <x:c r="Q810" s="2" t="str"/>
      <x:c r="R810" s="2" t="str"/>
      <x:c r="S810" s="2" t="str"/>
      <x:c r="T810" s="2" t="str"/>
      <x:c r="U810" s="2" t="str"/>
      <x:c r="V810" s="2" t="str">
        <x:v>아니오</x:v>
      </x:c>
      <x:c r="W810" s="2" t="str">
        <x:v>예</x:v>
      </x:c>
      <x:c r="X810" s="2" t="str">
        <x:v>news1,nf19</x:v>
      </x:c>
      <x:c r="Y810" s="2" t="n">
        <x:v>100</x:v>
      </x:c>
      <x:c r="Z810" s="2" t="str">
        <x:v>news1,nf19</x:v>
      </x:c>
      <x:c r="AA810" s="2" t="n">
        <x:v>100</x:v>
      </x:c>
      <x:c r="AB810" s="8" t="str"/>
      <x:c r="AC810" s="8" t="str">
        <x:v>senses_5_6</x:v>
      </x:c>
      <x:c r="AD810" s="8" t="str">
        <x:v>["draft-ko-missing"]</x:v>
      </x:c>
      <x:c r="AE810" s="8" t="str">
        <x:v>검토 필요</x:v>
      </x:c>
      <x:c r="AF810" s="8" t="str"/>
    </x:row>
    <x:row r="811">
      <x:c r="A811" s="10" t="n">
        <x:v>810</x:v>
      </x:c>
      <x:c r="B811" s="2" t="str">
        <x:v>2차 보류</x:v>
      </x:c>
      <x:c r="C811" s="2" t="str">
        <x:v>2차 보류</x:v>
      </x:c>
      <x:c r="D811" s="2" t="str">
        <x:v>낮음</x:v>
      </x:c>
      <x:c r="E811" s="2" t="str">
        <x:v>N2</x:v>
      </x:c>
      <x:c r="F811" s="10" t="n">
        <x:v>279</x:v>
      </x:c>
      <x:c r="G811" s="2" t="str">
        <x:v>w_1340936be90e14b2</x:v>
      </x:c>
      <x:c r="H811" s="2" t="str">
        <x:v>逃がす</x:v>
      </x:c>
      <x:c r="I811" s="2" t="str">
        <x:v>にがす</x:v>
      </x:c>
      <x:c r="J811" s="8" t="str">
        <x:v>놓아주다, 놓치다</x:v>
      </x:c>
      <x:c r="K811" s="2" t="str">
        <x:v>verb</x:v>
      </x:c>
      <x:c r="L811" s="9" t="n">
        <x:v>3.15</x:v>
      </x:c>
      <x:c r="M811" s="2" t="str">
        <x:v>없음</x:v>
      </x:c>
      <x:c r="N811" s="11" t="n">
        <x:v>2</x:v>
      </x:c>
      <x:c r="O811" s="8" t="str">
        <x:v>일반 사용 빈도 보통 이하(Zipf ≤ 3.5); 기존 한국어 뜻 품질 감사 대상; 검증된 예문 없음; 기존 데이터의 한국어 콘텐츠 보강 필요 태그</x:v>
      </x:c>
      <x:c r="P811" s="8" t="str">
        <x:v>frequency_le_3_5,legacy_gloss_audit:senses_5_6,no_example,weak_legacy_content</x:v>
      </x:c>
      <x:c r="Q811" s="2" t="str"/>
      <x:c r="R811" s="2" t="str"/>
      <x:c r="S811" s="2" t="str"/>
      <x:c r="T811" s="2" t="str"/>
      <x:c r="U811" s="2" t="str"/>
      <x:c r="V811" s="2" t="str">
        <x:v>아니오</x:v>
      </x:c>
      <x:c r="W811" s="2" t="str">
        <x:v>예</x:v>
      </x:c>
      <x:c r="X811" s="2" t="str">
        <x:v>ichi1,news2,nf33</x:v>
      </x:c>
      <x:c r="Y811" s="2" t="n">
        <x:v>100</x:v>
      </x:c>
      <x:c r="Z811" s="2" t="str">
        <x:v>ichi1,news2,nf33</x:v>
      </x:c>
      <x:c r="AA811" s="2" t="n">
        <x:v>100</x:v>
      </x:c>
      <x:c r="AB811" s="8" t="str"/>
      <x:c r="AC811" s="8" t="str">
        <x:v>senses_5_6</x:v>
      </x:c>
      <x:c r="AD811" s="8" t="str">
        <x:v>["draft-ko-missing"]</x:v>
      </x:c>
      <x:c r="AE811" s="8" t="str">
        <x:v>검토 필요</x:v>
      </x:c>
      <x:c r="AF811" s="8" t="str"/>
    </x:row>
    <x:row r="812">
      <x:c r="A812" s="10" t="n">
        <x:v>811</x:v>
      </x:c>
      <x:c r="B812" s="2" t="str">
        <x:v>2차 보류</x:v>
      </x:c>
      <x:c r="C812" s="2" t="str">
        <x:v>2차 보류</x:v>
      </x:c>
      <x:c r="D812" s="2" t="str">
        <x:v>낮음</x:v>
      </x:c>
      <x:c r="E812" s="2" t="str">
        <x:v>N2</x:v>
      </x:c>
      <x:c r="F812" s="10" t="n">
        <x:v>280</x:v>
      </x:c>
      <x:c r="G812" s="2" t="str">
        <x:v>w_98a30bc24aee4f5b</x:v>
      </x:c>
      <x:c r="H812" s="2" t="str">
        <x:v>乾電池</x:v>
      </x:c>
      <x:c r="I812" s="2" t="str">
        <x:v>かんでんち</x:v>
      </x:c>
      <x:c r="J812" s="8" t="str">
        <x:v>건전지</x:v>
      </x:c>
      <x:c r="K812" s="2" t="str">
        <x:v>noun</x:v>
      </x:c>
      <x:c r="L812" s="9" t="n">
        <x:v>3.16</x:v>
      </x:c>
      <x:c r="M812" s="2" t="str">
        <x:v>없음</x:v>
      </x:c>
      <x:c r="N812" s="11" t="n">
        <x:v>2</x:v>
      </x:c>
      <x:c r="O812" s="8" t="str">
        <x:v>일반 사용 빈도 보통 이하(Zipf ≤ 3.5); 기존 한국어 뜻 품질 감사 대상; 검증된 예문 없음; 기존 데이터의 한국어 콘텐츠 보강 필요 태그</x:v>
      </x:c>
      <x:c r="P812" s="8" t="str">
        <x:v>frequency_le_3_5,legacy_gloss_audit:senses_5_6,no_example,weak_legacy_content</x:v>
      </x:c>
      <x:c r="Q812" s="2" t="str"/>
      <x:c r="R812" s="2" t="str"/>
      <x:c r="S812" s="2" t="str"/>
      <x:c r="T812" s="2" t="str"/>
      <x:c r="U812" s="2" t="str"/>
      <x:c r="V812" s="2" t="str">
        <x:v>아니오</x:v>
      </x:c>
      <x:c r="W812" s="2" t="str">
        <x:v>예</x:v>
      </x:c>
      <x:c r="X812" s="2" t="str">
        <x:v>ichi1,news1,nf17</x:v>
      </x:c>
      <x:c r="Y812" s="2" t="n">
        <x:v>100</x:v>
      </x:c>
      <x:c r="Z812" s="2" t="str">
        <x:v>ichi1,news1,nf17</x:v>
      </x:c>
      <x:c r="AA812" s="2" t="n">
        <x:v>100</x:v>
      </x:c>
      <x:c r="AB812" s="8" t="str"/>
      <x:c r="AC812" s="8" t="str">
        <x:v>senses_5_6</x:v>
      </x:c>
      <x:c r="AD812" s="8" t="str">
        <x:v>["draft-ko-missing"]</x:v>
      </x:c>
      <x:c r="AE812" s="8" t="str">
        <x:v>검토 필요</x:v>
      </x:c>
      <x:c r="AF812" s="8" t="str"/>
    </x:row>
    <x:row r="813">
      <x:c r="A813" s="10" t="n">
        <x:v>812</x:v>
      </x:c>
      <x:c r="B813" s="2" t="str">
        <x:v>2차 보류</x:v>
      </x:c>
      <x:c r="C813" s="2" t="str">
        <x:v>2차 보류</x:v>
      </x:c>
      <x:c r="D813" s="2" t="str">
        <x:v>낮음</x:v>
      </x:c>
      <x:c r="E813" s="2" t="str">
        <x:v>N1</x:v>
      </x:c>
      <x:c r="F813" s="10" t="n">
        <x:v>347</x:v>
      </x:c>
      <x:c r="G813" s="2" t="str">
        <x:v>w_626544665cf3723b</x:v>
      </x:c>
      <x:c r="H813" s="2" t="str">
        <x:v>自首</x:v>
      </x:c>
      <x:c r="I813" s="2" t="str">
        <x:v>じしゅ</x:v>
      </x:c>
      <x:c r="J813" s="8" t="str">
        <x:v>자수</x:v>
      </x:c>
      <x:c r="K813" s="2" t="str">
        <x:v>noun</x:v>
      </x:c>
      <x:c r="L813" s="9" t="n">
        <x:v>3.17</x:v>
      </x:c>
      <x:c r="M813" s="2" t="str">
        <x:v>없음</x:v>
      </x:c>
      <x:c r="N813" s="11" t="n">
        <x:v>2</x:v>
      </x:c>
      <x:c r="O813" s="8" t="str">
        <x:v>일반 사용 빈도 보통 이하(Zipf ≤ 3.5); 기존 한국어 뜻 품질 감사 대상; 검증된 예문 없음; 기존 데이터의 한국어 콘텐츠 보강 필요 태그</x:v>
      </x:c>
      <x:c r="P813" s="8" t="str">
        <x:v>frequency_le_3_5,legacy_gloss_audit:mt_noise_token,no_example,weak_legacy_content</x:v>
      </x:c>
      <x:c r="Q813" s="2" t="str"/>
      <x:c r="R813" s="2" t="str"/>
      <x:c r="S813" s="2" t="str"/>
      <x:c r="T813" s="2" t="str"/>
      <x:c r="U813" s="2" t="str"/>
      <x:c r="V813" s="2" t="str">
        <x:v>아니오</x:v>
      </x:c>
      <x:c r="W813" s="2" t="str">
        <x:v>예</x:v>
      </x:c>
      <x:c r="X813" s="2" t="str">
        <x:v>ichi1,news2,nf26</x:v>
      </x:c>
      <x:c r="Y813" s="2" t="n">
        <x:v>100</x:v>
      </x:c>
      <x:c r="Z813" s="2" t="str">
        <x:v>ichi1,news2,nf26</x:v>
      </x:c>
      <x:c r="AA813" s="2" t="n">
        <x:v>100</x:v>
      </x:c>
      <x:c r="AB813" s="8" t="str"/>
      <x:c r="AC813" s="8" t="str">
        <x:v>mt_noise_token</x:v>
      </x:c>
      <x:c r="AD813" s="8" t="str">
        <x:v>["draft-ko-missing"]</x:v>
      </x:c>
      <x:c r="AE813" s="8" t="str">
        <x:v>검토 필요</x:v>
      </x:c>
      <x:c r="AF813" s="8" t="str"/>
    </x:row>
    <x:row r="814">
      <x:c r="A814" s="10" t="n">
        <x:v>813</x:v>
      </x:c>
      <x:c r="B814" s="2" t="str">
        <x:v>2차 보류</x:v>
      </x:c>
      <x:c r="C814" s="2" t="str">
        <x:v>2차 보류</x:v>
      </x:c>
      <x:c r="D814" s="2" t="str">
        <x:v>낮음</x:v>
      </x:c>
      <x:c r="E814" s="2" t="str">
        <x:v>N2</x:v>
      </x:c>
      <x:c r="F814" s="10" t="n">
        <x:v>281</x:v>
      </x:c>
      <x:c r="G814" s="2" t="str">
        <x:v>w_f619074e36479304</x:v>
      </x:c>
      <x:c r="H814" s="2" t="str">
        <x:v>御覧</x:v>
      </x:c>
      <x:c r="I814" s="2" t="str">
        <x:v>ごらん</x:v>
      </x:c>
      <x:c r="J814" s="8" t="str">
        <x:v>보심(존경어)</x:v>
      </x:c>
      <x:c r="K814" s="2" t="str">
        <x:v>interjection</x:v>
      </x:c>
      <x:c r="L814" s="9" t="n">
        <x:v>3.22</x:v>
      </x:c>
      <x:c r="M814" s="2" t="str">
        <x:v>없음</x:v>
      </x:c>
      <x:c r="N814" s="11" t="n">
        <x:v>2</x:v>
      </x:c>
      <x:c r="O814" s="8" t="str">
        <x:v>일반 사용 빈도 보통 이하(Zipf ≤ 3.5); 기존 한국어 뜻 품질 감사 대상; 검증된 예문 없음; 기존 데이터의 한국어 콘텐츠 보강 필요 태그</x:v>
      </x:c>
      <x:c r="P814" s="8" t="str">
        <x:v>frequency_le_3_5,legacy_gloss_audit:senses_5_6,no_example,weak_legacy_content</x:v>
      </x:c>
      <x:c r="Q814" s="2" t="str"/>
      <x:c r="R814" s="2" t="str"/>
      <x:c r="S814" s="2" t="str"/>
      <x:c r="T814" s="2" t="str"/>
      <x:c r="U814" s="2" t="str"/>
      <x:c r="V814" s="2" t="str">
        <x:v>아니오</x:v>
      </x:c>
      <x:c r="W814" s="2" t="str">
        <x:v>예</x:v>
      </x:c>
      <x:c r="X814" s="2" t="str">
        <x:v>news2,nf28,spec1</x:v>
      </x:c>
      <x:c r="Y814" s="2" t="n">
        <x:v>100</x:v>
      </x:c>
      <x:c r="Z814" s="2" t="str"/>
      <x:c r="AA814" s="2" t="n">
        <x:v>0</x:v>
      </x:c>
      <x:c r="AB814" s="8" t="str">
        <x:v>abbreviation | after the -te form of a verb | honorific or respectful (sonkeigo) language | word usually written using kana alone</x:v>
      </x:c>
      <x:c r="AC814" s="8" t="str">
        <x:v>senses_5_6</x:v>
      </x:c>
      <x:c r="AD814" s="8" t="str">
        <x:v>["draft-ko-missing"]</x:v>
      </x:c>
      <x:c r="AE814" s="8" t="str">
        <x:v>검토 필요</x:v>
      </x:c>
      <x:c r="AF814" s="8" t="str"/>
    </x:row>
    <x:row r="815">
      <x:c r="A815" s="10" t="n">
        <x:v>814</x:v>
      </x:c>
      <x:c r="B815" s="2" t="str">
        <x:v>2차 보류</x:v>
      </x:c>
      <x:c r="C815" s="2" t="str">
        <x:v>2차 보류</x:v>
      </x:c>
      <x:c r="D815" s="2" t="str">
        <x:v>낮음</x:v>
      </x:c>
      <x:c r="E815" s="2" t="str">
        <x:v>N1</x:v>
      </x:c>
      <x:c r="F815" s="10" t="n">
        <x:v>348</x:v>
      </x:c>
      <x:c r="G815" s="2" t="str">
        <x:v>w_1c68b9052519d4ce</x:v>
      </x:c>
      <x:c r="H815" s="2" t="str">
        <x:v>出直し</x:v>
      </x:c>
      <x:c r="I815" s="2" t="str">
        <x:v>でなおし</x:v>
      </x:c>
      <x:c r="J815" s="8" t="str">
        <x:v>다시 시작함, 재출발</x:v>
      </x:c>
      <x:c r="K815" s="2" t="str">
        <x:v>noun</x:v>
      </x:c>
      <x:c r="L815" s="9" t="n">
        <x:v>3.25</x:v>
      </x:c>
      <x:c r="M815" s="2" t="str">
        <x:v>없음</x:v>
      </x:c>
      <x:c r="N815" s="11" t="n">
        <x:v>2</x:v>
      </x:c>
      <x:c r="O815" s="8" t="str">
        <x:v>일반 사용 빈도 보통 이하(Zipf ≤ 3.5); 기존 한국어 뜻 품질 감사 대상; 검증된 예문 없음; 기존 데이터의 한국어 콘텐츠 보강 필요 태그</x:v>
      </x:c>
      <x:c r="P815" s="8" t="str">
        <x:v>frequency_le_3_5,legacy_gloss_audit:mt_noise_token,no_example,weak_legacy_content</x:v>
      </x:c>
      <x:c r="Q815" s="2" t="str"/>
      <x:c r="R815" s="2" t="str"/>
      <x:c r="S815" s="2" t="str"/>
      <x:c r="T815" s="2" t="str"/>
      <x:c r="U815" s="2" t="str"/>
      <x:c r="V815" s="2" t="str">
        <x:v>아니오</x:v>
      </x:c>
      <x:c r="W815" s="2" t="str">
        <x:v>예</x:v>
      </x:c>
      <x:c r="X815" s="2" t="str">
        <x:v>news1,nf13</x:v>
      </x:c>
      <x:c r="Y815" s="2" t="n">
        <x:v>100</x:v>
      </x:c>
      <x:c r="Z815" s="2" t="str">
        <x:v>news1,nf13</x:v>
      </x:c>
      <x:c r="AA815" s="2" t="n">
        <x:v>100</x:v>
      </x:c>
      <x:c r="AB815" s="8" t="str"/>
      <x:c r="AC815" s="8" t="str">
        <x:v>mt_noise_token</x:v>
      </x:c>
      <x:c r="AD815" s="8" t="str">
        <x:v>["draft-ko-missing"]</x:v>
      </x:c>
      <x:c r="AE815" s="8" t="str">
        <x:v>검토 필요</x:v>
      </x:c>
      <x:c r="AF815" s="8" t="str"/>
    </x:row>
    <x:row r="816">
      <x:c r="A816" s="10" t="n">
        <x:v>815</x:v>
      </x:c>
      <x:c r="B816" s="2" t="str">
        <x:v>2차 보류</x:v>
      </x:c>
      <x:c r="C816" s="2" t="str">
        <x:v>2차 보류</x:v>
      </x:c>
      <x:c r="D816" s="2" t="str">
        <x:v>낮음</x:v>
      </x:c>
      <x:c r="E816" s="2" t="str">
        <x:v>N3</x:v>
      </x:c>
      <x:c r="F816" s="10" t="n">
        <x:v>104</x:v>
      </x:c>
      <x:c r="G816" s="2" t="str">
        <x:v>w_d1c5867c499e5ff4</x:v>
      </x:c>
      <x:c r="H816" s="2" t="str">
        <x:v>持ち上げる</x:v>
      </x:c>
      <x:c r="I816" s="2" t="str">
        <x:v>もちあげる</x:v>
      </x:c>
      <x:c r="J816" s="8" t="str">
        <x:v>들어 올리다; 치켜세우다</x:v>
      </x:c>
      <x:c r="K816" s="2" t="str">
        <x:v>verb</x:v>
      </x:c>
      <x:c r="L816" s="9" t="n">
        <x:v>3.33</x:v>
      </x:c>
      <x:c r="M816" s="2" t="str">
        <x:v>없음</x:v>
      </x:c>
      <x:c r="N816" s="11" t="n">
        <x:v>2</x:v>
      </x:c>
      <x:c r="O816" s="8" t="str">
        <x:v>일반 사용 빈도 보통 이하(Zipf ≤ 3.5); 기존 한국어 뜻 품질 감사 대상; 검증된 예문 없음; 기존 데이터의 한국어 콘텐츠 보강 필요 태그</x:v>
      </x:c>
      <x:c r="P816" s="8" t="str">
        <x:v>frequency_le_3_5,legacy_gloss_audit:mt_noise_token,no_example,weak_legacy_content</x:v>
      </x:c>
      <x:c r="Q816" s="2" t="str"/>
      <x:c r="R816" s="2" t="str"/>
      <x:c r="S816" s="2" t="str"/>
      <x:c r="T816" s="2" t="str"/>
      <x:c r="U816" s="2" t="str"/>
      <x:c r="V816" s="2" t="str">
        <x:v>아니오</x:v>
      </x:c>
      <x:c r="W816" s="2" t="str">
        <x:v>예</x:v>
      </x:c>
      <x:c r="X816" s="2" t="str">
        <x:v>news2,nf30,spec1</x:v>
      </x:c>
      <x:c r="Y816" s="2" t="n">
        <x:v>100</x:v>
      </x:c>
      <x:c r="Z816" s="2" t="str">
        <x:v>news2,nf30,spec1</x:v>
      </x:c>
      <x:c r="AA816" s="2" t="n">
        <x:v>100</x:v>
      </x:c>
      <x:c r="AB816" s="8" t="str"/>
      <x:c r="AC816" s="8" t="str">
        <x:v>mt_noise_token</x:v>
      </x:c>
      <x:c r="AD816" s="8" t="str">
        <x:v>["draft-ko-missing"]</x:v>
      </x:c>
      <x:c r="AE816" s="8" t="str">
        <x:v>검토 필요</x:v>
      </x:c>
      <x:c r="AF816" s="8" t="str"/>
    </x:row>
    <x:row r="817">
      <x:c r="A817" s="10" t="n">
        <x:v>816</x:v>
      </x:c>
      <x:c r="B817" s="2" t="str">
        <x:v>2차 보류</x:v>
      </x:c>
      <x:c r="C817" s="2" t="str">
        <x:v>2차 보류</x:v>
      </x:c>
      <x:c r="D817" s="2" t="str">
        <x:v>낮음</x:v>
      </x:c>
      <x:c r="E817" s="2" t="str">
        <x:v>N2</x:v>
      </x:c>
      <x:c r="F817" s="10" t="n">
        <x:v>282</x:v>
      </x:c>
      <x:c r="G817" s="2" t="str">
        <x:v>w_449e41c672fbe255</x:v>
      </x:c>
      <x:c r="H817" s="2" t="str">
        <x:v>筆記</x:v>
      </x:c>
      <x:c r="I817" s="2" t="str">
        <x:v>ひっき</x:v>
      </x:c>
      <x:c r="J817" s="8" t="str">
        <x:v>필기</x:v>
      </x:c>
      <x:c r="K817" s="2" t="str">
        <x:v>noun</x:v>
      </x:c>
      <x:c r="L817" s="9" t="n">
        <x:v>3.37</x:v>
      </x:c>
      <x:c r="M817" s="2" t="str">
        <x:v>없음</x:v>
      </x:c>
      <x:c r="N817" s="11" t="n">
        <x:v>2</x:v>
      </x:c>
      <x:c r="O817" s="8" t="str">
        <x:v>일반 사용 빈도 보통 이하(Zipf ≤ 3.5); 기존 한국어 뜻 품질 감사 대상; 검증된 예문 없음; 기존 데이터의 한국어 콘텐츠 보강 필요 태그</x:v>
      </x:c>
      <x:c r="P817" s="8" t="str">
        <x:v>frequency_le_3_5,legacy_gloss_audit:mt_noise_token,no_example,weak_legacy_content</x:v>
      </x:c>
      <x:c r="Q817" s="2" t="str"/>
      <x:c r="R817" s="2" t="str"/>
      <x:c r="S817" s="2" t="str"/>
      <x:c r="T817" s="2" t="str"/>
      <x:c r="U817" s="2" t="str"/>
      <x:c r="V817" s="2" t="str">
        <x:v>아니오</x:v>
      </x:c>
      <x:c r="W817" s="2" t="str">
        <x:v>예</x:v>
      </x:c>
      <x:c r="X817" s="2" t="str">
        <x:v>ichi1,news1,nf18</x:v>
      </x:c>
      <x:c r="Y817" s="2" t="n">
        <x:v>100</x:v>
      </x:c>
      <x:c r="Z817" s="2" t="str">
        <x:v>ichi1,news1,nf18</x:v>
      </x:c>
      <x:c r="AA817" s="2" t="n">
        <x:v>100</x:v>
      </x:c>
      <x:c r="AB817" s="8" t="str"/>
      <x:c r="AC817" s="8" t="str">
        <x:v>mt_noise_token</x:v>
      </x:c>
      <x:c r="AD817" s="8" t="str">
        <x:v>["draft-ko-missing"]</x:v>
      </x:c>
      <x:c r="AE817" s="8" t="str">
        <x:v>검토 필요</x:v>
      </x:c>
      <x:c r="AF817" s="8" t="str"/>
    </x:row>
    <x:row r="818">
      <x:c r="A818" s="10" t="n">
        <x:v>817</x:v>
      </x:c>
      <x:c r="B818" s="2" t="str">
        <x:v>2차 보류</x:v>
      </x:c>
      <x:c r="C818" s="2" t="str">
        <x:v>2차 보류</x:v>
      </x:c>
      <x:c r="D818" s="2" t="str">
        <x:v>낮음</x:v>
      </x:c>
      <x:c r="E818" s="2" t="str">
        <x:v>N1</x:v>
      </x:c>
      <x:c r="F818" s="10" t="n">
        <x:v>349</x:v>
      </x:c>
      <x:c r="G818" s="2" t="str">
        <x:v>w_73be56cf8562b4e2</x:v>
      </x:c>
      <x:c r="H818" s="2" t="str">
        <x:v>体裁</x:v>
      </x:c>
      <x:c r="I818" s="2" t="str">
        <x:v>ていさい</x:v>
      </x:c>
      <x:c r="J818" s="8" t="str">
        <x:v>체재, 겉모양, 체면</x:v>
      </x:c>
      <x:c r="K818" s="2" t="str">
        <x:v>noun</x:v>
      </x:c>
      <x:c r="L818" s="9" t="n">
        <x:v>3.38</x:v>
      </x:c>
      <x:c r="M818" s="2" t="str">
        <x:v>없음</x:v>
      </x:c>
      <x:c r="N818" s="11" t="n">
        <x:v>2</x:v>
      </x:c>
      <x:c r="O818" s="8" t="str">
        <x:v>일반 사용 빈도 보통 이하(Zipf ≤ 3.5); 기존 한국어 뜻 품질 감사 대상; 검증된 예문 없음; 기존 데이터의 한국어 콘텐츠 보강 필요 태그</x:v>
      </x:c>
      <x:c r="P818" s="8" t="str">
        <x:v>frequency_le_3_5,legacy_gloss_audit:senses_5_6,no_example,weak_legacy_content</x:v>
      </x:c>
      <x:c r="Q818" s="2" t="str"/>
      <x:c r="R818" s="2" t="str"/>
      <x:c r="S818" s="2" t="str"/>
      <x:c r="T818" s="2" t="str"/>
      <x:c r="U818" s="2" t="str"/>
      <x:c r="V818" s="2" t="str">
        <x:v>아니오</x:v>
      </x:c>
      <x:c r="W818" s="2" t="str">
        <x:v>예</x:v>
      </x:c>
      <x:c r="X818" s="2" t="str">
        <x:v>ichi1,news1,nf21</x:v>
      </x:c>
      <x:c r="Y818" s="2" t="n">
        <x:v>100</x:v>
      </x:c>
      <x:c r="Z818" s="2" t="str">
        <x:v>ichi1,news1,nf21</x:v>
      </x:c>
      <x:c r="AA818" s="2" t="n">
        <x:v>100</x:v>
      </x:c>
      <x:c r="AB818" s="8" t="str"/>
      <x:c r="AC818" s="8" t="str">
        <x:v>senses_5_6</x:v>
      </x:c>
      <x:c r="AD818" s="8" t="str">
        <x:v>["draft-ko-missing"]</x:v>
      </x:c>
      <x:c r="AE818" s="8" t="str">
        <x:v>검토 필요</x:v>
      </x:c>
      <x:c r="AF818" s="8" t="str"/>
    </x:row>
    <x:row r="819">
      <x:c r="A819" s="10" t="n">
        <x:v>818</x:v>
      </x:c>
      <x:c r="B819" s="2" t="str">
        <x:v>2차 보류</x:v>
      </x:c>
      <x:c r="C819" s="2" t="str">
        <x:v>2차 보류</x:v>
      </x:c>
      <x:c r="D819" s="2" t="str">
        <x:v>낮음</x:v>
      </x:c>
      <x:c r="E819" s="2" t="str">
        <x:v>N2</x:v>
      </x:c>
      <x:c r="F819" s="10" t="n">
        <x:v>283</x:v>
      </x:c>
      <x:c r="G819" s="2" t="str">
        <x:v>w_79c722fa85d82de1</x:v>
      </x:c>
      <x:c r="H819" s="2" t="str">
        <x:v>月日</x:v>
      </x:c>
      <x:c r="I819" s="2" t="str">
        <x:v>つきひ</x:v>
      </x:c>
      <x:c r="J819" s="8" t="str">
        <x:v>세월, 날짜</x:v>
      </x:c>
      <x:c r="K819" s="2" t="str">
        <x:v>noun</x:v>
      </x:c>
      <x:c r="L819" s="9" t="n">
        <x:v>3.39</x:v>
      </x:c>
      <x:c r="M819" s="2" t="str">
        <x:v>없음</x:v>
      </x:c>
      <x:c r="N819" s="11" t="n">
        <x:v>2</x:v>
      </x:c>
      <x:c r="O819" s="8" t="str">
        <x:v>일반 사용 빈도 보통 이하(Zipf ≤ 3.5); 기존 한국어 뜻 품질 감사 대상; 검증된 예문 없음; 기존 데이터의 한국어 콘텐츠 보강 필요 태그</x:v>
      </x:c>
      <x:c r="P819" s="8" t="str">
        <x:v>frequency_le_3_5,legacy_gloss_audit:senses_5_6,no_example,weak_legacy_content</x:v>
      </x:c>
      <x:c r="Q819" s="2" t="str"/>
      <x:c r="R819" s="2" t="str"/>
      <x:c r="S819" s="2" t="str"/>
      <x:c r="T819" s="2" t="str"/>
      <x:c r="U819" s="2" t="str"/>
      <x:c r="V819" s="2" t="str">
        <x:v>아니오</x:v>
      </x:c>
      <x:c r="W819" s="2" t="str">
        <x:v>예</x:v>
      </x:c>
      <x:c r="X819" s="2" t="str">
        <x:v>ichi1,news2,nf25</x:v>
      </x:c>
      <x:c r="Y819" s="2" t="n">
        <x:v>100</x:v>
      </x:c>
      <x:c r="Z819" s="2" t="str">
        <x:v>ichi1,news2,nf25</x:v>
      </x:c>
      <x:c r="AA819" s="2" t="n">
        <x:v>100</x:v>
      </x:c>
      <x:c r="AB819" s="8" t="str"/>
      <x:c r="AC819" s="8" t="str">
        <x:v>senses_5_6</x:v>
      </x:c>
      <x:c r="AD819" s="8" t="str">
        <x:v>["draft-ko-missing"]</x:v>
      </x:c>
      <x:c r="AE819" s="8" t="str">
        <x:v>검토 필요</x:v>
      </x:c>
      <x:c r="AF819" s="8" t="str"/>
    </x:row>
    <x:row r="820">
      <x:c r="A820" s="10" t="n">
        <x:v>819</x:v>
      </x:c>
      <x:c r="B820" s="2" t="str">
        <x:v>2차 보류</x:v>
      </x:c>
      <x:c r="C820" s="2" t="str">
        <x:v>2차 보류</x:v>
      </x:c>
      <x:c r="D820" s="2" t="str">
        <x:v>낮음</x:v>
      </x:c>
      <x:c r="E820" s="2" t="str">
        <x:v>N1</x:v>
      </x:c>
      <x:c r="F820" s="10" t="n">
        <x:v>350</x:v>
      </x:c>
      <x:c r="G820" s="2" t="str">
        <x:v>w_6b0ec202d642a276</x:v>
      </x:c>
      <x:c r="H820" s="2" t="str">
        <x:v>無茶苦茶</x:v>
      </x:c>
      <x:c r="I820" s="2" t="str">
        <x:v>むちゃくちゃ</x:v>
      </x:c>
      <x:c r="J820" s="8" t="str">
        <x:v>엉망진창, 터무니없음</x:v>
      </x:c>
      <x:c r="K820" s="2" t="str">
        <x:v>adjective</x:v>
      </x:c>
      <x:c r="L820" s="9" t="n">
        <x:v>3.4</x:v>
      </x:c>
      <x:c r="M820" s="2" t="str">
        <x:v>없음</x:v>
      </x:c>
      <x:c r="N820" s="11" t="n">
        <x:v>2</x:v>
      </x:c>
      <x:c r="O820" s="8" t="str">
        <x:v>일반 사용 빈도 보통 이하(Zipf ≤ 3.5); 기존 한국어 뜻 품질 감사 대상; 검증된 예문 없음; 기존 데이터의 한국어 콘텐츠 보강 필요 태그</x:v>
      </x:c>
      <x:c r="P820" s="8" t="str">
        <x:v>frequency_le_3_5,legacy_gloss_audit:mt_noise_token,no_example,weak_legacy_content</x:v>
      </x:c>
      <x:c r="Q820" s="2" t="str"/>
      <x:c r="R820" s="2" t="str"/>
      <x:c r="S820" s="2" t="str"/>
      <x:c r="T820" s="2" t="str"/>
      <x:c r="U820" s="2" t="str"/>
      <x:c r="V820" s="2" t="str">
        <x:v>아니오</x:v>
      </x:c>
      <x:c r="W820" s="2" t="str">
        <x:v>예</x:v>
      </x:c>
      <x:c r="X820" s="2" t="str">
        <x:v>ichi1</x:v>
      </x:c>
      <x:c r="Y820" s="2" t="n">
        <x:v>100</x:v>
      </x:c>
      <x:c r="Z820" s="2" t="str">
        <x:v>ichi1</x:v>
      </x:c>
      <x:c r="AA820" s="2" t="n">
        <x:v>100</x:v>
      </x:c>
      <x:c r="AB820" s="8" t="str">
        <x:v>ateji (phonetic) reading | colloquial | word usually written using kana alone | yojijukugo</x:v>
      </x:c>
      <x:c r="AC820" s="8" t="str">
        <x:v>mt_noise_token</x:v>
      </x:c>
      <x:c r="AD820" s="8" t="str">
        <x:v>["draft-ko-missing"]</x:v>
      </x:c>
      <x:c r="AE820" s="8" t="str">
        <x:v>검토 필요</x:v>
      </x:c>
      <x:c r="AF820" s="8" t="str"/>
    </x:row>
    <x:row r="821">
      <x:c r="A821" s="10" t="n">
        <x:v>820</x:v>
      </x:c>
      <x:c r="B821" s="2" t="str">
        <x:v>2차 보류</x:v>
      </x:c>
      <x:c r="C821" s="2" t="str">
        <x:v>2차 보류</x:v>
      </x:c>
      <x:c r="D821" s="2" t="str">
        <x:v>낮음</x:v>
      </x:c>
      <x:c r="E821" s="2" t="str">
        <x:v>N1</x:v>
      </x:c>
      <x:c r="F821" s="10" t="n">
        <x:v>351</x:v>
      </x:c>
      <x:c r="G821" s="2" t="str">
        <x:v>w_f63f959c0ec9f805</x:v>
      </x:c>
      <x:c r="H821" s="2" t="str">
        <x:v>消息</x:v>
      </x:c>
      <x:c r="I821" s="2" t="str">
        <x:v>しょうそく</x:v>
      </x:c>
      <x:c r="J821" s="8" t="str">
        <x:v>소식, 동정</x:v>
      </x:c>
      <x:c r="K821" s="2" t="str">
        <x:v>noun</x:v>
      </x:c>
      <x:c r="L821" s="9" t="n">
        <x:v>3.4</x:v>
      </x:c>
      <x:c r="M821" s="2" t="str">
        <x:v>없음</x:v>
      </x:c>
      <x:c r="N821" s="11" t="n">
        <x:v>2</x:v>
      </x:c>
      <x:c r="O821" s="8" t="str">
        <x:v>일반 사용 빈도 보통 이하(Zipf ≤ 3.5); 기존 한국어 뜻 품질 감사 대상; 검증된 예문 없음; 기존 데이터의 한국어 콘텐츠 보강 필요 태그</x:v>
      </x:c>
      <x:c r="P821" s="8" t="str">
        <x:v>frequency_le_3_5,legacy_gloss_audit:senses_5_6,no_example,weak_legacy_content</x:v>
      </x:c>
      <x:c r="Q821" s="2" t="str"/>
      <x:c r="R821" s="2" t="str"/>
      <x:c r="S821" s="2" t="str"/>
      <x:c r="T821" s="2" t="str"/>
      <x:c r="U821" s="2" t="str"/>
      <x:c r="V821" s="2" t="str">
        <x:v>아니오</x:v>
      </x:c>
      <x:c r="W821" s="2" t="str">
        <x:v>예</x:v>
      </x:c>
      <x:c r="X821" s="2" t="str">
        <x:v>ichi1,news1,nf11</x:v>
      </x:c>
      <x:c r="Y821" s="2" t="n">
        <x:v>100</x:v>
      </x:c>
      <x:c r="Z821" s="2" t="str">
        <x:v>ichi1,news1,nf11</x:v>
      </x:c>
      <x:c r="AA821" s="2" t="n">
        <x:v>100</x:v>
      </x:c>
      <x:c r="AB821" s="8" t="str"/>
      <x:c r="AC821" s="8" t="str">
        <x:v>senses_5_6</x:v>
      </x:c>
      <x:c r="AD821" s="8" t="str">
        <x:v>["draft-ko-missing"]</x:v>
      </x:c>
      <x:c r="AE821" s="8" t="str">
        <x:v>검토 필요</x:v>
      </x:c>
      <x:c r="AF821" s="8" t="str"/>
    </x:row>
    <x:row r="822">
      <x:c r="A822" s="10" t="n">
        <x:v>821</x:v>
      </x:c>
      <x:c r="B822" s="2" t="str">
        <x:v>2차 보류</x:v>
      </x:c>
      <x:c r="C822" s="2" t="str">
        <x:v>2차 보류</x:v>
      </x:c>
      <x:c r="D822" s="2" t="str">
        <x:v>낮음</x:v>
      </x:c>
      <x:c r="E822" s="2" t="str">
        <x:v>N3</x:v>
      </x:c>
      <x:c r="F822" s="10" t="n">
        <x:v>105</x:v>
      </x:c>
      <x:c r="G822" s="2" t="str">
        <x:v>w_b392850d12884036</x:v>
      </x:c>
      <x:c r="H822" s="2" t="str">
        <x:v>万一</x:v>
      </x:c>
      <x:c r="I822" s="2" t="str">
        <x:v>まんいち</x:v>
      </x:c>
      <x:c r="J822" s="8" t="str">
        <x:v>만일, 만약</x:v>
      </x:c>
      <x:c r="K822" s="2" t="str">
        <x:v>noun</x:v>
      </x:c>
      <x:c r="L822" s="9" t="n">
        <x:v>3.42</x:v>
      </x:c>
      <x:c r="M822" s="2" t="str">
        <x:v>없음</x:v>
      </x:c>
      <x:c r="N822" s="11" t="n">
        <x:v>2</x:v>
      </x:c>
      <x:c r="O822" s="8" t="str">
        <x:v>일반 사용 빈도 보통 이하(Zipf ≤ 3.5); 기존 한국어 뜻 품질 감사 대상; 검증된 예문 없음; 기존 데이터의 한국어 콘텐츠 보강 필요 태그</x:v>
      </x:c>
      <x:c r="P822" s="8" t="str">
        <x:v>frequency_le_3_5,legacy_gloss_audit:senses_5_6,no_example,weak_legacy_content</x:v>
      </x:c>
      <x:c r="Q822" s="2" t="str"/>
      <x:c r="R822" s="2" t="str"/>
      <x:c r="S822" s="2" t="str"/>
      <x:c r="T822" s="2" t="str"/>
      <x:c r="U822" s="2" t="str"/>
      <x:c r="V822" s="2" t="str">
        <x:v>아니오</x:v>
      </x:c>
      <x:c r="W822" s="2" t="str">
        <x:v>예</x:v>
      </x:c>
      <x:c r="X822" s="2" t="str">
        <x:v>ichi1,news1,nf16</x:v>
      </x:c>
      <x:c r="Y822" s="2" t="n">
        <x:v>100</x:v>
      </x:c>
      <x:c r="Z822" s="2" t="str">
        <x:v>ichi1,news1,nf16</x:v>
      </x:c>
      <x:c r="AA822" s="2" t="n">
        <x:v>100</x:v>
      </x:c>
      <x:c r="AB822" s="8" t="str"/>
      <x:c r="AC822" s="8" t="str">
        <x:v>senses_5_6</x:v>
      </x:c>
      <x:c r="AD822" s="8" t="str">
        <x:v>["draft-ko-missing"]</x:v>
      </x:c>
      <x:c r="AE822" s="8" t="str">
        <x:v>검토 필요</x:v>
      </x:c>
      <x:c r="AF822" s="8" t="str"/>
    </x:row>
    <x:row r="823">
      <x:c r="A823" s="10" t="n">
        <x:v>822</x:v>
      </x:c>
      <x:c r="B823" s="2" t="str">
        <x:v>2차 보류</x:v>
      </x:c>
      <x:c r="C823" s="2" t="str">
        <x:v>2차 보류</x:v>
      </x:c>
      <x:c r="D823" s="2" t="str">
        <x:v>낮음</x:v>
      </x:c>
      <x:c r="E823" s="2" t="str">
        <x:v>N1</x:v>
      </x:c>
      <x:c r="F823" s="10" t="n">
        <x:v>352</x:v>
      </x:c>
      <x:c r="G823" s="2" t="str">
        <x:v>w_9a9021b246621aca</x:v>
      </x:c>
      <x:c r="H823" s="2" t="str">
        <x:v>突く</x:v>
      </x:c>
      <x:c r="I823" s="2" t="str">
        <x:v>つつく</x:v>
      </x:c>
      <x:c r="J823" s="8" t="str">
        <x:v>찌르다, 쿡쿡 찌르다</x:v>
      </x:c>
      <x:c r="K823" s="2" t="str">
        <x:v>verb</x:v>
      </x:c>
      <x:c r="L823" s="9" t="n">
        <x:v>3.42</x:v>
      </x:c>
      <x:c r="M823" s="2" t="str">
        <x:v>없음</x:v>
      </x:c>
      <x:c r="N823" s="11" t="n">
        <x:v>2</x:v>
      </x:c>
      <x:c r="O823" s="8" t="str">
        <x:v>일반 사용 빈도 보통 이하(Zipf ≤ 3.5); 기존 한국어 뜻 품질 감사 대상; 검증된 예문 없음; 기존 데이터의 한국어 콘텐츠 보강 필요 태그</x:v>
      </x:c>
      <x:c r="P823" s="8" t="str">
        <x:v>frequency_le_3_5,legacy_gloss_audit:mt_noise_token,no_example,weak_legacy_content</x:v>
      </x:c>
      <x:c r="Q823" s="2" t="str"/>
      <x:c r="R823" s="2" t="str"/>
      <x:c r="S823" s="2" t="str"/>
      <x:c r="T823" s="2" t="str"/>
      <x:c r="U823" s="2" t="str"/>
      <x:c r="V823" s="2" t="str">
        <x:v>아니오</x:v>
      </x:c>
      <x:c r="W823" s="2" t="str">
        <x:v>예</x:v>
      </x:c>
      <x:c r="X823" s="2" t="str">
        <x:v>ichi1</x:v>
      </x:c>
      <x:c r="Y823" s="2" t="n">
        <x:v>100</x:v>
      </x:c>
      <x:c r="Z823" s="2" t="str">
        <x:v>ichi1</x:v>
      </x:c>
      <x:c r="AA823" s="2" t="n">
        <x:v>100</x:v>
      </x:c>
      <x:c r="AB823" s="8" t="str">
        <x:v>word usually written using kana alone</x:v>
      </x:c>
      <x:c r="AC823" s="8" t="str">
        <x:v>mt_noise_token</x:v>
      </x:c>
      <x:c r="AD823" s="8" t="str">
        <x:v>["draft-ko-missing"]</x:v>
      </x:c>
      <x:c r="AE823" s="8" t="str">
        <x:v>검토 필요</x:v>
      </x:c>
      <x:c r="AF823" s="8" t="str"/>
    </x:row>
    <x:row r="824">
      <x:c r="A824" s="10" t="n">
        <x:v>823</x:v>
      </x:c>
      <x:c r="B824" s="2" t="str">
        <x:v>2차 보류</x:v>
      </x:c>
      <x:c r="C824" s="2" t="str">
        <x:v>2차 보류</x:v>
      </x:c>
      <x:c r="D824" s="2" t="str">
        <x:v>낮음</x:v>
      </x:c>
      <x:c r="E824" s="2" t="str">
        <x:v>N1</x:v>
      </x:c>
      <x:c r="F824" s="10" t="n">
        <x:v>353</x:v>
      </x:c>
      <x:c r="G824" s="2" t="str">
        <x:v>w_65741a2d9cd1b73b</x:v>
      </x:c>
      <x:c r="H824" s="2" t="str">
        <x:v>構える</x:v>
      </x:c>
      <x:c r="I824" s="2" t="str">
        <x:v>かまえる</x:v>
      </x:c>
      <x:c r="J824" s="8" t="str">
        <x:v>(자세를) 취하다; (집·가게를) 차리다</x:v>
      </x:c>
      <x:c r="K824" s="2" t="str">
        <x:v>verb</x:v>
      </x:c>
      <x:c r="L824" s="9" t="n">
        <x:v>3.43</x:v>
      </x:c>
      <x:c r="M824" s="2" t="str">
        <x:v>없음</x:v>
      </x:c>
      <x:c r="N824" s="11" t="n">
        <x:v>2</x:v>
      </x:c>
      <x:c r="O824" s="8" t="str">
        <x:v>일반 사용 빈도 보통 이하(Zipf ≤ 3.5); 기존 한국어 뜻 품질 감사 대상; 검증된 예문 없음; 기존 데이터의 한국어 콘텐츠 보강 필요 태그</x:v>
      </x:c>
      <x:c r="P824" s="8" t="str">
        <x:v>frequency_le_3_5,legacy_gloss_audit:mt_noise_token,no_example,weak_legacy_content</x:v>
      </x:c>
      <x:c r="Q824" s="2" t="str"/>
      <x:c r="R824" s="2" t="str"/>
      <x:c r="S824" s="2" t="str"/>
      <x:c r="T824" s="2" t="str"/>
      <x:c r="U824" s="2" t="str"/>
      <x:c r="V824" s="2" t="str">
        <x:v>아니오</x:v>
      </x:c>
      <x:c r="W824" s="2" t="str">
        <x:v>예</x:v>
      </x:c>
      <x:c r="X824" s="2" t="str">
        <x:v>ichi1</x:v>
      </x:c>
      <x:c r="Y824" s="2" t="n">
        <x:v>100</x:v>
      </x:c>
      <x:c r="Z824" s="2" t="str">
        <x:v>ichi1</x:v>
      </x:c>
      <x:c r="AA824" s="2" t="n">
        <x:v>100</x:v>
      </x:c>
      <x:c r="AB824" s="8" t="str"/>
      <x:c r="AC824" s="8" t="str">
        <x:v>mt_noise_token</x:v>
      </x:c>
      <x:c r="AD824" s="8" t="str">
        <x:v>["draft-ko-missing"]</x:v>
      </x:c>
      <x:c r="AE824" s="8" t="str">
        <x:v>검토 필요</x:v>
      </x:c>
      <x:c r="AF824" s="8" t="str"/>
    </x:row>
    <x:row r="825">
      <x:c r="A825" s="10" t="n">
        <x:v>824</x:v>
      </x:c>
      <x:c r="B825" s="2" t="str">
        <x:v>2차 보류</x:v>
      </x:c>
      <x:c r="C825" s="2" t="str">
        <x:v>2차 보류</x:v>
      </x:c>
      <x:c r="D825" s="2" t="str">
        <x:v>낮음</x:v>
      </x:c>
      <x:c r="E825" s="2" t="str">
        <x:v>N1</x:v>
      </x:c>
      <x:c r="F825" s="10" t="n">
        <x:v>354</x:v>
      </x:c>
      <x:c r="G825" s="2" t="str">
        <x:v>w_69e2159df1fe1017</x:v>
      </x:c>
      <x:c r="H825" s="2" t="str">
        <x:v>組み合わせる</x:v>
      </x:c>
      <x:c r="I825" s="2" t="str">
        <x:v>くみあわせる</x:v>
      </x:c>
      <x:c r="J825" s="8" t="str">
        <x:v>조합하다, 짜 맞추다</x:v>
      </x:c>
      <x:c r="K825" s="2" t="str">
        <x:v>verb</x:v>
      </x:c>
      <x:c r="L825" s="9" t="n">
        <x:v>3.44</x:v>
      </x:c>
      <x:c r="M825" s="2" t="str">
        <x:v>없음</x:v>
      </x:c>
      <x:c r="N825" s="11" t="n">
        <x:v>2</x:v>
      </x:c>
      <x:c r="O825" s="8" t="str">
        <x:v>일반 사용 빈도 보통 이하(Zipf ≤ 3.5); 기존 한국어 뜻 품질 감사 대상; 검증된 예문 없음; 기존 데이터의 한국어 콘텐츠 보강 필요 태그</x:v>
      </x:c>
      <x:c r="P825" s="8" t="str">
        <x:v>frequency_le_3_5,legacy_gloss_audit:mt_noise_token,no_example,weak_legacy_content</x:v>
      </x:c>
      <x:c r="Q825" s="2" t="str"/>
      <x:c r="R825" s="2" t="str"/>
      <x:c r="S825" s="2" t="str"/>
      <x:c r="T825" s="2" t="str"/>
      <x:c r="U825" s="2" t="str"/>
      <x:c r="V825" s="2" t="str">
        <x:v>아니오</x:v>
      </x:c>
      <x:c r="W825" s="2" t="str">
        <x:v>예</x:v>
      </x:c>
      <x:c r="X825" s="2" t="str">
        <x:v>ichi1</x:v>
      </x:c>
      <x:c r="Y825" s="2" t="n">
        <x:v>100</x:v>
      </x:c>
      <x:c r="Z825" s="2" t="str">
        <x:v>ichi1</x:v>
      </x:c>
      <x:c r="AA825" s="2" t="n">
        <x:v>100</x:v>
      </x:c>
      <x:c r="AB825" s="8" t="str"/>
      <x:c r="AC825" s="8" t="str">
        <x:v>mt_noise_token</x:v>
      </x:c>
      <x:c r="AD825" s="8" t="str">
        <x:v>["draft-ko-missing"]</x:v>
      </x:c>
      <x:c r="AE825" s="8" t="str">
        <x:v>검토 필요</x:v>
      </x:c>
      <x:c r="AF825" s="8" t="str"/>
    </x:row>
    <x:row r="826">
      <x:c r="A826" s="10" t="n">
        <x:v>825</x:v>
      </x:c>
      <x:c r="B826" s="2" t="str">
        <x:v>2차 보류</x:v>
      </x:c>
      <x:c r="C826" s="2" t="str">
        <x:v>2차 보류</x:v>
      </x:c>
      <x:c r="D826" s="2" t="str">
        <x:v>낮음</x:v>
      </x:c>
      <x:c r="E826" s="2" t="str">
        <x:v>N2</x:v>
      </x:c>
      <x:c r="F826" s="10" t="n">
        <x:v>284</x:v>
      </x:c>
      <x:c r="G826" s="2" t="str">
        <x:v>w_168e36b87447dd7e</x:v>
      </x:c>
      <x:c r="H826" s="2" t="str">
        <x:v>不通</x:v>
      </x:c>
      <x:c r="I826" s="2" t="str">
        <x:v>ふつう</x:v>
      </x:c>
      <x:c r="J826" s="8" t="str">
        <x:v>불통, 두절</x:v>
      </x:c>
      <x:c r="K826" s="2" t="str">
        <x:v>noun</x:v>
      </x:c>
      <x:c r="L826" s="9" t="n">
        <x:v>3.46</x:v>
      </x:c>
      <x:c r="M826" s="2" t="str">
        <x:v>없음</x:v>
      </x:c>
      <x:c r="N826" s="11" t="n">
        <x:v>2</x:v>
      </x:c>
      <x:c r="O826" s="8" t="str">
        <x:v>일반 사용 빈도 보통 이하(Zipf ≤ 3.5); 기존 한국어 뜻 품질 감사 대상; 검증된 예문 없음; 기존 데이터의 한국어 콘텐츠 보강 필요 태그</x:v>
      </x:c>
      <x:c r="P826" s="8" t="str">
        <x:v>frequency_le_3_5,legacy_gloss_audit:mt_noise_token,no_example,weak_legacy_content</x:v>
      </x:c>
      <x:c r="Q826" s="2" t="str"/>
      <x:c r="R826" s="2" t="str"/>
      <x:c r="S826" s="2" t="str"/>
      <x:c r="T826" s="2" t="str"/>
      <x:c r="U826" s="2" t="str"/>
      <x:c r="V826" s="2" t="str">
        <x:v>아니오</x:v>
      </x:c>
      <x:c r="W826" s="2" t="str">
        <x:v>예</x:v>
      </x:c>
      <x:c r="X826" s="2" t="str">
        <x:v>ichi1,news1,nf19</x:v>
      </x:c>
      <x:c r="Y826" s="2" t="n">
        <x:v>100</x:v>
      </x:c>
      <x:c r="Z826" s="2" t="str">
        <x:v>ichi1,news1,nf19</x:v>
      </x:c>
      <x:c r="AA826" s="2" t="n">
        <x:v>100</x:v>
      </x:c>
      <x:c r="AB826" s="8" t="str"/>
      <x:c r="AC826" s="8" t="str">
        <x:v>mt_noise_token</x:v>
      </x:c>
      <x:c r="AD826" s="8" t="str">
        <x:v>["draft-ko-missing"]</x:v>
      </x:c>
      <x:c r="AE826" s="8" t="str">
        <x:v>검토 필요</x:v>
      </x:c>
      <x:c r="AF826" s="8" t="str"/>
    </x:row>
    <x:row r="827">
      <x:c r="A827" s="10" t="n">
        <x:v>826</x:v>
      </x:c>
      <x:c r="B827" s="2" t="str">
        <x:v>2차 보류</x:v>
      </x:c>
      <x:c r="C827" s="2" t="str">
        <x:v>2차 보류</x:v>
      </x:c>
      <x:c r="D827" s="2" t="str">
        <x:v>낮음</x:v>
      </x:c>
      <x:c r="E827" s="2" t="str">
        <x:v>N2</x:v>
      </x:c>
      <x:c r="F827" s="10" t="n">
        <x:v>285</x:v>
      </x:c>
      <x:c r="G827" s="2" t="str">
        <x:v>w_406e4cb56d835d3c</x:v>
      </x:c>
      <x:c r="H827" s="2" t="str">
        <x:v>洗面</x:v>
      </x:c>
      <x:c r="I827" s="2" t="str">
        <x:v>せんめん</x:v>
      </x:c>
      <x:c r="J827" s="8" t="str">
        <x:v>세면, 세수</x:v>
      </x:c>
      <x:c r="K827" s="2" t="str">
        <x:v>noun</x:v>
      </x:c>
      <x:c r="L827" s="9" t="n">
        <x:v>3.46</x:v>
      </x:c>
      <x:c r="M827" s="2" t="str">
        <x:v>없음</x:v>
      </x:c>
      <x:c r="N827" s="11" t="n">
        <x:v>2</x:v>
      </x:c>
      <x:c r="O827" s="8" t="str">
        <x:v>일반 사용 빈도 보통 이하(Zipf ≤ 3.5); 기존 한국어 뜻 품질 감사 대상; 검증된 예문 없음; 기존 데이터의 한국어 콘텐츠 보강 필요 태그</x:v>
      </x:c>
      <x:c r="P827" s="8" t="str">
        <x:v>frequency_le_3_5,legacy_gloss_audit:mt_noise_token,no_example,weak_legacy_content</x:v>
      </x:c>
      <x:c r="Q827" s="2" t="str"/>
      <x:c r="R827" s="2" t="str"/>
      <x:c r="S827" s="2" t="str"/>
      <x:c r="T827" s="2" t="str"/>
      <x:c r="U827" s="2" t="str"/>
      <x:c r="V827" s="2" t="str">
        <x:v>아니오</x:v>
      </x:c>
      <x:c r="W827" s="2" t="str">
        <x:v>예</x:v>
      </x:c>
      <x:c r="X827" s="2" t="str">
        <x:v>ichi1,news2,nf28</x:v>
      </x:c>
      <x:c r="Y827" s="2" t="n">
        <x:v>100</x:v>
      </x:c>
      <x:c r="Z827" s="2" t="str">
        <x:v>ichi1,news2,nf28</x:v>
      </x:c>
      <x:c r="AA827" s="2" t="n">
        <x:v>100</x:v>
      </x:c>
      <x:c r="AB827" s="8" t="str"/>
      <x:c r="AC827" s="8" t="str">
        <x:v>mt_noise_token</x:v>
      </x:c>
      <x:c r="AD827" s="8" t="str">
        <x:v>["draft-ko-missing"]</x:v>
      </x:c>
      <x:c r="AE827" s="8" t="str">
        <x:v>검토 필요</x:v>
      </x:c>
      <x:c r="AF827" s="8" t="str"/>
    </x:row>
    <x:row r="828">
      <x:c r="A828" s="10" t="n">
        <x:v>827</x:v>
      </x:c>
      <x:c r="B828" s="2" t="str">
        <x:v>2차 보류</x:v>
      </x:c>
      <x:c r="C828" s="2" t="str">
        <x:v>2차 보류</x:v>
      </x:c>
      <x:c r="D828" s="2" t="str">
        <x:v>낮음</x:v>
      </x:c>
      <x:c r="E828" s="2" t="str">
        <x:v>N1</x:v>
      </x:c>
      <x:c r="F828" s="10" t="n">
        <x:v>355</x:v>
      </x:c>
      <x:c r="G828" s="2" t="str">
        <x:v>w_0e0a1c43e069278b</x:v>
      </x:c>
      <x:c r="H828" s="2" t="str">
        <x:v>ストライキ</x:v>
      </x:c>
      <x:c r="I828" s="2" t="str">
        <x:v>ストライキ</x:v>
      </x:c>
      <x:c r="J828" s="8" t="str">
        <x:v>파업, 스트라이크</x:v>
      </x:c>
      <x:c r="K828" s="2" t="str">
        <x:v>noun</x:v>
      </x:c>
      <x:c r="L828" s="9" t="n">
        <x:v>3.48</x:v>
      </x:c>
      <x:c r="M828" s="2" t="str">
        <x:v>없음</x:v>
      </x:c>
      <x:c r="N828" s="11" t="n">
        <x:v>2</x:v>
      </x:c>
      <x:c r="O828" s="8" t="str">
        <x:v>일반 사용 빈도 보통 이하(Zipf ≤ 3.5); 기존 한국어 뜻 품질 감사 대상; 검증된 예문 없음; 기존 데이터의 한국어 콘텐츠 보강 필요 태그</x:v>
      </x:c>
      <x:c r="P828" s="8" t="str">
        <x:v>frequency_le_3_5,legacy_gloss_audit:mt_noise_token,no_example,weak_legacy_content</x:v>
      </x:c>
      <x:c r="Q828" s="2" t="str"/>
      <x:c r="R828" s="2" t="str"/>
      <x:c r="S828" s="2" t="str"/>
      <x:c r="T828" s="2" t="str"/>
      <x:c r="U828" s="2" t="str"/>
      <x:c r="V828" s="2" t="str">
        <x:v>아니오</x:v>
      </x:c>
      <x:c r="W828" s="2" t="str">
        <x:v>예</x:v>
      </x:c>
      <x:c r="X828" s="2" t="str">
        <x:v>gai1,ichi1</x:v>
      </x:c>
      <x:c r="Y828" s="2" t="n">
        <x:v>100</x:v>
      </x:c>
      <x:c r="Z828" s="2" t="str">
        <x:v>gai1,ichi1</x:v>
      </x:c>
      <x:c r="AA828" s="2" t="n">
        <x:v>100</x:v>
      </x:c>
      <x:c r="AB828" s="8" t="str"/>
      <x:c r="AC828" s="8" t="str">
        <x:v>mt_noise_token</x:v>
      </x:c>
      <x:c r="AD828" s="8" t="str">
        <x:v>["draft-ko-missing"]</x:v>
      </x:c>
      <x:c r="AE828" s="8" t="str">
        <x:v>검토 필요</x:v>
      </x:c>
      <x:c r="AF828" s="8" t="str"/>
    </x:row>
    <x:row r="829">
      <x:c r="A829" s="10" t="n">
        <x:v>828</x:v>
      </x:c>
      <x:c r="B829" s="2" t="str">
        <x:v>2차 보류</x:v>
      </x:c>
      <x:c r="C829" s="2" t="str">
        <x:v>2차 보류</x:v>
      </x:c>
      <x:c r="D829" s="2" t="str">
        <x:v>낮음</x:v>
      </x:c>
      <x:c r="E829" s="2" t="str">
        <x:v>N2</x:v>
      </x:c>
      <x:c r="F829" s="10" t="n">
        <x:v>286</x:v>
      </x:c>
      <x:c r="G829" s="2" t="str">
        <x:v>w_a5d4c58d6109165f</x:v>
      </x:c>
      <x:c r="H829" s="2" t="str">
        <x:v>踏切</x:v>
      </x:c>
      <x:c r="I829" s="2" t="str">
        <x:v>ふみきり</x:v>
      </x:c>
      <x:c r="J829" s="8" t="str">
        <x:v>건널목; (도약의) 발구르기</x:v>
      </x:c>
      <x:c r="K829" s="2" t="str">
        <x:v>noun</x:v>
      </x:c>
      <x:c r="L829" s="9" t="n">
        <x:v>3.5</x:v>
      </x:c>
      <x:c r="M829" s="2" t="str">
        <x:v>없음</x:v>
      </x:c>
      <x:c r="N829" s="11" t="n">
        <x:v>2</x:v>
      </x:c>
      <x:c r="O829" s="8" t="str">
        <x:v>일반 사용 빈도 보통 이하(Zipf ≤ 3.5); 기존 한국어 뜻 품질 감사 대상; 검증된 예문 없음; 기존 데이터의 한국어 콘텐츠 보강 필요 태그</x:v>
      </x:c>
      <x:c r="P829" s="8" t="str">
        <x:v>frequency_le_3_5,legacy_gloss_audit:senses_ge7,no_example,weak_legacy_content</x:v>
      </x:c>
      <x:c r="Q829" s="2" t="str"/>
      <x:c r="R829" s="2" t="str"/>
      <x:c r="S829" s="2" t="str"/>
      <x:c r="T829" s="2" t="str"/>
      <x:c r="U829" s="2" t="str"/>
      <x:c r="V829" s="2" t="str">
        <x:v>아니오</x:v>
      </x:c>
      <x:c r="W829" s="2" t="str">
        <x:v>예</x:v>
      </x:c>
      <x:c r="X829" s="2" t="str">
        <x:v>ichi1,news1,nf13</x:v>
      </x:c>
      <x:c r="Y829" s="2" t="n">
        <x:v>100</x:v>
      </x:c>
      <x:c r="Z829" s="2" t="str">
        <x:v>ichi1,news1,nf13</x:v>
      </x:c>
      <x:c r="AA829" s="2" t="n">
        <x:v>100</x:v>
      </x:c>
      <x:c r="AB829" s="8" t="str"/>
      <x:c r="AC829" s="8" t="str">
        <x:v>senses_ge7</x:v>
      </x:c>
      <x:c r="AD829" s="8" t="str">
        <x:v>["draft-ko-missing"]</x:v>
      </x:c>
      <x:c r="AE829" s="8" t="str">
        <x:v>검토 필요</x:v>
      </x:c>
      <x:c r="AF829" s="8" t="str"/>
    </x:row>
    <x:row r="830">
      <x:c r="A830" s="10" t="n">
        <x:v>829</x:v>
      </x:c>
      <x:c r="B830" s="2" t="str">
        <x:v>2차 보류</x:v>
      </x:c>
      <x:c r="C830" s="2" t="str">
        <x:v>2차 보류</x:v>
      </x:c>
      <x:c r="D830" s="2" t="str">
        <x:v>낮음</x:v>
      </x:c>
      <x:c r="E830" s="2" t="str">
        <x:v>N1</x:v>
      </x:c>
      <x:c r="F830" s="10" t="n">
        <x:v>356</x:v>
      </x:c>
      <x:c r="G830" s="2" t="str">
        <x:v>w_59f80d4dc5e14879</x:v>
      </x:c>
      <x:c r="H830" s="2" t="str">
        <x:v>とんだ</x:v>
      </x:c>
      <x:c r="I830" s="2" t="str">
        <x:v>とんだ</x:v>
      </x:c>
      <x:c r="J830" s="8" t="str">
        <x:v>엄청난, 뜻밖의</x:v>
      </x:c>
      <x:c r="K830" s="2" t="str">
        <x:v>adjective</x:v>
      </x:c>
      <x:c r="L830" s="9" t="n">
        <x:v>4.14</x:v>
      </x:c>
      <x:c r="M830" s="2" t="str">
        <x:v>있음</x:v>
      </x:c>
      <x:c r="N830" s="11" t="n">
        <x:v>2</x:v>
      </x:c>
      <x:c r="O830" s="8" t="str">
        <x:v>기존 한국어 뜻 품질 감사 대상; JMdict 우선 어휘 표지 없음; 기존 데이터의 한국어 콘텐츠 보강 필요 태그</x:v>
      </x:c>
      <x:c r="P830" s="8" t="str">
        <x:v>legacy_gloss_audit:senses_5_6,no_jmdict_priority,weak_legacy_content</x:v>
      </x:c>
      <x:c r="Q830" s="2" t="str"/>
      <x:c r="R830" s="2" t="str"/>
      <x:c r="S830" s="2" t="str"/>
      <x:c r="T830" s="2" t="str"/>
      <x:c r="U830" s="2" t="str"/>
      <x:c r="V830" s="2" t="str">
        <x:v>아니오</x:v>
      </x:c>
      <x:c r="W830" s="2" t="str">
        <x:v>아니오</x:v>
      </x:c>
      <x:c r="X830" s="2" t="str"/>
      <x:c r="Y830" s="2" t="n">
        <x:v>0</x:v>
      </x:c>
      <x:c r="Z830" s="2" t="str"/>
      <x:c r="AA830" s="2" t="n">
        <x:v>0</x:v>
      </x:c>
      <x:c r="AB830" s="8" t="str"/>
      <x:c r="AC830" s="8" t="str">
        <x:v>senses_5_6</x:v>
      </x:c>
      <x:c r="AD830" s="8" t="str">
        <x:v>["draft-ko-missing"]</x:v>
      </x:c>
      <x:c r="AE830" s="8" t="str">
        <x:v>검토 필요</x:v>
      </x:c>
      <x:c r="AF830" s="8" t="str"/>
    </x:row>
    <x:row r="831">
      <x:c r="A831" s="10" t="n">
        <x:v>830</x:v>
      </x:c>
      <x:c r="B831" s="2" t="str">
        <x:v>2차 보류</x:v>
      </x:c>
      <x:c r="C831" s="2" t="str">
        <x:v>2차 보류</x:v>
      </x:c>
      <x:c r="D831" s="2" t="str">
        <x:v>낮음</x:v>
      </x:c>
      <x:c r="E831" s="2" t="str">
        <x:v>N1</x:v>
      </x:c>
      <x:c r="F831" s="10" t="n">
        <x:v>357</x:v>
      </x:c>
      <x:c r="G831" s="2" t="str">
        <x:v>w_e76c40a5930a2cf2</x:v>
      </x:c>
      <x:c r="H831" s="2" t="str">
        <x:v>突っ張る</x:v>
      </x:c>
      <x:c r="I831" s="2" t="str">
        <x:v>つっぱる</x:v>
      </x:c>
      <x:c r="J831" s="8" t="str">
        <x:v>버티다, 고집하다</x:v>
      </x:c>
      <x:c r="K831" s="2" t="str">
        <x:v>verb</x:v>
      </x:c>
      <x:c r="L831" s="9" t="n">
        <x:v>2.05</x:v>
      </x:c>
      <x:c r="M831" s="2" t="str">
        <x:v>없음</x:v>
      </x:c>
      <x:c r="N831" s="11" t="n">
        <x:v>1</x:v>
      </x:c>
      <x:c r="O831" s="8" t="str">
        <x:v>일반 사용 빈도 낮음(Zipf ≤ 2.5); 검증된 예문 없음</x:v>
      </x:c>
      <x:c r="P831" s="8" t="str">
        <x:v>frequency_le_2_5,no_example</x:v>
      </x:c>
      <x:c r="Q831" s="2" t="str"/>
      <x:c r="R831" s="2" t="str"/>
      <x:c r="S831" s="2" t="str"/>
      <x:c r="T831" s="2" t="str"/>
      <x:c r="U831" s="2" t="str"/>
      <x:c r="V831" s="2" t="str">
        <x:v>아니오</x:v>
      </x:c>
      <x:c r="W831" s="2" t="str">
        <x:v>예</x:v>
      </x:c>
      <x:c r="X831" s="2" t="str">
        <x:v>ichi1,news2,nf33</x:v>
      </x:c>
      <x:c r="Y831" s="2" t="n">
        <x:v>100</x:v>
      </x:c>
      <x:c r="Z831" s="2" t="str">
        <x:v>ichi1,news2,nf33</x:v>
      </x:c>
      <x:c r="AA831" s="2" t="n">
        <x:v>100</x:v>
      </x:c>
      <x:c r="AB831" s="8" t="str"/>
      <x:c r="AC831" s="8" t="str"/>
      <x:c r="AD831" s="8" t="str">
        <x:v>["ko-reviewed"]</x:v>
      </x:c>
      <x:c r="AE831" s="8" t="str">
        <x:v>검토 필요</x:v>
      </x:c>
      <x:c r="AF831" s="8" t="str"/>
    </x:row>
    <x:row r="832">
      <x:c r="A832" s="10" t="n">
        <x:v>831</x:v>
      </x:c>
      <x:c r="B832" s="2" t="str">
        <x:v>2차 보류</x:v>
      </x:c>
      <x:c r="C832" s="2" t="str">
        <x:v>2차 보류</x:v>
      </x:c>
      <x:c r="D832" s="2" t="str">
        <x:v>낮음</x:v>
      </x:c>
      <x:c r="E832" s="2" t="str">
        <x:v>N2</x:v>
      </x:c>
      <x:c r="F832" s="10" t="n">
        <x:v>287</x:v>
      </x:c>
      <x:c r="G832" s="2" t="str">
        <x:v>w_2bac7a9bda8850cc</x:v>
      </x:c>
      <x:c r="H832" s="2" t="str">
        <x:v>塞がる</x:v>
      </x:c>
      <x:c r="I832" s="2" t="str">
        <x:v>ふさがる</x:v>
      </x:c>
      <x:c r="J832" s="8" t="str">
        <x:v>막히다, 닫히다</x:v>
      </x:c>
      <x:c r="K832" s="2" t="str">
        <x:v>verb</x:v>
      </x:c>
      <x:c r="L832" s="9" t="n">
        <x:v>2.07</x:v>
      </x:c>
      <x:c r="M832" s="2" t="str">
        <x:v>없음</x:v>
      </x:c>
      <x:c r="N832" s="11" t="n">
        <x:v>1</x:v>
      </x:c>
      <x:c r="O832" s="8" t="str">
        <x:v>일반 사용 빈도 낮음(Zipf ≤ 2.5); 검증된 예문 없음</x:v>
      </x:c>
      <x:c r="P832" s="8" t="str">
        <x:v>frequency_le_2_5,no_example</x:v>
      </x:c>
      <x:c r="Q832" s="2" t="str"/>
      <x:c r="R832" s="2" t="str"/>
      <x:c r="S832" s="2" t="str"/>
      <x:c r="T832" s="2" t="str"/>
      <x:c r="U832" s="2" t="str"/>
      <x:c r="V832" s="2" t="str">
        <x:v>아니오</x:v>
      </x:c>
      <x:c r="W832" s="2" t="str">
        <x:v>예</x:v>
      </x:c>
      <x:c r="X832" s="2" t="str">
        <x:v>ichi1</x:v>
      </x:c>
      <x:c r="Y832" s="2" t="n">
        <x:v>100</x:v>
      </x:c>
      <x:c r="Z832" s="2" t="str">
        <x:v>ichi1</x:v>
      </x:c>
      <x:c r="AA832" s="2" t="n">
        <x:v>100</x:v>
      </x:c>
      <x:c r="AB832" s="8" t="str">
        <x:v>word usually written using kana alone</x:v>
      </x:c>
      <x:c r="AC832" s="8" t="str"/>
      <x:c r="AD832" s="8" t="str">
        <x:v>["ko-reviewed"]</x:v>
      </x:c>
      <x:c r="AE832" s="8" t="str">
        <x:v>검토 필요</x:v>
      </x:c>
      <x:c r="AF832" s="8" t="str"/>
    </x:row>
    <x:row r="833">
      <x:c r="A833" s="10" t="n">
        <x:v>832</x:v>
      </x:c>
      <x:c r="B833" s="2" t="str">
        <x:v>2차 보류</x:v>
      </x:c>
      <x:c r="C833" s="2" t="str">
        <x:v>2차 보류</x:v>
      </x:c>
      <x:c r="D833" s="2" t="str">
        <x:v>낮음</x:v>
      </x:c>
      <x:c r="E833" s="2" t="str">
        <x:v>N2</x:v>
      </x:c>
      <x:c r="F833" s="10" t="n">
        <x:v>288</x:v>
      </x:c>
      <x:c r="G833" s="2" t="str">
        <x:v>w_461357004a7738e6</x:v>
      </x:c>
      <x:c r="H833" s="2" t="str">
        <x:v>紙屑</x:v>
      </x:c>
      <x:c r="I833" s="2" t="str">
        <x:v>かみくず</x:v>
      </x:c>
      <x:c r="J833" s="8" t="str">
        <x:v>휴지, 종이 쓰레기</x:v>
      </x:c>
      <x:c r="K833" s="2" t="str">
        <x:v>noun</x:v>
      </x:c>
      <x:c r="L833" s="9" t="n">
        <x:v>2.09</x:v>
      </x:c>
      <x:c r="M833" s="2" t="str">
        <x:v>없음</x:v>
      </x:c>
      <x:c r="N833" s="11" t="n">
        <x:v>1</x:v>
      </x:c>
      <x:c r="O833" s="8" t="str">
        <x:v>일반 사용 빈도 낮음(Zipf ≤ 2.5); 검증된 예문 없음</x:v>
      </x:c>
      <x:c r="P833" s="8" t="str">
        <x:v>frequency_le_2_5,no_example</x:v>
      </x:c>
      <x:c r="Q833" s="2" t="str"/>
      <x:c r="R833" s="2" t="str"/>
      <x:c r="S833" s="2" t="str"/>
      <x:c r="T833" s="2" t="str"/>
      <x:c r="U833" s="2" t="str"/>
      <x:c r="V833" s="2" t="str">
        <x:v>아니오</x:v>
      </x:c>
      <x:c r="W833" s="2" t="str">
        <x:v>예</x:v>
      </x:c>
      <x:c r="X833" s="2" t="str">
        <x:v>ichi1</x:v>
      </x:c>
      <x:c r="Y833" s="2" t="n">
        <x:v>100</x:v>
      </x:c>
      <x:c r="Z833" s="2" t="str">
        <x:v>ichi1</x:v>
      </x:c>
      <x:c r="AA833" s="2" t="n">
        <x:v>100</x:v>
      </x:c>
      <x:c r="AB833" s="8" t="str"/>
      <x:c r="AC833" s="8" t="str"/>
      <x:c r="AD833" s="8" t="str">
        <x:v>["ko-reviewed"]</x:v>
      </x:c>
      <x:c r="AE833" s="8" t="str">
        <x:v>검토 필요</x:v>
      </x:c>
      <x:c r="AF833" s="8" t="str"/>
    </x:row>
    <x:row r="834">
      <x:c r="A834" s="10" t="n">
        <x:v>833</x:v>
      </x:c>
      <x:c r="B834" s="2" t="str">
        <x:v>2차 보류</x:v>
      </x:c>
      <x:c r="C834" s="2" t="str">
        <x:v>2차 보류</x:v>
      </x:c>
      <x:c r="D834" s="2" t="str">
        <x:v>낮음</x:v>
      </x:c>
      <x:c r="E834" s="2" t="str">
        <x:v>N2</x:v>
      </x:c>
      <x:c r="F834" s="10" t="n">
        <x:v>289</x:v>
      </x:c>
      <x:c r="G834" s="2" t="str">
        <x:v>w_d8ba8bb341546b0b</x:v>
      </x:c>
      <x:c r="H834" s="2" t="str">
        <x:v>心得る</x:v>
      </x:c>
      <x:c r="I834" s="2" t="str">
        <x:v>こころえる</x:v>
      </x:c>
      <x:c r="J834" s="8" t="str">
        <x:v>이해하다, 숙지하다</x:v>
      </x:c>
      <x:c r="K834" s="2" t="str">
        <x:v>verb</x:v>
      </x:c>
      <x:c r="L834" s="9" t="n">
        <x:v>2.1</x:v>
      </x:c>
      <x:c r="M834" s="2" t="str">
        <x:v>없음</x:v>
      </x:c>
      <x:c r="N834" s="11" t="n">
        <x:v>1</x:v>
      </x:c>
      <x:c r="O834" s="8" t="str">
        <x:v>일반 사용 빈도 낮음(Zipf ≤ 2.5); 검증된 예문 없음</x:v>
      </x:c>
      <x:c r="P834" s="8" t="str">
        <x:v>frequency_le_2_5,no_example</x:v>
      </x:c>
      <x:c r="Q834" s="2" t="str"/>
      <x:c r="R834" s="2" t="str"/>
      <x:c r="S834" s="2" t="str"/>
      <x:c r="T834" s="2" t="str"/>
      <x:c r="U834" s="2" t="str"/>
      <x:c r="V834" s="2" t="str">
        <x:v>아니오</x:v>
      </x:c>
      <x:c r="W834" s="2" t="str">
        <x:v>예</x:v>
      </x:c>
      <x:c r="X834" s="2" t="str">
        <x:v>ichi1,news1,nf20</x:v>
      </x:c>
      <x:c r="Y834" s="2" t="n">
        <x:v>100</x:v>
      </x:c>
      <x:c r="Z834" s="2" t="str">
        <x:v>ichi1,news1,nf20</x:v>
      </x:c>
      <x:c r="AA834" s="2" t="n">
        <x:v>100</x:v>
      </x:c>
      <x:c r="AB834" s="8" t="str"/>
      <x:c r="AC834" s="8" t="str"/>
      <x:c r="AD834" s="8" t="str">
        <x:v>["ko-reviewed"]</x:v>
      </x:c>
      <x:c r="AE834" s="8" t="str">
        <x:v>검토 필요</x:v>
      </x:c>
      <x:c r="AF834" s="8" t="str"/>
    </x:row>
    <x:row r="835">
      <x:c r="A835" s="10" t="n">
        <x:v>834</x:v>
      </x:c>
      <x:c r="B835" s="2" t="str">
        <x:v>2차 보류</x:v>
      </x:c>
      <x:c r="C835" s="2" t="str">
        <x:v>2차 보류</x:v>
      </x:c>
      <x:c r="D835" s="2" t="str">
        <x:v>낮음</x:v>
      </x:c>
      <x:c r="E835" s="2" t="str">
        <x:v>N1</x:v>
      </x:c>
      <x:c r="F835" s="10" t="n">
        <x:v>358</x:v>
      </x:c>
      <x:c r="G835" s="2" t="str">
        <x:v>w_97e8956b167280f6</x:v>
      </x:c>
      <x:c r="H835" s="2" t="str">
        <x:v>敬具</x:v>
      </x:c>
      <x:c r="I835" s="2" t="str">
        <x:v>けいぐ</x:v>
      </x:c>
      <x:c r="J835" s="8" t="str">
        <x:v>경구, 삼가 올림</x:v>
      </x:c>
      <x:c r="K835" s="2" t="str">
        <x:v>noun</x:v>
      </x:c>
      <x:c r="L835" s="9" t="n">
        <x:v>2.1</x:v>
      </x:c>
      <x:c r="M835" s="2" t="str">
        <x:v>없음</x:v>
      </x:c>
      <x:c r="N835" s="11" t="n">
        <x:v>1</x:v>
      </x:c>
      <x:c r="O835" s="8" t="str">
        <x:v>일반 사용 빈도 낮음(Zipf ≤ 2.5); 검증된 예문 없음</x:v>
      </x:c>
      <x:c r="P835" s="8" t="str">
        <x:v>frequency_le_2_5,no_example</x:v>
      </x:c>
      <x:c r="Q835" s="2" t="str"/>
      <x:c r="R835" s="2" t="str"/>
      <x:c r="S835" s="2" t="str"/>
      <x:c r="T835" s="2" t="str"/>
      <x:c r="U835" s="2" t="str"/>
      <x:c r="V835" s="2" t="str">
        <x:v>아니오</x:v>
      </x:c>
      <x:c r="W835" s="2" t="str">
        <x:v>예</x:v>
      </x:c>
      <x:c r="X835" s="2" t="str">
        <x:v>ichi1</x:v>
      </x:c>
      <x:c r="Y835" s="2" t="n">
        <x:v>100</x:v>
      </x:c>
      <x:c r="Z835" s="2" t="str">
        <x:v>ichi1</x:v>
      </x:c>
      <x:c r="AA835" s="2" t="n">
        <x:v>100</x:v>
      </x:c>
      <x:c r="AB835" s="8" t="str">
        <x:v>letters ending with this start with 拝啓</x:v>
      </x:c>
      <x:c r="AC835" s="8" t="str"/>
      <x:c r="AD835" s="8" t="str">
        <x:v>["ko-reviewed"]</x:v>
      </x:c>
      <x:c r="AE835" s="8" t="str">
        <x:v>검토 필요</x:v>
      </x:c>
      <x:c r="AF835" s="8" t="str"/>
    </x:row>
    <x:row r="836">
      <x:c r="A836" s="10" t="n">
        <x:v>835</x:v>
      </x:c>
      <x:c r="B836" s="2" t="str">
        <x:v>2차 보류</x:v>
      </x:c>
      <x:c r="C836" s="2" t="str">
        <x:v>2차 보류</x:v>
      </x:c>
      <x:c r="D836" s="2" t="str">
        <x:v>낮음</x:v>
      </x:c>
      <x:c r="E836" s="2" t="str">
        <x:v>N2</x:v>
      </x:c>
      <x:c r="F836" s="10" t="n">
        <x:v>290</x:v>
      </x:c>
      <x:c r="G836" s="2" t="str">
        <x:v>w_46fa7d6071bffa33</x:v>
      </x:c>
      <x:c r="H836" s="2" t="str">
        <x:v>喧しい</x:v>
      </x:c>
      <x:c r="I836" s="2" t="str">
        <x:v>やかましい</x:v>
      </x:c>
      <x:c r="J836" s="8" t="str">
        <x:v>시끄럽다, 요란하다</x:v>
      </x:c>
      <x:c r="K836" s="2" t="str">
        <x:v>adjective</x:v>
      </x:c>
      <x:c r="L836" s="9" t="n">
        <x:v>2.12</x:v>
      </x:c>
      <x:c r="M836" s="2" t="str">
        <x:v>없음</x:v>
      </x:c>
      <x:c r="N836" s="11" t="n">
        <x:v>1</x:v>
      </x:c>
      <x:c r="O836" s="8" t="str">
        <x:v>일반 사용 빈도 낮음(Zipf ≤ 2.5); 검증된 예문 없음</x:v>
      </x:c>
      <x:c r="P836" s="8" t="str">
        <x:v>frequency_le_2_5,no_example</x:v>
      </x:c>
      <x:c r="Q836" s="2" t="str"/>
      <x:c r="R836" s="2" t="str"/>
      <x:c r="S836" s="2" t="str"/>
      <x:c r="T836" s="2" t="str"/>
      <x:c r="U836" s="2" t="str"/>
      <x:c r="V836" s="2" t="str">
        <x:v>아니오</x:v>
      </x:c>
      <x:c r="W836" s="2" t="str">
        <x:v>예</x:v>
      </x:c>
      <x:c r="X836" s="2" t="str">
        <x:v>ichi1</x:v>
      </x:c>
      <x:c r="Y836" s="2" t="n">
        <x:v>100</x:v>
      </x:c>
      <x:c r="Z836" s="2" t="str">
        <x:v>ichi1</x:v>
      </x:c>
      <x:c r="AA836" s="2" t="n">
        <x:v>100</x:v>
      </x:c>
      <x:c r="AB836" s="8" t="str">
        <x:v>word usually written using kana alone</x:v>
      </x:c>
      <x:c r="AC836" s="8" t="str"/>
      <x:c r="AD836" s="8" t="str">
        <x:v>["backfill-replacement","assistant-ko-reviewed"]</x:v>
      </x:c>
      <x:c r="AE836" s="8" t="str">
        <x:v>검토 필요</x:v>
      </x:c>
      <x:c r="AF836" s="8" t="str"/>
    </x:row>
    <x:row r="837">
      <x:c r="A837" s="10" t="n">
        <x:v>836</x:v>
      </x:c>
      <x:c r="B837" s="2" t="str">
        <x:v>2차 보류</x:v>
      </x:c>
      <x:c r="C837" s="2" t="str">
        <x:v>2차 보류</x:v>
      </x:c>
      <x:c r="D837" s="2" t="str">
        <x:v>낮음</x:v>
      </x:c>
      <x:c r="E837" s="2" t="str">
        <x:v>N1</x:v>
      </x:c>
      <x:c r="F837" s="10" t="n">
        <x:v>359</x:v>
      </x:c>
      <x:c r="G837" s="2" t="str">
        <x:v>w_9ce5c7990a6fb240</x:v>
      </x:c>
      <x:c r="H837" s="2" t="str">
        <x:v>ぼやける</x:v>
      </x:c>
      <x:c r="I837" s="2" t="str">
        <x:v>ぼやける</x:v>
      </x:c>
      <x:c r="J837" s="8" t="str">
        <x:v>흐려지다</x:v>
      </x:c>
      <x:c r="K837" s="2" t="str">
        <x:v>verb</x:v>
      </x:c>
      <x:c r="L837" s="9" t="n">
        <x:v>2.15</x:v>
      </x:c>
      <x:c r="M837" s="2" t="str">
        <x:v>없음</x:v>
      </x:c>
      <x:c r="N837" s="11" t="n">
        <x:v>1</x:v>
      </x:c>
      <x:c r="O837" s="8" t="str">
        <x:v>일반 사용 빈도 낮음(Zipf ≤ 2.5); 검증된 예문 없음</x:v>
      </x:c>
      <x:c r="P837" s="8" t="str">
        <x:v>frequency_le_2_5,no_example</x:v>
      </x:c>
      <x:c r="Q837" s="2" t="str"/>
      <x:c r="R837" s="2" t="str"/>
      <x:c r="S837" s="2" t="str"/>
      <x:c r="T837" s="2" t="str"/>
      <x:c r="U837" s="2" t="str"/>
      <x:c r="V837" s="2" t="str">
        <x:v>아니오</x:v>
      </x:c>
      <x:c r="W837" s="2" t="str">
        <x:v>예</x:v>
      </x:c>
      <x:c r="X837" s="2" t="str">
        <x:v>ichi1</x:v>
      </x:c>
      <x:c r="Y837" s="2" t="n">
        <x:v>100</x:v>
      </x:c>
      <x:c r="Z837" s="2" t="str">
        <x:v>ichi1</x:v>
      </x:c>
      <x:c r="AA837" s="2" t="n">
        <x:v>100</x:v>
      </x:c>
      <x:c r="AB837" s="8" t="str"/>
      <x:c r="AC837" s="8" t="str"/>
      <x:c r="AD837" s="8" t="str">
        <x:v>["ko-reviewed"]</x:v>
      </x:c>
      <x:c r="AE837" s="8" t="str">
        <x:v>검토 필요</x:v>
      </x:c>
      <x:c r="AF837" s="8" t="str"/>
    </x:row>
    <x:row r="838">
      <x:c r="A838" s="10" t="n">
        <x:v>837</x:v>
      </x:c>
      <x:c r="B838" s="2" t="str">
        <x:v>2차 보류</x:v>
      </x:c>
      <x:c r="C838" s="2" t="str">
        <x:v>2차 보류</x:v>
      </x:c>
      <x:c r="D838" s="2" t="str">
        <x:v>낮음</x:v>
      </x:c>
      <x:c r="E838" s="2" t="str">
        <x:v>N2</x:v>
      </x:c>
      <x:c r="F838" s="10" t="n">
        <x:v>291</x:v>
      </x:c>
      <x:c r="G838" s="2" t="str">
        <x:v>w_af9ac354026c1cd9</x:v>
      </x:c>
      <x:c r="H838" s="2" t="str">
        <x:v>静まる</x:v>
      </x:c>
      <x:c r="I838" s="2" t="str">
        <x:v>しずまる</x:v>
      </x:c>
      <x:c r="J838" s="8" t="str">
        <x:v>조용해지다, 가라앉다</x:v>
      </x:c>
      <x:c r="K838" s="2" t="str">
        <x:v>verb</x:v>
      </x:c>
      <x:c r="L838" s="9" t="n">
        <x:v>2.16</x:v>
      </x:c>
      <x:c r="M838" s="2" t="str">
        <x:v>없음</x:v>
      </x:c>
      <x:c r="N838" s="11" t="n">
        <x:v>1</x:v>
      </x:c>
      <x:c r="O838" s="8" t="str">
        <x:v>일반 사용 빈도 낮음(Zipf ≤ 2.5); 검증된 예문 없음</x:v>
      </x:c>
      <x:c r="P838" s="8" t="str">
        <x:v>frequency_le_2_5,no_example</x:v>
      </x:c>
      <x:c r="Q838" s="2" t="str"/>
      <x:c r="R838" s="2" t="str"/>
      <x:c r="S838" s="2" t="str"/>
      <x:c r="T838" s="2" t="str"/>
      <x:c r="U838" s="2" t="str"/>
      <x:c r="V838" s="2" t="str">
        <x:v>아니오</x:v>
      </x:c>
      <x:c r="W838" s="2" t="str">
        <x:v>예</x:v>
      </x:c>
      <x:c r="X838" s="2" t="str">
        <x:v>ichi1,news2,nf35</x:v>
      </x:c>
      <x:c r="Y838" s="2" t="n">
        <x:v>100</x:v>
      </x:c>
      <x:c r="Z838" s="2" t="str">
        <x:v>ichi1,news2,nf35</x:v>
      </x:c>
      <x:c r="AA838" s="2" t="n">
        <x:v>100</x:v>
      </x:c>
      <x:c r="AB838" s="8" t="str">
        <x:v>esp. 鎮まる | esp. 静まる</x:v>
      </x:c>
      <x:c r="AC838" s="8" t="str"/>
      <x:c r="AD838" s="8" t="str">
        <x:v>["ko-reviewed"]</x:v>
      </x:c>
      <x:c r="AE838" s="8" t="str">
        <x:v>검토 필요</x:v>
      </x:c>
      <x:c r="AF838" s="8" t="str"/>
    </x:row>
    <x:row r="839">
      <x:c r="A839" s="10" t="n">
        <x:v>838</x:v>
      </x:c>
      <x:c r="B839" s="2" t="str">
        <x:v>2차 보류</x:v>
      </x:c>
      <x:c r="C839" s="2" t="str">
        <x:v>2차 보류</x:v>
      </x:c>
      <x:c r="D839" s="2" t="str">
        <x:v>낮음</x:v>
      </x:c>
      <x:c r="E839" s="2" t="str">
        <x:v>N3</x:v>
      </x:c>
      <x:c r="F839" s="10" t="n">
        <x:v>106</x:v>
      </x:c>
      <x:c r="G839" s="2" t="str">
        <x:v>w_27be111bcb85e67a</x:v>
      </x:c>
      <x:c r="H839" s="2" t="str">
        <x:v>卸す</x:v>
      </x:c>
      <x:c r="I839" s="2" t="str">
        <x:v>おろす</x:v>
      </x:c>
      <x:c r="J839" s="8" t="str">
        <x:v>도매하다, 갈다</x:v>
      </x:c>
      <x:c r="K839" s="2" t="str">
        <x:v>verb</x:v>
      </x:c>
      <x:c r="L839" s="9" t="n">
        <x:v>2.17</x:v>
      </x:c>
      <x:c r="M839" s="2" t="str">
        <x:v>없음</x:v>
      </x:c>
      <x:c r="N839" s="11" t="n">
        <x:v>1</x:v>
      </x:c>
      <x:c r="O839" s="8" t="str">
        <x:v>일반 사용 빈도 낮음(Zipf ≤ 2.5); 검증된 예문 없음</x:v>
      </x:c>
      <x:c r="P839" s="8" t="str">
        <x:v>frequency_le_2_5,no_example</x:v>
      </x:c>
      <x:c r="Q839" s="2" t="str"/>
      <x:c r="R839" s="2" t="str"/>
      <x:c r="S839" s="2" t="str"/>
      <x:c r="T839" s="2" t="str"/>
      <x:c r="U839" s="2" t="str"/>
      <x:c r="V839" s="2" t="str">
        <x:v>아니오</x:v>
      </x:c>
      <x:c r="W839" s="2" t="str">
        <x:v>예</x:v>
      </x:c>
      <x:c r="X839" s="2" t="str">
        <x:v>ichi1,news2,nf36</x:v>
      </x:c>
      <x:c r="Y839" s="2" t="n">
        <x:v>100</x:v>
      </x:c>
      <x:c r="Z839" s="2" t="str">
        <x:v>ichi1,news2,nf36</x:v>
      </x:c>
      <x:c r="AA839" s="2" t="n">
        <x:v>100</x:v>
      </x:c>
      <x:c r="AB839" s="8" t="str"/>
      <x:c r="AC839" s="8" t="str"/>
      <x:c r="AD839" s="8" t="str">
        <x:v>["ko-reviewed"]</x:v>
      </x:c>
      <x:c r="AE839" s="8" t="str">
        <x:v>검토 필요</x:v>
      </x:c>
      <x:c r="AF839" s="8" t="str"/>
    </x:row>
    <x:row r="840">
      <x:c r="A840" s="10" t="n">
        <x:v>839</x:v>
      </x:c>
      <x:c r="B840" s="2" t="str">
        <x:v>2차 보류</x:v>
      </x:c>
      <x:c r="C840" s="2" t="str">
        <x:v>2차 보류</x:v>
      </x:c>
      <x:c r="D840" s="2" t="str">
        <x:v>낮음</x:v>
      </x:c>
      <x:c r="E840" s="2" t="str">
        <x:v>N2</x:v>
      </x:c>
      <x:c r="F840" s="10" t="n">
        <x:v>292</x:v>
      </x:c>
      <x:c r="G840" s="2" t="str">
        <x:v>w_f9efad7e1cbd1f1b</x:v>
      </x:c>
      <x:c r="H840" s="2" t="str">
        <x:v>算盤</x:v>
      </x:c>
      <x:c r="I840" s="2" t="str">
        <x:v>そろばん</x:v>
      </x:c>
      <x:c r="J840" s="8" t="str">
        <x:v>주판</x:v>
      </x:c>
      <x:c r="K840" s="2" t="str">
        <x:v>noun</x:v>
      </x:c>
      <x:c r="L840" s="9" t="n">
        <x:v>2.18</x:v>
      </x:c>
      <x:c r="M840" s="2" t="str">
        <x:v>없음</x:v>
      </x:c>
      <x:c r="N840" s="11" t="n">
        <x:v>1</x:v>
      </x:c>
      <x:c r="O840" s="8" t="str">
        <x:v>일반 사용 빈도 낮음(Zipf ≤ 2.5); 검증된 예문 없음</x:v>
      </x:c>
      <x:c r="P840" s="8" t="str">
        <x:v>frequency_le_2_5,no_example</x:v>
      </x:c>
      <x:c r="Q840" s="2" t="str"/>
      <x:c r="R840" s="2" t="str"/>
      <x:c r="S840" s="2" t="str"/>
      <x:c r="T840" s="2" t="str"/>
      <x:c r="U840" s="2" t="str"/>
      <x:c r="V840" s="2" t="str">
        <x:v>아니오</x:v>
      </x:c>
      <x:c r="W840" s="2" t="str">
        <x:v>예</x:v>
      </x:c>
      <x:c r="X840" s="2" t="str">
        <x:v>ichi1</x:v>
      </x:c>
      <x:c r="Y840" s="2" t="n">
        <x:v>100</x:v>
      </x:c>
      <x:c r="Z840" s="2" t="str">
        <x:v>ichi1</x:v>
      </x:c>
      <x:c r="AA840" s="2" t="n">
        <x:v>100</x:v>
      </x:c>
      <x:c r="AB840" s="8" t="str">
        <x:v>word usually written using kana alone</x:v>
      </x:c>
      <x:c r="AC840" s="8" t="str"/>
      <x:c r="AD840" s="8" t="str">
        <x:v>["ko-reviewed"]</x:v>
      </x:c>
      <x:c r="AE840" s="8" t="str">
        <x:v>검토 필요</x:v>
      </x:c>
      <x:c r="AF840" s="8" t="str"/>
    </x:row>
    <x:row r="841">
      <x:c r="A841" s="10" t="n">
        <x:v>840</x:v>
      </x:c>
      <x:c r="B841" s="2" t="str">
        <x:v>2차 보류</x:v>
      </x:c>
      <x:c r="C841" s="2" t="str">
        <x:v>2차 보류</x:v>
      </x:c>
      <x:c r="D841" s="2" t="str">
        <x:v>낮음</x:v>
      </x:c>
      <x:c r="E841" s="2" t="str">
        <x:v>N2</x:v>
      </x:c>
      <x:c r="F841" s="10" t="n">
        <x:v>293</x:v>
      </x:c>
      <x:c r="G841" s="2" t="str">
        <x:v>w_56c7d010bc9f7c00</x:v>
      </x:c>
      <x:c r="H841" s="2" t="str">
        <x:v>応ずる</x:v>
      </x:c>
      <x:c r="I841" s="2" t="str">
        <x:v>おうずる</x:v>
      </x:c>
      <x:c r="J841" s="8" t="str">
        <x:v>응하다, 따르다</x:v>
      </x:c>
      <x:c r="K841" s="2" t="str">
        <x:v>verb</x:v>
      </x:c>
      <x:c r="L841" s="9" t="n">
        <x:v>2.19</x:v>
      </x:c>
      <x:c r="M841" s="2" t="str">
        <x:v>없음</x:v>
      </x:c>
      <x:c r="N841" s="11" t="n">
        <x:v>1</x:v>
      </x:c>
      <x:c r="O841" s="8" t="str">
        <x:v>일반 사용 빈도 낮음(Zipf ≤ 2.5); 검증된 예문 없음</x:v>
      </x:c>
      <x:c r="P841" s="8" t="str">
        <x:v>frequency_le_2_5,no_example</x:v>
      </x:c>
      <x:c r="Q841" s="2" t="str"/>
      <x:c r="R841" s="2" t="str"/>
      <x:c r="S841" s="2" t="str"/>
      <x:c r="T841" s="2" t="str"/>
      <x:c r="U841" s="2" t="str"/>
      <x:c r="V841" s="2" t="str">
        <x:v>아니오</x:v>
      </x:c>
      <x:c r="W841" s="2" t="str">
        <x:v>예</x:v>
      </x:c>
      <x:c r="X841" s="2" t="str">
        <x:v>ichi1,news2,nf26</x:v>
      </x:c>
      <x:c r="Y841" s="2" t="n">
        <x:v>100</x:v>
      </x:c>
      <x:c r="Z841" s="2" t="str">
        <x:v>ichi1,news2,nf26</x:v>
      </x:c>
      <x:c r="AA841" s="2" t="n">
        <x:v>100</x:v>
      </x:c>
      <x:c r="AB841" s="8" t="str"/>
      <x:c r="AC841" s="8" t="str"/>
      <x:c r="AD841" s="8" t="str">
        <x:v>["ko-reviewed"]</x:v>
      </x:c>
      <x:c r="AE841" s="8" t="str">
        <x:v>검토 필요</x:v>
      </x:c>
      <x:c r="AF841" s="8" t="str"/>
    </x:row>
    <x:row r="842">
      <x:c r="A842" s="10" t="n">
        <x:v>841</x:v>
      </x:c>
      <x:c r="B842" s="2" t="str">
        <x:v>2차 보류</x:v>
      </x:c>
      <x:c r="C842" s="2" t="str">
        <x:v>2차 보류</x:v>
      </x:c>
      <x:c r="D842" s="2" t="str">
        <x:v>낮음</x:v>
      </x:c>
      <x:c r="E842" s="2" t="str">
        <x:v>N2</x:v>
      </x:c>
      <x:c r="F842" s="10" t="n">
        <x:v>294</x:v>
      </x:c>
      <x:c r="G842" s="2" t="str">
        <x:v>w_239002bff34f6f02</x:v>
      </x:c>
      <x:c r="H842" s="2" t="str">
        <x:v>突き当たる</x:v>
      </x:c>
      <x:c r="I842" s="2" t="str">
        <x:v>つきあたる</x:v>
      </x:c>
      <x:c r="J842" s="8" t="str">
        <x:v>맞부딪히다, 부딪치다</x:v>
      </x:c>
      <x:c r="K842" s="2" t="str">
        <x:v>verb</x:v>
      </x:c>
      <x:c r="L842" s="9" t="n">
        <x:v>2.2</x:v>
      </x:c>
      <x:c r="M842" s="2" t="str">
        <x:v>없음</x:v>
      </x:c>
      <x:c r="N842" s="11" t="n">
        <x:v>1</x:v>
      </x:c>
      <x:c r="O842" s="8" t="str">
        <x:v>일반 사용 빈도 낮음(Zipf ≤ 2.5); 검증된 예문 없음</x:v>
      </x:c>
      <x:c r="P842" s="8" t="str">
        <x:v>frequency_le_2_5,no_example</x:v>
      </x:c>
      <x:c r="Q842" s="2" t="str"/>
      <x:c r="R842" s="2" t="str"/>
      <x:c r="S842" s="2" t="str"/>
      <x:c r="T842" s="2" t="str"/>
      <x:c r="U842" s="2" t="str"/>
      <x:c r="V842" s="2" t="str">
        <x:v>아니오</x:v>
      </x:c>
      <x:c r="W842" s="2" t="str">
        <x:v>예</x:v>
      </x:c>
      <x:c r="X842" s="2" t="str">
        <x:v>ichi1,news2,nf39</x:v>
      </x:c>
      <x:c r="Y842" s="2" t="n">
        <x:v>100</x:v>
      </x:c>
      <x:c r="Z842" s="2" t="str">
        <x:v>ichi1,news2,nf39</x:v>
      </x:c>
      <x:c r="AA842" s="2" t="n">
        <x:v>100</x:v>
      </x:c>
      <x:c r="AB842" s="8" t="str"/>
      <x:c r="AC842" s="8" t="str"/>
      <x:c r="AD842" s="8" t="str">
        <x:v>["ko-reviewed"]</x:v>
      </x:c>
      <x:c r="AE842" s="8" t="str">
        <x:v>검토 필요</x:v>
      </x:c>
      <x:c r="AF842" s="8" t="str"/>
    </x:row>
    <x:row r="843">
      <x:c r="A843" s="10" t="n">
        <x:v>842</x:v>
      </x:c>
      <x:c r="B843" s="2" t="str">
        <x:v>2차 보류</x:v>
      </x:c>
      <x:c r="C843" s="2" t="str">
        <x:v>2차 보류</x:v>
      </x:c>
      <x:c r="D843" s="2" t="str">
        <x:v>낮음</x:v>
      </x:c>
      <x:c r="E843" s="2" t="str">
        <x:v>N2</x:v>
      </x:c>
      <x:c r="F843" s="10" t="n">
        <x:v>295</x:v>
      </x:c>
      <x:c r="G843" s="2" t="str">
        <x:v>w_d3d2b10204204a0d</x:v>
      </x:c>
      <x:c r="H843" s="2" t="str">
        <x:v>ずらり</x:v>
      </x:c>
      <x:c r="I843" s="2" t="str">
        <x:v>ずらり</x:v>
      </x:c>
      <x:c r="J843" s="8" t="str">
        <x:v>죽 늘어선 모양</x:v>
      </x:c>
      <x:c r="K843" s="2" t="str">
        <x:v>adverb</x:v>
      </x:c>
      <x:c r="L843" s="9" t="n">
        <x:v>2.2</x:v>
      </x:c>
      <x:c r="M843" s="2" t="str">
        <x:v>없음</x:v>
      </x:c>
      <x:c r="N843" s="11" t="n">
        <x:v>1</x:v>
      </x:c>
      <x:c r="O843" s="8" t="str">
        <x:v>일반 사용 빈도 낮음(Zipf ≤ 2.5); 검증된 예문 없음</x:v>
      </x:c>
      <x:c r="P843" s="8" t="str">
        <x:v>frequency_le_2_5,no_example</x:v>
      </x:c>
      <x:c r="Q843" s="2" t="str"/>
      <x:c r="R843" s="2" t="str"/>
      <x:c r="S843" s="2" t="str"/>
      <x:c r="T843" s="2" t="str"/>
      <x:c r="U843" s="2" t="str"/>
      <x:c r="V843" s="2" t="str">
        <x:v>아니오</x:v>
      </x:c>
      <x:c r="W843" s="2" t="str">
        <x:v>예</x:v>
      </x:c>
      <x:c r="X843" s="2" t="str">
        <x:v>spec1</x:v>
      </x:c>
      <x:c r="Y843" s="2" t="n">
        <x:v>100</x:v>
      </x:c>
      <x:c r="Z843" s="2" t="str">
        <x:v>spec1</x:v>
      </x:c>
      <x:c r="AA843" s="2" t="n">
        <x:v>100</x:v>
      </x:c>
      <x:c r="AB843" s="8" t="str">
        <x:v>onomatopoeic or mimetic word</x:v>
      </x:c>
      <x:c r="AC843" s="8" t="str"/>
      <x:c r="AD843" s="8" t="str">
        <x:v>["ko-reviewed"]</x:v>
      </x:c>
      <x:c r="AE843" s="8" t="str">
        <x:v>검토 필요</x:v>
      </x:c>
      <x:c r="AF843" s="8" t="str"/>
    </x:row>
    <x:row r="844">
      <x:c r="A844" s="10" t="n">
        <x:v>843</x:v>
      </x:c>
      <x:c r="B844" s="2" t="str">
        <x:v>2차 보류</x:v>
      </x:c>
      <x:c r="C844" s="2" t="str">
        <x:v>2차 보류</x:v>
      </x:c>
      <x:c r="D844" s="2" t="str">
        <x:v>낮음</x:v>
      </x:c>
      <x:c r="E844" s="2" t="str">
        <x:v>N3</x:v>
      </x:c>
      <x:c r="F844" s="10" t="n">
        <x:v>107</x:v>
      </x:c>
      <x:c r="G844" s="2" t="str">
        <x:v>w_7fdd04b11a4aa983</x:v>
      </x:c>
      <x:c r="H844" s="2" t="str">
        <x:v>追い付く</x:v>
      </x:c>
      <x:c r="I844" s="2" t="str">
        <x:v>おいつく</x:v>
      </x:c>
      <x:c r="J844" s="8" t="str">
        <x:v>따라잡다</x:v>
      </x:c>
      <x:c r="K844" s="2" t="str">
        <x:v>verb</x:v>
      </x:c>
      <x:c r="L844" s="9" t="n">
        <x:v>2.21</x:v>
      </x:c>
      <x:c r="M844" s="2" t="str">
        <x:v>없음</x:v>
      </x:c>
      <x:c r="N844" s="11" t="n">
        <x:v>1</x:v>
      </x:c>
      <x:c r="O844" s="8" t="str">
        <x:v>일반 사용 빈도 낮음(Zipf ≤ 2.5); 검증된 예문 없음</x:v>
      </x:c>
      <x:c r="P844" s="8" t="str">
        <x:v>frequency_le_2_5,no_example</x:v>
      </x:c>
      <x:c r="Q844" s="2" t="str"/>
      <x:c r="R844" s="2" t="str"/>
      <x:c r="S844" s="2" t="str"/>
      <x:c r="T844" s="2" t="str"/>
      <x:c r="U844" s="2" t="str"/>
      <x:c r="V844" s="2" t="str">
        <x:v>아니오</x:v>
      </x:c>
      <x:c r="W844" s="2" t="str">
        <x:v>예</x:v>
      </x:c>
      <x:c r="X844" s="2" t="str">
        <x:v>ichi1,news1,nf16</x:v>
      </x:c>
      <x:c r="Y844" s="2" t="n">
        <x:v>100</x:v>
      </x:c>
      <x:c r="Z844" s="2" t="str">
        <x:v>ichi1</x:v>
      </x:c>
      <x:c r="AA844" s="2" t="n">
        <x:v>100</x:v>
      </x:c>
      <x:c r="AB844" s="8" t="str"/>
      <x:c r="AC844" s="8" t="str"/>
      <x:c r="AD844" s="8" t="str">
        <x:v>["ko-reviewed"]</x:v>
      </x:c>
      <x:c r="AE844" s="8" t="str">
        <x:v>검토 필요</x:v>
      </x:c>
      <x:c r="AF844" s="8" t="str"/>
    </x:row>
    <x:row r="845">
      <x:c r="A845" s="10" t="n">
        <x:v>844</x:v>
      </x:c>
      <x:c r="B845" s="2" t="str">
        <x:v>2차 보류</x:v>
      </x:c>
      <x:c r="C845" s="2" t="str">
        <x:v>2차 보류</x:v>
      </x:c>
      <x:c r="D845" s="2" t="str">
        <x:v>낮음</x:v>
      </x:c>
      <x:c r="E845" s="2" t="str">
        <x:v>N1</x:v>
      </x:c>
      <x:c r="F845" s="10" t="n">
        <x:v>360</x:v>
      </x:c>
      <x:c r="G845" s="2" t="str">
        <x:v>w_d95eebf69c433d30</x:v>
      </x:c>
      <x:c r="H845" s="2" t="str">
        <x:v>ぶかぶか</x:v>
      </x:c>
      <x:c r="I845" s="2" t="str">
        <x:v>ぶかぶか</x:v>
      </x:c>
      <x:c r="J845" s="8" t="str">
        <x:v>헐렁헐렁</x:v>
      </x:c>
      <x:c r="K845" s="2" t="str">
        <x:v>adjective</x:v>
      </x:c>
      <x:c r="L845" s="9" t="n">
        <x:v>2.21</x:v>
      </x:c>
      <x:c r="M845" s="2" t="str">
        <x:v>없음</x:v>
      </x:c>
      <x:c r="N845" s="11" t="n">
        <x:v>1</x:v>
      </x:c>
      <x:c r="O845" s="8" t="str">
        <x:v>일반 사용 빈도 낮음(Zipf ≤ 2.5); 검증된 예문 없음</x:v>
      </x:c>
      <x:c r="P845" s="8" t="str">
        <x:v>frequency_le_2_5,no_example</x:v>
      </x:c>
      <x:c r="Q845" s="2" t="str"/>
      <x:c r="R845" s="2" t="str"/>
      <x:c r="S845" s="2" t="str"/>
      <x:c r="T845" s="2" t="str"/>
      <x:c r="U845" s="2" t="str"/>
      <x:c r="V845" s="2" t="str">
        <x:v>아니오</x:v>
      </x:c>
      <x:c r="W845" s="2" t="str">
        <x:v>예</x:v>
      </x:c>
      <x:c r="X845" s="2" t="str">
        <x:v>ichi1</x:v>
      </x:c>
      <x:c r="Y845" s="2" t="n">
        <x:v>100</x:v>
      </x:c>
      <x:c r="Z845" s="2" t="str">
        <x:v>ichi1</x:v>
      </x:c>
      <x:c r="AA845" s="2" t="n">
        <x:v>100</x:v>
      </x:c>
      <x:c r="AB845" s="8" t="str">
        <x:v>onomatopoeic or mimetic word</x:v>
      </x:c>
      <x:c r="AC845" s="8" t="str"/>
      <x:c r="AD845" s="8" t="str">
        <x:v>["ko-reviewed"]</x:v>
      </x:c>
      <x:c r="AE845" s="8" t="str">
        <x:v>검토 필요</x:v>
      </x:c>
      <x:c r="AF845" s="8" t="str"/>
    </x:row>
    <x:row r="846">
      <x:c r="A846" s="10" t="n">
        <x:v>845</x:v>
      </x:c>
      <x:c r="B846" s="2" t="str">
        <x:v>2차 보류</x:v>
      </x:c>
      <x:c r="C846" s="2" t="str">
        <x:v>2차 보류</x:v>
      </x:c>
      <x:c r="D846" s="2" t="str">
        <x:v>낮음</x:v>
      </x:c>
      <x:c r="E846" s="2" t="str">
        <x:v>N2</x:v>
      </x:c>
      <x:c r="F846" s="10" t="n">
        <x:v>296</x:v>
      </x:c>
      <x:c r="G846" s="2" t="str">
        <x:v>w_f49cc52552a99478</x:v>
      </x:c>
      <x:c r="H846" s="2" t="str">
        <x:v>仮名遣い</x:v>
      </x:c>
      <x:c r="I846" s="2" t="str">
        <x:v>かなづかい</x:v>
      </x:c>
      <x:c r="J846" s="8" t="str">
        <x:v>가나 표기법</x:v>
      </x:c>
      <x:c r="K846" s="2" t="str">
        <x:v>noun</x:v>
      </x:c>
      <x:c r="L846" s="9" t="n">
        <x:v>2.23</x:v>
      </x:c>
      <x:c r="M846" s="2" t="str">
        <x:v>없음</x:v>
      </x:c>
      <x:c r="N846" s="11" t="n">
        <x:v>1</x:v>
      </x:c>
      <x:c r="O846" s="8" t="str">
        <x:v>일반 사용 빈도 낮음(Zipf ≤ 2.5); 검증된 예문 없음</x:v>
      </x:c>
      <x:c r="P846" s="8" t="str">
        <x:v>frequency_le_2_5,no_example</x:v>
      </x:c>
      <x:c r="Q846" s="2" t="str"/>
      <x:c r="R846" s="2" t="str"/>
      <x:c r="S846" s="2" t="str"/>
      <x:c r="T846" s="2" t="str"/>
      <x:c r="U846" s="2" t="str"/>
      <x:c r="V846" s="2" t="str">
        <x:v>아니오</x:v>
      </x:c>
      <x:c r="W846" s="2" t="str">
        <x:v>예</x:v>
      </x:c>
      <x:c r="X846" s="2" t="str">
        <x:v>ichi1</x:v>
      </x:c>
      <x:c r="Y846" s="2" t="n">
        <x:v>100</x:v>
      </x:c>
      <x:c r="Z846" s="2" t="str">
        <x:v>ichi1</x:v>
      </x:c>
      <x:c r="AA846" s="2" t="n">
        <x:v>100</x:v>
      </x:c>
      <x:c r="AB846" s="8" t="str"/>
      <x:c r="AC846" s="8" t="str"/>
      <x:c r="AD846" s="8" t="str">
        <x:v>["ko-reviewed"]</x:v>
      </x:c>
      <x:c r="AE846" s="8" t="str">
        <x:v>검토 필요</x:v>
      </x:c>
      <x:c r="AF846" s="8" t="str"/>
    </x:row>
    <x:row r="847">
      <x:c r="A847" s="10" t="n">
        <x:v>846</x:v>
      </x:c>
      <x:c r="B847" s="2" t="str">
        <x:v>2차 보류</x:v>
      </x:c>
      <x:c r="C847" s="2" t="str">
        <x:v>2차 보류</x:v>
      </x:c>
      <x:c r="D847" s="2" t="str">
        <x:v>낮음</x:v>
      </x:c>
      <x:c r="E847" s="2" t="str">
        <x:v>N1</x:v>
      </x:c>
      <x:c r="F847" s="10" t="n">
        <x:v>361</x:v>
      </x:c>
      <x:c r="G847" s="2" t="str">
        <x:v>w_2c56002cb47ff327</x:v>
      </x:c>
      <x:c r="H847" s="2" t="str">
        <x:v>遊牧</x:v>
      </x:c>
      <x:c r="I847" s="2" t="str">
        <x:v>ゆうぼく</x:v>
      </x:c>
      <x:c r="J847" s="8" t="str">
        <x:v>유목</x:v>
      </x:c>
      <x:c r="K847" s="2" t="str">
        <x:v>noun</x:v>
      </x:c>
      <x:c r="L847" s="9" t="n">
        <x:v>2.24</x:v>
      </x:c>
      <x:c r="M847" s="2" t="str">
        <x:v>없음</x:v>
      </x:c>
      <x:c r="N847" s="11" t="n">
        <x:v>1</x:v>
      </x:c>
      <x:c r="O847" s="8" t="str">
        <x:v>일반 사용 빈도 낮음(Zipf ≤ 2.5); 검증된 예문 없음</x:v>
      </x:c>
      <x:c r="P847" s="8" t="str">
        <x:v>frequency_le_2_5,no_example</x:v>
      </x:c>
      <x:c r="Q847" s="2" t="str"/>
      <x:c r="R847" s="2" t="str"/>
      <x:c r="S847" s="2" t="str"/>
      <x:c r="T847" s="2" t="str"/>
      <x:c r="U847" s="2" t="str"/>
      <x:c r="V847" s="2" t="str">
        <x:v>아니오</x:v>
      </x:c>
      <x:c r="W847" s="2" t="str">
        <x:v>예</x:v>
      </x:c>
      <x:c r="X847" s="2" t="str">
        <x:v>news1,nf19</x:v>
      </x:c>
      <x:c r="Y847" s="2" t="n">
        <x:v>100</x:v>
      </x:c>
      <x:c r="Z847" s="2" t="str">
        <x:v>news1,nf19</x:v>
      </x:c>
      <x:c r="AA847" s="2" t="n">
        <x:v>100</x:v>
      </x:c>
      <x:c r="AB847" s="8" t="str"/>
      <x:c r="AC847" s="8" t="str"/>
      <x:c r="AD847" s="8" t="str">
        <x:v>["ko-reviewed"]</x:v>
      </x:c>
      <x:c r="AE847" s="8" t="str">
        <x:v>검토 필요</x:v>
      </x:c>
      <x:c r="AF847" s="8" t="str"/>
    </x:row>
    <x:row r="848">
      <x:c r="A848" s="10" t="n">
        <x:v>847</x:v>
      </x:c>
      <x:c r="B848" s="2" t="str">
        <x:v>2차 보류</x:v>
      </x:c>
      <x:c r="C848" s="2" t="str">
        <x:v>2차 보류</x:v>
      </x:c>
      <x:c r="D848" s="2" t="str">
        <x:v>낮음</x:v>
      </x:c>
      <x:c r="E848" s="2" t="str">
        <x:v>N2</x:v>
      </x:c>
      <x:c r="F848" s="10" t="n">
        <x:v>297</x:v>
      </x:c>
      <x:c r="G848" s="2" t="str">
        <x:v>w_6c4c847c16982fb1</x:v>
      </x:c>
      <x:c r="H848" s="2" t="str">
        <x:v>話し掛ける</x:v>
      </x:c>
      <x:c r="I848" s="2" t="str">
        <x:v>はなしかける</x:v>
      </x:c>
      <x:c r="J848" s="8" t="str">
        <x:v>말을 걸다</x:v>
      </x:c>
      <x:c r="K848" s="2" t="str">
        <x:v>verb</x:v>
      </x:c>
      <x:c r="L848" s="9" t="n">
        <x:v>2.25</x:v>
      </x:c>
      <x:c r="M848" s="2" t="str">
        <x:v>없음</x:v>
      </x:c>
      <x:c r="N848" s="11" t="n">
        <x:v>1</x:v>
      </x:c>
      <x:c r="O848" s="8" t="str">
        <x:v>일반 사용 빈도 낮음(Zipf ≤ 2.5); 검증된 예문 없음</x:v>
      </x:c>
      <x:c r="P848" s="8" t="str">
        <x:v>frequency_le_2_5,no_example</x:v>
      </x:c>
      <x:c r="Q848" s="2" t="str"/>
      <x:c r="R848" s="2" t="str"/>
      <x:c r="S848" s="2" t="str"/>
      <x:c r="T848" s="2" t="str"/>
      <x:c r="U848" s="2" t="str"/>
      <x:c r="V848" s="2" t="str">
        <x:v>아니오</x:v>
      </x:c>
      <x:c r="W848" s="2" t="str">
        <x:v>예</x:v>
      </x:c>
      <x:c r="X848" s="2" t="str">
        <x:v>ichi1,news2,nf34,spec1</x:v>
      </x:c>
      <x:c r="Y848" s="2" t="n">
        <x:v>100</x:v>
      </x:c>
      <x:c r="Z848" s="2" t="str">
        <x:v>ichi1</x:v>
      </x:c>
      <x:c r="AA848" s="2" t="n">
        <x:v>100</x:v>
      </x:c>
      <x:c r="AB848" s="8" t="str"/>
      <x:c r="AC848" s="8" t="str"/>
      <x:c r="AD848" s="8" t="str">
        <x:v>["ko-reviewed"]</x:v>
      </x:c>
      <x:c r="AE848" s="8" t="str">
        <x:v>검토 필요</x:v>
      </x:c>
      <x:c r="AF848" s="8" t="str"/>
    </x:row>
    <x:row r="849">
      <x:c r="A849" s="10" t="n">
        <x:v>848</x:v>
      </x:c>
      <x:c r="B849" s="2" t="str">
        <x:v>2차 보류</x:v>
      </x:c>
      <x:c r="C849" s="2" t="str">
        <x:v>2차 보류</x:v>
      </x:c>
      <x:c r="D849" s="2" t="str">
        <x:v>낮음</x:v>
      </x:c>
      <x:c r="E849" s="2" t="str">
        <x:v>N1</x:v>
      </x:c>
      <x:c r="F849" s="10" t="n">
        <x:v>362</x:v>
      </x:c>
      <x:c r="G849" s="2" t="str">
        <x:v>w_452a364db88fc864</x:v>
      </x:c>
      <x:c r="H849" s="2" t="str">
        <x:v>タイピスト</x:v>
      </x:c>
      <x:c r="I849" s="2" t="str">
        <x:v>タイピスト</x:v>
      </x:c>
      <x:c r="J849" s="8" t="str">
        <x:v>타이피스트</x:v>
      </x:c>
      <x:c r="K849" s="2" t="str">
        <x:v>noun</x:v>
      </x:c>
      <x:c r="L849" s="9" t="n">
        <x:v>2.25</x:v>
      </x:c>
      <x:c r="M849" s="2" t="str">
        <x:v>없음</x:v>
      </x:c>
      <x:c r="N849" s="11" t="n">
        <x:v>1</x:v>
      </x:c>
      <x:c r="O849" s="8" t="str">
        <x:v>일반 사용 빈도 낮음(Zipf ≤ 2.5); 검증된 예문 없음</x:v>
      </x:c>
      <x:c r="P849" s="8" t="str">
        <x:v>frequency_le_2_5,no_example</x:v>
      </x:c>
      <x:c r="Q849" s="2" t="str"/>
      <x:c r="R849" s="2" t="str"/>
      <x:c r="S849" s="2" t="str"/>
      <x:c r="T849" s="2" t="str"/>
      <x:c r="U849" s="2" t="str"/>
      <x:c r="V849" s="2" t="str">
        <x:v>아니오</x:v>
      </x:c>
      <x:c r="W849" s="2" t="str">
        <x:v>예</x:v>
      </x:c>
      <x:c r="X849" s="2" t="str">
        <x:v>gai1</x:v>
      </x:c>
      <x:c r="Y849" s="2" t="n">
        <x:v>100</x:v>
      </x:c>
      <x:c r="Z849" s="2" t="str">
        <x:v>gai1</x:v>
      </x:c>
      <x:c r="AA849" s="2" t="n">
        <x:v>100</x:v>
      </x:c>
      <x:c r="AB849" s="8" t="str"/>
      <x:c r="AC849" s="8" t="str"/>
      <x:c r="AD849" s="8" t="str">
        <x:v>["ko-reviewed"]</x:v>
      </x:c>
      <x:c r="AE849" s="8" t="str">
        <x:v>검토 필요</x:v>
      </x:c>
      <x:c r="AF849" s="8" t="str"/>
    </x:row>
    <x:row r="850">
      <x:c r="A850" s="10" t="n">
        <x:v>849</x:v>
      </x:c>
      <x:c r="B850" s="2" t="str">
        <x:v>2차 보류</x:v>
      </x:c>
      <x:c r="C850" s="2" t="str">
        <x:v>2차 보류</x:v>
      </x:c>
      <x:c r="D850" s="2" t="str">
        <x:v>낮음</x:v>
      </x:c>
      <x:c r="E850" s="2" t="str">
        <x:v>N1</x:v>
      </x:c>
      <x:c r="F850" s="10" t="n">
        <x:v>363</x:v>
      </x:c>
      <x:c r="G850" s="2" t="str">
        <x:v>w_97731d4ab62bb631</x:v>
      </x:c>
      <x:c r="H850" s="2" t="str">
        <x:v>顔付き</x:v>
      </x:c>
      <x:c r="I850" s="2" t="str">
        <x:v>かおつき</x:v>
      </x:c>
      <x:c r="J850" s="8" t="str">
        <x:v>얼굴 생김새, 표정</x:v>
      </x:c>
      <x:c r="K850" s="2" t="str">
        <x:v>noun</x:v>
      </x:c>
      <x:c r="L850" s="9" t="n">
        <x:v>2.26</x:v>
      </x:c>
      <x:c r="M850" s="2" t="str">
        <x:v>없음</x:v>
      </x:c>
      <x:c r="N850" s="11" t="n">
        <x:v>1</x:v>
      </x:c>
      <x:c r="O850" s="8" t="str">
        <x:v>일반 사용 빈도 낮음(Zipf ≤ 2.5); 검증된 예문 없음</x:v>
      </x:c>
      <x:c r="P850" s="8" t="str">
        <x:v>frequency_le_2_5,no_example</x:v>
      </x:c>
      <x:c r="Q850" s="2" t="str"/>
      <x:c r="R850" s="2" t="str"/>
      <x:c r="S850" s="2" t="str"/>
      <x:c r="T850" s="2" t="str"/>
      <x:c r="U850" s="2" t="str"/>
      <x:c r="V850" s="2" t="str">
        <x:v>아니오</x:v>
      </x:c>
      <x:c r="W850" s="2" t="str">
        <x:v>예</x:v>
      </x:c>
      <x:c r="X850" s="2" t="str">
        <x:v>ichi1,news2,nf32,spec1</x:v>
      </x:c>
      <x:c r="Y850" s="2" t="n">
        <x:v>100</x:v>
      </x:c>
      <x:c r="Z850" s="2" t="str">
        <x:v>ichi1,news2,nf32</x:v>
      </x:c>
      <x:c r="AA850" s="2" t="n">
        <x:v>100</x:v>
      </x:c>
      <x:c r="AB850" s="8" t="str"/>
      <x:c r="AC850" s="8" t="str"/>
      <x:c r="AD850" s="8" t="str">
        <x:v>["ko-reviewed"]</x:v>
      </x:c>
      <x:c r="AE850" s="8" t="str">
        <x:v>검토 필요</x:v>
      </x:c>
      <x:c r="AF850" s="8" t="str"/>
    </x:row>
    <x:row r="851">
      <x:c r="A851" s="10" t="n">
        <x:v>850</x:v>
      </x:c>
      <x:c r="B851" s="2" t="str">
        <x:v>2차 보류</x:v>
      </x:c>
      <x:c r="C851" s="2" t="str">
        <x:v>2차 보류</x:v>
      </x:c>
      <x:c r="D851" s="2" t="str">
        <x:v>낮음</x:v>
      </x:c>
      <x:c r="E851" s="2" t="str">
        <x:v>N2</x:v>
      </x:c>
      <x:c r="F851" s="10" t="n">
        <x:v>298</x:v>
      </x:c>
      <x:c r="G851" s="2" t="str">
        <x:v>w_a778d189c9324e93</x:v>
      </x:c>
      <x:c r="H851" s="2" t="str">
        <x:v>見舞う</x:v>
      </x:c>
      <x:c r="I851" s="2" t="str">
        <x:v>みまう</x:v>
      </x:c>
      <x:c r="J851" s="8" t="str">
        <x:v>문병하다, 방문하다</x:v>
      </x:c>
      <x:c r="K851" s="2" t="str">
        <x:v>verb</x:v>
      </x:c>
      <x:c r="L851" s="9" t="n">
        <x:v>2.28</x:v>
      </x:c>
      <x:c r="M851" s="2" t="str">
        <x:v>없음</x:v>
      </x:c>
      <x:c r="N851" s="11" t="n">
        <x:v>1</x:v>
      </x:c>
      <x:c r="O851" s="8" t="str">
        <x:v>일반 사용 빈도 낮음(Zipf ≤ 2.5); 검증된 예문 없음</x:v>
      </x:c>
      <x:c r="P851" s="8" t="str">
        <x:v>frequency_le_2_5,no_example</x:v>
      </x:c>
      <x:c r="Q851" s="2" t="str"/>
      <x:c r="R851" s="2" t="str"/>
      <x:c r="S851" s="2" t="str"/>
      <x:c r="T851" s="2" t="str"/>
      <x:c r="U851" s="2" t="str"/>
      <x:c r="V851" s="2" t="str">
        <x:v>아니오</x:v>
      </x:c>
      <x:c r="W851" s="2" t="str">
        <x:v>예</x:v>
      </x:c>
      <x:c r="X851" s="2" t="str">
        <x:v>ichi1,news1,nf08</x:v>
      </x:c>
      <x:c r="Y851" s="2" t="n">
        <x:v>100</x:v>
      </x:c>
      <x:c r="Z851" s="2" t="str">
        <x:v>ichi1,news1,nf08</x:v>
      </x:c>
      <x:c r="AA851" s="2" t="n">
        <x:v>100</x:v>
      </x:c>
      <x:c r="AB851" s="8" t="str"/>
      <x:c r="AC851" s="8" t="str"/>
      <x:c r="AD851" s="8" t="str">
        <x:v>["backfill-replacement","assistant-ko-reviewed"]</x:v>
      </x:c>
      <x:c r="AE851" s="8" t="str">
        <x:v>검토 필요</x:v>
      </x:c>
      <x:c r="AF851" s="8" t="str"/>
    </x:row>
    <x:row r="852">
      <x:c r="A852" s="10" t="n">
        <x:v>851</x:v>
      </x:c>
      <x:c r="B852" s="2" t="str">
        <x:v>2차 보류</x:v>
      </x:c>
      <x:c r="C852" s="2" t="str">
        <x:v>2차 보류</x:v>
      </x:c>
      <x:c r="D852" s="2" t="str">
        <x:v>낮음</x:v>
      </x:c>
      <x:c r="E852" s="2" t="str">
        <x:v>N2</x:v>
      </x:c>
      <x:c r="F852" s="10" t="n">
        <x:v>299</x:v>
      </x:c>
      <x:c r="G852" s="2" t="str">
        <x:v>w_da1f035a767affab</x:v>
      </x:c>
      <x:c r="H852" s="2" t="str">
        <x:v>錆びる</x:v>
      </x:c>
      <x:c r="I852" s="2" t="str">
        <x:v>さびる</x:v>
      </x:c>
      <x:c r="J852" s="8" t="str">
        <x:v>녹슬다</x:v>
      </x:c>
      <x:c r="K852" s="2" t="str">
        <x:v>verb</x:v>
      </x:c>
      <x:c r="L852" s="9" t="n">
        <x:v>2.31</x:v>
      </x:c>
      <x:c r="M852" s="2" t="str">
        <x:v>없음</x:v>
      </x:c>
      <x:c r="N852" s="11" t="n">
        <x:v>1</x:v>
      </x:c>
      <x:c r="O852" s="8" t="str">
        <x:v>일반 사용 빈도 낮음(Zipf ≤ 2.5); 검증된 예문 없음</x:v>
      </x:c>
      <x:c r="P852" s="8" t="str">
        <x:v>frequency_le_2_5,no_example</x:v>
      </x:c>
      <x:c r="Q852" s="2" t="str"/>
      <x:c r="R852" s="2" t="str"/>
      <x:c r="S852" s="2" t="str"/>
      <x:c r="T852" s="2" t="str"/>
      <x:c r="U852" s="2" t="str"/>
      <x:c r="V852" s="2" t="str">
        <x:v>아니오</x:v>
      </x:c>
      <x:c r="W852" s="2" t="str">
        <x:v>예</x:v>
      </x:c>
      <x:c r="X852" s="2" t="str">
        <x:v>ichi1</x:v>
      </x:c>
      <x:c r="Y852" s="2" t="n">
        <x:v>100</x:v>
      </x:c>
      <x:c r="Z852" s="2" t="str">
        <x:v>ichi1</x:v>
      </x:c>
      <x:c r="AA852" s="2" t="n">
        <x:v>100</x:v>
      </x:c>
      <x:c r="AB852" s="8" t="str"/>
      <x:c r="AC852" s="8" t="str"/>
      <x:c r="AD852" s="8" t="str">
        <x:v>["ko-reviewed"]</x:v>
      </x:c>
      <x:c r="AE852" s="8" t="str">
        <x:v>검토 필요</x:v>
      </x:c>
      <x:c r="AF852" s="8" t="str"/>
    </x:row>
    <x:row r="853">
      <x:c r="A853" s="10" t="n">
        <x:v>852</x:v>
      </x:c>
      <x:c r="B853" s="2" t="str">
        <x:v>2차 보류</x:v>
      </x:c>
      <x:c r="C853" s="2" t="str">
        <x:v>2차 보류</x:v>
      </x:c>
      <x:c r="D853" s="2" t="str">
        <x:v>낮음</x:v>
      </x:c>
      <x:c r="E853" s="2" t="str">
        <x:v>N1</x:v>
      </x:c>
      <x:c r="F853" s="10" t="n">
        <x:v>364</x:v>
      </x:c>
      <x:c r="G853" s="2" t="str">
        <x:v>w_3b4e4545da94bd5a</x:v>
      </x:c>
      <x:c r="H853" s="2" t="str">
        <x:v>意気込む</x:v>
      </x:c>
      <x:c r="I853" s="2" t="str">
        <x:v>いきごむ</x:v>
      </x:c>
      <x:c r="J853" s="8" t="str">
        <x:v>의욕에 차다, 벼르다</x:v>
      </x:c>
      <x:c r="K853" s="2" t="str">
        <x:v>verb</x:v>
      </x:c>
      <x:c r="L853" s="9" t="n">
        <x:v>2.31</x:v>
      </x:c>
      <x:c r="M853" s="2" t="str">
        <x:v>없음</x:v>
      </x:c>
      <x:c r="N853" s="11" t="n">
        <x:v>1</x:v>
      </x:c>
      <x:c r="O853" s="8" t="str">
        <x:v>일반 사용 빈도 낮음(Zipf ≤ 2.5); 검증된 예문 없음</x:v>
      </x:c>
      <x:c r="P853" s="8" t="str">
        <x:v>frequency_le_2_5,no_example</x:v>
      </x:c>
      <x:c r="Q853" s="2" t="str"/>
      <x:c r="R853" s="2" t="str"/>
      <x:c r="S853" s="2" t="str"/>
      <x:c r="T853" s="2" t="str"/>
      <x:c r="U853" s="2" t="str"/>
      <x:c r="V853" s="2" t="str">
        <x:v>아니오</x:v>
      </x:c>
      <x:c r="W853" s="2" t="str">
        <x:v>예</x:v>
      </x:c>
      <x:c r="X853" s="2" t="str">
        <x:v>news1,nf17</x:v>
      </x:c>
      <x:c r="Y853" s="2" t="n">
        <x:v>100</x:v>
      </x:c>
      <x:c r="Z853" s="2" t="str">
        <x:v>news1,nf17</x:v>
      </x:c>
      <x:c r="AA853" s="2" t="n">
        <x:v>100</x:v>
      </x:c>
      <x:c r="AB853" s="8" t="str"/>
      <x:c r="AC853" s="8" t="str"/>
      <x:c r="AD853" s="8" t="str">
        <x:v>["ko-reviewed"]</x:v>
      </x:c>
      <x:c r="AE853" s="8" t="str">
        <x:v>검토 필요</x:v>
      </x:c>
      <x:c r="AF853" s="8" t="str"/>
    </x:row>
    <x:row r="854">
      <x:c r="A854" s="10" t="n">
        <x:v>853</x:v>
      </x:c>
      <x:c r="B854" s="2" t="str">
        <x:v>2차 보류</x:v>
      </x:c>
      <x:c r="C854" s="2" t="str">
        <x:v>2차 보류</x:v>
      </x:c>
      <x:c r="D854" s="2" t="str">
        <x:v>낮음</x:v>
      </x:c>
      <x:c r="E854" s="2" t="str">
        <x:v>N3</x:v>
      </x:c>
      <x:c r="F854" s="10" t="n">
        <x:v>108</x:v>
      </x:c>
      <x:c r="G854" s="2" t="str">
        <x:v>w_a88976287b450da4</x:v>
      </x:c>
      <x:c r="H854" s="2" t="str">
        <x:v>反る</x:v>
      </x:c>
      <x:c r="I854" s="2" t="str">
        <x:v>かえる</x:v>
      </x:c>
      <x:c r="J854" s="8" t="str">
        <x:v>휘다, 뒤틀리다</x:v>
      </x:c>
      <x:c r="K854" s="2" t="str">
        <x:v>verb</x:v>
      </x:c>
      <x:c r="L854" s="9" t="n">
        <x:v>2.33</x:v>
      </x:c>
      <x:c r="M854" s="2" t="str">
        <x:v>없음</x:v>
      </x:c>
      <x:c r="N854" s="11" t="n">
        <x:v>1</x:v>
      </x:c>
      <x:c r="O854" s="8" t="str">
        <x:v>일반 사용 빈도 낮음(Zipf ≤ 2.5); 검증된 예문 없음</x:v>
      </x:c>
      <x:c r="P854" s="8" t="str">
        <x:v>frequency_le_2_5,no_example</x:v>
      </x:c>
      <x:c r="Q854" s="2" t="str"/>
      <x:c r="R854" s="2" t="str"/>
      <x:c r="S854" s="2" t="str"/>
      <x:c r="T854" s="2" t="str"/>
      <x:c r="U854" s="2" t="str"/>
      <x:c r="V854" s="2" t="str">
        <x:v>아니오</x:v>
      </x:c>
      <x:c r="W854" s="2" t="str">
        <x:v>예</x:v>
      </x:c>
      <x:c r="X854" s="2" t="str">
        <x:v>ichi1,news2,nf42</x:v>
      </x:c>
      <x:c r="Y854" s="2" t="n">
        <x:v>100</x:v>
      </x:c>
      <x:c r="Z854" s="2" t="str">
        <x:v>ichi1</x:v>
      </x:c>
      <x:c r="AA854" s="2" t="n">
        <x:v>100</x:v>
      </x:c>
      <x:c r="AB854" s="8" t="str">
        <x:v>after the -masu stem of a verb; esp. 返る | esp. 返る</x:v>
      </x:c>
      <x:c r="AC854" s="8" t="str"/>
      <x:c r="AD854" s="8" t="str">
        <x:v>["ko-reviewed"]</x:v>
      </x:c>
      <x:c r="AE854" s="8" t="str">
        <x:v>검토 필요</x:v>
      </x:c>
      <x:c r="AF854" s="8" t="str"/>
    </x:row>
    <x:row r="855">
      <x:c r="A855" s="10" t="n">
        <x:v>854</x:v>
      </x:c>
      <x:c r="B855" s="2" t="str">
        <x:v>2차 보류</x:v>
      </x:c>
      <x:c r="C855" s="2" t="str">
        <x:v>2차 보류</x:v>
      </x:c>
      <x:c r="D855" s="2" t="str">
        <x:v>낮음</x:v>
      </x:c>
      <x:c r="E855" s="2" t="str">
        <x:v>N1</x:v>
      </x:c>
      <x:c r="F855" s="10" t="n">
        <x:v>365</x:v>
      </x:c>
      <x:c r="G855" s="2" t="str">
        <x:v>w_7cedab9cab8641d2</x:v>
      </x:c>
      <x:c r="H855" s="2" t="str">
        <x:v>反る</x:v>
      </x:c>
      <x:c r="I855" s="2" t="str">
        <x:v>そる</x:v>
      </x:c>
      <x:c r="J855" s="8" t="str">
        <x:v>휘다, 뒤틀리다</x:v>
      </x:c>
      <x:c r="K855" s="2" t="str">
        <x:v>verb</x:v>
      </x:c>
      <x:c r="L855" s="9" t="n">
        <x:v>2.33</x:v>
      </x:c>
      <x:c r="M855" s="2" t="str">
        <x:v>없음</x:v>
      </x:c>
      <x:c r="N855" s="11" t="n">
        <x:v>1</x:v>
      </x:c>
      <x:c r="O855" s="8" t="str">
        <x:v>일반 사용 빈도 낮음(Zipf ≤ 2.5); 검증된 예문 없음</x:v>
      </x:c>
      <x:c r="P855" s="8" t="str">
        <x:v>frequency_le_2_5,no_example</x:v>
      </x:c>
      <x:c r="Q855" s="2" t="str"/>
      <x:c r="R855" s="2" t="str"/>
      <x:c r="S855" s="2" t="str"/>
      <x:c r="T855" s="2" t="str"/>
      <x:c r="U855" s="2" t="str"/>
      <x:c r="V855" s="2" t="str">
        <x:v>아니오</x:v>
      </x:c>
      <x:c r="W855" s="2" t="str">
        <x:v>예</x:v>
      </x:c>
      <x:c r="X855" s="2" t="str">
        <x:v>ichi1</x:v>
      </x:c>
      <x:c r="Y855" s="2" t="n">
        <x:v>100</x:v>
      </x:c>
      <x:c r="Z855" s="2" t="str">
        <x:v>ichi1</x:v>
      </x:c>
      <x:c r="AA855" s="2" t="n">
        <x:v>100</x:v>
      </x:c>
      <x:c r="AB855" s="8" t="str"/>
      <x:c r="AC855" s="8" t="str"/>
      <x:c r="AD855" s="8" t="str">
        <x:v>["ko-reviewed"]</x:v>
      </x:c>
      <x:c r="AE855" s="8" t="str">
        <x:v>검토 필요</x:v>
      </x:c>
      <x:c r="AF855" s="8" t="str"/>
    </x:row>
    <x:row r="856">
      <x:c r="A856" s="10" t="n">
        <x:v>855</x:v>
      </x:c>
      <x:c r="B856" s="2" t="str">
        <x:v>2차 보류</x:v>
      </x:c>
      <x:c r="C856" s="2" t="str">
        <x:v>2차 보류</x:v>
      </x:c>
      <x:c r="D856" s="2" t="str">
        <x:v>낮음</x:v>
      </x:c>
      <x:c r="E856" s="2" t="str">
        <x:v>N2</x:v>
      </x:c>
      <x:c r="F856" s="10" t="n">
        <x:v>300</x:v>
      </x:c>
      <x:c r="G856" s="2" t="str">
        <x:v>w_4d1f935f4e76d086</x:v>
      </x:c>
      <x:c r="H856" s="2" t="str">
        <x:v>祭る</x:v>
      </x:c>
      <x:c r="I856" s="2" t="str">
        <x:v>まつる</x:v>
      </x:c>
      <x:c r="J856" s="8" t="str">
        <x:v>모시다, 제사 지내다</x:v>
      </x:c>
      <x:c r="K856" s="2" t="str">
        <x:v>verb</x:v>
      </x:c>
      <x:c r="L856" s="9" t="n">
        <x:v>2.34</x:v>
      </x:c>
      <x:c r="M856" s="2" t="str">
        <x:v>없음</x:v>
      </x:c>
      <x:c r="N856" s="11" t="n">
        <x:v>1</x:v>
      </x:c>
      <x:c r="O856" s="8" t="str">
        <x:v>일반 사용 빈도 낮음(Zipf ≤ 2.5); 검증된 예문 없음</x:v>
      </x:c>
      <x:c r="P856" s="8" t="str">
        <x:v>frequency_le_2_5,no_example</x:v>
      </x:c>
      <x:c r="Q856" s="2" t="str"/>
      <x:c r="R856" s="2" t="str"/>
      <x:c r="S856" s="2" t="str"/>
      <x:c r="T856" s="2" t="str"/>
      <x:c r="U856" s="2" t="str"/>
      <x:c r="V856" s="2" t="str">
        <x:v>아니오</x:v>
      </x:c>
      <x:c r="W856" s="2" t="str">
        <x:v>예</x:v>
      </x:c>
      <x:c r="X856" s="2" t="str">
        <x:v>ichi1,news2,nf43,spec1</x:v>
      </x:c>
      <x:c r="Y856" s="2" t="n">
        <x:v>100</x:v>
      </x:c>
      <x:c r="Z856" s="2" t="str">
        <x:v>ichi1,news2,nf43</x:v>
      </x:c>
      <x:c r="AA856" s="2" t="n">
        <x:v>100</x:v>
      </x:c>
      <x:c r="AB856" s="8" t="str"/>
      <x:c r="AC856" s="8" t="str"/>
      <x:c r="AD856" s="8" t="str">
        <x:v>["ko-reviewed"]</x:v>
      </x:c>
      <x:c r="AE856" s="8" t="str">
        <x:v>검토 필요</x:v>
      </x:c>
      <x:c r="AF856" s="8" t="str"/>
    </x:row>
    <x:row r="857">
      <x:c r="A857" s="10" t="n">
        <x:v>856</x:v>
      </x:c>
      <x:c r="B857" s="2" t="str">
        <x:v>2차 보류</x:v>
      </x:c>
      <x:c r="C857" s="2" t="str">
        <x:v>2차 보류</x:v>
      </x:c>
      <x:c r="D857" s="2" t="str">
        <x:v>낮음</x:v>
      </x:c>
      <x:c r="E857" s="2" t="str">
        <x:v>N2</x:v>
      </x:c>
      <x:c r="F857" s="10" t="n">
        <x:v>301</x:v>
      </x:c>
      <x:c r="G857" s="2" t="str">
        <x:v>w_5ca2ac72fa6c8d99</x:v>
      </x:c>
      <x:c r="H857" s="2" t="str">
        <x:v>瓶詰</x:v>
      </x:c>
      <x:c r="I857" s="2" t="str">
        <x:v>びんづめ</x:v>
      </x:c>
      <x:c r="J857" s="8" t="str">
        <x:v>병조림, 병에 담음</x:v>
      </x:c>
      <x:c r="K857" s="2" t="str">
        <x:v>noun</x:v>
      </x:c>
      <x:c r="L857" s="9" t="n">
        <x:v>2.35</x:v>
      </x:c>
      <x:c r="M857" s="2" t="str">
        <x:v>없음</x:v>
      </x:c>
      <x:c r="N857" s="11" t="n">
        <x:v>1</x:v>
      </x:c>
      <x:c r="O857" s="8" t="str">
        <x:v>일반 사용 빈도 낮음(Zipf ≤ 2.5); 검증된 예문 없음</x:v>
      </x:c>
      <x:c r="P857" s="8" t="str">
        <x:v>frequency_le_2_5,no_example</x:v>
      </x:c>
      <x:c r="Q857" s="2" t="str"/>
      <x:c r="R857" s="2" t="str"/>
      <x:c r="S857" s="2" t="str"/>
      <x:c r="T857" s="2" t="str"/>
      <x:c r="U857" s="2" t="str"/>
      <x:c r="V857" s="2" t="str">
        <x:v>아니오</x:v>
      </x:c>
      <x:c r="W857" s="2" t="str">
        <x:v>예</x:v>
      </x:c>
      <x:c r="X857" s="2" t="str">
        <x:v>ichi1,news2,nf41</x:v>
      </x:c>
      <x:c r="Y857" s="2" t="n">
        <x:v>100</x:v>
      </x:c>
      <x:c r="Z857" s="2" t="str">
        <x:v>ichi1,news2,nf41</x:v>
      </x:c>
      <x:c r="AA857" s="2" t="n">
        <x:v>100</x:v>
      </x:c>
      <x:c r="AB857" s="8" t="str"/>
      <x:c r="AC857" s="8" t="str"/>
      <x:c r="AD857" s="8" t="str">
        <x:v>["ko-reviewed"]</x:v>
      </x:c>
      <x:c r="AE857" s="8" t="str">
        <x:v>검토 필요</x:v>
      </x:c>
      <x:c r="AF857" s="8" t="str"/>
    </x:row>
    <x:row r="858">
      <x:c r="A858" s="10" t="n">
        <x:v>857</x:v>
      </x:c>
      <x:c r="B858" s="2" t="str">
        <x:v>2차 보류</x:v>
      </x:c>
      <x:c r="C858" s="2" t="str">
        <x:v>2차 보류</x:v>
      </x:c>
      <x:c r="D858" s="2" t="str">
        <x:v>낮음</x:v>
      </x:c>
      <x:c r="E858" s="2" t="str">
        <x:v>N1</x:v>
      </x:c>
      <x:c r="F858" s="10" t="n">
        <x:v>366</x:v>
      </x:c>
      <x:c r="G858" s="2" t="str">
        <x:v>w_241b2c43716f45fc</x:v>
      </x:c>
      <x:c r="H858" s="2" t="str">
        <x:v>膨れる</x:v>
      </x:c>
      <x:c r="I858" s="2" t="str">
        <x:v>ふくれる</x:v>
      </x:c>
      <x:c r="J858" s="8" t="str">
        <x:v>부풀다, 화가 나다</x:v>
      </x:c>
      <x:c r="K858" s="2" t="str">
        <x:v>verb</x:v>
      </x:c>
      <x:c r="L858" s="9" t="n">
        <x:v>2.35</x:v>
      </x:c>
      <x:c r="M858" s="2" t="str">
        <x:v>없음</x:v>
      </x:c>
      <x:c r="N858" s="11" t="n">
        <x:v>1</x:v>
      </x:c>
      <x:c r="O858" s="8" t="str">
        <x:v>일반 사용 빈도 낮음(Zipf ≤ 2.5); 검증된 예문 없음</x:v>
      </x:c>
      <x:c r="P858" s="8" t="str">
        <x:v>frequency_le_2_5,no_example</x:v>
      </x:c>
      <x:c r="Q858" s="2" t="str"/>
      <x:c r="R858" s="2" t="str"/>
      <x:c r="S858" s="2" t="str"/>
      <x:c r="T858" s="2" t="str"/>
      <x:c r="U858" s="2" t="str"/>
      <x:c r="V858" s="2" t="str">
        <x:v>아니오</x:v>
      </x:c>
      <x:c r="W858" s="2" t="str">
        <x:v>예</x:v>
      </x:c>
      <x:c r="X858" s="2" t="str">
        <x:v>ichi1,news1,nf12</x:v>
      </x:c>
      <x:c r="Y858" s="2" t="n">
        <x:v>100</x:v>
      </x:c>
      <x:c r="Z858" s="2" t="str">
        <x:v>ichi1,news1,nf12</x:v>
      </x:c>
      <x:c r="AA858" s="2" t="n">
        <x:v>100</x:v>
      </x:c>
      <x:c r="AB858" s="8" t="str"/>
      <x:c r="AC858" s="8" t="str"/>
      <x:c r="AD858" s="8" t="str">
        <x:v>["ko-reviewed"]</x:v>
      </x:c>
      <x:c r="AE858" s="8" t="str">
        <x:v>검토 필요</x:v>
      </x:c>
      <x:c r="AF858" s="8" t="str"/>
    </x:row>
    <x:row r="859">
      <x:c r="A859" s="10" t="n">
        <x:v>858</x:v>
      </x:c>
      <x:c r="B859" s="2" t="str">
        <x:v>2차 보류</x:v>
      </x:c>
      <x:c r="C859" s="2" t="str">
        <x:v>2차 보류</x:v>
      </x:c>
      <x:c r="D859" s="2" t="str">
        <x:v>낮음</x:v>
      </x:c>
      <x:c r="E859" s="2" t="str">
        <x:v>N1</x:v>
      </x:c>
      <x:c r="F859" s="10" t="n">
        <x:v>367</x:v>
      </x:c>
      <x:c r="G859" s="2" t="str">
        <x:v>w_5677058dbe6c8c87</x:v>
      </x:c>
      <x:c r="H859" s="2" t="str">
        <x:v>結び付く</x:v>
      </x:c>
      <x:c r="I859" s="2" t="str">
        <x:v>むすびつく</x:v>
      </x:c>
      <x:c r="J859" s="8" t="str">
        <x:v>연결되다, 결부되다</x:v>
      </x:c>
      <x:c r="K859" s="2" t="str">
        <x:v>verb</x:v>
      </x:c>
      <x:c r="L859" s="9" t="n">
        <x:v>2.35</x:v>
      </x:c>
      <x:c r="M859" s="2" t="str">
        <x:v>없음</x:v>
      </x:c>
      <x:c r="N859" s="11" t="n">
        <x:v>1</x:v>
      </x:c>
      <x:c r="O859" s="8" t="str">
        <x:v>일반 사용 빈도 낮음(Zipf ≤ 2.5); 검증된 예문 없음</x:v>
      </x:c>
      <x:c r="P859" s="8" t="str">
        <x:v>frequency_le_2_5,no_example</x:v>
      </x:c>
      <x:c r="Q859" s="2" t="str"/>
      <x:c r="R859" s="2" t="str"/>
      <x:c r="S859" s="2" t="str"/>
      <x:c r="T859" s="2" t="str"/>
      <x:c r="U859" s="2" t="str"/>
      <x:c r="V859" s="2" t="str">
        <x:v>아니오</x:v>
      </x:c>
      <x:c r="W859" s="2" t="str">
        <x:v>예</x:v>
      </x:c>
      <x:c r="X859" s="2" t="str">
        <x:v>news1,nf23</x:v>
      </x:c>
      <x:c r="Y859" s="2" t="n">
        <x:v>100</x:v>
      </x:c>
      <x:c r="Z859" s="2" t="str"/>
      <x:c r="AA859" s="2" t="n">
        <x:v>0</x:v>
      </x:c>
      <x:c r="AB859" s="8" t="str"/>
      <x:c r="AC859" s="8" t="str"/>
      <x:c r="AD859" s="8" t="str">
        <x:v>["ko-reviewed"]</x:v>
      </x:c>
      <x:c r="AE859" s="8" t="str">
        <x:v>검토 필요</x:v>
      </x:c>
      <x:c r="AF859" s="8" t="str"/>
    </x:row>
    <x:row r="860">
      <x:c r="A860" s="10" t="n">
        <x:v>859</x:v>
      </x:c>
      <x:c r="B860" s="2" t="str">
        <x:v>2차 보류</x:v>
      </x:c>
      <x:c r="C860" s="2" t="str">
        <x:v>2차 보류</x:v>
      </x:c>
      <x:c r="D860" s="2" t="str">
        <x:v>낮음</x:v>
      </x:c>
      <x:c r="E860" s="2" t="str">
        <x:v>N2</x:v>
      </x:c>
      <x:c r="F860" s="10" t="n">
        <x:v>302</x:v>
      </x:c>
      <x:c r="G860" s="2" t="str">
        <x:v>w_f1cc06cbec8147dc</x:v>
      </x:c>
      <x:c r="H860" s="2" t="str">
        <x:v>飢える</x:v>
      </x:c>
      <x:c r="I860" s="2" t="str">
        <x:v>うえる</x:v>
      </x:c>
      <x:c r="J860" s="8" t="str">
        <x:v>굶주리다</x:v>
      </x:c>
      <x:c r="K860" s="2" t="str">
        <x:v>verb</x:v>
      </x:c>
      <x:c r="L860" s="9" t="n">
        <x:v>2.36</x:v>
      </x:c>
      <x:c r="M860" s="2" t="str">
        <x:v>없음</x:v>
      </x:c>
      <x:c r="N860" s="11" t="n">
        <x:v>1</x:v>
      </x:c>
      <x:c r="O860" s="8" t="str">
        <x:v>일반 사용 빈도 낮음(Zipf ≤ 2.5); 검증된 예문 없음</x:v>
      </x:c>
      <x:c r="P860" s="8" t="str">
        <x:v>frequency_le_2_5,no_example</x:v>
      </x:c>
      <x:c r="Q860" s="2" t="str"/>
      <x:c r="R860" s="2" t="str"/>
      <x:c r="S860" s="2" t="str"/>
      <x:c r="T860" s="2" t="str"/>
      <x:c r="U860" s="2" t="str"/>
      <x:c r="V860" s="2" t="str">
        <x:v>아니오</x:v>
      </x:c>
      <x:c r="W860" s="2" t="str">
        <x:v>예</x:v>
      </x:c>
      <x:c r="X860" s="2" t="str">
        <x:v>ichi1,news1,nf24</x:v>
      </x:c>
      <x:c r="Y860" s="2" t="n">
        <x:v>100</x:v>
      </x:c>
      <x:c r="Z860" s="2" t="str">
        <x:v>ichi1,news1,nf24</x:v>
      </x:c>
      <x:c r="AA860" s="2" t="n">
        <x:v>100</x:v>
      </x:c>
      <x:c r="AB860" s="8" t="str"/>
      <x:c r="AC860" s="8" t="str"/>
      <x:c r="AD860" s="8" t="str">
        <x:v>["ko-reviewed"]</x:v>
      </x:c>
      <x:c r="AE860" s="8" t="str">
        <x:v>검토 필요</x:v>
      </x:c>
      <x:c r="AF860" s="8" t="str"/>
    </x:row>
    <x:row r="861">
      <x:c r="A861" s="10" t="n">
        <x:v>860</x:v>
      </x:c>
      <x:c r="B861" s="2" t="str">
        <x:v>2차 보류</x:v>
      </x:c>
      <x:c r="C861" s="2" t="str">
        <x:v>2차 보류</x:v>
      </x:c>
      <x:c r="D861" s="2" t="str">
        <x:v>낮음</x:v>
      </x:c>
      <x:c r="E861" s="2" t="str">
        <x:v>N1</x:v>
      </x:c>
      <x:c r="F861" s="10" t="n">
        <x:v>368</x:v>
      </x:c>
      <x:c r="G861" s="2" t="str">
        <x:v>w_87d24712ac4ca221</x:v>
      </x:c>
      <x:c r="H861" s="2" t="str">
        <x:v>化繊</x:v>
      </x:c>
      <x:c r="I861" s="2" t="str">
        <x:v>かせん</x:v>
      </x:c>
      <x:c r="J861" s="8" t="str">
        <x:v>화섬, 합성섬유</x:v>
      </x:c>
      <x:c r="K861" s="2" t="str">
        <x:v>noun</x:v>
      </x:c>
      <x:c r="L861" s="9" t="n">
        <x:v>2.36</x:v>
      </x:c>
      <x:c r="M861" s="2" t="str">
        <x:v>없음</x:v>
      </x:c>
      <x:c r="N861" s="11" t="n">
        <x:v>1</x:v>
      </x:c>
      <x:c r="O861" s="8" t="str">
        <x:v>일반 사용 빈도 낮음(Zipf ≤ 2.5); 검증된 예문 없음</x:v>
      </x:c>
      <x:c r="P861" s="8" t="str">
        <x:v>frequency_le_2_5,no_example</x:v>
      </x:c>
      <x:c r="Q861" s="2" t="str"/>
      <x:c r="R861" s="2" t="str"/>
      <x:c r="S861" s="2" t="str"/>
      <x:c r="T861" s="2" t="str"/>
      <x:c r="U861" s="2" t="str"/>
      <x:c r="V861" s="2" t="str">
        <x:v>아니오</x:v>
      </x:c>
      <x:c r="W861" s="2" t="str">
        <x:v>예</x:v>
      </x:c>
      <x:c r="X861" s="2" t="str">
        <x:v>ichi1</x:v>
      </x:c>
      <x:c r="Y861" s="2" t="n">
        <x:v>100</x:v>
      </x:c>
      <x:c r="Z861" s="2" t="str">
        <x:v>ichi1</x:v>
      </x:c>
      <x:c r="AA861" s="2" t="n">
        <x:v>100</x:v>
      </x:c>
      <x:c r="AB861" s="8" t="str">
        <x:v>abbreviation</x:v>
      </x:c>
      <x:c r="AC861" s="8" t="str"/>
      <x:c r="AD861" s="8" t="str">
        <x:v>["ko-reviewed"]</x:v>
      </x:c>
      <x:c r="AE861" s="8" t="str">
        <x:v>검토 필요</x:v>
      </x:c>
      <x:c r="AF861" s="8" t="str"/>
    </x:row>
    <x:row r="862">
      <x:c r="A862" s="10" t="n">
        <x:v>861</x:v>
      </x:c>
      <x:c r="B862" s="2" t="str">
        <x:v>2차 보류</x:v>
      </x:c>
      <x:c r="C862" s="2" t="str">
        <x:v>2차 보류</x:v>
      </x:c>
      <x:c r="D862" s="2" t="str">
        <x:v>낮음</x:v>
      </x:c>
      <x:c r="E862" s="2" t="str">
        <x:v>N1</x:v>
      </x:c>
      <x:c r="F862" s="10" t="n">
        <x:v>369</x:v>
      </x:c>
      <x:c r="G862" s="2" t="str">
        <x:v>w_2826a4c0a34eec2f</x:v>
      </x:c>
      <x:c r="H862" s="2" t="str">
        <x:v>ぺこぺこ</x:v>
      </x:c>
      <x:c r="I862" s="2" t="str">
        <x:v>ぺこぺこ</x:v>
      </x:c>
      <x:c r="J862" s="8" t="str">
        <x:v>배고픔, 굽실거림</x:v>
      </x:c>
      <x:c r="K862" s="2" t="str">
        <x:v>adjective</x:v>
      </x:c>
      <x:c r="L862" s="9" t="n">
        <x:v>2.37</x:v>
      </x:c>
      <x:c r="M862" s="2" t="str">
        <x:v>없음</x:v>
      </x:c>
      <x:c r="N862" s="11" t="n">
        <x:v>1</x:v>
      </x:c>
      <x:c r="O862" s="8" t="str">
        <x:v>일반 사용 빈도 낮음(Zipf ≤ 2.5); 검증된 예문 없음</x:v>
      </x:c>
      <x:c r="P862" s="8" t="str">
        <x:v>frequency_le_2_5,no_example</x:v>
      </x:c>
      <x:c r="Q862" s="2" t="str"/>
      <x:c r="R862" s="2" t="str"/>
      <x:c r="S862" s="2" t="str"/>
      <x:c r="T862" s="2" t="str"/>
      <x:c r="U862" s="2" t="str"/>
      <x:c r="V862" s="2" t="str">
        <x:v>아니오</x:v>
      </x:c>
      <x:c r="W862" s="2" t="str">
        <x:v>예</x:v>
      </x:c>
      <x:c r="X862" s="2" t="str">
        <x:v>ichi1</x:v>
      </x:c>
      <x:c r="Y862" s="2" t="n">
        <x:v>100</x:v>
      </x:c>
      <x:c r="Z862" s="2" t="str">
        <x:v>ichi1</x:v>
      </x:c>
      <x:c r="AA862" s="2" t="n">
        <x:v>100</x:v>
      </x:c>
      <x:c r="AB862" s="8" t="str">
        <x:v>onomatopoeic or mimetic word</x:v>
      </x:c>
      <x:c r="AC862" s="8" t="str"/>
      <x:c r="AD862" s="8" t="str">
        <x:v>["ko-reviewed"]</x:v>
      </x:c>
      <x:c r="AE862" s="8" t="str">
        <x:v>검토 필요</x:v>
      </x:c>
      <x:c r="AF862" s="8" t="str"/>
    </x:row>
    <x:row r="863">
      <x:c r="A863" s="10" t="n">
        <x:v>862</x:v>
      </x:c>
      <x:c r="B863" s="2" t="str">
        <x:v>2차 보류</x:v>
      </x:c>
      <x:c r="C863" s="2" t="str">
        <x:v>2차 보류</x:v>
      </x:c>
      <x:c r="D863" s="2" t="str">
        <x:v>낮음</x:v>
      </x:c>
      <x:c r="E863" s="2" t="str">
        <x:v>N1</x:v>
      </x:c>
      <x:c r="F863" s="10" t="n">
        <x:v>370</x:v>
      </x:c>
      <x:c r="G863" s="2" t="str">
        <x:v>w_6c6d42edbcae239a</x:v>
      </x:c>
      <x:c r="H863" s="2" t="str">
        <x:v>目付き</x:v>
      </x:c>
      <x:c r="I863" s="2" t="str">
        <x:v>めつき</x:v>
      </x:c>
      <x:c r="J863" s="8" t="str">
        <x:v>눈매, 눈빛</x:v>
      </x:c>
      <x:c r="K863" s="2" t="str">
        <x:v>noun</x:v>
      </x:c>
      <x:c r="L863" s="9" t="n">
        <x:v>2.38</x:v>
      </x:c>
      <x:c r="M863" s="2" t="str">
        <x:v>없음</x:v>
      </x:c>
      <x:c r="N863" s="11" t="n">
        <x:v>1</x:v>
      </x:c>
      <x:c r="O863" s="8" t="str">
        <x:v>일반 사용 빈도 낮음(Zipf ≤ 2.5); 검증된 예문 없음</x:v>
      </x:c>
      <x:c r="P863" s="8" t="str">
        <x:v>frequency_le_2_5,no_example</x:v>
      </x:c>
      <x:c r="Q863" s="2" t="str"/>
      <x:c r="R863" s="2" t="str"/>
      <x:c r="S863" s="2" t="str"/>
      <x:c r="T863" s="2" t="str"/>
      <x:c r="U863" s="2" t="str"/>
      <x:c r="V863" s="2" t="str">
        <x:v>아니오</x:v>
      </x:c>
      <x:c r="W863" s="2" t="str">
        <x:v>예</x:v>
      </x:c>
      <x:c r="X863" s="2" t="str">
        <x:v>ichi1,news2,nf44</x:v>
      </x:c>
      <x:c r="Y863" s="2" t="n">
        <x:v>100</x:v>
      </x:c>
      <x:c r="Z863" s="2" t="str"/>
      <x:c r="AA863" s="2" t="n">
        <x:v>0</x:v>
      </x:c>
      <x:c r="AB863" s="8" t="str"/>
      <x:c r="AC863" s="8" t="str"/>
      <x:c r="AD863" s="8" t="str">
        <x:v>["ko-reviewed"]</x:v>
      </x:c>
      <x:c r="AE863" s="8" t="str">
        <x:v>검토 필요</x:v>
      </x:c>
      <x:c r="AF863" s="8" t="str"/>
    </x:row>
    <x:row r="864">
      <x:c r="A864" s="10" t="n">
        <x:v>863</x:v>
      </x:c>
      <x:c r="B864" s="2" t="str">
        <x:v>2차 보류</x:v>
      </x:c>
      <x:c r="C864" s="2" t="str">
        <x:v>2차 보류</x:v>
      </x:c>
      <x:c r="D864" s="2" t="str">
        <x:v>낮음</x:v>
      </x:c>
      <x:c r="E864" s="2" t="str">
        <x:v>N3</x:v>
      </x:c>
      <x:c r="F864" s="10" t="n">
        <x:v>109</x:v>
      </x:c>
      <x:c r="G864" s="2" t="str">
        <x:v>w_db4ada3a43693b59</x:v>
      </x:c>
      <x:c r="H864" s="2" t="str">
        <x:v>関する</x:v>
      </x:c>
      <x:c r="I864" s="2" t="str">
        <x:v>かんする</x:v>
      </x:c>
      <x:c r="J864" s="8" t="str">
        <x:v>관계되다, 관련되다</x:v>
      </x:c>
      <x:c r="K864" s="2" t="str">
        <x:v>verb</x:v>
      </x:c>
      <x:c r="L864" s="9" t="n">
        <x:v>2.39</x:v>
      </x:c>
      <x:c r="M864" s="2" t="str">
        <x:v>없음</x:v>
      </x:c>
      <x:c r="N864" s="11" t="n">
        <x:v>1</x:v>
      </x:c>
      <x:c r="O864" s="8" t="str">
        <x:v>일반 사용 빈도 낮음(Zipf ≤ 2.5); 검증된 예문 없음</x:v>
      </x:c>
      <x:c r="P864" s="8" t="str">
        <x:v>frequency_le_2_5,no_example</x:v>
      </x:c>
      <x:c r="Q864" s="2" t="str"/>
      <x:c r="R864" s="2" t="str"/>
      <x:c r="S864" s="2" t="str"/>
      <x:c r="T864" s="2" t="str"/>
      <x:c r="U864" s="2" t="str"/>
      <x:c r="V864" s="2" t="str">
        <x:v>아니오</x:v>
      </x:c>
      <x:c r="W864" s="2" t="str">
        <x:v>예</x:v>
      </x:c>
      <x:c r="X864" s="2" t="str">
        <x:v>ichi1,news2,nf38</x:v>
      </x:c>
      <x:c r="Y864" s="2" t="n">
        <x:v>100</x:v>
      </x:c>
      <x:c r="Z864" s="2" t="str">
        <x:v>ichi1,news2,nf38</x:v>
      </x:c>
      <x:c r="AA864" s="2" t="n">
        <x:v>100</x:v>
      </x:c>
      <x:c r="AB864" s="8" t="str"/>
      <x:c r="AC864" s="8" t="str"/>
      <x:c r="AD864" s="8" t="str">
        <x:v>["ko-reviewed"]</x:v>
      </x:c>
      <x:c r="AE864" s="8" t="str">
        <x:v>검토 필요</x:v>
      </x:c>
      <x:c r="AF864" s="8" t="str"/>
    </x:row>
    <x:row r="865">
      <x:c r="A865" s="10" t="n">
        <x:v>864</x:v>
      </x:c>
      <x:c r="B865" s="2" t="str">
        <x:v>2차 보류</x:v>
      </x:c>
      <x:c r="C865" s="2" t="str">
        <x:v>2차 보류</x:v>
      </x:c>
      <x:c r="D865" s="2" t="str">
        <x:v>낮음</x:v>
      </x:c>
      <x:c r="E865" s="2" t="str">
        <x:v>N2</x:v>
      </x:c>
      <x:c r="F865" s="10" t="n">
        <x:v>303</x:v>
      </x:c>
      <x:c r="G865" s="2" t="str">
        <x:v>w_a665d7e7321067b1</x:v>
      </x:c>
      <x:c r="H865" s="2" t="str">
        <x:v>裏返す</x:v>
      </x:c>
      <x:c r="I865" s="2" t="str">
        <x:v>うらがえす</x:v>
      </x:c>
      <x:c r="J865" s="8" t="str">
        <x:v>뒤집다</x:v>
      </x:c>
      <x:c r="K865" s="2" t="str">
        <x:v>verb</x:v>
      </x:c>
      <x:c r="L865" s="9" t="n">
        <x:v>2.39</x:v>
      </x:c>
      <x:c r="M865" s="2" t="str">
        <x:v>없음</x:v>
      </x:c>
      <x:c r="N865" s="11" t="n">
        <x:v>1</x:v>
      </x:c>
      <x:c r="O865" s="8" t="str">
        <x:v>일반 사용 빈도 낮음(Zipf ≤ 2.5); 검증된 예문 없음</x:v>
      </x:c>
      <x:c r="P865" s="8" t="str">
        <x:v>frequency_le_2_5,no_example</x:v>
      </x:c>
      <x:c r="Q865" s="2" t="str"/>
      <x:c r="R865" s="2" t="str"/>
      <x:c r="S865" s="2" t="str"/>
      <x:c r="T865" s="2" t="str"/>
      <x:c r="U865" s="2" t="str"/>
      <x:c r="V865" s="2" t="str">
        <x:v>아니오</x:v>
      </x:c>
      <x:c r="W865" s="2" t="str">
        <x:v>예</x:v>
      </x:c>
      <x:c r="X865" s="2" t="str">
        <x:v>ichi1,news2,nf36</x:v>
      </x:c>
      <x:c r="Y865" s="2" t="n">
        <x:v>100</x:v>
      </x:c>
      <x:c r="Z865" s="2" t="str">
        <x:v>ichi1,news2,nf36</x:v>
      </x:c>
      <x:c r="AA865" s="2" t="n">
        <x:v>100</x:v>
      </x:c>
      <x:c r="AB865" s="8" t="str"/>
      <x:c r="AC865" s="8" t="str"/>
      <x:c r="AD865" s="8" t="str">
        <x:v>["ko-reviewed"]</x:v>
      </x:c>
      <x:c r="AE865" s="8" t="str">
        <x:v>검토 필요</x:v>
      </x:c>
      <x:c r="AF865" s="8" t="str"/>
    </x:row>
    <x:row r="866">
      <x:c r="A866" s="10" t="n">
        <x:v>865</x:v>
      </x:c>
      <x:c r="B866" s="2" t="str">
        <x:v>2차 보류</x:v>
      </x:c>
      <x:c r="C866" s="2" t="str">
        <x:v>2차 보류</x:v>
      </x:c>
      <x:c r="D866" s="2" t="str">
        <x:v>낮음</x:v>
      </x:c>
      <x:c r="E866" s="2" t="str">
        <x:v>N2</x:v>
      </x:c>
      <x:c r="F866" s="10" t="n">
        <x:v>304</x:v>
      </x:c>
      <x:c r="G866" s="2" t="str">
        <x:v>w_fb814a90534c9dec</x:v>
      </x:c>
      <x:c r="H866" s="2" t="str">
        <x:v>余所</x:v>
      </x:c>
      <x:c r="I866" s="2" t="str">
        <x:v>よそ</x:v>
      </x:c>
      <x:c r="J866" s="8" t="str">
        <x:v>다른 곳, 딴 데</x:v>
      </x:c>
      <x:c r="K866" s="2" t="str">
        <x:v>noun</x:v>
      </x:c>
      <x:c r="L866" s="9" t="n">
        <x:v>2.39</x:v>
      </x:c>
      <x:c r="M866" s="2" t="str">
        <x:v>없음</x:v>
      </x:c>
      <x:c r="N866" s="11" t="n">
        <x:v>1</x:v>
      </x:c>
      <x:c r="O866" s="8" t="str">
        <x:v>일반 사용 빈도 낮음(Zipf ≤ 2.5); 검증된 예문 없음</x:v>
      </x:c>
      <x:c r="P866" s="8" t="str">
        <x:v>frequency_le_2_5,no_example</x:v>
      </x:c>
      <x:c r="Q866" s="2" t="str"/>
      <x:c r="R866" s="2" t="str"/>
      <x:c r="S866" s="2" t="str"/>
      <x:c r="T866" s="2" t="str"/>
      <x:c r="U866" s="2" t="str"/>
      <x:c r="V866" s="2" t="str">
        <x:v>아니오</x:v>
      </x:c>
      <x:c r="W866" s="2" t="str">
        <x:v>예</x:v>
      </x:c>
      <x:c r="X866" s="2" t="str">
        <x:v>ichi1</x:v>
      </x:c>
      <x:c r="Y866" s="2" t="n">
        <x:v>100</x:v>
      </x:c>
      <x:c r="Z866" s="2" t="str">
        <x:v>ichi1</x:v>
      </x:c>
      <x:c r="AA866" s="2" t="n">
        <x:v>100</x:v>
      </x:c>
      <x:c r="AB866" s="8" t="str">
        <x:v>as 〜をよそに, 〜をよそにして, etc. | word usually written using kana alone</x:v>
      </x:c>
      <x:c r="AC866" s="8" t="str"/>
      <x:c r="AD866" s="8" t="str">
        <x:v>["backfill-replacement","assistant-ko-reviewed"]</x:v>
      </x:c>
      <x:c r="AE866" s="8" t="str">
        <x:v>검토 필요</x:v>
      </x:c>
      <x:c r="AF866" s="8" t="str"/>
    </x:row>
    <x:row r="867">
      <x:c r="A867" s="10" t="n">
        <x:v>866</x:v>
      </x:c>
      <x:c r="B867" s="2" t="str">
        <x:v>2차 보류</x:v>
      </x:c>
      <x:c r="C867" s="2" t="str">
        <x:v>2차 보류</x:v>
      </x:c>
      <x:c r="D867" s="2" t="str">
        <x:v>낮음</x:v>
      </x:c>
      <x:c r="E867" s="2" t="str">
        <x:v>N1</x:v>
      </x:c>
      <x:c r="F867" s="10" t="n">
        <x:v>371</x:v>
      </x:c>
      <x:c r="G867" s="2" t="str">
        <x:v>w_5d651b645b264be0</x:v>
      </x:c>
      <x:c r="H867" s="2" t="str">
        <x:v>霞む</x:v>
      </x:c>
      <x:c r="I867" s="2" t="str">
        <x:v>かすむ</x:v>
      </x:c>
      <x:c r="J867" s="8" t="str">
        <x:v>흐릿해지다, 안개가 끼다</x:v>
      </x:c>
      <x:c r="K867" s="2" t="str">
        <x:v>verb</x:v>
      </x:c>
      <x:c r="L867" s="9" t="n">
        <x:v>2.39</x:v>
      </x:c>
      <x:c r="M867" s="2" t="str">
        <x:v>없음</x:v>
      </x:c>
      <x:c r="N867" s="11" t="n">
        <x:v>1</x:v>
      </x:c>
      <x:c r="O867" s="8" t="str">
        <x:v>일반 사용 빈도 낮음(Zipf ≤ 2.5); 검증된 예문 없음</x:v>
      </x:c>
      <x:c r="P867" s="8" t="str">
        <x:v>frequency_le_2_5,no_example</x:v>
      </x:c>
      <x:c r="Q867" s="2" t="str"/>
      <x:c r="R867" s="2" t="str"/>
      <x:c r="S867" s="2" t="str"/>
      <x:c r="T867" s="2" t="str"/>
      <x:c r="U867" s="2" t="str"/>
      <x:c r="V867" s="2" t="str">
        <x:v>아니오</x:v>
      </x:c>
      <x:c r="W867" s="2" t="str">
        <x:v>예</x:v>
      </x:c>
      <x:c r="X867" s="2" t="str">
        <x:v>ichi1</x:v>
      </x:c>
      <x:c r="Y867" s="2" t="n">
        <x:v>100</x:v>
      </x:c>
      <x:c r="Z867" s="2" t="str">
        <x:v>ichi1</x:v>
      </x:c>
      <x:c r="AA867" s="2" t="n">
        <x:v>100</x:v>
      </x:c>
      <x:c r="AB867" s="8" t="str">
        <x:v>esp. 翳む | esp. 霞む | word usually written using kana alone</x:v>
      </x:c>
      <x:c r="AC867" s="8" t="str"/>
      <x:c r="AD867" s="8" t="str">
        <x:v>["ko-reviewed"]</x:v>
      </x:c>
      <x:c r="AE867" s="8" t="str">
        <x:v>검토 필요</x:v>
      </x:c>
      <x:c r="AF867" s="8" t="str"/>
    </x:row>
    <x:row r="868">
      <x:c r="A868" s="10" t="n">
        <x:v>867</x:v>
      </x:c>
      <x:c r="B868" s="2" t="str">
        <x:v>2차 보류</x:v>
      </x:c>
      <x:c r="C868" s="2" t="str">
        <x:v>2차 보류</x:v>
      </x:c>
      <x:c r="D868" s="2" t="str">
        <x:v>낮음</x:v>
      </x:c>
      <x:c r="E868" s="2" t="str">
        <x:v>N2</x:v>
      </x:c>
      <x:c r="F868" s="10" t="n">
        <x:v>305</x:v>
      </x:c>
      <x:c r="G868" s="2" t="str">
        <x:v>w_951bf4f0bb38a5c7</x:v>
      </x:c>
      <x:c r="H868" s="2" t="str">
        <x:v>貸家</x:v>
      </x:c>
      <x:c r="I868" s="2" t="str">
        <x:v>かしや</x:v>
      </x:c>
      <x:c r="J868" s="8" t="str">
        <x:v>셋집, 임대 주택</x:v>
      </x:c>
      <x:c r="K868" s="2" t="str">
        <x:v>noun</x:v>
      </x:c>
      <x:c r="L868" s="9" t="n">
        <x:v>2.4</x:v>
      </x:c>
      <x:c r="M868" s="2" t="str">
        <x:v>없음</x:v>
      </x:c>
      <x:c r="N868" s="11" t="n">
        <x:v>1</x:v>
      </x:c>
      <x:c r="O868" s="8" t="str">
        <x:v>일반 사용 빈도 낮음(Zipf ≤ 2.5); 검증된 예문 없음</x:v>
      </x:c>
      <x:c r="P868" s="8" t="str">
        <x:v>frequency_le_2_5,no_example</x:v>
      </x:c>
      <x:c r="Q868" s="2" t="str"/>
      <x:c r="R868" s="2" t="str"/>
      <x:c r="S868" s="2" t="str"/>
      <x:c r="T868" s="2" t="str"/>
      <x:c r="U868" s="2" t="str"/>
      <x:c r="V868" s="2" t="str">
        <x:v>아니오</x:v>
      </x:c>
      <x:c r="W868" s="2" t="str">
        <x:v>예</x:v>
      </x:c>
      <x:c r="X868" s="2" t="str">
        <x:v>news1,nf23</x:v>
      </x:c>
      <x:c r="Y868" s="2" t="n">
        <x:v>100</x:v>
      </x:c>
      <x:c r="Z868" s="2" t="str">
        <x:v>news1,nf23</x:v>
      </x:c>
      <x:c r="AA868" s="2" t="n">
        <x:v>100</x:v>
      </x:c>
      <x:c r="AB868" s="8" t="str"/>
      <x:c r="AC868" s="8" t="str"/>
      <x:c r="AD868" s="8" t="str">
        <x:v>["ko-reviewed"]</x:v>
      </x:c>
      <x:c r="AE868" s="8" t="str">
        <x:v>검토 필요</x:v>
      </x:c>
      <x:c r="AF868" s="8" t="str"/>
    </x:row>
    <x:row r="869">
      <x:c r="A869" s="10" t="n">
        <x:v>868</x:v>
      </x:c>
      <x:c r="B869" s="2" t="str">
        <x:v>2차 보류</x:v>
      </x:c>
      <x:c r="C869" s="2" t="str">
        <x:v>2차 보류</x:v>
      </x:c>
      <x:c r="D869" s="2" t="str">
        <x:v>낮음</x:v>
      </x:c>
      <x:c r="E869" s="2" t="str">
        <x:v>N1</x:v>
      </x:c>
      <x:c r="F869" s="10" t="n">
        <x:v>372</x:v>
      </x:c>
      <x:c r="G869" s="2" t="str">
        <x:v>w_12cfa362a1dd303d</x:v>
      </x:c>
      <x:c r="H869" s="2" t="str">
        <x:v>待ち望む</x:v>
      </x:c>
      <x:c r="I869" s="2" t="str">
        <x:v>まちのぞむ</x:v>
      </x:c>
      <x:c r="J869" s="8" t="str">
        <x:v>손꼽아 기다리다</x:v>
      </x:c>
      <x:c r="K869" s="2" t="str">
        <x:v>verb</x:v>
      </x:c>
      <x:c r="L869" s="9" t="n">
        <x:v>2.41</x:v>
      </x:c>
      <x:c r="M869" s="2" t="str">
        <x:v>없음</x:v>
      </x:c>
      <x:c r="N869" s="11" t="n">
        <x:v>1</x:v>
      </x:c>
      <x:c r="O869" s="8" t="str">
        <x:v>일반 사용 빈도 낮음(Zipf ≤ 2.5); 검증된 예문 없음</x:v>
      </x:c>
      <x:c r="P869" s="8" t="str">
        <x:v>frequency_le_2_5,no_example</x:v>
      </x:c>
      <x:c r="Q869" s="2" t="str"/>
      <x:c r="R869" s="2" t="str"/>
      <x:c r="S869" s="2" t="str"/>
      <x:c r="T869" s="2" t="str"/>
      <x:c r="U869" s="2" t="str"/>
      <x:c r="V869" s="2" t="str">
        <x:v>아니오</x:v>
      </x:c>
      <x:c r="W869" s="2" t="str">
        <x:v>예</x:v>
      </x:c>
      <x:c r="X869" s="2" t="str">
        <x:v>ichi1,news1,nf23</x:v>
      </x:c>
      <x:c r="Y869" s="2" t="n">
        <x:v>100</x:v>
      </x:c>
      <x:c r="Z869" s="2" t="str">
        <x:v>ichi1,news1,nf23</x:v>
      </x:c>
      <x:c r="AA869" s="2" t="n">
        <x:v>100</x:v>
      </x:c>
      <x:c r="AB869" s="8" t="str"/>
      <x:c r="AC869" s="8" t="str"/>
      <x:c r="AD869" s="8" t="str">
        <x:v>["ko-reviewed"]</x:v>
      </x:c>
      <x:c r="AE869" s="8" t="str">
        <x:v>검토 필요</x:v>
      </x:c>
      <x:c r="AF869" s="8" t="str"/>
    </x:row>
    <x:row r="870">
      <x:c r="A870" s="10" t="n">
        <x:v>869</x:v>
      </x:c>
      <x:c r="B870" s="2" t="str">
        <x:v>2차 보류</x:v>
      </x:c>
      <x:c r="C870" s="2" t="str">
        <x:v>2차 보류</x:v>
      </x:c>
      <x:c r="D870" s="2" t="str">
        <x:v>낮음</x:v>
      </x:c>
      <x:c r="E870" s="2" t="str">
        <x:v>N2</x:v>
      </x:c>
      <x:c r="F870" s="10" t="n">
        <x:v>306</x:v>
      </x:c>
      <x:c r="G870" s="2" t="str">
        <x:v>w_ad66e92c81431574</x:v>
      </x:c>
      <x:c r="H870" s="2" t="str">
        <x:v>濁る</x:v>
      </x:c>
      <x:c r="I870" s="2" t="str">
        <x:v>にごる</x:v>
      </x:c>
      <x:c r="J870" s="8" t="str">
        <x:v>흐려지다, 탁해지다</x:v>
      </x:c>
      <x:c r="K870" s="2" t="str">
        <x:v>verb</x:v>
      </x:c>
      <x:c r="L870" s="9" t="n">
        <x:v>2.42</x:v>
      </x:c>
      <x:c r="M870" s="2" t="str">
        <x:v>없음</x:v>
      </x:c>
      <x:c r="N870" s="11" t="n">
        <x:v>1</x:v>
      </x:c>
      <x:c r="O870" s="8" t="str">
        <x:v>일반 사용 빈도 낮음(Zipf ≤ 2.5); 검증된 예문 없음</x:v>
      </x:c>
      <x:c r="P870" s="8" t="str">
        <x:v>frequency_le_2_5,no_example</x:v>
      </x:c>
      <x:c r="Q870" s="2" t="str"/>
      <x:c r="R870" s="2" t="str"/>
      <x:c r="S870" s="2" t="str"/>
      <x:c r="T870" s="2" t="str"/>
      <x:c r="U870" s="2" t="str"/>
      <x:c r="V870" s="2" t="str">
        <x:v>아니오</x:v>
      </x:c>
      <x:c r="W870" s="2" t="str">
        <x:v>예</x:v>
      </x:c>
      <x:c r="X870" s="2" t="str">
        <x:v>ichi1,news2,nf28</x:v>
      </x:c>
      <x:c r="Y870" s="2" t="n">
        <x:v>100</x:v>
      </x:c>
      <x:c r="Z870" s="2" t="str">
        <x:v>ichi1,news2,nf28</x:v>
      </x:c>
      <x:c r="AA870" s="2" t="n">
        <x:v>100</x:v>
      </x:c>
      <x:c r="AB870" s="8" t="str"/>
      <x:c r="AC870" s="8" t="str"/>
      <x:c r="AD870" s="8" t="str">
        <x:v>["ko-reviewed"]</x:v>
      </x:c>
      <x:c r="AE870" s="8" t="str">
        <x:v>검토 필요</x:v>
      </x:c>
      <x:c r="AF870" s="8" t="str"/>
    </x:row>
    <x:row r="871">
      <x:c r="A871" s="10" t="n">
        <x:v>870</x:v>
      </x:c>
      <x:c r="B871" s="2" t="str">
        <x:v>2차 보류</x:v>
      </x:c>
      <x:c r="C871" s="2" t="str">
        <x:v>2차 보류</x:v>
      </x:c>
      <x:c r="D871" s="2" t="str">
        <x:v>낮음</x:v>
      </x:c>
      <x:c r="E871" s="2" t="str">
        <x:v>N2</x:v>
      </x:c>
      <x:c r="F871" s="10" t="n">
        <x:v>307</x:v>
      </x:c>
      <x:c r="G871" s="2" t="str">
        <x:v>w_c7ffd392215f6fce</x:v>
      </x:c>
      <x:c r="H871" s="2" t="str">
        <x:v>跨ぐ</x:v>
      </x:c>
      <x:c r="I871" s="2" t="str">
        <x:v>またぐ</x:v>
      </x:c>
      <x:c r="J871" s="8" t="str">
        <x:v>넘다, 걸터넘다</x:v>
      </x:c>
      <x:c r="K871" s="2" t="str">
        <x:v>verb</x:v>
      </x:c>
      <x:c r="L871" s="9" t="n">
        <x:v>2.42</x:v>
      </x:c>
      <x:c r="M871" s="2" t="str">
        <x:v>없음</x:v>
      </x:c>
      <x:c r="N871" s="11" t="n">
        <x:v>1</x:v>
      </x:c>
      <x:c r="O871" s="8" t="str">
        <x:v>일반 사용 빈도 낮음(Zipf ≤ 2.5); 검증된 예문 없음</x:v>
      </x:c>
      <x:c r="P871" s="8" t="str">
        <x:v>frequency_le_2_5,no_example</x:v>
      </x:c>
      <x:c r="Q871" s="2" t="str"/>
      <x:c r="R871" s="2" t="str"/>
      <x:c r="S871" s="2" t="str"/>
      <x:c r="T871" s="2" t="str"/>
      <x:c r="U871" s="2" t="str"/>
      <x:c r="V871" s="2" t="str">
        <x:v>아니오</x:v>
      </x:c>
      <x:c r="W871" s="2" t="str">
        <x:v>예</x:v>
      </x:c>
      <x:c r="X871" s="2" t="str">
        <x:v>ichi1</x:v>
      </x:c>
      <x:c r="Y871" s="2" t="n">
        <x:v>100</x:v>
      </x:c>
      <x:c r="Z871" s="2" t="str">
        <x:v>ichi1</x:v>
      </x:c>
      <x:c r="AA871" s="2" t="n">
        <x:v>100</x:v>
      </x:c>
      <x:c r="AB871" s="8" t="str">
        <x:v>word usually written using kana alone</x:v>
      </x:c>
      <x:c r="AC871" s="8" t="str"/>
      <x:c r="AD871" s="8" t="str">
        <x:v>["ko-reviewed"]</x:v>
      </x:c>
      <x:c r="AE871" s="8" t="str">
        <x:v>검토 필요</x:v>
      </x:c>
      <x:c r="AF871" s="8" t="str"/>
    </x:row>
    <x:row r="872">
      <x:c r="A872" s="10" t="n">
        <x:v>871</x:v>
      </x:c>
      <x:c r="B872" s="2" t="str">
        <x:v>2차 보류</x:v>
      </x:c>
      <x:c r="C872" s="2" t="str">
        <x:v>2차 보류</x:v>
      </x:c>
      <x:c r="D872" s="2" t="str">
        <x:v>낮음</x:v>
      </x:c>
      <x:c r="E872" s="2" t="str">
        <x:v>N2</x:v>
      </x:c>
      <x:c r="F872" s="10" t="n">
        <x:v>308</x:v>
      </x:c>
      <x:c r="G872" s="2" t="str">
        <x:v>w_e4a739dfd06b0d5a</x:v>
      </x:c>
      <x:c r="H872" s="2" t="str">
        <x:v>睨む</x:v>
      </x:c>
      <x:c r="I872" s="2" t="str">
        <x:v>にらむ</x:v>
      </x:c>
      <x:c r="J872" s="8" t="str">
        <x:v>노려보다, 주시하다</x:v>
      </x:c>
      <x:c r="K872" s="2" t="str">
        <x:v>verb</x:v>
      </x:c>
      <x:c r="L872" s="9" t="n">
        <x:v>2.42</x:v>
      </x:c>
      <x:c r="M872" s="2" t="str">
        <x:v>없음</x:v>
      </x:c>
      <x:c r="N872" s="11" t="n">
        <x:v>1</x:v>
      </x:c>
      <x:c r="O872" s="8" t="str">
        <x:v>일반 사용 빈도 낮음(Zipf ≤ 2.5); 검증된 예문 없음</x:v>
      </x:c>
      <x:c r="P872" s="8" t="str">
        <x:v>frequency_le_2_5,no_example</x:v>
      </x:c>
      <x:c r="Q872" s="2" t="str"/>
      <x:c r="R872" s="2" t="str"/>
      <x:c r="S872" s="2" t="str"/>
      <x:c r="T872" s="2" t="str"/>
      <x:c r="U872" s="2" t="str"/>
      <x:c r="V872" s="2" t="str">
        <x:v>아니오</x:v>
      </x:c>
      <x:c r="W872" s="2" t="str">
        <x:v>예</x:v>
      </x:c>
      <x:c r="X872" s="2" t="str">
        <x:v>ichi1</x:v>
      </x:c>
      <x:c r="Y872" s="2" t="n">
        <x:v>100</x:v>
      </x:c>
      <x:c r="Z872" s="2" t="str">
        <x:v>ichi1</x:v>
      </x:c>
      <x:c r="AA872" s="2" t="n">
        <x:v>100</x:v>
      </x:c>
      <x:c r="AB872" s="8" t="str">
        <x:v>often as 睨まれる | word usually written using kana alone</x:v>
      </x:c>
      <x:c r="AC872" s="8" t="str"/>
      <x:c r="AD872" s="8" t="str">
        <x:v>["ko-reviewed"]</x:v>
      </x:c>
      <x:c r="AE872" s="8" t="str">
        <x:v>검토 필요</x:v>
      </x:c>
      <x:c r="AF872" s="8" t="str"/>
    </x:row>
    <x:row r="873">
      <x:c r="A873" s="10" t="n">
        <x:v>872</x:v>
      </x:c>
      <x:c r="B873" s="2" t="str">
        <x:v>2차 보류</x:v>
      </x:c>
      <x:c r="C873" s="2" t="str">
        <x:v>2차 보류</x:v>
      </x:c>
      <x:c r="D873" s="2" t="str">
        <x:v>낮음</x:v>
      </x:c>
      <x:c r="E873" s="2" t="str">
        <x:v>N1</x:v>
      </x:c>
      <x:c r="F873" s="10" t="n">
        <x:v>373</x:v>
      </x:c>
      <x:c r="G873" s="2" t="str">
        <x:v>w_4d1ba60fcfc4c6d2</x:v>
      </x:c>
      <x:c r="H873" s="2" t="str">
        <x:v>汽船</x:v>
      </x:c>
      <x:c r="I873" s="2" t="str">
        <x:v>きせん</x:v>
      </x:c>
      <x:c r="J873" s="8" t="str">
        <x:v>기선, 증기선</x:v>
      </x:c>
      <x:c r="K873" s="2" t="str">
        <x:v>noun</x:v>
      </x:c>
      <x:c r="L873" s="9" t="n">
        <x:v>2.42</x:v>
      </x:c>
      <x:c r="M873" s="2" t="str">
        <x:v>없음</x:v>
      </x:c>
      <x:c r="N873" s="11" t="n">
        <x:v>1</x:v>
      </x:c>
      <x:c r="O873" s="8" t="str">
        <x:v>일반 사용 빈도 낮음(Zipf ≤ 2.5); 검증된 예문 없음</x:v>
      </x:c>
      <x:c r="P873" s="8" t="str">
        <x:v>frequency_le_2_5,no_example</x:v>
      </x:c>
      <x:c r="Q873" s="2" t="str"/>
      <x:c r="R873" s="2" t="str"/>
      <x:c r="S873" s="2" t="str"/>
      <x:c r="T873" s="2" t="str"/>
      <x:c r="U873" s="2" t="str"/>
      <x:c r="V873" s="2" t="str">
        <x:v>아니오</x:v>
      </x:c>
      <x:c r="W873" s="2" t="str">
        <x:v>예</x:v>
      </x:c>
      <x:c r="X873" s="2" t="str">
        <x:v>ichi1,news2,nf30</x:v>
      </x:c>
      <x:c r="Y873" s="2" t="n">
        <x:v>100</x:v>
      </x:c>
      <x:c r="Z873" s="2" t="str">
        <x:v>ichi1,news2,nf30</x:v>
      </x:c>
      <x:c r="AA873" s="2" t="n">
        <x:v>100</x:v>
      </x:c>
      <x:c r="AB873" s="8" t="str"/>
      <x:c r="AC873" s="8" t="str"/>
      <x:c r="AD873" s="8" t="str">
        <x:v>["ko-reviewed"]</x:v>
      </x:c>
      <x:c r="AE873" s="8" t="str">
        <x:v>검토 필요</x:v>
      </x:c>
      <x:c r="AF873" s="8" t="str"/>
    </x:row>
    <x:row r="874">
      <x:c r="A874" s="10" t="n">
        <x:v>873</x:v>
      </x:c>
      <x:c r="B874" s="2" t="str">
        <x:v>2차 보류</x:v>
      </x:c>
      <x:c r="C874" s="2" t="str">
        <x:v>2차 보류</x:v>
      </x:c>
      <x:c r="D874" s="2" t="str">
        <x:v>낮음</x:v>
      </x:c>
      <x:c r="E874" s="2" t="str">
        <x:v>N2</x:v>
      </x:c>
      <x:c r="F874" s="10" t="n">
        <x:v>309</x:v>
      </x:c>
      <x:c r="G874" s="2" t="str">
        <x:v>w_56f89fc8f56a94c8</x:v>
      </x:c>
      <x:c r="H874" s="2" t="str">
        <x:v>匂う</x:v>
      </x:c>
      <x:c r="I874" s="2" t="str">
        <x:v>におう</x:v>
      </x:c>
      <x:c r="J874" s="8" t="str">
        <x:v>냄새나다, 향기롭다</x:v>
      </x:c>
      <x:c r="K874" s="2" t="str">
        <x:v>verb</x:v>
      </x:c>
      <x:c r="L874" s="9" t="n">
        <x:v>2.43</x:v>
      </x:c>
      <x:c r="M874" s="2" t="str">
        <x:v>없음</x:v>
      </x:c>
      <x:c r="N874" s="11" t="n">
        <x:v>1</x:v>
      </x:c>
      <x:c r="O874" s="8" t="str">
        <x:v>일반 사용 빈도 낮음(Zipf ≤ 2.5); 검증된 예문 없음</x:v>
      </x:c>
      <x:c r="P874" s="8" t="str">
        <x:v>frequency_le_2_5,no_example</x:v>
      </x:c>
      <x:c r="Q874" s="2" t="str"/>
      <x:c r="R874" s="2" t="str"/>
      <x:c r="S874" s="2" t="str"/>
      <x:c r="T874" s="2" t="str"/>
      <x:c r="U874" s="2" t="str"/>
      <x:c r="V874" s="2" t="str">
        <x:v>아니오</x:v>
      </x:c>
      <x:c r="W874" s="2" t="str">
        <x:v>예</x:v>
      </x:c>
      <x:c r="X874" s="2" t="str">
        <x:v>ichi1</x:v>
      </x:c>
      <x:c r="Y874" s="2" t="n">
        <x:v>100</x:v>
      </x:c>
      <x:c r="Z874" s="2" t="str">
        <x:v>ichi1</x:v>
      </x:c>
      <x:c r="AA874" s="2" t="n">
        <x:v>100</x:v>
      </x:c>
      <x:c r="AB874" s="8" t="str">
        <x:v>usu. 匂う | usu. 臭う</x:v>
      </x:c>
      <x:c r="AC874" s="8" t="str"/>
      <x:c r="AD874" s="8" t="str">
        <x:v>["ko-reviewed"]</x:v>
      </x:c>
      <x:c r="AE874" s="8" t="str">
        <x:v>검토 필요</x:v>
      </x:c>
      <x:c r="AF874" s="8" t="str"/>
    </x:row>
    <x:row r="875">
      <x:c r="A875" s="10" t="n">
        <x:v>874</x:v>
      </x:c>
      <x:c r="B875" s="2" t="str">
        <x:v>2차 보류</x:v>
      </x:c>
      <x:c r="C875" s="2" t="str">
        <x:v>2차 보류</x:v>
      </x:c>
      <x:c r="D875" s="2" t="str">
        <x:v>낮음</x:v>
      </x:c>
      <x:c r="E875" s="2" t="str">
        <x:v>N2</x:v>
      </x:c>
      <x:c r="F875" s="10" t="n">
        <x:v>310</x:v>
      </x:c>
      <x:c r="G875" s="2" t="str">
        <x:v>w_f1a8679b2fc50a6c</x:v>
      </x:c>
      <x:c r="H875" s="2" t="str">
        <x:v>しゃがむ</x:v>
      </x:c>
      <x:c r="I875" s="2" t="str">
        <x:v>しゃがむ</x:v>
      </x:c>
      <x:c r="J875" s="8" t="str">
        <x:v>쪼그리고 앉다</x:v>
      </x:c>
      <x:c r="K875" s="2" t="str">
        <x:v>verb</x:v>
      </x:c>
      <x:c r="L875" s="9" t="n">
        <x:v>2.43</x:v>
      </x:c>
      <x:c r="M875" s="2" t="str">
        <x:v>없음</x:v>
      </x:c>
      <x:c r="N875" s="11" t="n">
        <x:v>1</x:v>
      </x:c>
      <x:c r="O875" s="8" t="str">
        <x:v>일반 사용 빈도 낮음(Zipf ≤ 2.5); 검증된 예문 없음</x:v>
      </x:c>
      <x:c r="P875" s="8" t="str">
        <x:v>frequency_le_2_5,no_example</x:v>
      </x:c>
      <x:c r="Q875" s="2" t="str"/>
      <x:c r="R875" s="2" t="str"/>
      <x:c r="S875" s="2" t="str"/>
      <x:c r="T875" s="2" t="str"/>
      <x:c r="U875" s="2" t="str"/>
      <x:c r="V875" s="2" t="str">
        <x:v>아니오</x:v>
      </x:c>
      <x:c r="W875" s="2" t="str">
        <x:v>예</x:v>
      </x:c>
      <x:c r="X875" s="2" t="str">
        <x:v>ichi1</x:v>
      </x:c>
      <x:c r="Y875" s="2" t="n">
        <x:v>100</x:v>
      </x:c>
      <x:c r="Z875" s="2" t="str">
        <x:v>ichi1</x:v>
      </x:c>
      <x:c r="AA875" s="2" t="n">
        <x:v>100</x:v>
      </x:c>
      <x:c r="AB875" s="8" t="str"/>
      <x:c r="AC875" s="8" t="str"/>
      <x:c r="AD875" s="8" t="str">
        <x:v>["ko-reviewed"]</x:v>
      </x:c>
      <x:c r="AE875" s="8" t="str">
        <x:v>검토 필요</x:v>
      </x:c>
      <x:c r="AF875" s="8" t="str"/>
    </x:row>
    <x:row r="876">
      <x:c r="A876" s="10" t="n">
        <x:v>875</x:v>
      </x:c>
      <x:c r="B876" s="2" t="str">
        <x:v>2차 보류</x:v>
      </x:c>
      <x:c r="C876" s="2" t="str">
        <x:v>2차 보류</x:v>
      </x:c>
      <x:c r="D876" s="2" t="str">
        <x:v>낮음</x:v>
      </x:c>
      <x:c r="E876" s="2" t="str">
        <x:v>N1</x:v>
      </x:c>
      <x:c r="F876" s="10" t="n">
        <x:v>374</x:v>
      </x:c>
      <x:c r="G876" s="2" t="str">
        <x:v>w_e141a4de5a45c1c2</x:v>
      </x:c>
      <x:c r="H876" s="2" t="str">
        <x:v>悪しからず</x:v>
      </x:c>
      <x:c r="I876" s="2" t="str">
        <x:v>あしからず</x:v>
      </x:c>
      <x:c r="J876" s="8" t="str">
        <x:v>악의는 없으니 이해해 주세요, 미안합니다</x:v>
      </x:c>
      <x:c r="K876" s="2" t="str">
        <x:v>adverb</x:v>
      </x:c>
      <x:c r="L876" s="9" t="n">
        <x:v>2.44</x:v>
      </x:c>
      <x:c r="M876" s="2" t="str">
        <x:v>없음</x:v>
      </x:c>
      <x:c r="N876" s="11" t="n">
        <x:v>1</x:v>
      </x:c>
      <x:c r="O876" s="8" t="str">
        <x:v>일반 사용 빈도 낮음(Zipf ≤ 2.5); 검증된 예문 없음</x:v>
      </x:c>
      <x:c r="P876" s="8" t="str">
        <x:v>frequency_le_2_5,no_example</x:v>
      </x:c>
      <x:c r="Q876" s="2" t="str"/>
      <x:c r="R876" s="2" t="str"/>
      <x:c r="S876" s="2" t="str"/>
      <x:c r="T876" s="2" t="str"/>
      <x:c r="U876" s="2" t="str"/>
      <x:c r="V876" s="2" t="str">
        <x:v>아니오</x:v>
      </x:c>
      <x:c r="W876" s="2" t="str">
        <x:v>예</x:v>
      </x:c>
      <x:c r="X876" s="2" t="str">
        <x:v>ichi1</x:v>
      </x:c>
      <x:c r="Y876" s="2" t="n">
        <x:v>100</x:v>
      </x:c>
      <x:c r="Z876" s="2" t="str">
        <x:v>ichi1</x:v>
      </x:c>
      <x:c r="AA876" s="2" t="n">
        <x:v>100</x:v>
      </x:c>
      <x:c r="AB876" s="8" t="str">
        <x:v>word usually written using kana alone</x:v>
      </x:c>
      <x:c r="AC876" s="8" t="str"/>
      <x:c r="AD876" s="8" t="str">
        <x:v>["ko-reviewed"]</x:v>
      </x:c>
      <x:c r="AE876" s="8" t="str">
        <x:v>검토 필요</x:v>
      </x:c>
      <x:c r="AF876" s="8" t="str"/>
    </x:row>
    <x:row r="877">
      <x:c r="A877" s="10" t="n">
        <x:v>876</x:v>
      </x:c>
      <x:c r="B877" s="2" t="str">
        <x:v>2차 보류</x:v>
      </x:c>
      <x:c r="C877" s="2" t="str">
        <x:v>2차 보류</x:v>
      </x:c>
      <x:c r="D877" s="2" t="str">
        <x:v>낮음</x:v>
      </x:c>
      <x:c r="E877" s="2" t="str">
        <x:v>N2</x:v>
      </x:c>
      <x:c r="F877" s="10" t="n">
        <x:v>311</x:v>
      </x:c>
      <x:c r="G877" s="2" t="str">
        <x:v>w_ffedb35015cb1620</x:v>
      </x:c>
      <x:c r="H877" s="2" t="str">
        <x:v>退ける</x:v>
      </x:c>
      <x:c r="I877" s="2" t="str">
        <x:v>どける</x:v>
      </x:c>
      <x:c r="J877" s="8" t="str">
        <x:v>치우다, 물리치다</x:v>
      </x:c>
      <x:c r="K877" s="2" t="str">
        <x:v>verb</x:v>
      </x:c>
      <x:c r="L877" s="9" t="n">
        <x:v>2.46</x:v>
      </x:c>
      <x:c r="M877" s="2" t="str">
        <x:v>없음</x:v>
      </x:c>
      <x:c r="N877" s="11" t="n">
        <x:v>1</x:v>
      </x:c>
      <x:c r="O877" s="8" t="str">
        <x:v>일반 사용 빈도 낮음(Zipf ≤ 2.5); 검증된 예문 없음</x:v>
      </x:c>
      <x:c r="P877" s="8" t="str">
        <x:v>frequency_le_2_5,no_example</x:v>
      </x:c>
      <x:c r="Q877" s="2" t="str"/>
      <x:c r="R877" s="2" t="str"/>
      <x:c r="S877" s="2" t="str"/>
      <x:c r="T877" s="2" t="str"/>
      <x:c r="U877" s="2" t="str"/>
      <x:c r="V877" s="2" t="str">
        <x:v>아니오</x:v>
      </x:c>
      <x:c r="W877" s="2" t="str">
        <x:v>예</x:v>
      </x:c>
      <x:c r="X877" s="2" t="str">
        <x:v>ichi1</x:v>
      </x:c>
      <x:c r="Y877" s="2" t="n">
        <x:v>100</x:v>
      </x:c>
      <x:c r="Z877" s="2" t="str">
        <x:v>ichi1</x:v>
      </x:c>
      <x:c r="AA877" s="2" t="n">
        <x:v>100</x:v>
      </x:c>
      <x:c r="AB877" s="8" t="str"/>
      <x:c r="AC877" s="8" t="str"/>
      <x:c r="AD877" s="8" t="str">
        <x:v>["ko-reviewed"]</x:v>
      </x:c>
      <x:c r="AE877" s="8" t="str">
        <x:v>검토 필요</x:v>
      </x:c>
      <x:c r="AF877" s="8" t="str"/>
    </x:row>
    <x:row r="878">
      <x:c r="A878" s="10" t="n">
        <x:v>877</x:v>
      </x:c>
      <x:c r="B878" s="2" t="str">
        <x:v>2차 보류</x:v>
      </x:c>
      <x:c r="C878" s="2" t="str">
        <x:v>2차 보류</x:v>
      </x:c>
      <x:c r="D878" s="2" t="str">
        <x:v>낮음</x:v>
      </x:c>
      <x:c r="E878" s="2" t="str">
        <x:v>N2</x:v>
      </x:c>
      <x:c r="F878" s="10" t="n">
        <x:v>312</x:v>
      </x:c>
      <x:c r="G878" s="2" t="str">
        <x:v>w_6a5dccbb62da65b7</x:v>
      </x:c>
      <x:c r="H878" s="2" t="str">
        <x:v>引っ込む</x:v>
      </x:c>
      <x:c r="I878" s="2" t="str">
        <x:v>ひっこむ</x:v>
      </x:c>
      <x:c r="J878" s="8" t="str">
        <x:v>물러나다, 들어가다</x:v>
      </x:c>
      <x:c r="K878" s="2" t="str">
        <x:v>verb</x:v>
      </x:c>
      <x:c r="L878" s="9" t="n">
        <x:v>2.47</x:v>
      </x:c>
      <x:c r="M878" s="2" t="str">
        <x:v>없음</x:v>
      </x:c>
      <x:c r="N878" s="11" t="n">
        <x:v>1</x:v>
      </x:c>
      <x:c r="O878" s="8" t="str">
        <x:v>일반 사용 빈도 낮음(Zipf ≤ 2.5); 검증된 예문 없음</x:v>
      </x:c>
      <x:c r="P878" s="8" t="str">
        <x:v>frequency_le_2_5,no_example</x:v>
      </x:c>
      <x:c r="Q878" s="2" t="str"/>
      <x:c r="R878" s="2" t="str"/>
      <x:c r="S878" s="2" t="str"/>
      <x:c r="T878" s="2" t="str"/>
      <x:c r="U878" s="2" t="str"/>
      <x:c r="V878" s="2" t="str">
        <x:v>아니오</x:v>
      </x:c>
      <x:c r="W878" s="2" t="str">
        <x:v>예</x:v>
      </x:c>
      <x:c r="X878" s="2" t="str">
        <x:v>ichi1,news2,nf44</x:v>
      </x:c>
      <x:c r="Y878" s="2" t="n">
        <x:v>100</x:v>
      </x:c>
      <x:c r="Z878" s="2" t="str">
        <x:v>ichi1,news2,nf44</x:v>
      </x:c>
      <x:c r="AA878" s="2" t="n">
        <x:v>100</x:v>
      </x:c>
      <x:c r="AB878" s="8" t="str"/>
      <x:c r="AC878" s="8" t="str"/>
      <x:c r="AD878" s="8" t="str">
        <x:v>["ko-reviewed"]</x:v>
      </x:c>
      <x:c r="AE878" s="8" t="str">
        <x:v>검토 필요</x:v>
      </x:c>
      <x:c r="AF878" s="8" t="str"/>
    </x:row>
    <x:row r="879">
      <x:c r="A879" s="10" t="n">
        <x:v>878</x:v>
      </x:c>
      <x:c r="B879" s="2" t="str">
        <x:v>2차 보류</x:v>
      </x:c>
      <x:c r="C879" s="2" t="str">
        <x:v>2차 보류</x:v>
      </x:c>
      <x:c r="D879" s="2" t="str">
        <x:v>낮음</x:v>
      </x:c>
      <x:c r="E879" s="2" t="str">
        <x:v>N1</x:v>
      </x:c>
      <x:c r="F879" s="10" t="n">
        <x:v>375</x:v>
      </x:c>
      <x:c r="G879" s="2" t="str">
        <x:v>w_365969156a2e46dc</x:v>
      </x:c>
      <x:c r="H879" s="2" t="str">
        <x:v>がっくり</x:v>
      </x:c>
      <x:c r="I879" s="2" t="str">
        <x:v>がっくり</x:v>
      </x:c>
      <x:c r="J879" s="8" t="str">
        <x:v>털썩, 몹시 실망함</x:v>
      </x:c>
      <x:c r="K879" s="2" t="str">
        <x:v>adverb</x:v>
      </x:c>
      <x:c r="L879" s="9" t="n">
        <x:v>2.48</x:v>
      </x:c>
      <x:c r="M879" s="2" t="str">
        <x:v>없음</x:v>
      </x:c>
      <x:c r="N879" s="11" t="n">
        <x:v>1</x:v>
      </x:c>
      <x:c r="O879" s="8" t="str">
        <x:v>일반 사용 빈도 낮음(Zipf ≤ 2.5); 검증된 예문 없음</x:v>
      </x:c>
      <x:c r="P879" s="8" t="str">
        <x:v>frequency_le_2_5,no_example</x:v>
      </x:c>
      <x:c r="Q879" s="2" t="str"/>
      <x:c r="R879" s="2" t="str"/>
      <x:c r="S879" s="2" t="str"/>
      <x:c r="T879" s="2" t="str"/>
      <x:c r="U879" s="2" t="str"/>
      <x:c r="V879" s="2" t="str">
        <x:v>아니오</x:v>
      </x:c>
      <x:c r="W879" s="2" t="str">
        <x:v>예</x:v>
      </x:c>
      <x:c r="X879" s="2" t="str">
        <x:v>spec1</x:v>
      </x:c>
      <x:c r="Y879" s="2" t="n">
        <x:v>100</x:v>
      </x:c>
      <x:c r="Z879" s="2" t="str">
        <x:v>spec1</x:v>
      </x:c>
      <x:c r="AA879" s="2" t="n">
        <x:v>100</x:v>
      </x:c>
      <x:c r="AB879" s="8" t="str">
        <x:v>onomatopoeic or mimetic word</x:v>
      </x:c>
      <x:c r="AC879" s="8" t="str"/>
      <x:c r="AD879" s="8" t="str">
        <x:v>["ko-reviewed"]</x:v>
      </x:c>
      <x:c r="AE879" s="8" t="str">
        <x:v>검토 필요</x:v>
      </x:c>
      <x:c r="AF879" s="8" t="str"/>
    </x:row>
    <x:row r="880">
      <x:c r="A880" s="10" t="n">
        <x:v>879</x:v>
      </x:c>
      <x:c r="B880" s="2" t="str">
        <x:v>2차 보류</x:v>
      </x:c>
      <x:c r="C880" s="2" t="str">
        <x:v>2차 보류</x:v>
      </x:c>
      <x:c r="D880" s="2" t="str">
        <x:v>낮음</x:v>
      </x:c>
      <x:c r="E880" s="2" t="str">
        <x:v>N2</x:v>
      </x:c>
      <x:c r="F880" s="10" t="n">
        <x:v>313</x:v>
      </x:c>
      <x:c r="G880" s="2" t="str">
        <x:v>w_011830febbff62c7</x:v>
      </x:c>
      <x:c r="H880" s="2" t="str">
        <x:v>床の間</x:v>
      </x:c>
      <x:c r="I880" s="2" t="str">
        <x:v>とこのま</x:v>
      </x:c>
      <x:c r="J880" s="8" t="str">
        <x:v>도코노마, 벽감</x:v>
      </x:c>
      <x:c r="K880" s="2" t="str">
        <x:v>noun</x:v>
      </x:c>
      <x:c r="L880" s="9" t="n">
        <x:v>2.49</x:v>
      </x:c>
      <x:c r="M880" s="2" t="str">
        <x:v>없음</x:v>
      </x:c>
      <x:c r="N880" s="11" t="n">
        <x:v>1</x:v>
      </x:c>
      <x:c r="O880" s="8" t="str">
        <x:v>일반 사용 빈도 낮음(Zipf ≤ 2.5); 검증된 예문 없음</x:v>
      </x:c>
      <x:c r="P880" s="8" t="str">
        <x:v>frequency_le_2_5,no_example</x:v>
      </x:c>
      <x:c r="Q880" s="2" t="str"/>
      <x:c r="R880" s="2" t="str"/>
      <x:c r="S880" s="2" t="str"/>
      <x:c r="T880" s="2" t="str"/>
      <x:c r="U880" s="2" t="str"/>
      <x:c r="V880" s="2" t="str">
        <x:v>아니오</x:v>
      </x:c>
      <x:c r="W880" s="2" t="str">
        <x:v>예</x:v>
      </x:c>
      <x:c r="X880" s="2" t="str">
        <x:v>ichi1,news1,nf20</x:v>
      </x:c>
      <x:c r="Y880" s="2" t="n">
        <x:v>100</x:v>
      </x:c>
      <x:c r="Z880" s="2" t="str">
        <x:v>ichi1,news1,nf20</x:v>
      </x:c>
      <x:c r="AA880" s="2" t="n">
        <x:v>100</x:v>
      </x:c>
      <x:c r="AB880" s="8" t="str"/>
      <x:c r="AC880" s="8" t="str"/>
      <x:c r="AD880" s="8" t="str">
        <x:v>["ko-reviewed"]</x:v>
      </x:c>
      <x:c r="AE880" s="8" t="str">
        <x:v>검토 필요</x:v>
      </x:c>
      <x:c r="AF880" s="8" t="str"/>
    </x:row>
    <x:row r="881">
      <x:c r="A881" s="10" t="n">
        <x:v>880</x:v>
      </x:c>
      <x:c r="B881" s="2" t="str">
        <x:v>2차 보류</x:v>
      </x:c>
      <x:c r="C881" s="2" t="str">
        <x:v>2차 보류</x:v>
      </x:c>
      <x:c r="D881" s="2" t="str">
        <x:v>낮음</x:v>
      </x:c>
      <x:c r="E881" s="2" t="str">
        <x:v>N2</x:v>
      </x:c>
      <x:c r="F881" s="10" t="n">
        <x:v>314</x:v>
      </x:c>
      <x:c r="G881" s="2" t="str">
        <x:v>w_334734bd7b570cdd</x:v>
      </x:c>
      <x:c r="H881" s="2" t="str">
        <x:v>憎らしい</x:v>
      </x:c>
      <x:c r="I881" s="2" t="str">
        <x:v>にくらしい</x:v>
      </x:c>
      <x:c r="J881" s="8" t="str">
        <x:v>얄밉다, 밉살스럽다</x:v>
      </x:c>
      <x:c r="K881" s="2" t="str">
        <x:v>adjective</x:v>
      </x:c>
      <x:c r="L881" s="9" t="n">
        <x:v>2.49</x:v>
      </x:c>
      <x:c r="M881" s="2" t="str">
        <x:v>없음</x:v>
      </x:c>
      <x:c r="N881" s="11" t="n">
        <x:v>1</x:v>
      </x:c>
      <x:c r="O881" s="8" t="str">
        <x:v>일반 사용 빈도 낮음(Zipf ≤ 2.5); 검증된 예문 없음</x:v>
      </x:c>
      <x:c r="P881" s="8" t="str">
        <x:v>frequency_le_2_5,no_example</x:v>
      </x:c>
      <x:c r="Q881" s="2" t="str"/>
      <x:c r="R881" s="2" t="str"/>
      <x:c r="S881" s="2" t="str"/>
      <x:c r="T881" s="2" t="str"/>
      <x:c r="U881" s="2" t="str"/>
      <x:c r="V881" s="2" t="str">
        <x:v>아니오</x:v>
      </x:c>
      <x:c r="W881" s="2" t="str">
        <x:v>예</x:v>
      </x:c>
      <x:c r="X881" s="2" t="str">
        <x:v>ichi1</x:v>
      </x:c>
      <x:c r="Y881" s="2" t="n">
        <x:v>100</x:v>
      </x:c>
      <x:c r="Z881" s="2" t="str">
        <x:v>ichi1</x:v>
      </x:c>
      <x:c r="AA881" s="2" t="n">
        <x:v>100</x:v>
      </x:c>
      <x:c r="AB881" s="8" t="str"/>
      <x:c r="AC881" s="8" t="str"/>
      <x:c r="AD881" s="8" t="str">
        <x:v>["ko-reviewed"]</x:v>
      </x:c>
      <x:c r="AE881" s="8" t="str">
        <x:v>검토 필요</x:v>
      </x:c>
      <x:c r="AF881" s="8" t="str"/>
    </x:row>
    <x:row r="882">
      <x:c r="A882" s="10" t="n">
        <x:v>881</x:v>
      </x:c>
      <x:c r="B882" s="2" t="str">
        <x:v>2차 보류</x:v>
      </x:c>
      <x:c r="C882" s="2" t="str">
        <x:v>2차 보류</x:v>
      </x:c>
      <x:c r="D882" s="2" t="str">
        <x:v>낮음</x:v>
      </x:c>
      <x:c r="E882" s="2" t="str">
        <x:v>N1</x:v>
      </x:c>
      <x:c r="F882" s="10" t="n">
        <x:v>376</x:v>
      </x:c>
      <x:c r="G882" s="2" t="str">
        <x:v>w_8ebaa81dd89e86b4</x:v>
      </x:c>
      <x:c r="H882" s="2" t="str">
        <x:v>近眼</x:v>
      </x:c>
      <x:c r="I882" s="2" t="str">
        <x:v>きんがん</x:v>
      </x:c>
      <x:c r="J882" s="8" t="str">
        <x:v>근시</x:v>
      </x:c>
      <x:c r="K882" s="2" t="str">
        <x:v>noun</x:v>
      </x:c>
      <x:c r="L882" s="9" t="n">
        <x:v>2.49</x:v>
      </x:c>
      <x:c r="M882" s="2" t="str">
        <x:v>없음</x:v>
      </x:c>
      <x:c r="N882" s="11" t="n">
        <x:v>1</x:v>
      </x:c>
      <x:c r="O882" s="8" t="str">
        <x:v>일반 사용 빈도 낮음(Zipf ≤ 2.5); 검증된 예문 없음</x:v>
      </x:c>
      <x:c r="P882" s="8" t="str">
        <x:v>frequency_le_2_5,no_example</x:v>
      </x:c>
      <x:c r="Q882" s="2" t="str"/>
      <x:c r="R882" s="2" t="str"/>
      <x:c r="S882" s="2" t="str"/>
      <x:c r="T882" s="2" t="str"/>
      <x:c r="U882" s="2" t="str"/>
      <x:c r="V882" s="2" t="str">
        <x:v>아니오</x:v>
      </x:c>
      <x:c r="W882" s="2" t="str">
        <x:v>예</x:v>
      </x:c>
      <x:c r="X882" s="2" t="str">
        <x:v>ichi1</x:v>
      </x:c>
      <x:c r="Y882" s="2" t="n">
        <x:v>100</x:v>
      </x:c>
      <x:c r="Z882" s="2" t="str">
        <x:v>ichi1</x:v>
      </x:c>
      <x:c r="AA882" s="2" t="n">
        <x:v>100</x:v>
      </x:c>
      <x:c r="AB882" s="8" t="str"/>
      <x:c r="AC882" s="8" t="str"/>
      <x:c r="AD882" s="8" t="str">
        <x:v>["ko-reviewed"]</x:v>
      </x:c>
      <x:c r="AE882" s="8" t="str">
        <x:v>검토 필요</x:v>
      </x:c>
      <x:c r="AF882" s="8" t="str"/>
    </x:row>
    <x:row r="883">
      <x:c r="A883" s="10" t="n">
        <x:v>882</x:v>
      </x:c>
      <x:c r="B883" s="2" t="str">
        <x:v>2차 보류</x:v>
      </x:c>
      <x:c r="C883" s="2" t="str">
        <x:v>2차 보류</x:v>
      </x:c>
      <x:c r="D883" s="2" t="str">
        <x:v>낮음</x:v>
      </x:c>
      <x:c r="E883" s="2" t="str">
        <x:v>N1</x:v>
      </x:c>
      <x:c r="F883" s="10" t="n">
        <x:v>377</x:v>
      </x:c>
      <x:c r="G883" s="2" t="str">
        <x:v>w_a2976ac2ce9be6f1</x:v>
      </x:c>
      <x:c r="H883" s="2" t="str">
        <x:v>耽る</x:v>
      </x:c>
      <x:c r="I883" s="2" t="str">
        <x:v>ふける</x:v>
      </x:c>
      <x:c r="J883" s="8" t="str">
        <x:v>빠지다, 몰두하다</x:v>
      </x:c>
      <x:c r="K883" s="2" t="str">
        <x:v>verb</x:v>
      </x:c>
      <x:c r="L883" s="9" t="n">
        <x:v>2.5</x:v>
      </x:c>
      <x:c r="M883" s="2" t="str">
        <x:v>없음</x:v>
      </x:c>
      <x:c r="N883" s="11" t="n">
        <x:v>1</x:v>
      </x:c>
      <x:c r="O883" s="8" t="str">
        <x:v>일반 사용 빈도 낮음(Zipf ≤ 2.5); 검증된 예문 없음</x:v>
      </x:c>
      <x:c r="P883" s="8" t="str">
        <x:v>frequency_le_2_5,no_example</x:v>
      </x:c>
      <x:c r="Q883" s="2" t="str"/>
      <x:c r="R883" s="2" t="str"/>
      <x:c r="S883" s="2" t="str"/>
      <x:c r="T883" s="2" t="str"/>
      <x:c r="U883" s="2" t="str"/>
      <x:c r="V883" s="2" t="str">
        <x:v>아니오</x:v>
      </x:c>
      <x:c r="W883" s="2" t="str">
        <x:v>예</x:v>
      </x:c>
      <x:c r="X883" s="2" t="str">
        <x:v>ichi1</x:v>
      </x:c>
      <x:c r="Y883" s="2" t="n">
        <x:v>100</x:v>
      </x:c>
      <x:c r="Z883" s="2" t="str">
        <x:v>ichi1</x:v>
      </x:c>
      <x:c r="AA883" s="2" t="n">
        <x:v>100</x:v>
      </x:c>
      <x:c r="AB883" s="8" t="str">
        <x:v>word usually written using kana alone</x:v>
      </x:c>
      <x:c r="AC883" s="8" t="str"/>
      <x:c r="AD883" s="8" t="str">
        <x:v>["ko-reviewed"]</x:v>
      </x:c>
      <x:c r="AE883" s="8" t="str">
        <x:v>검토 필요</x:v>
      </x:c>
      <x:c r="AF883" s="8" t="str"/>
    </x:row>
    <x:row r="884">
      <x:c r="A884" s="10" t="n">
        <x:v>883</x:v>
      </x:c>
      <x:c r="B884" s="2" t="str">
        <x:v>2차 보류</x:v>
      </x:c>
      <x:c r="C884" s="2" t="str">
        <x:v>2차 보류</x:v>
      </x:c>
      <x:c r="D884" s="2" t="str">
        <x:v>낮음</x:v>
      </x:c>
      <x:c r="E884" s="2" t="str">
        <x:v>N1</x:v>
      </x:c>
      <x:c r="F884" s="10" t="n">
        <x:v>378</x:v>
      </x:c>
      <x:c r="G884" s="2" t="str">
        <x:v>w_4b6957098523bfbf</x:v>
      </x:c>
      <x:c r="H884" s="2" t="str">
        <x:v>捩れる</x:v>
      </x:c>
      <x:c r="I884" s="2" t="str">
        <x:v>ねじれる</x:v>
      </x:c>
      <x:c r="J884" s="8" t="str">
        <x:v>비틀어지다, 꼬이다</x:v>
      </x:c>
      <x:c r="K884" s="2" t="str">
        <x:v>verb</x:v>
      </x:c>
      <x:c r="L884" s="9" t="n">
        <x:v>1.02</x:v>
      </x:c>
      <x:c r="M884" s="2" t="str">
        <x:v>있음</x:v>
      </x:c>
      <x:c r="N884" s="11" t="n">
        <x:v>0</x:v>
      </x:c>
      <x:c r="O884" s="8" t="str">
        <x:v>일반 사용 빈도 매우 낮음(Zipf ≤ 1.5); 기존 데이터의 한국어 콘텐츠 보강 필요 태그</x:v>
      </x:c>
      <x:c r="P884" s="8" t="str">
        <x:v>frequency_le_1_5,weak_legacy_content</x:v>
      </x:c>
      <x:c r="Q884" s="2" t="str"/>
      <x:c r="R884" s="2" t="str"/>
      <x:c r="S884" s="2" t="str"/>
      <x:c r="T884" s="2" t="str"/>
      <x:c r="U884" s="2" t="str"/>
      <x:c r="V884" s="2" t="str">
        <x:v>아니오</x:v>
      </x:c>
      <x:c r="W884" s="2" t="str">
        <x:v>예</x:v>
      </x:c>
      <x:c r="X884" s="2" t="str">
        <x:v>ichi2</x:v>
      </x:c>
      <x:c r="Y884" s="2" t="n">
        <x:v>70</x:v>
      </x:c>
      <x:c r="Z884" s="2" t="str"/>
      <x:c r="AA884" s="2" t="n">
        <x:v>0</x:v>
      </x:c>
      <x:c r="AB884" s="8" t="str">
        <x:v>word usually written using kana alone</x:v>
      </x:c>
      <x:c r="AC884" s="8" t="str"/>
      <x:c r="AD884" s="8" t="str">
        <x:v>["draft-ko-missing"]</x:v>
      </x:c>
      <x:c r="AE884" s="8" t="str">
        <x:v>검토 필요</x:v>
      </x:c>
      <x:c r="AF884" s="8" t="str"/>
    </x:row>
    <x:row r="885">
      <x:c r="A885" s="10" t="n">
        <x:v>884</x:v>
      </x:c>
      <x:c r="B885" s="2" t="str">
        <x:v>2차 보류</x:v>
      </x:c>
      <x:c r="C885" s="2" t="str">
        <x:v>2차 보류</x:v>
      </x:c>
      <x:c r="D885" s="2" t="str">
        <x:v>낮음</x:v>
      </x:c>
      <x:c r="E885" s="2" t="str">
        <x:v>N2</x:v>
      </x:c>
      <x:c r="F885" s="10" t="n">
        <x:v>315</x:v>
      </x:c>
      <x:c r="G885" s="2" t="str">
        <x:v>w_ce45b093c4a13e4e</x:v>
      </x:c>
      <x:c r="H885" s="2" t="str">
        <x:v>養分</x:v>
      </x:c>
      <x:c r="I885" s="2" t="str">
        <x:v>ようぶん</x:v>
      </x:c>
      <x:c r="J885" s="8" t="str">
        <x:v>양분, 영양분</x:v>
      </x:c>
      <x:c r="K885" s="2" t="str">
        <x:v>noun</x:v>
      </x:c>
      <x:c r="L885" s="9" t="n">
        <x:v>3.01</x:v>
      </x:c>
      <x:c r="M885" s="2" t="str">
        <x:v>없음</x:v>
      </x:c>
      <x:c r="N885" s="11" t="n">
        <x:v>0</x:v>
      </x:c>
      <x:c r="O885" s="8" t="str">
        <x:v>일반 사용 빈도 보통 이하(Zipf ≤ 3.5); 검증된 예문 없음</x:v>
      </x:c>
      <x:c r="P885" s="8" t="str">
        <x:v>frequency_le_3_5,no_example</x:v>
      </x:c>
      <x:c r="Q885" s="2" t="str"/>
      <x:c r="R885" s="2" t="str"/>
      <x:c r="S885" s="2" t="str"/>
      <x:c r="T885" s="2" t="str"/>
      <x:c r="U885" s="2" t="str"/>
      <x:c r="V885" s="2" t="str">
        <x:v>아니오</x:v>
      </x:c>
      <x:c r="W885" s="2" t="str">
        <x:v>예</x:v>
      </x:c>
      <x:c r="X885" s="2" t="str">
        <x:v>news2,nf36</x:v>
      </x:c>
      <x:c r="Y885" s="2" t="n">
        <x:v>70</x:v>
      </x:c>
      <x:c r="Z885" s="2" t="str">
        <x:v>news2,nf36</x:v>
      </x:c>
      <x:c r="AA885" s="2" t="n">
        <x:v>70</x:v>
      </x:c>
      <x:c r="AB885" s="8" t="str"/>
      <x:c r="AC885" s="8" t="str"/>
      <x:c r="AD885" s="8" t="str">
        <x:v>["backfill-replacement","assistant-ko-reviewed"]</x:v>
      </x:c>
      <x:c r="AE885" s="8" t="str">
        <x:v>검토 필요</x:v>
      </x:c>
      <x:c r="AF885" s="8" t="str"/>
    </x:row>
    <x:row r="886">
      <x:c r="A886" s="10" t="n">
        <x:v>885</x:v>
      </x:c>
      <x:c r="B886" s="2" t="str">
        <x:v>2차 보류</x:v>
      </x:c>
      <x:c r="C886" s="2" t="str">
        <x:v>2차 보류</x:v>
      </x:c>
      <x:c r="D886" s="2" t="str">
        <x:v>낮음</x:v>
      </x:c>
      <x:c r="E886" s="2" t="str">
        <x:v>N1</x:v>
      </x:c>
      <x:c r="F886" s="10" t="n">
        <x:v>379</x:v>
      </x:c>
      <x:c r="G886" s="2" t="str">
        <x:v>w_5a44e570dc2b7940</x:v>
      </x:c>
      <x:c r="H886" s="2" t="str">
        <x:v>静的</x:v>
      </x:c>
      <x:c r="I886" s="2" t="str">
        <x:v>せいてき</x:v>
      </x:c>
      <x:c r="J886" s="8" t="str">
        <x:v>정적</x:v>
      </x:c>
      <x:c r="K886" s="2" t="str">
        <x:v>adjective</x:v>
      </x:c>
      <x:c r="L886" s="9" t="n">
        <x:v>3.04</x:v>
      </x:c>
      <x:c r="M886" s="2" t="str">
        <x:v>없음</x:v>
      </x:c>
      <x:c r="N886" s="11" t="n">
        <x:v>0</x:v>
      </x:c>
      <x:c r="O886" s="8" t="str">
        <x:v>일반 사용 빈도 보통 이하(Zipf ≤ 3.5); 검증된 예문 없음</x:v>
      </x:c>
      <x:c r="P886" s="8" t="str">
        <x:v>frequency_le_3_5,no_example</x:v>
      </x:c>
      <x:c r="Q886" s="2" t="str"/>
      <x:c r="R886" s="2" t="str"/>
      <x:c r="S886" s="2" t="str"/>
      <x:c r="T886" s="2" t="str"/>
      <x:c r="U886" s="2" t="str"/>
      <x:c r="V886" s="2" t="str">
        <x:v>아니오</x:v>
      </x:c>
      <x:c r="W886" s="2" t="str">
        <x:v>예</x:v>
      </x:c>
      <x:c r="X886" s="2" t="str">
        <x:v>news2,nf46</x:v>
      </x:c>
      <x:c r="Y886" s="2" t="n">
        <x:v>70</x:v>
      </x:c>
      <x:c r="Z886" s="2" t="str">
        <x:v>news2,nf46</x:v>
      </x:c>
      <x:c r="AA886" s="2" t="n">
        <x:v>70</x:v>
      </x:c>
      <x:c r="AB886" s="8" t="str"/>
      <x:c r="AC886" s="8" t="str"/>
      <x:c r="AD886" s="8" t="str">
        <x:v>["ko-reviewed"]</x:v>
      </x:c>
      <x:c r="AE886" s="8" t="str">
        <x:v>검토 필요</x:v>
      </x:c>
      <x:c r="AF886" s="8" t="str"/>
    </x:row>
    <x:row r="887">
      <x:c r="A887" s="10" t="n">
        <x:v>886</x:v>
      </x:c>
      <x:c r="B887" s="2" t="str">
        <x:v>2차 보류</x:v>
      </x:c>
      <x:c r="C887" s="2" t="str">
        <x:v>2차 보류</x:v>
      </x:c>
      <x:c r="D887" s="2" t="str">
        <x:v>낮음</x:v>
      </x:c>
      <x:c r="E887" s="2" t="str">
        <x:v>N1</x:v>
      </x:c>
      <x:c r="F887" s="10" t="n">
        <x:v>380</x:v>
      </x:c>
      <x:c r="G887" s="2" t="str">
        <x:v>w_6726ee94c260621d</x:v>
      </x:c>
      <x:c r="H887" s="2" t="str">
        <x:v>給仕</x:v>
      </x:c>
      <x:c r="I887" s="2" t="str">
        <x:v>きゅうじ</x:v>
      </x:c>
      <x:c r="J887" s="8" t="str">
        <x:v>급사, 웨이터</x:v>
      </x:c>
      <x:c r="K887" s="2" t="str">
        <x:v>noun</x:v>
      </x:c>
      <x:c r="L887" s="9" t="n">
        <x:v>3.11</x:v>
      </x:c>
      <x:c r="M887" s="2" t="str">
        <x:v>없음</x:v>
      </x:c>
      <x:c r="N887" s="11" t="n">
        <x:v>0</x:v>
      </x:c>
      <x:c r="O887" s="8" t="str">
        <x:v>일반 사용 빈도 보통 이하(Zipf ≤ 3.5); 검증된 예문 없음</x:v>
      </x:c>
      <x:c r="P887" s="8" t="str">
        <x:v>frequency_le_3_5,no_example</x:v>
      </x:c>
      <x:c r="Q887" s="2" t="str"/>
      <x:c r="R887" s="2" t="str"/>
      <x:c r="S887" s="2" t="str"/>
      <x:c r="T887" s="2" t="str"/>
      <x:c r="U887" s="2" t="str"/>
      <x:c r="V887" s="2" t="str">
        <x:v>아니오</x:v>
      </x:c>
      <x:c r="W887" s="2" t="str">
        <x:v>예</x:v>
      </x:c>
      <x:c r="X887" s="2" t="str">
        <x:v>news2,nf46</x:v>
      </x:c>
      <x:c r="Y887" s="2" t="n">
        <x:v>70</x:v>
      </x:c>
      <x:c r="Z887" s="2" t="str">
        <x:v>news2,nf46</x:v>
      </x:c>
      <x:c r="AA887" s="2" t="n">
        <x:v>70</x:v>
      </x:c>
      <x:c r="AB887" s="8" t="str"/>
      <x:c r="AC887" s="8" t="str"/>
      <x:c r="AD887" s="8" t="str">
        <x:v>["ko-reviewed"]</x:v>
      </x:c>
      <x:c r="AE887" s="8" t="str">
        <x:v>검토 필요</x:v>
      </x:c>
      <x:c r="AF887" s="8" t="str"/>
    </x:row>
    <x:row r="888">
      <x:c r="A888" s="10" t="n">
        <x:v>887</x:v>
      </x:c>
      <x:c r="B888" s="2" t="str">
        <x:v>2차 보류</x:v>
      </x:c>
      <x:c r="C888" s="2" t="str">
        <x:v>2차 보류</x:v>
      </x:c>
      <x:c r="D888" s="2" t="str">
        <x:v>낮음</x:v>
      </x:c>
      <x:c r="E888" s="2" t="str">
        <x:v>N1</x:v>
      </x:c>
      <x:c r="F888" s="10" t="n">
        <x:v>381</x:v>
      </x:c>
      <x:c r="G888" s="2" t="str">
        <x:v>w_7aa979c155adee27</x:v>
      </x:c>
      <x:c r="H888" s="2" t="str">
        <x:v>免れる</x:v>
      </x:c>
      <x:c r="I888" s="2" t="str">
        <x:v>まぬがれる</x:v>
      </x:c>
      <x:c r="J888" s="8" t="str">
        <x:v>면하다, 벗어나다</x:v>
      </x:c>
      <x:c r="K888" s="2" t="str">
        <x:v>verb</x:v>
      </x:c>
      <x:c r="L888" s="9" t="n">
        <x:v>3.11</x:v>
      </x:c>
      <x:c r="M888" s="2" t="str">
        <x:v>없음</x:v>
      </x:c>
      <x:c r="N888" s="11" t="n">
        <x:v>0</x:v>
      </x:c>
      <x:c r="O888" s="8" t="str">
        <x:v>일반 사용 빈도 보통 이하(Zipf ≤ 3.5); 검증된 예문 없음</x:v>
      </x:c>
      <x:c r="P888" s="8" t="str">
        <x:v>frequency_le_3_5,no_example</x:v>
      </x:c>
      <x:c r="Q888" s="2" t="str"/>
      <x:c r="R888" s="2" t="str"/>
      <x:c r="S888" s="2" t="str"/>
      <x:c r="T888" s="2" t="str"/>
      <x:c r="U888" s="2" t="str"/>
      <x:c r="V888" s="2" t="str">
        <x:v>아니오</x:v>
      </x:c>
      <x:c r="W888" s="2" t="str">
        <x:v>예</x:v>
      </x:c>
      <x:c r="X888" s="2" t="str">
        <x:v>news2,nf28,spec2</x:v>
      </x:c>
      <x:c r="Y888" s="2" t="n">
        <x:v>70</x:v>
      </x:c>
      <x:c r="Z888" s="2" t="str">
        <x:v>news2,nf28,spec2</x:v>
      </x:c>
      <x:c r="AA888" s="2" t="n">
        <x:v>70</x:v>
      </x:c>
      <x:c r="AB888" s="8" t="str"/>
      <x:c r="AC888" s="8" t="str"/>
      <x:c r="AD888" s="8" t="str">
        <x:v>["ko-reviewed"]</x:v>
      </x:c>
      <x:c r="AE888" s="8" t="str">
        <x:v>검토 필요</x:v>
      </x:c>
      <x:c r="AF888" s="8" t="str"/>
    </x:row>
    <x:row r="889">
      <x:c r="A889" s="10" t="n">
        <x:v>888</x:v>
      </x:c>
      <x:c r="B889" s="2" t="str">
        <x:v>2차 보류</x:v>
      </x:c>
      <x:c r="C889" s="2" t="str">
        <x:v>2차 보류</x:v>
      </x:c>
      <x:c r="D889" s="2" t="str">
        <x:v>낮음</x:v>
      </x:c>
      <x:c r="E889" s="2" t="str">
        <x:v>N1</x:v>
      </x:c>
      <x:c r="F889" s="10" t="n">
        <x:v>382</x:v>
      </x:c>
      <x:c r="G889" s="2" t="str">
        <x:v>w_dfb72e7be25ab3be</x:v>
      </x:c>
      <x:c r="H889" s="2" t="str">
        <x:v>余興</x:v>
      </x:c>
      <x:c r="I889" s="2" t="str">
        <x:v>よきょう</x:v>
      </x:c>
      <x:c r="J889" s="8" t="str">
        <x:v>여흥, 오락</x:v>
      </x:c>
      <x:c r="K889" s="2" t="str">
        <x:v>noun</x:v>
      </x:c>
      <x:c r="L889" s="9" t="n">
        <x:v>3.11</x:v>
      </x:c>
      <x:c r="M889" s="2" t="str">
        <x:v>없음</x:v>
      </x:c>
      <x:c r="N889" s="11" t="n">
        <x:v>0</x:v>
      </x:c>
      <x:c r="O889" s="8" t="str">
        <x:v>일반 사용 빈도 보통 이하(Zipf ≤ 3.5); 검증된 예문 없음</x:v>
      </x:c>
      <x:c r="P889" s="8" t="str">
        <x:v>frequency_le_3_5,no_example</x:v>
      </x:c>
      <x:c r="Q889" s="2" t="str"/>
      <x:c r="R889" s="2" t="str"/>
      <x:c r="S889" s="2" t="str"/>
      <x:c r="T889" s="2" t="str"/>
      <x:c r="U889" s="2" t="str"/>
      <x:c r="V889" s="2" t="str">
        <x:v>아니오</x:v>
      </x:c>
      <x:c r="W889" s="2" t="str">
        <x:v>예</x:v>
      </x:c>
      <x:c r="X889" s="2" t="str">
        <x:v>news2,nf40</x:v>
      </x:c>
      <x:c r="Y889" s="2" t="n">
        <x:v>70</x:v>
      </x:c>
      <x:c r="Z889" s="2" t="str">
        <x:v>news2,nf40</x:v>
      </x:c>
      <x:c r="AA889" s="2" t="n">
        <x:v>70</x:v>
      </x:c>
      <x:c r="AB889" s="8" t="str"/>
      <x:c r="AC889" s="8" t="str"/>
      <x:c r="AD889" s="8" t="str">
        <x:v>["backfill-replacement","assistant-ko-reviewed"]</x:v>
      </x:c>
      <x:c r="AE889" s="8" t="str">
        <x:v>검토 필요</x:v>
      </x:c>
      <x:c r="AF889" s="8" t="str"/>
    </x:row>
    <x:row r="890">
      <x:c r="A890" s="10" t="n">
        <x:v>889</x:v>
      </x:c>
      <x:c r="B890" s="2" t="str">
        <x:v>2차 보류</x:v>
      </x:c>
      <x:c r="C890" s="2" t="str">
        <x:v>2차 보류</x:v>
      </x:c>
      <x:c r="D890" s="2" t="str">
        <x:v>낮음</x:v>
      </x:c>
      <x:c r="E890" s="2" t="str">
        <x:v>N2</x:v>
      </x:c>
      <x:c r="F890" s="10" t="n">
        <x:v>316</x:v>
      </x:c>
      <x:c r="G890" s="2" t="str">
        <x:v>w_1299319487040d6c</x:v>
      </x:c>
      <x:c r="H890" s="2" t="str">
        <x:v>専制</x:v>
      </x:c>
      <x:c r="I890" s="2" t="str">
        <x:v>せんせい</x:v>
      </x:c>
      <x:c r="J890" s="8" t="str">
        <x:v>전제 정치, 독재</x:v>
      </x:c>
      <x:c r="K890" s="2" t="str">
        <x:v>noun</x:v>
      </x:c>
      <x:c r="L890" s="9" t="n">
        <x:v>3.12</x:v>
      </x:c>
      <x:c r="M890" s="2" t="str">
        <x:v>없음</x:v>
      </x:c>
      <x:c r="N890" s="11" t="n">
        <x:v>0</x:v>
      </x:c>
      <x:c r="O890" s="8" t="str">
        <x:v>일반 사용 빈도 보통 이하(Zipf ≤ 3.5); 검증된 예문 없음</x:v>
      </x:c>
      <x:c r="P890" s="8" t="str">
        <x:v>frequency_le_3_5,no_example</x:v>
      </x:c>
      <x:c r="Q890" s="2" t="str"/>
      <x:c r="R890" s="2" t="str"/>
      <x:c r="S890" s="2" t="str"/>
      <x:c r="T890" s="2" t="str"/>
      <x:c r="U890" s="2" t="str"/>
      <x:c r="V890" s="2" t="str">
        <x:v>아니오</x:v>
      </x:c>
      <x:c r="W890" s="2" t="str">
        <x:v>예</x:v>
      </x:c>
      <x:c r="X890" s="2" t="str">
        <x:v>news2,nf25,spec2</x:v>
      </x:c>
      <x:c r="Y890" s="2" t="n">
        <x:v>70</x:v>
      </x:c>
      <x:c r="Z890" s="2" t="str">
        <x:v>news2,nf25,spec2</x:v>
      </x:c>
      <x:c r="AA890" s="2" t="n">
        <x:v>70</x:v>
      </x:c>
      <x:c r="AB890" s="8" t="str"/>
      <x:c r="AC890" s="8" t="str"/>
      <x:c r="AD890" s="8" t="str">
        <x:v>["ko-reviewed"]</x:v>
      </x:c>
      <x:c r="AE890" s="8" t="str">
        <x:v>검토 필요</x:v>
      </x:c>
      <x:c r="AF890" s="8" t="str"/>
    </x:row>
    <x:row r="891">
      <x:c r="A891" s="10" t="n">
        <x:v>890</x:v>
      </x:c>
      <x:c r="B891" s="2" t="str">
        <x:v>2차 보류</x:v>
      </x:c>
      <x:c r="C891" s="2" t="str">
        <x:v>2차 보류</x:v>
      </x:c>
      <x:c r="D891" s="2" t="str">
        <x:v>낮음</x:v>
      </x:c>
      <x:c r="E891" s="2" t="str">
        <x:v>N1</x:v>
      </x:c>
      <x:c r="F891" s="10" t="n">
        <x:v>383</x:v>
      </x:c>
      <x:c r="G891" s="2" t="str">
        <x:v>w_af0349eebadc6776</x:v>
      </x:c>
      <x:c r="H891" s="2" t="str">
        <x:v>課外</x:v>
      </x:c>
      <x:c r="I891" s="2" t="str">
        <x:v>かがい</x:v>
      </x:c>
      <x:c r="J891" s="8" t="str">
        <x:v>과외, 정규 외</x:v>
      </x:c>
      <x:c r="K891" s="2" t="str">
        <x:v>noun</x:v>
      </x:c>
      <x:c r="L891" s="9" t="n">
        <x:v>3.12</x:v>
      </x:c>
      <x:c r="M891" s="2" t="str">
        <x:v>없음</x:v>
      </x:c>
      <x:c r="N891" s="11" t="n">
        <x:v>0</x:v>
      </x:c>
      <x:c r="O891" s="8" t="str">
        <x:v>일반 사용 빈도 보통 이하(Zipf ≤ 3.5); 검증된 예문 없음</x:v>
      </x:c>
      <x:c r="P891" s="8" t="str">
        <x:v>frequency_le_3_5,no_example</x:v>
      </x:c>
      <x:c r="Q891" s="2" t="str"/>
      <x:c r="R891" s="2" t="str"/>
      <x:c r="S891" s="2" t="str"/>
      <x:c r="T891" s="2" t="str"/>
      <x:c r="U891" s="2" t="str"/>
      <x:c r="V891" s="2" t="str">
        <x:v>아니오</x:v>
      </x:c>
      <x:c r="W891" s="2" t="str">
        <x:v>예</x:v>
      </x:c>
      <x:c r="X891" s="2" t="str">
        <x:v>news2,nf34</x:v>
      </x:c>
      <x:c r="Y891" s="2" t="n">
        <x:v>70</x:v>
      </x:c>
      <x:c r="Z891" s="2" t="str">
        <x:v>news2,nf34</x:v>
      </x:c>
      <x:c r="AA891" s="2" t="n">
        <x:v>70</x:v>
      </x:c>
      <x:c r="AB891" s="8" t="str"/>
      <x:c r="AC891" s="8" t="str"/>
      <x:c r="AD891" s="8" t="str">
        <x:v>["ko-reviewed"]</x:v>
      </x:c>
      <x:c r="AE891" s="8" t="str">
        <x:v>검토 필요</x:v>
      </x:c>
      <x:c r="AF891" s="8" t="str"/>
    </x:row>
    <x:row r="892">
      <x:c r="A892" s="10" t="n">
        <x:v>891</x:v>
      </x:c>
      <x:c r="B892" s="2" t="str">
        <x:v>2차 보류</x:v>
      </x:c>
      <x:c r="C892" s="2" t="str">
        <x:v>2차 보류</x:v>
      </x:c>
      <x:c r="D892" s="2" t="str">
        <x:v>낮음</x:v>
      </x:c>
      <x:c r="E892" s="2" t="str">
        <x:v>N1</x:v>
      </x:c>
      <x:c r="F892" s="10" t="n">
        <x:v>384</x:v>
      </x:c>
      <x:c r="G892" s="2" t="str">
        <x:v>w_065bff75df7133ab</x:v>
      </x:c>
      <x:c r="H892" s="2" t="str">
        <x:v>封建</x:v>
      </x:c>
      <x:c r="I892" s="2" t="str">
        <x:v>ほうけん</x:v>
      </x:c>
      <x:c r="J892" s="8" t="str">
        <x:v>봉건</x:v>
      </x:c>
      <x:c r="K892" s="2" t="str">
        <x:v>noun</x:v>
      </x:c>
      <x:c r="L892" s="9" t="n">
        <x:v>3.14</x:v>
      </x:c>
      <x:c r="M892" s="2" t="str">
        <x:v>없음</x:v>
      </x:c>
      <x:c r="N892" s="11" t="n">
        <x:v>0</x:v>
      </x:c>
      <x:c r="O892" s="8" t="str">
        <x:v>일반 사용 빈도 보통 이하(Zipf ≤ 3.5); 검증된 예문 없음</x:v>
      </x:c>
      <x:c r="P892" s="8" t="str">
        <x:v>frequency_le_3_5,no_example</x:v>
      </x:c>
      <x:c r="Q892" s="2" t="str"/>
      <x:c r="R892" s="2" t="str"/>
      <x:c r="S892" s="2" t="str"/>
      <x:c r="T892" s="2" t="str"/>
      <x:c r="U892" s="2" t="str"/>
      <x:c r="V892" s="2" t="str">
        <x:v>아니오</x:v>
      </x:c>
      <x:c r="W892" s="2" t="str">
        <x:v>예</x:v>
      </x:c>
      <x:c r="X892" s="2" t="str">
        <x:v>news2,nf33</x:v>
      </x:c>
      <x:c r="Y892" s="2" t="n">
        <x:v>70</x:v>
      </x:c>
      <x:c r="Z892" s="2" t="str">
        <x:v>news2,nf33</x:v>
      </x:c>
      <x:c r="AA892" s="2" t="n">
        <x:v>70</x:v>
      </x:c>
      <x:c r="AB892" s="8" t="str"/>
      <x:c r="AC892" s="8" t="str"/>
      <x:c r="AD892" s="8" t="str">
        <x:v>["ko-reviewed"]</x:v>
      </x:c>
      <x:c r="AE892" s="8" t="str">
        <x:v>검토 필요</x:v>
      </x:c>
      <x:c r="AF892" s="8" t="str"/>
    </x:row>
    <x:row r="893">
      <x:c r="A893" s="10" t="n">
        <x:v>892</x:v>
      </x:c>
      <x:c r="B893" s="2" t="str">
        <x:v>2차 보류</x:v>
      </x:c>
      <x:c r="C893" s="2" t="str">
        <x:v>2차 보류</x:v>
      </x:c>
      <x:c r="D893" s="2" t="str">
        <x:v>낮음</x:v>
      </x:c>
      <x:c r="E893" s="2" t="str">
        <x:v>N1</x:v>
      </x:c>
      <x:c r="F893" s="10" t="n">
        <x:v>385</x:v>
      </x:c>
      <x:c r="G893" s="2" t="str">
        <x:v>w_8e4553e37481cb15</x:v>
      </x:c>
      <x:c r="H893" s="2" t="str">
        <x:v>気品</x:v>
      </x:c>
      <x:c r="I893" s="2" t="str">
        <x:v>きひん</x:v>
      </x:c>
      <x:c r="J893" s="8" t="str">
        <x:v>기품</x:v>
      </x:c>
      <x:c r="K893" s="2" t="str">
        <x:v>noun</x:v>
      </x:c>
      <x:c r="L893" s="9" t="n">
        <x:v>3.18</x:v>
      </x:c>
      <x:c r="M893" s="2" t="str">
        <x:v>없음</x:v>
      </x:c>
      <x:c r="N893" s="11" t="n">
        <x:v>0</x:v>
      </x:c>
      <x:c r="O893" s="8" t="str">
        <x:v>일반 사용 빈도 보통 이하(Zipf ≤ 3.5); 검증된 예문 없음</x:v>
      </x:c>
      <x:c r="P893" s="8" t="str">
        <x:v>frequency_le_3_5,no_example</x:v>
      </x:c>
      <x:c r="Q893" s="2" t="str"/>
      <x:c r="R893" s="2" t="str"/>
      <x:c r="S893" s="2" t="str"/>
      <x:c r="T893" s="2" t="str"/>
      <x:c r="U893" s="2" t="str"/>
      <x:c r="V893" s="2" t="str">
        <x:v>아니오</x:v>
      </x:c>
      <x:c r="W893" s="2" t="str">
        <x:v>예</x:v>
      </x:c>
      <x:c r="X893" s="2" t="str">
        <x:v>news2,nf26</x:v>
      </x:c>
      <x:c r="Y893" s="2" t="n">
        <x:v>70</x:v>
      </x:c>
      <x:c r="Z893" s="2" t="str">
        <x:v>news2,nf26</x:v>
      </x:c>
      <x:c r="AA893" s="2" t="n">
        <x:v>70</x:v>
      </x:c>
      <x:c r="AB893" s="8" t="str"/>
      <x:c r="AC893" s="8" t="str"/>
      <x:c r="AD893" s="8" t="str">
        <x:v>["ko-reviewed"]</x:v>
      </x:c>
      <x:c r="AE893" s="8" t="str">
        <x:v>검토 필요</x:v>
      </x:c>
      <x:c r="AF893" s="8" t="str"/>
    </x:row>
    <x:row r="894">
      <x:c r="A894" s="10" t="n">
        <x:v>893</x:v>
      </x:c>
      <x:c r="B894" s="2" t="str">
        <x:v>2차 보류</x:v>
      </x:c>
      <x:c r="C894" s="2" t="str">
        <x:v>2차 보류</x:v>
      </x:c>
      <x:c r="D894" s="2" t="str">
        <x:v>낮음</x:v>
      </x:c>
      <x:c r="E894" s="2" t="str">
        <x:v>N1</x:v>
      </x:c>
      <x:c r="F894" s="10" t="n">
        <x:v>386</x:v>
      </x:c>
      <x:c r="G894" s="2" t="str">
        <x:v>w_00e05d8ea2e59d94</x:v>
      </x:c>
      <x:c r="H894" s="2" t="str">
        <x:v>絶版</x:v>
      </x:c>
      <x:c r="I894" s="2" t="str">
        <x:v>ぜっぱん</x:v>
      </x:c>
      <x:c r="J894" s="8" t="str">
        <x:v>절판</x:v>
      </x:c>
      <x:c r="K894" s="2" t="str">
        <x:v>noun</x:v>
      </x:c>
      <x:c r="L894" s="9" t="n">
        <x:v>3.19</x:v>
      </x:c>
      <x:c r="M894" s="2" t="str">
        <x:v>없음</x:v>
      </x:c>
      <x:c r="N894" s="11" t="n">
        <x:v>0</x:v>
      </x:c>
      <x:c r="O894" s="8" t="str">
        <x:v>일반 사용 빈도 보통 이하(Zipf ≤ 3.5); 검증된 예문 없음</x:v>
      </x:c>
      <x:c r="P894" s="8" t="str">
        <x:v>frequency_le_3_5,no_example</x:v>
      </x:c>
      <x:c r="Q894" s="2" t="str"/>
      <x:c r="R894" s="2" t="str"/>
      <x:c r="S894" s="2" t="str"/>
      <x:c r="T894" s="2" t="str"/>
      <x:c r="U894" s="2" t="str"/>
      <x:c r="V894" s="2" t="str">
        <x:v>아니오</x:v>
      </x:c>
      <x:c r="W894" s="2" t="str">
        <x:v>예</x:v>
      </x:c>
      <x:c r="X894" s="2" t="str">
        <x:v>news2,nf27</x:v>
      </x:c>
      <x:c r="Y894" s="2" t="n">
        <x:v>70</x:v>
      </x:c>
      <x:c r="Z894" s="2" t="str">
        <x:v>news2,nf27</x:v>
      </x:c>
      <x:c r="AA894" s="2" t="n">
        <x:v>70</x:v>
      </x:c>
      <x:c r="AB894" s="8" t="str"/>
      <x:c r="AC894" s="8" t="str"/>
      <x:c r="AD894" s="8" t="str">
        <x:v>["ko-reviewed"]</x:v>
      </x:c>
      <x:c r="AE894" s="8" t="str">
        <x:v>검토 필요</x:v>
      </x:c>
      <x:c r="AF894" s="8" t="str"/>
    </x:row>
    <x:row r="895">
      <x:c r="A895" s="10" t="n">
        <x:v>894</x:v>
      </x:c>
      <x:c r="B895" s="2" t="str">
        <x:v>2차 보류</x:v>
      </x:c>
      <x:c r="C895" s="2" t="str">
        <x:v>2차 보류</x:v>
      </x:c>
      <x:c r="D895" s="2" t="str">
        <x:v>낮음</x:v>
      </x:c>
      <x:c r="E895" s="2" t="str">
        <x:v>N1</x:v>
      </x:c>
      <x:c r="F895" s="10" t="n">
        <x:v>387</x:v>
      </x:c>
      <x:c r="G895" s="2" t="str">
        <x:v>w_58a6d4b2bcd0b396</x:v>
      </x:c>
      <x:c r="H895" s="2" t="str">
        <x:v>教職</x:v>
      </x:c>
      <x:c r="I895" s="2" t="str">
        <x:v>きょうしょく</x:v>
      </x:c>
      <x:c r="J895" s="8" t="str">
        <x:v>교직</x:v>
      </x:c>
      <x:c r="K895" s="2" t="str">
        <x:v>noun</x:v>
      </x:c>
      <x:c r="L895" s="9" t="n">
        <x:v>3.19</x:v>
      </x:c>
      <x:c r="M895" s="2" t="str">
        <x:v>없음</x:v>
      </x:c>
      <x:c r="N895" s="11" t="n">
        <x:v>0</x:v>
      </x:c>
      <x:c r="O895" s="8" t="str">
        <x:v>일반 사용 빈도 보통 이하(Zipf ≤ 3.5); 검증된 예문 없음</x:v>
      </x:c>
      <x:c r="P895" s="8" t="str">
        <x:v>frequency_le_3_5,no_example</x:v>
      </x:c>
      <x:c r="Q895" s="2" t="str"/>
      <x:c r="R895" s="2" t="str"/>
      <x:c r="S895" s="2" t="str"/>
      <x:c r="T895" s="2" t="str"/>
      <x:c r="U895" s="2" t="str"/>
      <x:c r="V895" s="2" t="str">
        <x:v>아니오</x:v>
      </x:c>
      <x:c r="W895" s="2" t="str">
        <x:v>예</x:v>
      </x:c>
      <x:c r="X895" s="2" t="str">
        <x:v>news2,nf25</x:v>
      </x:c>
      <x:c r="Y895" s="2" t="n">
        <x:v>70</x:v>
      </x:c>
      <x:c r="Z895" s="2" t="str">
        <x:v>news2,nf25</x:v>
      </x:c>
      <x:c r="AA895" s="2" t="n">
        <x:v>70</x:v>
      </x:c>
      <x:c r="AB895" s="8" t="str"/>
      <x:c r="AC895" s="8" t="str"/>
      <x:c r="AD895" s="8" t="str">
        <x:v>["ko-reviewed"]</x:v>
      </x:c>
      <x:c r="AE895" s="8" t="str">
        <x:v>검토 필요</x:v>
      </x:c>
      <x:c r="AF895" s="8" t="str"/>
    </x:row>
    <x:row r="896">
      <x:c r="A896" s="10" t="n">
        <x:v>895</x:v>
      </x:c>
      <x:c r="B896" s="2" t="str">
        <x:v>2차 보류</x:v>
      </x:c>
      <x:c r="C896" s="2" t="str">
        <x:v>2차 보류</x:v>
      </x:c>
      <x:c r="D896" s="2" t="str">
        <x:v>낮음</x:v>
      </x:c>
      <x:c r="E896" s="2" t="str">
        <x:v>N1</x:v>
      </x:c>
      <x:c r="F896" s="10" t="n">
        <x:v>388</x:v>
      </x:c>
      <x:c r="G896" s="2" t="str">
        <x:v>w_a33c6e6115d305f0</x:v>
      </x:c>
      <x:c r="H896" s="2" t="str">
        <x:v>風車</x:v>
      </x:c>
      <x:c r="I896" s="2" t="str">
        <x:v>ふうしゃ</x:v>
      </x:c>
      <x:c r="J896" s="8" t="str">
        <x:v>풍차</x:v>
      </x:c>
      <x:c r="K896" s="2" t="str">
        <x:v>noun</x:v>
      </x:c>
      <x:c r="L896" s="9" t="n">
        <x:v>3.19</x:v>
      </x:c>
      <x:c r="M896" s="2" t="str">
        <x:v>없음</x:v>
      </x:c>
      <x:c r="N896" s="11" t="n">
        <x:v>0</x:v>
      </x:c>
      <x:c r="O896" s="8" t="str">
        <x:v>일반 사용 빈도 보통 이하(Zipf ≤ 3.5); 검증된 예문 없음</x:v>
      </x:c>
      <x:c r="P896" s="8" t="str">
        <x:v>frequency_le_3_5,no_example</x:v>
      </x:c>
      <x:c r="Q896" s="2" t="str"/>
      <x:c r="R896" s="2" t="str"/>
      <x:c r="S896" s="2" t="str"/>
      <x:c r="T896" s="2" t="str"/>
      <x:c r="U896" s="2" t="str"/>
      <x:c r="V896" s="2" t="str">
        <x:v>아니오</x:v>
      </x:c>
      <x:c r="W896" s="2" t="str">
        <x:v>예</x:v>
      </x:c>
      <x:c r="X896" s="2" t="str">
        <x:v>news2,nf25</x:v>
      </x:c>
      <x:c r="Y896" s="2" t="n">
        <x:v>70</x:v>
      </x:c>
      <x:c r="Z896" s="2" t="str">
        <x:v>news2,nf25</x:v>
      </x:c>
      <x:c r="AA896" s="2" t="n">
        <x:v>70</x:v>
      </x:c>
      <x:c r="AB896" s="8" t="str">
        <x:v>word usually written using kana alone</x:v>
      </x:c>
      <x:c r="AC896" s="8" t="str"/>
      <x:c r="AD896" s="8" t="str">
        <x:v>["ko-reviewed"]</x:v>
      </x:c>
      <x:c r="AE896" s="8" t="str">
        <x:v>검토 필요</x:v>
      </x:c>
      <x:c r="AF896" s="8" t="str"/>
    </x:row>
    <x:row r="897">
      <x:c r="A897" s="10" t="n">
        <x:v>896</x:v>
      </x:c>
      <x:c r="B897" s="2" t="str">
        <x:v>2차 보류</x:v>
      </x:c>
      <x:c r="C897" s="2" t="str">
        <x:v>2차 보류</x:v>
      </x:c>
      <x:c r="D897" s="2" t="str">
        <x:v>낮음</x:v>
      </x:c>
      <x:c r="E897" s="2" t="str">
        <x:v>N1</x:v>
      </x:c>
      <x:c r="F897" s="10" t="n">
        <x:v>389</x:v>
      </x:c>
      <x:c r="G897" s="2" t="str">
        <x:v>w_4472dfa42db4ea24</x:v>
      </x:c>
      <x:c r="H897" s="2" t="str">
        <x:v>退化</x:v>
      </x:c>
      <x:c r="I897" s="2" t="str">
        <x:v>たいか</x:v>
      </x:c>
      <x:c r="J897" s="8" t="str">
        <x:v>퇴화</x:v>
      </x:c>
      <x:c r="K897" s="2" t="str">
        <x:v>noun</x:v>
      </x:c>
      <x:c r="L897" s="9" t="n">
        <x:v>3.25</x:v>
      </x:c>
      <x:c r="M897" s="2" t="str">
        <x:v>없음</x:v>
      </x:c>
      <x:c r="N897" s="11" t="n">
        <x:v>0</x:v>
      </x:c>
      <x:c r="O897" s="8" t="str">
        <x:v>일반 사용 빈도 보통 이하(Zipf ≤ 3.5); 검증된 예문 없음</x:v>
      </x:c>
      <x:c r="P897" s="8" t="str">
        <x:v>frequency_le_3_5,no_example</x:v>
      </x:c>
      <x:c r="Q897" s="2" t="str"/>
      <x:c r="R897" s="2" t="str"/>
      <x:c r="S897" s="2" t="str"/>
      <x:c r="T897" s="2" t="str"/>
      <x:c r="U897" s="2" t="str"/>
      <x:c r="V897" s="2" t="str">
        <x:v>아니오</x:v>
      </x:c>
      <x:c r="W897" s="2" t="str">
        <x:v>예</x:v>
      </x:c>
      <x:c r="X897" s="2" t="str">
        <x:v>news2,nf41</x:v>
      </x:c>
      <x:c r="Y897" s="2" t="n">
        <x:v>70</x:v>
      </x:c>
      <x:c r="Z897" s="2" t="str">
        <x:v>news2,nf41</x:v>
      </x:c>
      <x:c r="AA897" s="2" t="n">
        <x:v>70</x:v>
      </x:c>
      <x:c r="AB897" s="8" t="str"/>
      <x:c r="AC897" s="8" t="str"/>
      <x:c r="AD897" s="8" t="str">
        <x:v>["ko-reviewed"]</x:v>
      </x:c>
      <x:c r="AE897" s="8" t="str">
        <x:v>검토 필요</x:v>
      </x:c>
      <x:c r="AF897" s="8" t="str"/>
    </x:row>
    <x:row r="898">
      <x:c r="A898" s="10" t="n">
        <x:v>897</x:v>
      </x:c>
      <x:c r="B898" s="2" t="str">
        <x:v>2차 보류</x:v>
      </x:c>
      <x:c r="C898" s="2" t="str">
        <x:v>2차 보류</x:v>
      </x:c>
      <x:c r="D898" s="2" t="str">
        <x:v>낮음</x:v>
      </x:c>
      <x:c r="E898" s="2" t="str">
        <x:v>N1</x:v>
      </x:c>
      <x:c r="F898" s="10" t="n">
        <x:v>390</x:v>
      </x:c>
      <x:c r="G898" s="2" t="str">
        <x:v>w_76103f90a8595925</x:v>
      </x:c>
      <x:c r="H898" s="2" t="str">
        <x:v>切開</x:v>
      </x:c>
      <x:c r="I898" s="2" t="str">
        <x:v>せっかい</x:v>
      </x:c>
      <x:c r="J898" s="8" t="str">
        <x:v>절개</x:v>
      </x:c>
      <x:c r="K898" s="2" t="str">
        <x:v>noun</x:v>
      </x:c>
      <x:c r="L898" s="9" t="n">
        <x:v>3.25</x:v>
      </x:c>
      <x:c r="M898" s="2" t="str">
        <x:v>없음</x:v>
      </x:c>
      <x:c r="N898" s="11" t="n">
        <x:v>0</x:v>
      </x:c>
      <x:c r="O898" s="8" t="str">
        <x:v>일반 사용 빈도 보통 이하(Zipf ≤ 3.5); 검증된 예문 없음</x:v>
      </x:c>
      <x:c r="P898" s="8" t="str">
        <x:v>frequency_le_3_5,no_example</x:v>
      </x:c>
      <x:c r="Q898" s="2" t="str"/>
      <x:c r="R898" s="2" t="str"/>
      <x:c r="S898" s="2" t="str"/>
      <x:c r="T898" s="2" t="str"/>
      <x:c r="U898" s="2" t="str"/>
      <x:c r="V898" s="2" t="str">
        <x:v>아니오</x:v>
      </x:c>
      <x:c r="W898" s="2" t="str">
        <x:v>예</x:v>
      </x:c>
      <x:c r="X898" s="2" t="str">
        <x:v>news2,nf44</x:v>
      </x:c>
      <x:c r="Y898" s="2" t="n">
        <x:v>70</x:v>
      </x:c>
      <x:c r="Z898" s="2" t="str">
        <x:v>news2,nf44</x:v>
      </x:c>
      <x:c r="AA898" s="2" t="n">
        <x:v>70</x:v>
      </x:c>
      <x:c r="AB898" s="8" t="str"/>
      <x:c r="AC898" s="8" t="str"/>
      <x:c r="AD898" s="8" t="str">
        <x:v>["ko-reviewed"]</x:v>
      </x:c>
      <x:c r="AE898" s="8" t="str">
        <x:v>검토 필요</x:v>
      </x:c>
      <x:c r="AF898" s="8" t="str"/>
    </x:row>
    <x:row r="899">
      <x:c r="A899" s="10" t="n">
        <x:v>898</x:v>
      </x:c>
      <x:c r="B899" s="2" t="str">
        <x:v>2차 보류</x:v>
      </x:c>
      <x:c r="C899" s="2" t="str">
        <x:v>2차 보류</x:v>
      </x:c>
      <x:c r="D899" s="2" t="str">
        <x:v>낮음</x:v>
      </x:c>
      <x:c r="E899" s="2" t="str">
        <x:v>N1</x:v>
      </x:c>
      <x:c r="F899" s="10" t="n">
        <x:v>391</x:v>
      </x:c>
      <x:c r="G899" s="2" t="str">
        <x:v>w_b45b26e573a83077</x:v>
      </x:c>
      <x:c r="H899" s="2" t="str">
        <x:v>清純</x:v>
      </x:c>
      <x:c r="I899" s="2" t="str">
        <x:v>せいじゅん</x:v>
      </x:c>
      <x:c r="J899" s="8" t="str">
        <x:v>청순</x:v>
      </x:c>
      <x:c r="K899" s="2" t="str">
        <x:v>adjective</x:v>
      </x:c>
      <x:c r="L899" s="9" t="n">
        <x:v>3.3</x:v>
      </x:c>
      <x:c r="M899" s="2" t="str">
        <x:v>없음</x:v>
      </x:c>
      <x:c r="N899" s="11" t="n">
        <x:v>0</x:v>
      </x:c>
      <x:c r="O899" s="8" t="str">
        <x:v>일반 사용 빈도 보통 이하(Zipf ≤ 3.5); 검증된 예문 없음</x:v>
      </x:c>
      <x:c r="P899" s="8" t="str">
        <x:v>frequency_le_3_5,no_example</x:v>
      </x:c>
      <x:c r="Q899" s="2" t="str"/>
      <x:c r="R899" s="2" t="str"/>
      <x:c r="S899" s="2" t="str"/>
      <x:c r="T899" s="2" t="str"/>
      <x:c r="U899" s="2" t="str"/>
      <x:c r="V899" s="2" t="str">
        <x:v>아니오</x:v>
      </x:c>
      <x:c r="W899" s="2" t="str">
        <x:v>예</x:v>
      </x:c>
      <x:c r="X899" s="2" t="str">
        <x:v>news2,nf45</x:v>
      </x:c>
      <x:c r="Y899" s="2" t="n">
        <x:v>70</x:v>
      </x:c>
      <x:c r="Z899" s="2" t="str">
        <x:v>news2,nf45</x:v>
      </x:c>
      <x:c r="AA899" s="2" t="n">
        <x:v>70</x:v>
      </x:c>
      <x:c r="AB899" s="8" t="str"/>
      <x:c r="AC899" s="8" t="str"/>
      <x:c r="AD899" s="8" t="str">
        <x:v>["ko-reviewed"]</x:v>
      </x:c>
      <x:c r="AE899" s="8" t="str">
        <x:v>검토 필요</x:v>
      </x:c>
      <x:c r="AF899" s="8" t="str"/>
    </x:row>
    <x:row r="900">
      <x:c r="A900" s="10" t="n">
        <x:v>899</x:v>
      </x:c>
      <x:c r="B900" s="2" t="str">
        <x:v>2차 보류</x:v>
      </x:c>
      <x:c r="C900" s="2" t="str">
        <x:v>2차 보류</x:v>
      </x:c>
      <x:c r="D900" s="2" t="str">
        <x:v>낮음</x:v>
      </x:c>
      <x:c r="E900" s="2" t="str">
        <x:v>N1</x:v>
      </x:c>
      <x:c r="F900" s="10" t="n">
        <x:v>392</x:v>
      </x:c>
      <x:c r="G900" s="2" t="str">
        <x:v>w_beb7a8da0b9f4563</x:v>
      </x:c>
      <x:c r="H900" s="2" t="str">
        <x:v>優越</x:v>
      </x:c>
      <x:c r="I900" s="2" t="str">
        <x:v>ゆうえつ</x:v>
      </x:c>
      <x:c r="J900" s="8" t="str">
        <x:v>우월</x:v>
      </x:c>
      <x:c r="K900" s="2" t="str">
        <x:v>noun</x:v>
      </x:c>
      <x:c r="L900" s="9" t="n">
        <x:v>3.3</x:v>
      </x:c>
      <x:c r="M900" s="2" t="str">
        <x:v>없음</x:v>
      </x:c>
      <x:c r="N900" s="11" t="n">
        <x:v>0</x:v>
      </x:c>
      <x:c r="O900" s="8" t="str">
        <x:v>일반 사용 빈도 보통 이하(Zipf ≤ 3.5); 검증된 예문 없음</x:v>
      </x:c>
      <x:c r="P900" s="8" t="str">
        <x:v>frequency_le_3_5,no_example</x:v>
      </x:c>
      <x:c r="Q900" s="2" t="str"/>
      <x:c r="R900" s="2" t="str"/>
      <x:c r="S900" s="2" t="str"/>
      <x:c r="T900" s="2" t="str"/>
      <x:c r="U900" s="2" t="str"/>
      <x:c r="V900" s="2" t="str">
        <x:v>아니오</x:v>
      </x:c>
      <x:c r="W900" s="2" t="str">
        <x:v>예</x:v>
      </x:c>
      <x:c r="X900" s="2" t="str">
        <x:v>news2,nf27</x:v>
      </x:c>
      <x:c r="Y900" s="2" t="n">
        <x:v>70</x:v>
      </x:c>
      <x:c r="Z900" s="2" t="str">
        <x:v>news2,nf27</x:v>
      </x:c>
      <x:c r="AA900" s="2" t="n">
        <x:v>70</x:v>
      </x:c>
      <x:c r="AB900" s="8" t="str"/>
      <x:c r="AC900" s="8" t="str"/>
      <x:c r="AD900" s="8" t="str">
        <x:v>["ko-reviewed"]</x:v>
      </x:c>
      <x:c r="AE900" s="8" t="str">
        <x:v>검토 필요</x:v>
      </x:c>
      <x:c r="AF900" s="8" t="str"/>
    </x:row>
    <x:row r="901">
      <x:c r="A901" s="10" t="n">
        <x:v>900</x:v>
      </x:c>
      <x:c r="B901" s="2" t="str">
        <x:v>2차 보류</x:v>
      </x:c>
      <x:c r="C901" s="2" t="str">
        <x:v>2차 보류</x:v>
      </x:c>
      <x:c r="D901" s="2" t="str">
        <x:v>낮음</x:v>
      </x:c>
      <x:c r="E901" s="2" t="str">
        <x:v>N1</x:v>
      </x:c>
      <x:c r="F901" s="10" t="n">
        <x:v>393</x:v>
      </x:c>
      <x:c r="G901" s="2" t="str">
        <x:v>w_8b67df79336647e8</x:v>
      </x:c>
      <x:c r="H901" s="2" t="str">
        <x:v>手芸</x:v>
      </x:c>
      <x:c r="I901" s="2" t="str">
        <x:v>しゅげい</x:v>
      </x:c>
      <x:c r="J901" s="8" t="str">
        <x:v>수예, 공예</x:v>
      </x:c>
      <x:c r="K901" s="2" t="str">
        <x:v>noun</x:v>
      </x:c>
      <x:c r="L901" s="9" t="n">
        <x:v>3.31</x:v>
      </x:c>
      <x:c r="M901" s="2" t="str">
        <x:v>없음</x:v>
      </x:c>
      <x:c r="N901" s="11" t="n">
        <x:v>0</x:v>
      </x:c>
      <x:c r="O901" s="8" t="str">
        <x:v>일반 사용 빈도 보통 이하(Zipf ≤ 3.5); 검증된 예문 없음</x:v>
      </x:c>
      <x:c r="P901" s="8" t="str">
        <x:v>frequency_le_3_5,no_example</x:v>
      </x:c>
      <x:c r="Q901" s="2" t="str"/>
      <x:c r="R901" s="2" t="str"/>
      <x:c r="S901" s="2" t="str"/>
      <x:c r="T901" s="2" t="str"/>
      <x:c r="U901" s="2" t="str"/>
      <x:c r="V901" s="2" t="str">
        <x:v>아니오</x:v>
      </x:c>
      <x:c r="W901" s="2" t="str">
        <x:v>예</x:v>
      </x:c>
      <x:c r="X901" s="2" t="str">
        <x:v>news2,nf29</x:v>
      </x:c>
      <x:c r="Y901" s="2" t="n">
        <x:v>70</x:v>
      </x:c>
      <x:c r="Z901" s="2" t="str">
        <x:v>news2,nf29</x:v>
      </x:c>
      <x:c r="AA901" s="2" t="n">
        <x:v>70</x:v>
      </x:c>
      <x:c r="AB901" s="8" t="str"/>
      <x:c r="AC901" s="8" t="str"/>
      <x:c r="AD901" s="8" t="str">
        <x:v>["ko-reviewed"]</x:v>
      </x:c>
      <x:c r="AE901" s="8" t="str">
        <x:v>검토 필요</x:v>
      </x:c>
      <x:c r="AF901" s="8" t="str"/>
    </x:row>
    <x:row r="902">
      <x:c r="A902" s="10" t="n">
        <x:v>901</x:v>
      </x:c>
      <x:c r="B902" s="2" t="str">
        <x:v>2차 보류</x:v>
      </x:c>
      <x:c r="C902" s="2" t="str">
        <x:v>2차 보류</x:v>
      </x:c>
      <x:c r="D902" s="2" t="str">
        <x:v>낮음</x:v>
      </x:c>
      <x:c r="E902" s="2" t="str">
        <x:v>N1</x:v>
      </x:c>
      <x:c r="F902" s="10" t="n">
        <x:v>394</x:v>
      </x:c>
      <x:c r="G902" s="2" t="str">
        <x:v>w_cc043330e12792b9</x:v>
      </x:c>
      <x:c r="H902" s="2" t="str">
        <x:v>用法</x:v>
      </x:c>
      <x:c r="I902" s="2" t="str">
        <x:v>ようほう</x:v>
      </x:c>
      <x:c r="J902" s="8" t="str">
        <x:v>용법, 사용법</x:v>
      </x:c>
      <x:c r="K902" s="2" t="str">
        <x:v>noun</x:v>
      </x:c>
      <x:c r="L902" s="9" t="n">
        <x:v>3.38</x:v>
      </x:c>
      <x:c r="M902" s="2" t="str">
        <x:v>없음</x:v>
      </x:c>
      <x:c r="N902" s="11" t="n">
        <x:v>0</x:v>
      </x:c>
      <x:c r="O902" s="8" t="str">
        <x:v>일반 사용 빈도 보통 이하(Zipf ≤ 3.5); 검증된 예문 없음</x:v>
      </x:c>
      <x:c r="P902" s="8" t="str">
        <x:v>frequency_le_3_5,no_example</x:v>
      </x:c>
      <x:c r="Q902" s="2" t="str"/>
      <x:c r="R902" s="2" t="str"/>
      <x:c r="S902" s="2" t="str"/>
      <x:c r="T902" s="2" t="str"/>
      <x:c r="U902" s="2" t="str"/>
      <x:c r="V902" s="2" t="str">
        <x:v>아니오</x:v>
      </x:c>
      <x:c r="W902" s="2" t="str">
        <x:v>예</x:v>
      </x:c>
      <x:c r="X902" s="2" t="str">
        <x:v>news2,nf33</x:v>
      </x:c>
      <x:c r="Y902" s="2" t="n">
        <x:v>70</x:v>
      </x:c>
      <x:c r="Z902" s="2" t="str">
        <x:v>news2,nf33</x:v>
      </x:c>
      <x:c r="AA902" s="2" t="n">
        <x:v>70</x:v>
      </x:c>
      <x:c r="AB902" s="8" t="str"/>
      <x:c r="AC902" s="8" t="str"/>
      <x:c r="AD902" s="8" t="str">
        <x:v>["backfill-replacement","assistant-ko-reviewed"]</x:v>
      </x:c>
      <x:c r="AE902" s="8" t="str">
        <x:v>검토 필요</x:v>
      </x:c>
      <x:c r="AF902" s="8" t="str"/>
    </x:row>
    <x:row r="903">
      <x:c r="A903" s="10" t="n">
        <x:v>902</x:v>
      </x:c>
      <x:c r="B903" s="2" t="str">
        <x:v>2차 보류</x:v>
      </x:c>
      <x:c r="C903" s="2" t="str">
        <x:v>2차 보류</x:v>
      </x:c>
      <x:c r="D903" s="2" t="str">
        <x:v>낮음</x:v>
      </x:c>
      <x:c r="E903" s="2" t="str">
        <x:v>N1</x:v>
      </x:c>
      <x:c r="F903" s="10" t="n">
        <x:v>395</x:v>
      </x:c>
      <x:c r="G903" s="2" t="str">
        <x:v>w_029ec74b8251f5b3</x:v>
      </x:c>
      <x:c r="H903" s="2" t="str">
        <x:v>眼球</x:v>
      </x:c>
      <x:c r="I903" s="2" t="str">
        <x:v>がんきゅう</x:v>
      </x:c>
      <x:c r="J903" s="8" t="str">
        <x:v>안구</x:v>
      </x:c>
      <x:c r="K903" s="2" t="str">
        <x:v>noun</x:v>
      </x:c>
      <x:c r="L903" s="9" t="n">
        <x:v>3.39</x:v>
      </x:c>
      <x:c r="M903" s="2" t="str">
        <x:v>없음</x:v>
      </x:c>
      <x:c r="N903" s="11" t="n">
        <x:v>0</x:v>
      </x:c>
      <x:c r="O903" s="8" t="str">
        <x:v>일반 사용 빈도 보통 이하(Zipf ≤ 3.5); 검증된 예문 없음</x:v>
      </x:c>
      <x:c r="P903" s="8" t="str">
        <x:v>frequency_le_3_5,no_example</x:v>
      </x:c>
      <x:c r="Q903" s="2" t="str"/>
      <x:c r="R903" s="2" t="str"/>
      <x:c r="S903" s="2" t="str"/>
      <x:c r="T903" s="2" t="str"/>
      <x:c r="U903" s="2" t="str"/>
      <x:c r="V903" s="2" t="str">
        <x:v>아니오</x:v>
      </x:c>
      <x:c r="W903" s="2" t="str">
        <x:v>예</x:v>
      </x:c>
      <x:c r="X903" s="2" t="str">
        <x:v>news2,nf30</x:v>
      </x:c>
      <x:c r="Y903" s="2" t="n">
        <x:v>70</x:v>
      </x:c>
      <x:c r="Z903" s="2" t="str">
        <x:v>news2,nf30</x:v>
      </x:c>
      <x:c r="AA903" s="2" t="n">
        <x:v>70</x:v>
      </x:c>
      <x:c r="AB903" s="8" t="str"/>
      <x:c r="AC903" s="8" t="str"/>
      <x:c r="AD903" s="8" t="str">
        <x:v>["ko-reviewed"]</x:v>
      </x:c>
      <x:c r="AE903" s="8" t="str">
        <x:v>검토 필요</x:v>
      </x:c>
      <x:c r="AF903" s="8" t="str"/>
    </x:row>
    <x:row r="904">
      <x:c r="A904" s="10" t="n">
        <x:v>903</x:v>
      </x:c>
      <x:c r="B904" s="2" t="str">
        <x:v>2차 보류</x:v>
      </x:c>
      <x:c r="C904" s="2" t="str">
        <x:v>2차 보류</x:v>
      </x:c>
      <x:c r="D904" s="2" t="str">
        <x:v>낮음</x:v>
      </x:c>
      <x:c r="E904" s="2" t="str">
        <x:v>N1</x:v>
      </x:c>
      <x:c r="F904" s="10" t="n">
        <x:v>396</x:v>
      </x:c>
      <x:c r="G904" s="2" t="str">
        <x:v>w_da3a852b15d816e6</x:v>
      </x:c>
      <x:c r="H904" s="2" t="str">
        <x:v>善良</x:v>
      </x:c>
      <x:c r="I904" s="2" t="str">
        <x:v>ぜんりょう</x:v>
      </x:c>
      <x:c r="J904" s="8" t="str">
        <x:v>선량</x:v>
      </x:c>
      <x:c r="K904" s="2" t="str">
        <x:v>adjective</x:v>
      </x:c>
      <x:c r="L904" s="9" t="n">
        <x:v>3.43</x:v>
      </x:c>
      <x:c r="M904" s="2" t="str">
        <x:v>없음</x:v>
      </x:c>
      <x:c r="N904" s="11" t="n">
        <x:v>0</x:v>
      </x:c>
      <x:c r="O904" s="8" t="str">
        <x:v>일반 사용 빈도 보통 이하(Zipf ≤ 3.5); 검증된 예문 없음</x:v>
      </x:c>
      <x:c r="P904" s="8" t="str">
        <x:v>frequency_le_3_5,no_example</x:v>
      </x:c>
      <x:c r="Q904" s="2" t="str"/>
      <x:c r="R904" s="2" t="str"/>
      <x:c r="S904" s="2" t="str"/>
      <x:c r="T904" s="2" t="str"/>
      <x:c r="U904" s="2" t="str"/>
      <x:c r="V904" s="2" t="str">
        <x:v>아니오</x:v>
      </x:c>
      <x:c r="W904" s="2" t="str">
        <x:v>예</x:v>
      </x:c>
      <x:c r="X904" s="2" t="str">
        <x:v>news2,nf27,spec2</x:v>
      </x:c>
      <x:c r="Y904" s="2" t="n">
        <x:v>70</x:v>
      </x:c>
      <x:c r="Z904" s="2" t="str">
        <x:v>news2,nf27,spec2</x:v>
      </x:c>
      <x:c r="AA904" s="2" t="n">
        <x:v>70</x:v>
      </x:c>
      <x:c r="AB904" s="8" t="str"/>
      <x:c r="AC904" s="8" t="str"/>
      <x:c r="AD904" s="8" t="str">
        <x:v>["ko-reviewed"]</x:v>
      </x:c>
      <x:c r="AE904" s="8" t="str">
        <x:v>검토 필요</x:v>
      </x:c>
      <x:c r="AF904" s="8" t="str"/>
    </x:row>
    <x:row r="905">
      <x:c r="A905" s="10" t="n">
        <x:v>904</x:v>
      </x:c>
      <x:c r="B905" s="2" t="str">
        <x:v>2차 보류</x:v>
      </x:c>
      <x:c r="C905" s="2" t="str">
        <x:v>2차 보류</x:v>
      </x:c>
      <x:c r="D905" s="2" t="str">
        <x:v>낮음</x:v>
      </x:c>
      <x:c r="E905" s="2" t="str">
        <x:v>N3</x:v>
      </x:c>
      <x:c r="F905" s="10" t="n">
        <x:v>110</x:v>
      </x:c>
      <x:c r="G905" s="2" t="str">
        <x:v>w_ad3291b74df870f2</x:v>
      </x:c>
      <x:c r="H905" s="2" t="str">
        <x:v>咥える</x:v>
      </x:c>
      <x:c r="I905" s="2" t="str">
        <x:v>くわえる</x:v>
      </x:c>
      <x:c r="J905" s="8" t="str">
        <x:v>입에 물다</x:v>
      </x:c>
      <x:c r="K905" s="2" t="str">
        <x:v>verb</x:v>
      </x:c>
      <x:c r="L905" s="9" t="n">
        <x:v>3.49</x:v>
      </x:c>
      <x:c r="M905" s="2" t="str">
        <x:v>없음</x:v>
      </x:c>
      <x:c r="N905" s="11" t="n">
        <x:v>0</x:v>
      </x:c>
      <x:c r="O905" s="8" t="str">
        <x:v>일반 사용 빈도 보통 이하(Zipf ≤ 3.5); 검증된 예문 없음</x:v>
      </x:c>
      <x:c r="P905" s="8" t="str">
        <x:v>frequency_le_3_5,no_example</x:v>
      </x:c>
      <x:c r="Q905" s="2" t="str"/>
      <x:c r="R905" s="2" t="str"/>
      <x:c r="S905" s="2" t="str"/>
      <x:c r="T905" s="2" t="str"/>
      <x:c r="U905" s="2" t="str"/>
      <x:c r="V905" s="2" t="str">
        <x:v>아니오</x:v>
      </x:c>
      <x:c r="W905" s="2" t="str">
        <x:v>예</x:v>
      </x:c>
      <x:c r="X905" s="2" t="str">
        <x:v>ichi2</x:v>
      </x:c>
      <x:c r="Y905" s="2" t="n">
        <x:v>70</x:v>
      </x:c>
      <x:c r="Z905" s="2" t="str"/>
      <x:c r="AA905" s="2" t="n">
        <x:v>0</x:v>
      </x:c>
      <x:c r="AB905" s="8" t="str">
        <x:v>word usually written using kana alone</x:v>
      </x:c>
      <x:c r="AC905" s="8" t="str"/>
      <x:c r="AD905" s="8" t="str">
        <x:v>["ko-reviewed"]</x:v>
      </x:c>
      <x:c r="AE905" s="8" t="str">
        <x:v>검토 필요</x:v>
      </x:c>
      <x:c r="AF905" s="8" t="str"/>
    </x:row>
    <x:row r="906">
      <x:c r="A906" s="10" t="n">
        <x:v>905</x:v>
      </x:c>
      <x:c r="B906" s="2" t="str">
        <x:v>2차 보류</x:v>
      </x:c>
      <x:c r="C906" s="2" t="str">
        <x:v>2차 보류</x:v>
      </x:c>
      <x:c r="D906" s="2" t="str">
        <x:v>낮음</x:v>
      </x:c>
      <x:c r="E906" s="2" t="str">
        <x:v>N1</x:v>
      </x:c>
      <x:c r="F906" s="10" t="n">
        <x:v>397</x:v>
      </x:c>
      <x:c r="G906" s="2" t="str">
        <x:v>w_0b04688fd6bb90a0</x:v>
      </x:c>
      <x:c r="H906" s="2" t="str">
        <x:v>懐く</x:v>
      </x:c>
      <x:c r="I906" s="2" t="str">
        <x:v>なつく</x:v>
      </x:c>
      <x:c r="J906" s="8" t="str">
        <x:v>정들다, 따르다</x:v>
      </x:c>
      <x:c r="K906" s="2" t="str">
        <x:v>verb</x:v>
      </x:c>
      <x:c r="L906" s="9" t="n">
        <x:v>2.62</x:v>
      </x:c>
      <x:c r="M906" s="2" t="str">
        <x:v>있음</x:v>
      </x:c>
      <x:c r="N906" s="11" t="n">
        <x:v>-1</x:v>
      </x:c>
      <x:c r="O906" s="8" t="str">
        <x:v>일반 사용 빈도 낮은 편(Zipf ≤ 3.0); JMdict 우선 어휘 표지 없음</x:v>
      </x:c>
      <x:c r="P906" s="8" t="str">
        <x:v>frequency_le_3_0,no_jmdict_priority</x:v>
      </x:c>
      <x:c r="Q906" s="2" t="str"/>
      <x:c r="R906" s="2" t="str"/>
      <x:c r="S906" s="2" t="str"/>
      <x:c r="T906" s="2" t="str"/>
      <x:c r="U906" s="2" t="str"/>
      <x:c r="V906" s="2" t="str">
        <x:v>아니오</x:v>
      </x:c>
      <x:c r="W906" s="2" t="str">
        <x:v>예</x:v>
      </x:c>
      <x:c r="X906" s="2" t="str"/>
      <x:c r="Y906" s="2" t="n">
        <x:v>0</x:v>
      </x:c>
      <x:c r="Z906" s="2" t="str"/>
      <x:c r="AA906" s="2" t="n">
        <x:v>0</x:v>
      </x:c>
      <x:c r="AB906" s="8" t="str">
        <x:v>word usually written using kana alone</x:v>
      </x:c>
      <x:c r="AC906" s="8" t="str"/>
      <x:c r="AD906" s="8" t="str">
        <x:v>["ko-reviewed"]</x:v>
      </x:c>
      <x:c r="AE906" s="8" t="str">
        <x:v>검토 필요</x:v>
      </x:c>
      <x:c r="AF906" s="8" t="str"/>
    </x:row>
    <x:row r="907">
      <x:c r="A907" s="10" t="n">
        <x:v>906</x:v>
      </x:c>
      <x:c r="B907" s="2" t="str">
        <x:v>2차 보류</x:v>
      </x:c>
      <x:c r="C907" s="2" t="str">
        <x:v>2차 보류</x:v>
      </x:c>
      <x:c r="D907" s="2" t="str">
        <x:v>낮음</x:v>
      </x:c>
      <x:c r="E907" s="2" t="str">
        <x:v>N1</x:v>
      </x:c>
      <x:c r="F907" s="10" t="n">
        <x:v>398</x:v>
      </x:c>
      <x:c r="G907" s="2" t="str">
        <x:v>w_d7cc90918debafeb</x:v>
      </x:c>
      <x:c r="H907" s="2" t="str">
        <x:v>とかく</x:v>
      </x:c>
      <x:c r="I907" s="2" t="str">
        <x:v>とかく</x:v>
      </x:c>
      <x:c r="J907" s="8" t="str">
        <x:v>이래저래, 아무튼</x:v>
      </x:c>
      <x:c r="K907" s="2" t="str">
        <x:v>adverb</x:v>
      </x:c>
      <x:c r="L907" s="9" t="n">
        <x:v>2.8</x:v>
      </x:c>
      <x:c r="M907" s="2" t="str">
        <x:v>있음</x:v>
      </x:c>
      <x:c r="N907" s="11" t="n">
        <x:v>-1</x:v>
      </x:c>
      <x:c r="O907" s="8" t="str">
        <x:v>일반 사용 빈도 낮은 편(Zipf ≤ 3.0); JMdict 우선 어휘 표지 없음</x:v>
      </x:c>
      <x:c r="P907" s="8" t="str">
        <x:v>frequency_le_3_0,no_jmdict_priority</x:v>
      </x:c>
      <x:c r="Q907" s="2" t="str"/>
      <x:c r="R907" s="2" t="str"/>
      <x:c r="S907" s="2" t="str"/>
      <x:c r="T907" s="2" t="str"/>
      <x:c r="U907" s="2" t="str"/>
      <x:c r="V907" s="2" t="str">
        <x:v>아니오</x:v>
      </x:c>
      <x:c r="W907" s="2" t="str">
        <x:v>아니오</x:v>
      </x:c>
      <x:c r="X907" s="2" t="str"/>
      <x:c r="Y907" s="2" t="n">
        <x:v>0</x:v>
      </x:c>
      <x:c r="Z907" s="2" t="str"/>
      <x:c r="AA907" s="2" t="n">
        <x:v>0</x:v>
      </x:c>
      <x:c r="AB907" s="8" t="str"/>
      <x:c r="AC907" s="8" t="str"/>
      <x:c r="AD907" s="8" t="str">
        <x:v>["ko-reviewed"]</x:v>
      </x:c>
      <x:c r="AE907" s="8" t="str">
        <x:v>검토 필요</x:v>
      </x:c>
      <x:c r="AF907" s="8" t="str"/>
    </x:row>
    <x:row r="908">
      <x:c r="A908" s="10" t="n">
        <x:v>907</x:v>
      </x:c>
      <x:c r="B908" s="2" t="str">
        <x:v>2차 보류</x:v>
      </x:c>
      <x:c r="C908" s="2" t="str">
        <x:v>2차 보류</x:v>
      </x:c>
      <x:c r="D908" s="2" t="str">
        <x:v>낮음</x:v>
      </x:c>
      <x:c r="E908" s="2" t="str">
        <x:v>N1</x:v>
      </x:c>
      <x:c r="F908" s="10" t="n">
        <x:v>399</x:v>
      </x:c>
      <x:c r="G908" s="2" t="str">
        <x:v>w_ad8454d8b7b89e27</x:v>
      </x:c>
      <x:c r="H908" s="2" t="str">
        <x:v>にきび</x:v>
      </x:c>
      <x:c r="I908" s="2" t="str">
        <x:v>にきび</x:v>
      </x:c>
      <x:c r="J908" s="8" t="str">
        <x:v>여드름</x:v>
      </x:c>
      <x:c r="K908" s="2" t="str">
        <x:v>noun</x:v>
      </x:c>
      <x:c r="L908" s="9" t="n">
        <x:v>2.86</x:v>
      </x:c>
      <x:c r="M908" s="2" t="str">
        <x:v>있음</x:v>
      </x:c>
      <x:c r="N908" s="11" t="n">
        <x:v>-1</x:v>
      </x:c>
      <x:c r="O908" s="8" t="str">
        <x:v>일반 사용 빈도 낮은 편(Zipf ≤ 3.0); JMdict 우선 어휘 표지 없음</x:v>
      </x:c>
      <x:c r="P908" s="8" t="str">
        <x:v>frequency_le_3_0,no_jmdict_priority</x:v>
      </x:c>
      <x:c r="Q908" s="2" t="str"/>
      <x:c r="R908" s="2" t="str"/>
      <x:c r="S908" s="2" t="str"/>
      <x:c r="T908" s="2" t="str"/>
      <x:c r="U908" s="2" t="str"/>
      <x:c r="V908" s="2" t="str">
        <x:v>아니오</x:v>
      </x:c>
      <x:c r="W908" s="2" t="str">
        <x:v>아니오</x:v>
      </x:c>
      <x:c r="X908" s="2" t="str"/>
      <x:c r="Y908" s="2" t="n">
        <x:v>0</x:v>
      </x:c>
      <x:c r="Z908" s="2" t="str"/>
      <x:c r="AA908" s="2" t="n">
        <x:v>0</x:v>
      </x:c>
      <x:c r="AB908" s="8" t="str"/>
      <x:c r="AC908" s="8" t="str"/>
      <x:c r="AD908" s="8" t="str">
        <x:v>["ko-reviewed"]</x:v>
      </x:c>
      <x:c r="AE908" s="8" t="str">
        <x:v>검토 필요</x:v>
      </x:c>
      <x:c r="AF908" s="8" t="str"/>
    </x:row>
    <x:row r="909">
      <x:c r="A909" s="10" t="n">
        <x:v>908</x:v>
      </x:c>
      <x:c r="B909" s="2" t="str">
        <x:v>2차 보류</x:v>
      </x:c>
      <x:c r="C909" s="2" t="str">
        <x:v>2차 보류</x:v>
      </x:c>
      <x:c r="D909" s="2" t="str">
        <x:v>낮음</x:v>
      </x:c>
      <x:c r="E909" s="2" t="str">
        <x:v>N1</x:v>
      </x:c>
      <x:c r="F909" s="10" t="n">
        <x:v>400</x:v>
      </x:c>
      <x:c r="G909" s="2" t="str">
        <x:v>w_7ea1acd07319c07b</x:v>
      </x:c>
      <x:c r="H909" s="2" t="str">
        <x:v>滅ぼす</x:v>
      </x:c>
      <x:c r="I909" s="2" t="str">
        <x:v>ほろぼす</x:v>
      </x:c>
      <x:c r="J909" s="8" t="str">
        <x:v>파괴하다</x:v>
      </x:c>
      <x:c r="K909" s="2" t="str">
        <x:v>verb</x:v>
      </x:c>
      <x:c r="L909" s="9" t="n">
        <x:v>3.52</x:v>
      </x:c>
      <x:c r="M909" s="2" t="str">
        <x:v>없음</x:v>
      </x:c>
      <x:c r="N909" s="11" t="n">
        <x:v>-1</x:v>
      </x:c>
      <x:c r="O909" s="8" t="str">
        <x:v>검증된 예문 없음; 기존 데이터의 한국어 콘텐츠 보강 필요 태그</x:v>
      </x:c>
      <x:c r="P909" s="8" t="str">
        <x:v>no_example,weak_legacy_content</x:v>
      </x:c>
      <x:c r="Q909" s="2" t="str"/>
      <x:c r="R909" s="2" t="str"/>
      <x:c r="S909" s="2" t="str"/>
      <x:c r="T909" s="2" t="str"/>
      <x:c r="U909" s="2" t="str"/>
      <x:c r="V909" s="2" t="str">
        <x:v>아니오</x:v>
      </x:c>
      <x:c r="W909" s="2" t="str">
        <x:v>예</x:v>
      </x:c>
      <x:c r="X909" s="2" t="str">
        <x:v>news2,nf42,spec2</x:v>
      </x:c>
      <x:c r="Y909" s="2" t="n">
        <x:v>70</x:v>
      </x:c>
      <x:c r="Z909" s="2" t="str">
        <x:v>news2,nf42,spec2</x:v>
      </x:c>
      <x:c r="AA909" s="2" t="n">
        <x:v>70</x:v>
      </x:c>
      <x:c r="AB909" s="8" t="str"/>
      <x:c r="AC909" s="8" t="str"/>
      <x:c r="AD909" s="8" t="str">
        <x:v>["draft-ko-missing"]</x:v>
      </x:c>
      <x:c r="AE909" s="8" t="str">
        <x:v>검토 필요</x:v>
      </x:c>
      <x:c r="AF909" s="8" t="str"/>
    </x:row>
    <x:row r="910">
      <x:c r="A910" s="10" t="n">
        <x:v>909</x:v>
      </x:c>
      <x:c r="B910" s="2" t="str">
        <x:v>2차 보류</x:v>
      </x:c>
      <x:c r="C910" s="2" t="str">
        <x:v>2차 보류</x:v>
      </x:c>
      <x:c r="D910" s="2" t="str">
        <x:v>낮음</x:v>
      </x:c>
      <x:c r="E910" s="2" t="str">
        <x:v>N1</x:v>
      </x:c>
      <x:c r="F910" s="10" t="n">
        <x:v>401</x:v>
      </x:c>
      <x:c r="G910" s="2" t="str">
        <x:v>w_b0f4bce3104bf1ab</x:v>
      </x:c>
      <x:c r="H910" s="2" t="str">
        <x:v>私物</x:v>
      </x:c>
      <x:c r="I910" s="2" t="str">
        <x:v>しぶつ</x:v>
      </x:c>
      <x:c r="J910" s="8" t="str">
        <x:v>사물(私物), 개인 물품</x:v>
      </x:c>
      <x:c r="K910" s="2" t="str">
        <x:v>noun</x:v>
      </x:c>
      <x:c r="L910" s="9" t="n">
        <x:v>3.58</x:v>
      </x:c>
      <x:c r="M910" s="2" t="str">
        <x:v>없음</x:v>
      </x:c>
      <x:c r="N910" s="11" t="n">
        <x:v>-1</x:v>
      </x:c>
      <x:c r="O910" s="8" t="str">
        <x:v>검증된 예문 없음; 기존 데이터의 한국어 콘텐츠 보강 필요 태그</x:v>
      </x:c>
      <x:c r="P910" s="8" t="str">
        <x:v>no_example,weak_legacy_content</x:v>
      </x:c>
      <x:c r="Q910" s="2" t="str"/>
      <x:c r="R910" s="2" t="str"/>
      <x:c r="S910" s="2" t="str"/>
      <x:c r="T910" s="2" t="str"/>
      <x:c r="U910" s="2" t="str"/>
      <x:c r="V910" s="2" t="str">
        <x:v>아니오</x:v>
      </x:c>
      <x:c r="W910" s="2" t="str">
        <x:v>예</x:v>
      </x:c>
      <x:c r="X910" s="2" t="str">
        <x:v>news2,nf25,spec2</x:v>
      </x:c>
      <x:c r="Y910" s="2" t="n">
        <x:v>70</x:v>
      </x:c>
      <x:c r="Z910" s="2" t="str">
        <x:v>news2,nf25,spec2</x:v>
      </x:c>
      <x:c r="AA910" s="2" t="n">
        <x:v>70</x:v>
      </x:c>
      <x:c r="AB910" s="8" t="str"/>
      <x:c r="AC910" s="8" t="str"/>
      <x:c r="AD910" s="8" t="str">
        <x:v>["draft-ko-missing"]</x:v>
      </x:c>
      <x:c r="AE910" s="8" t="str">
        <x:v>검토 필요</x:v>
      </x:c>
      <x:c r="AF910" s="8" t="str"/>
    </x:row>
    <x:row r="911">
      <x:c r="A911" s="10" t="n">
        <x:v>910</x:v>
      </x:c>
      <x:c r="B911" s="2" t="str">
        <x:v>2차 보류</x:v>
      </x:c>
      <x:c r="C911" s="2" t="str">
        <x:v>2차 보류</x:v>
      </x:c>
      <x:c r="D911" s="2" t="str">
        <x:v>낮음</x:v>
      </x:c>
      <x:c r="E911" s="2" t="str">
        <x:v>N1</x:v>
      </x:c>
      <x:c r="F911" s="10" t="n">
        <x:v>402</x:v>
      </x:c>
      <x:c r="G911" s="2" t="str">
        <x:v>w_f5c412b586dc076e</x:v>
      </x:c>
      <x:c r="H911" s="2" t="str">
        <x:v>昼飯</x:v>
      </x:c>
      <x:c r="I911" s="2" t="str">
        <x:v>ひるめし</x:v>
      </x:c>
      <x:c r="J911" s="8" t="str">
        <x:v>점심밥</x:v>
      </x:c>
      <x:c r="K911" s="2" t="str">
        <x:v>noun</x:v>
      </x:c>
      <x:c r="L911" s="9" t="n">
        <x:v>3.64</x:v>
      </x:c>
      <x:c r="M911" s="2" t="str">
        <x:v>없음</x:v>
      </x:c>
      <x:c r="N911" s="11" t="n">
        <x:v>-1</x:v>
      </x:c>
      <x:c r="O911" s="8" t="str">
        <x:v>검증된 예문 없음; 기존 데이터의 한국어 콘텐츠 보강 필요 태그</x:v>
      </x:c>
      <x:c r="P911" s="8" t="str">
        <x:v>no_example,weak_legacy_content</x:v>
      </x:c>
      <x:c r="Q911" s="2" t="str"/>
      <x:c r="R911" s="2" t="str"/>
      <x:c r="S911" s="2" t="str"/>
      <x:c r="T911" s="2" t="str"/>
      <x:c r="U911" s="2" t="str"/>
      <x:c r="V911" s="2" t="str">
        <x:v>아니오</x:v>
      </x:c>
      <x:c r="W911" s="2" t="str">
        <x:v>예</x:v>
      </x:c>
      <x:c r="X911" s="2" t="str">
        <x:v>news2,nf46,spec2</x:v>
      </x:c>
      <x:c r="Y911" s="2" t="n">
        <x:v>70</x:v>
      </x:c>
      <x:c r="Z911" s="2" t="str">
        <x:v>news2,nf46,spec2</x:v>
      </x:c>
      <x:c r="AA911" s="2" t="n">
        <x:v>70</x:v>
      </x:c>
      <x:c r="AB911" s="8" t="str"/>
      <x:c r="AC911" s="8" t="str"/>
      <x:c r="AD911" s="8" t="str">
        <x:v>["draft-ko-missing"]</x:v>
      </x:c>
      <x:c r="AE911" s="8" t="str">
        <x:v>검토 필요</x:v>
      </x:c>
      <x:c r="AF911" s="8" t="str"/>
    </x:row>
    <x:row r="912">
      <x:c r="A912" s="10" t="n">
        <x:v>911</x:v>
      </x:c>
      <x:c r="B912" s="2" t="str">
        <x:v>2차 보류</x:v>
      </x:c>
      <x:c r="C912" s="2" t="str">
        <x:v>2차 보류</x:v>
      </x:c>
      <x:c r="D912" s="2" t="str">
        <x:v>낮음</x:v>
      </x:c>
      <x:c r="E912" s="2" t="str">
        <x:v>N1</x:v>
      </x:c>
      <x:c r="F912" s="10" t="n">
        <x:v>403</x:v>
      </x:c>
      <x:c r="G912" s="2" t="str">
        <x:v>w_0d2e035038fd2112</x:v>
      </x:c>
      <x:c r="H912" s="2" t="str">
        <x:v>仕える</x:v>
      </x:c>
      <x:c r="I912" s="2" t="str">
        <x:v>つかえる</x:v>
      </x:c>
      <x:c r="J912" s="8" t="str">
        <x:v>섬기다, 모시다</x:v>
      </x:c>
      <x:c r="K912" s="2" t="str">
        <x:v>verb</x:v>
      </x:c>
      <x:c r="L912" s="9" t="n">
        <x:v>3.65</x:v>
      </x:c>
      <x:c r="M912" s="2" t="str">
        <x:v>없음</x:v>
      </x:c>
      <x:c r="N912" s="11" t="n">
        <x:v>-1</x:v>
      </x:c>
      <x:c r="O912" s="8" t="str">
        <x:v>검증된 예문 없음; 기존 데이터의 한국어 콘텐츠 보강 필요 태그</x:v>
      </x:c>
      <x:c r="P912" s="8" t="str">
        <x:v>no_example,weak_legacy_content</x:v>
      </x:c>
      <x:c r="Q912" s="2" t="str"/>
      <x:c r="R912" s="2" t="str"/>
      <x:c r="S912" s="2" t="str"/>
      <x:c r="T912" s="2" t="str"/>
      <x:c r="U912" s="2" t="str"/>
      <x:c r="V912" s="2" t="str">
        <x:v>아니오</x:v>
      </x:c>
      <x:c r="W912" s="2" t="str">
        <x:v>예</x:v>
      </x:c>
      <x:c r="X912" s="2" t="str">
        <x:v>news2,nf41,spec2</x:v>
      </x:c>
      <x:c r="Y912" s="2" t="n">
        <x:v>70</x:v>
      </x:c>
      <x:c r="Z912" s="2" t="str">
        <x:v>news2,nf41,spec2</x:v>
      </x:c>
      <x:c r="AA912" s="2" t="n">
        <x:v>70</x:v>
      </x:c>
      <x:c r="AB912" s="8" t="str"/>
      <x:c r="AC912" s="8" t="str"/>
      <x:c r="AD912" s="8" t="str">
        <x:v>["draft-ko-missing"]</x:v>
      </x:c>
      <x:c r="AE912" s="8" t="str">
        <x:v>검토 필요</x:v>
      </x:c>
      <x:c r="AF912" s="8" t="str"/>
    </x:row>
    <x:row r="913">
      <x:c r="A913" s="10" t="n">
        <x:v>912</x:v>
      </x:c>
      <x:c r="B913" s="2" t="str">
        <x:v>2차 보류</x:v>
      </x:c>
      <x:c r="C913" s="2" t="str">
        <x:v>2차 보류</x:v>
      </x:c>
      <x:c r="D913" s="2" t="str">
        <x:v>낮음</x:v>
      </x:c>
      <x:c r="E913" s="2" t="str">
        <x:v>N1</x:v>
      </x:c>
      <x:c r="F913" s="10" t="n">
        <x:v>404</x:v>
      </x:c>
      <x:c r="G913" s="2" t="str">
        <x:v>w_f90dd87cee0db62b</x:v>
      </x:c>
      <x:c r="H913" s="2" t="str">
        <x:v>首輪</x:v>
      </x:c>
      <x:c r="I913" s="2" t="str">
        <x:v>くびわ</x:v>
      </x:c>
      <x:c r="J913" s="8" t="str">
        <x:v>목걸이</x:v>
      </x:c>
      <x:c r="K913" s="2" t="str">
        <x:v>noun</x:v>
      </x:c>
      <x:c r="L913" s="9" t="n">
        <x:v>3.65</x:v>
      </x:c>
      <x:c r="M913" s="2" t="str">
        <x:v>없음</x:v>
      </x:c>
      <x:c r="N913" s="11" t="n">
        <x:v>-1</x:v>
      </x:c>
      <x:c r="O913" s="8" t="str">
        <x:v>검증된 예문 없음; 기존 데이터의 한국어 콘텐츠 보강 필요 태그</x:v>
      </x:c>
      <x:c r="P913" s="8" t="str">
        <x:v>no_example,weak_legacy_content</x:v>
      </x:c>
      <x:c r="Q913" s="2" t="str"/>
      <x:c r="R913" s="2" t="str"/>
      <x:c r="S913" s="2" t="str"/>
      <x:c r="T913" s="2" t="str"/>
      <x:c r="U913" s="2" t="str"/>
      <x:c r="V913" s="2" t="str">
        <x:v>아니오</x:v>
      </x:c>
      <x:c r="W913" s="2" t="str">
        <x:v>예</x:v>
      </x:c>
      <x:c r="X913" s="2" t="str">
        <x:v>news2,nf40</x:v>
      </x:c>
      <x:c r="Y913" s="2" t="n">
        <x:v>70</x:v>
      </x:c>
      <x:c r="Z913" s="2" t="str">
        <x:v>news2,nf40</x:v>
      </x:c>
      <x:c r="AA913" s="2" t="n">
        <x:v>70</x:v>
      </x:c>
      <x:c r="AB913" s="8" t="str"/>
      <x:c r="AC913" s="8" t="str"/>
      <x:c r="AD913" s="8" t="str">
        <x:v>["draft-ko-missing"]</x:v>
      </x:c>
      <x:c r="AE913" s="8" t="str">
        <x:v>검토 필요</x:v>
      </x:c>
      <x:c r="AF913" s="8" t="str"/>
    </x:row>
    <x:row r="914">
      <x:c r="A914" s="10" t="n">
        <x:v>913</x:v>
      </x:c>
      <x:c r="B914" s="2" t="str">
        <x:v>2차 보류</x:v>
      </x:c>
      <x:c r="C914" s="2" t="str">
        <x:v>2차 보류</x:v>
      </x:c>
      <x:c r="D914" s="2" t="str">
        <x:v>낮음</x:v>
      </x:c>
      <x:c r="E914" s="2" t="str">
        <x:v>N1</x:v>
      </x:c>
      <x:c r="F914" s="10" t="n">
        <x:v>405</x:v>
      </x:c>
      <x:c r="G914" s="2" t="str">
        <x:v>w_fde1cf586d8156ad</x:v>
      </x:c>
      <x:c r="H914" s="2" t="str">
        <x:v>観覧</x:v>
      </x:c>
      <x:c r="I914" s="2" t="str">
        <x:v>かんらん</x:v>
      </x:c>
      <x:c r="J914" s="8" t="str">
        <x:v>관람</x:v>
      </x:c>
      <x:c r="K914" s="2" t="str">
        <x:v>noun</x:v>
      </x:c>
      <x:c r="L914" s="9" t="n">
        <x:v>3.67</x:v>
      </x:c>
      <x:c r="M914" s="2" t="str">
        <x:v>없음</x:v>
      </x:c>
      <x:c r="N914" s="11" t="n">
        <x:v>-1</x:v>
      </x:c>
      <x:c r="O914" s="8" t="str">
        <x:v>검증된 예문 없음; 기존 데이터의 한국어 콘텐츠 보강 필요 태그</x:v>
      </x:c>
      <x:c r="P914" s="8" t="str">
        <x:v>no_example,weak_legacy_content</x:v>
      </x:c>
      <x:c r="Q914" s="2" t="str"/>
      <x:c r="R914" s="2" t="str"/>
      <x:c r="S914" s="2" t="str"/>
      <x:c r="T914" s="2" t="str"/>
      <x:c r="U914" s="2" t="str"/>
      <x:c r="V914" s="2" t="str">
        <x:v>아니오</x:v>
      </x:c>
      <x:c r="W914" s="2" t="str">
        <x:v>예</x:v>
      </x:c>
      <x:c r="X914" s="2" t="str">
        <x:v>news2,nf25,spec2</x:v>
      </x:c>
      <x:c r="Y914" s="2" t="n">
        <x:v>70</x:v>
      </x:c>
      <x:c r="Z914" s="2" t="str">
        <x:v>news2,nf25,spec2</x:v>
      </x:c>
      <x:c r="AA914" s="2" t="n">
        <x:v>70</x:v>
      </x:c>
      <x:c r="AB914" s="8" t="str"/>
      <x:c r="AC914" s="8" t="str"/>
      <x:c r="AD914" s="8" t="str">
        <x:v>["draft-ko-missing"]</x:v>
      </x:c>
      <x:c r="AE914" s="8" t="str">
        <x:v>검토 필요</x:v>
      </x:c>
      <x:c r="AF914" s="8" t="str"/>
    </x:row>
    <x:row r="915">
      <x:c r="A915" s="10" t="n">
        <x:v>914</x:v>
      </x:c>
      <x:c r="B915" s="2" t="str">
        <x:v>2차 보류</x:v>
      </x:c>
      <x:c r="C915" s="2" t="str">
        <x:v>2차 보류</x:v>
      </x:c>
      <x:c r="D915" s="2" t="str">
        <x:v>낮음</x:v>
      </x:c>
      <x:c r="E915" s="2" t="str">
        <x:v>N1</x:v>
      </x:c>
      <x:c r="F915" s="10" t="n">
        <x:v>406</x:v>
      </x:c>
      <x:c r="G915" s="2" t="str">
        <x:v>w_5c130639fffef704</x:v>
      </x:c>
      <x:c r="H915" s="2" t="str">
        <x:v>ずれ</x:v>
      </x:c>
      <x:c r="I915" s="2" t="str">
        <x:v>ずれ</x:v>
      </x:c>
      <x:c r="J915" s="8" t="str">
        <x:v>차이, 틈</x:v>
      </x:c>
      <x:c r="K915" s="2" t="str">
        <x:v>noun</x:v>
      </x:c>
      <x:c r="L915" s="9" t="n">
        <x:v>3.95</x:v>
      </x:c>
      <x:c r="M915" s="2" t="str">
        <x:v>없음</x:v>
      </x:c>
      <x:c r="N915" s="11" t="n">
        <x:v>-1</x:v>
      </x:c>
      <x:c r="O915" s="8" t="str">
        <x:v>검증된 예문 없음; 기존 데이터의 한국어 콘텐츠 보강 필요 태그</x:v>
      </x:c>
      <x:c r="P915" s="8" t="str">
        <x:v>no_example,weak_legacy_content</x:v>
      </x:c>
      <x:c r="Q915" s="2" t="str"/>
      <x:c r="R915" s="2" t="str"/>
      <x:c r="S915" s="2" t="str"/>
      <x:c r="T915" s="2" t="str"/>
      <x:c r="U915" s="2" t="str"/>
      <x:c r="V915" s="2" t="str">
        <x:v>아니오</x:v>
      </x:c>
      <x:c r="W915" s="2" t="str">
        <x:v>예</x:v>
      </x:c>
      <x:c r="X915" s="2" t="str">
        <x:v>news2,nf26</x:v>
      </x:c>
      <x:c r="Y915" s="2" t="n">
        <x:v>70</x:v>
      </x:c>
      <x:c r="Z915" s="2" t="str">
        <x:v>news2,nf26</x:v>
      </x:c>
      <x:c r="AA915" s="2" t="n">
        <x:v>70</x:v>
      </x:c>
      <x:c r="AB915" s="8" t="str"/>
      <x:c r="AC915" s="8" t="str"/>
      <x:c r="AD915" s="8" t="str">
        <x:v>["draft-ko-missing"]</x:v>
      </x:c>
      <x:c r="AE915" s="8" t="str">
        <x:v>검토 필요</x:v>
      </x:c>
      <x:c r="AF915" s="8" t="str"/>
    </x:row>
    <x:row r="916">
      <x:c r="A916" s="10" t="n">
        <x:v>915</x:v>
      </x:c>
      <x:c r="B916" s="2" t="str">
        <x:v>2차 보류</x:v>
      </x:c>
      <x:c r="C916" s="2" t="str">
        <x:v>2차 보류</x:v>
      </x:c>
      <x:c r="D916" s="2" t="str">
        <x:v>낮음</x:v>
      </x:c>
      <x:c r="E916" s="2" t="str">
        <x:v>N1</x:v>
      </x:c>
      <x:c r="F916" s="10" t="n">
        <x:v>407</x:v>
      </x:c>
      <x:c r="G916" s="2" t="str">
        <x:v>w_74f7e87454f7a2e7</x:v>
      </x:c>
      <x:c r="H916" s="2" t="str">
        <x:v>勘弁</x:v>
      </x:c>
      <x:c r="I916" s="2" t="str">
        <x:v>かんべん</x:v>
      </x:c>
      <x:c r="J916" s="8" t="str">
        <x:v>용서, 봐줌</x:v>
      </x:c>
      <x:c r="K916" s="2" t="str">
        <x:v>noun</x:v>
      </x:c>
      <x:c r="L916" s="9" t="n">
        <x:v>4.17</x:v>
      </x:c>
      <x:c r="M916" s="2" t="str">
        <x:v>없음</x:v>
      </x:c>
      <x:c r="N916" s="11" t="n">
        <x:v>-1</x:v>
      </x:c>
      <x:c r="O916" s="8" t="str">
        <x:v>검증된 예문 없음; 기존 데이터의 한국어 콘텐츠 보강 필요 태그</x:v>
      </x:c>
      <x:c r="P916" s="8" t="str">
        <x:v>no_example,weak_legacy_content</x:v>
      </x:c>
      <x:c r="Q916" s="2" t="str"/>
      <x:c r="R916" s="2" t="str"/>
      <x:c r="S916" s="2" t="str"/>
      <x:c r="T916" s="2" t="str"/>
      <x:c r="U916" s="2" t="str"/>
      <x:c r="V916" s="2" t="str">
        <x:v>아니오</x:v>
      </x:c>
      <x:c r="W916" s="2" t="str">
        <x:v>예</x:v>
      </x:c>
      <x:c r="X916" s="2" t="str">
        <x:v>news2,nf46,spec2</x:v>
      </x:c>
      <x:c r="Y916" s="2" t="n">
        <x:v>70</x:v>
      </x:c>
      <x:c r="Z916" s="2" t="str">
        <x:v>news2,nf46,spec2</x:v>
      </x:c>
      <x:c r="AA916" s="2" t="n">
        <x:v>70</x:v>
      </x:c>
      <x:c r="AB916" s="8" t="str"/>
      <x:c r="AC916" s="8" t="str"/>
      <x:c r="AD916" s="8" t="str">
        <x:v>["draft-ko-missing"]</x:v>
      </x:c>
      <x:c r="AE916" s="8" t="str">
        <x:v>검토 필요</x:v>
      </x:c>
      <x:c r="AF916" s="8" t="str"/>
    </x:row>
    <x:row r="917">
      <x:c r="A917" s="10" t="n">
        <x:v>916</x:v>
      </x:c>
      <x:c r="B917" s="2" t="str">
        <x:v>2차 보류</x:v>
      </x:c>
      <x:c r="C917" s="2" t="str">
        <x:v>2차 보류</x:v>
      </x:c>
      <x:c r="D917" s="2" t="str">
        <x:v>낮음</x:v>
      </x:c>
      <x:c r="E917" s="2" t="str">
        <x:v>N1</x:v>
      </x:c>
      <x:c r="F917" s="10" t="n">
        <x:v>408</x:v>
      </x:c>
      <x:c r="G917" s="2" t="str">
        <x:v>w_5037789ccc936c97</x:v>
      </x:c>
      <x:c r="H917" s="2" t="str">
        <x:v>陣</x:v>
      </x:c>
      <x:c r="I917" s="2" t="str">
        <x:v>じん</x:v>
      </x:c>
      <x:c r="J917" s="8" t="str">
        <x:v>전투, 싸움 형성, 캠프, 진영</x:v>
      </x:c>
      <x:c r="K917" s="2" t="str">
        <x:v>noun</x:v>
      </x:c>
      <x:c r="L917" s="9" t="n">
        <x:v>4.45</x:v>
      </x:c>
      <x:c r="M917" s="2" t="str">
        <x:v>없음</x:v>
      </x:c>
      <x:c r="N917" s="11" t="n">
        <x:v>-1</x:v>
      </x:c>
      <x:c r="O917" s="8" t="str">
        <x:v>검증된 예문 없음; 기존 데이터의 한국어 콘텐츠 보강 필요 태그</x:v>
      </x:c>
      <x:c r="P917" s="8" t="str">
        <x:v>no_example,weak_legacy_content</x:v>
      </x:c>
      <x:c r="Q917" s="2" t="str"/>
      <x:c r="R917" s="2" t="str"/>
      <x:c r="S917" s="2" t="str"/>
      <x:c r="T917" s="2" t="str"/>
      <x:c r="U917" s="2" t="str"/>
      <x:c r="V917" s="2" t="str">
        <x:v>아니오</x:v>
      </x:c>
      <x:c r="W917" s="2" t="str">
        <x:v>예</x:v>
      </x:c>
      <x:c r="X917" s="2" t="str">
        <x:v>news2,nf27</x:v>
      </x:c>
      <x:c r="Y917" s="2" t="n">
        <x:v>70</x:v>
      </x:c>
      <x:c r="Z917" s="2" t="str">
        <x:v>news2,nf27</x:v>
      </x:c>
      <x:c r="AA917" s="2" t="n">
        <x:v>70</x:v>
      </x:c>
      <x:c r="AB917" s="8" t="str"/>
      <x:c r="AC917" s="8" t="str"/>
      <x:c r="AD917" s="8" t="str">
        <x:v>["draft-ko-missing"]</x:v>
      </x:c>
      <x:c r="AE917" s="8" t="str">
        <x:v>검토 필요</x:v>
      </x:c>
      <x:c r="AF917" s="8" t="str"/>
    </x:row>
    <x:row r="918">
      <x:c r="A918" s="10" t="n">
        <x:v>917</x:v>
      </x:c>
      <x:c r="B918" s="2" t="str">
        <x:v>2차 보류</x:v>
      </x:c>
      <x:c r="C918" s="2" t="str">
        <x:v>2차 보류</x:v>
      </x:c>
      <x:c r="D918" s="2" t="str">
        <x:v>낮음</x:v>
      </x:c>
      <x:c r="E918" s="2" t="str">
        <x:v>N2</x:v>
      </x:c>
      <x:c r="F918" s="10" t="n">
        <x:v>317</x:v>
      </x:c>
      <x:c r="G918" s="2" t="str">
        <x:v>w_94e5e900e99061d0</x:v>
      </x:c>
      <x:c r="H918" s="2" t="str">
        <x:v>生け花</x:v>
      </x:c>
      <x:c r="I918" s="2" t="str">
        <x:v>いけばな</x:v>
      </x:c>
      <x:c r="J918" s="8" t="str">
        <x:v>꽃꽂이</x:v>
      </x:c>
      <x:c r="K918" s="2" t="str">
        <x:v>noun</x:v>
      </x:c>
      <x:c r="L918" s="9" t="n">
        <x:v>2.51</x:v>
      </x:c>
      <x:c r="M918" s="2" t="str">
        <x:v>없음</x:v>
      </x:c>
      <x:c r="N918" s="11" t="n">
        <x:v>-2</x:v>
      </x:c>
      <x:c r="O918" s="8" t="str">
        <x:v>일반 사용 빈도 낮은 편(Zipf ≤ 3.0); 검증된 예문 없음; 기존 데이터의 한국어 콘텐츠 보강 필요 태그</x:v>
      </x:c>
      <x:c r="P918" s="8" t="str">
        <x:v>frequency_le_3_0,no_example,weak_legacy_content</x:v>
      </x:c>
      <x:c r="Q918" s="2" t="str"/>
      <x:c r="R918" s="2" t="str"/>
      <x:c r="S918" s="2" t="str"/>
      <x:c r="T918" s="2" t="str"/>
      <x:c r="U918" s="2" t="str"/>
      <x:c r="V918" s="2" t="str">
        <x:v>아니오</x:v>
      </x:c>
      <x:c r="W918" s="2" t="str">
        <x:v>예</x:v>
      </x:c>
      <x:c r="X918" s="2" t="str">
        <x:v>ichi1,news2,nf25</x:v>
      </x:c>
      <x:c r="Y918" s="2" t="n">
        <x:v>100</x:v>
      </x:c>
      <x:c r="Z918" s="2" t="str">
        <x:v>ichi1,news2,nf25</x:v>
      </x:c>
      <x:c r="AA918" s="2" t="n">
        <x:v>100</x:v>
      </x:c>
      <x:c r="AB918" s="8" t="str"/>
      <x:c r="AC918" s="8" t="str"/>
      <x:c r="AD918" s="8" t="str">
        <x:v>["draft-ko-missing"]</x:v>
      </x:c>
      <x:c r="AE918" s="8" t="str">
        <x:v>검토 필요</x:v>
      </x:c>
      <x:c r="AF918" s="8" t="str"/>
    </x:row>
    <x:row r="919">
      <x:c r="A919" s="10" t="n">
        <x:v>918</x:v>
      </x:c>
      <x:c r="B919" s="2" t="str">
        <x:v>2차 보류</x:v>
      </x:c>
      <x:c r="C919" s="2" t="str">
        <x:v>2차 보류</x:v>
      </x:c>
      <x:c r="D919" s="2" t="str">
        <x:v>낮음</x:v>
      </x:c>
      <x:c r="E919" s="2" t="str">
        <x:v>N2</x:v>
      </x:c>
      <x:c r="F919" s="10" t="n">
        <x:v>318</x:v>
      </x:c>
      <x:c r="G919" s="2" t="str">
        <x:v>w_98ff2ee683f77e8d</x:v>
      </x:c>
      <x:c r="H919" s="2" t="str">
        <x:v>差し引き</x:v>
      </x:c>
      <x:c r="I919" s="2" t="str">
        <x:v>さしひき</x:v>
      </x:c>
      <x:c r="J919" s="8" t="str">
        <x:v>차감, 공제; 잔액</x:v>
      </x:c>
      <x:c r="K919" s="2" t="str">
        <x:v>noun</x:v>
      </x:c>
      <x:c r="L919" s="9" t="n">
        <x:v>2.51</x:v>
      </x:c>
      <x:c r="M919" s="2" t="str">
        <x:v>없음</x:v>
      </x:c>
      <x:c r="N919" s="11" t="n">
        <x:v>-2</x:v>
      </x:c>
      <x:c r="O919" s="8" t="str">
        <x:v>일반 사용 빈도 낮은 편(Zipf ≤ 3.0); 검증된 예문 없음; 기존 데이터의 한국어 콘텐츠 보강 필요 태그</x:v>
      </x:c>
      <x:c r="P919" s="8" t="str">
        <x:v>frequency_le_3_0,no_example,weak_legacy_content</x:v>
      </x:c>
      <x:c r="Q919" s="2" t="str"/>
      <x:c r="R919" s="2" t="str"/>
      <x:c r="S919" s="2" t="str"/>
      <x:c r="T919" s="2" t="str"/>
      <x:c r="U919" s="2" t="str"/>
      <x:c r="V919" s="2" t="str">
        <x:v>아니오</x:v>
      </x:c>
      <x:c r="W919" s="2" t="str">
        <x:v>예</x:v>
      </x:c>
      <x:c r="X919" s="2" t="str">
        <x:v>ichi1,news1,nf17</x:v>
      </x:c>
      <x:c r="Y919" s="2" t="n">
        <x:v>100</x:v>
      </x:c>
      <x:c r="Z919" s="2" t="str">
        <x:v>ichi1,news1,nf17</x:v>
      </x:c>
      <x:c r="AA919" s="2" t="n">
        <x:v>100</x:v>
      </x:c>
      <x:c r="AB919" s="8" t="str"/>
      <x:c r="AC919" s="8" t="str"/>
      <x:c r="AD919" s="8" t="str">
        <x:v>["draft-ko-missing"]</x:v>
      </x:c>
      <x:c r="AE919" s="8" t="str">
        <x:v>검토 필요</x:v>
      </x:c>
      <x:c r="AF919" s="8" t="str"/>
    </x:row>
    <x:row r="920">
      <x:c r="A920" s="10" t="n">
        <x:v>919</x:v>
      </x:c>
      <x:c r="B920" s="2" t="str">
        <x:v>2차 보류</x:v>
      </x:c>
      <x:c r="C920" s="2" t="str">
        <x:v>2차 보류</x:v>
      </x:c>
      <x:c r="D920" s="2" t="str">
        <x:v>낮음</x:v>
      </x:c>
      <x:c r="E920" s="2" t="str">
        <x:v>N2</x:v>
      </x:c>
      <x:c r="F920" s="10" t="n">
        <x:v>319</x:v>
      </x:c>
      <x:c r="G920" s="2" t="str">
        <x:v>w_0c653b16459b5264</x:v>
      </x:c>
      <x:c r="H920" s="2" t="str">
        <x:v>休講</x:v>
      </x:c>
      <x:c r="I920" s="2" t="str">
        <x:v>きゅうこう</x:v>
      </x:c>
      <x:c r="J920" s="8" t="str">
        <x:v>휴강</x:v>
      </x:c>
      <x:c r="K920" s="2" t="str">
        <x:v>noun</x:v>
      </x:c>
      <x:c r="L920" s="9" t="n">
        <x:v>2.52</x:v>
      </x:c>
      <x:c r="M920" s="2" t="str">
        <x:v>없음</x:v>
      </x:c>
      <x:c r="N920" s="11" t="n">
        <x:v>-2</x:v>
      </x:c>
      <x:c r="O920" s="8" t="str">
        <x:v>일반 사용 빈도 낮은 편(Zipf ≤ 3.0); 검증된 예문 없음; 기존 데이터의 한국어 콘텐츠 보강 필요 태그</x:v>
      </x:c>
      <x:c r="P920" s="8" t="str">
        <x:v>frequency_le_3_0,no_example,weak_legacy_content</x:v>
      </x:c>
      <x:c r="Q920" s="2" t="str"/>
      <x:c r="R920" s="2" t="str"/>
      <x:c r="S920" s="2" t="str"/>
      <x:c r="T920" s="2" t="str"/>
      <x:c r="U920" s="2" t="str"/>
      <x:c r="V920" s="2" t="str">
        <x:v>아니오</x:v>
      </x:c>
      <x:c r="W920" s="2" t="str">
        <x:v>예</x:v>
      </x:c>
      <x:c r="X920" s="2" t="str">
        <x:v>ichi1,news2,nf40</x:v>
      </x:c>
      <x:c r="Y920" s="2" t="n">
        <x:v>100</x:v>
      </x:c>
      <x:c r="Z920" s="2" t="str">
        <x:v>ichi1,news2,nf40</x:v>
      </x:c>
      <x:c r="AA920" s="2" t="n">
        <x:v>100</x:v>
      </x:c>
      <x:c r="AB920" s="8" t="str"/>
      <x:c r="AC920" s="8" t="str"/>
      <x:c r="AD920" s="8" t="str">
        <x:v>["draft-ko-missing"]</x:v>
      </x:c>
      <x:c r="AE920" s="8" t="str">
        <x:v>검토 필요</x:v>
      </x:c>
      <x:c r="AF920" s="8" t="str"/>
    </x:row>
    <x:row r="921">
      <x:c r="A921" s="10" t="n">
        <x:v>920</x:v>
      </x:c>
      <x:c r="B921" s="2" t="str">
        <x:v>2차 보류</x:v>
      </x:c>
      <x:c r="C921" s="2" t="str">
        <x:v>2차 보류</x:v>
      </x:c>
      <x:c r="D921" s="2" t="str">
        <x:v>낮음</x:v>
      </x:c>
      <x:c r="E921" s="2" t="str">
        <x:v>N2</x:v>
      </x:c>
      <x:c r="F921" s="10" t="n">
        <x:v>320</x:v>
      </x:c>
      <x:c r="G921" s="2" t="str">
        <x:v>w_0cfe5be79cefaab7</x:v>
      </x:c>
      <x:c r="H921" s="2" t="str">
        <x:v>便箋</x:v>
      </x:c>
      <x:c r="I921" s="2" t="str">
        <x:v>びんせん</x:v>
      </x:c>
      <x:c r="J921" s="8" t="str">
        <x:v>편지지</x:v>
      </x:c>
      <x:c r="K921" s="2" t="str">
        <x:v>noun</x:v>
      </x:c>
      <x:c r="L921" s="9" t="n">
        <x:v>2.53</x:v>
      </x:c>
      <x:c r="M921" s="2" t="str">
        <x:v>없음</x:v>
      </x:c>
      <x:c r="N921" s="11" t="n">
        <x:v>-2</x:v>
      </x:c>
      <x:c r="O921" s="8" t="str">
        <x:v>일반 사용 빈도 낮은 편(Zipf ≤ 3.0); 검증된 예문 없음; 기존 데이터의 한국어 콘텐츠 보강 필요 태그</x:v>
      </x:c>
      <x:c r="P921" s="8" t="str">
        <x:v>frequency_le_3_0,no_example,weak_legacy_content</x:v>
      </x:c>
      <x:c r="Q921" s="2" t="str"/>
      <x:c r="R921" s="2" t="str"/>
      <x:c r="S921" s="2" t="str"/>
      <x:c r="T921" s="2" t="str"/>
      <x:c r="U921" s="2" t="str"/>
      <x:c r="V921" s="2" t="str">
        <x:v>아니오</x:v>
      </x:c>
      <x:c r="W921" s="2" t="str">
        <x:v>예</x:v>
      </x:c>
      <x:c r="X921" s="2" t="str">
        <x:v>ichi1,news2,nf46</x:v>
      </x:c>
      <x:c r="Y921" s="2" t="n">
        <x:v>100</x:v>
      </x:c>
      <x:c r="Z921" s="2" t="str">
        <x:v>ichi1,news2,nf46</x:v>
      </x:c>
      <x:c r="AA921" s="2" t="n">
        <x:v>100</x:v>
      </x:c>
      <x:c r="AB921" s="8" t="str"/>
      <x:c r="AC921" s="8" t="str"/>
      <x:c r="AD921" s="8" t="str">
        <x:v>["draft-ko-missing"]</x:v>
      </x:c>
      <x:c r="AE921" s="8" t="str">
        <x:v>검토 필요</x:v>
      </x:c>
      <x:c r="AF921" s="8" t="str"/>
    </x:row>
    <x:row r="922">
      <x:c r="A922" s="10" t="n">
        <x:v>921</x:v>
      </x:c>
      <x:c r="B922" s="2" t="str">
        <x:v>2차 보류</x:v>
      </x:c>
      <x:c r="C922" s="2" t="str">
        <x:v>2차 보류</x:v>
      </x:c>
      <x:c r="D922" s="2" t="str">
        <x:v>낮음</x:v>
      </x:c>
      <x:c r="E922" s="2" t="str">
        <x:v>N2</x:v>
      </x:c>
      <x:c r="F922" s="10" t="n">
        <x:v>321</x:v>
      </x:c>
      <x:c r="G922" s="2" t="str">
        <x:v>w_5dd2f4e161a8911c</x:v>
      </x:c>
      <x:c r="H922" s="2" t="str">
        <x:v>塩辛い</x:v>
      </x:c>
      <x:c r="I922" s="2" t="str">
        <x:v>しおからい</x:v>
      </x:c>
      <x:c r="J922" s="8" t="str">
        <x:v>짠(맛)</x:v>
      </x:c>
      <x:c r="K922" s="2" t="str">
        <x:v>adjective</x:v>
      </x:c>
      <x:c r="L922" s="9" t="n">
        <x:v>2.53</x:v>
      </x:c>
      <x:c r="M922" s="2" t="str">
        <x:v>없음</x:v>
      </x:c>
      <x:c r="N922" s="11" t="n">
        <x:v>-2</x:v>
      </x:c>
      <x:c r="O922" s="8" t="str">
        <x:v>일반 사용 빈도 낮은 편(Zipf ≤ 3.0); 검증된 예문 없음; 기존 데이터의 한국어 콘텐츠 보강 필요 태그</x:v>
      </x:c>
      <x:c r="P922" s="8" t="str">
        <x:v>frequency_le_3_0,no_example,weak_legacy_content</x:v>
      </x:c>
      <x:c r="Q922" s="2" t="str"/>
      <x:c r="R922" s="2" t="str"/>
      <x:c r="S922" s="2" t="str"/>
      <x:c r="T922" s="2" t="str"/>
      <x:c r="U922" s="2" t="str"/>
      <x:c r="V922" s="2" t="str">
        <x:v>아니오</x:v>
      </x:c>
      <x:c r="W922" s="2" t="str">
        <x:v>예</x:v>
      </x:c>
      <x:c r="X922" s="2" t="str">
        <x:v>ichi1,news2,nf47</x:v>
      </x:c>
      <x:c r="Y922" s="2" t="n">
        <x:v>100</x:v>
      </x:c>
      <x:c r="Z922" s="2" t="str">
        <x:v>ichi1,news2,nf47</x:v>
      </x:c>
      <x:c r="AA922" s="2" t="n">
        <x:v>100</x:v>
      </x:c>
      <x:c r="AB922" s="8" t="str"/>
      <x:c r="AC922" s="8" t="str"/>
      <x:c r="AD922" s="8" t="str">
        <x:v>["draft-ko-missing"]</x:v>
      </x:c>
      <x:c r="AE922" s="8" t="str">
        <x:v>검토 필요</x:v>
      </x:c>
      <x:c r="AF922" s="8" t="str"/>
    </x:row>
    <x:row r="923">
      <x:c r="A923" s="10" t="n">
        <x:v>922</x:v>
      </x:c>
      <x:c r="B923" s="2" t="str">
        <x:v>2차 보류</x:v>
      </x:c>
      <x:c r="C923" s="2" t="str">
        <x:v>2차 보류</x:v>
      </x:c>
      <x:c r="D923" s="2" t="str">
        <x:v>낮음</x:v>
      </x:c>
      <x:c r="E923" s="2" t="str">
        <x:v>N1</x:v>
      </x:c>
      <x:c r="F923" s="10" t="n">
        <x:v>409</x:v>
      </x:c>
      <x:c r="G923" s="2" t="str">
        <x:v>w_1709846711efe794</x:v>
      </x:c>
      <x:c r="H923" s="2" t="str">
        <x:v>薄弱</x:v>
      </x:c>
      <x:c r="I923" s="2" t="str">
        <x:v>はくじゃく</x:v>
      </x:c>
      <x:c r="J923" s="8" t="str">
        <x:v>박약함, 미약함</x:v>
      </x:c>
      <x:c r="K923" s="2" t="str">
        <x:v>noun</x:v>
      </x:c>
      <x:c r="L923" s="9" t="n">
        <x:v>2.53</x:v>
      </x:c>
      <x:c r="M923" s="2" t="str">
        <x:v>없음</x:v>
      </x:c>
      <x:c r="N923" s="11" t="n">
        <x:v>-2</x:v>
      </x:c>
      <x:c r="O923" s="8" t="str">
        <x:v>일반 사용 빈도 낮은 편(Zipf ≤ 3.0); 검증된 예문 없음; 기존 데이터의 한국어 콘텐츠 보강 필요 태그</x:v>
      </x:c>
      <x:c r="P923" s="8" t="str">
        <x:v>frequency_le_3_0,no_example,weak_legacy_content</x:v>
      </x:c>
      <x:c r="Q923" s="2" t="str"/>
      <x:c r="R923" s="2" t="str"/>
      <x:c r="S923" s="2" t="str"/>
      <x:c r="T923" s="2" t="str"/>
      <x:c r="U923" s="2" t="str"/>
      <x:c r="V923" s="2" t="str">
        <x:v>아니오</x:v>
      </x:c>
      <x:c r="W923" s="2" t="str">
        <x:v>예</x:v>
      </x:c>
      <x:c r="X923" s="2" t="str">
        <x:v>ichi1,news2,nf45</x:v>
      </x:c>
      <x:c r="Y923" s="2" t="n">
        <x:v>100</x:v>
      </x:c>
      <x:c r="Z923" s="2" t="str">
        <x:v>ichi1,news2,nf45</x:v>
      </x:c>
      <x:c r="AA923" s="2" t="n">
        <x:v>100</x:v>
      </x:c>
      <x:c r="AB923" s="8" t="str"/>
      <x:c r="AC923" s="8" t="str"/>
      <x:c r="AD923" s="8" t="str">
        <x:v>["draft-ko-missing"]</x:v>
      </x:c>
      <x:c r="AE923" s="8" t="str">
        <x:v>검토 필요</x:v>
      </x:c>
      <x:c r="AF923" s="8" t="str"/>
    </x:row>
    <x:row r="924">
      <x:c r="A924" s="10" t="n">
        <x:v>923</x:v>
      </x:c>
      <x:c r="B924" s="2" t="str">
        <x:v>2차 보류</x:v>
      </x:c>
      <x:c r="C924" s="2" t="str">
        <x:v>2차 보류</x:v>
      </x:c>
      <x:c r="D924" s="2" t="str">
        <x:v>낮음</x:v>
      </x:c>
      <x:c r="E924" s="2" t="str">
        <x:v>N1</x:v>
      </x:c>
      <x:c r="F924" s="10" t="n">
        <x:v>410</x:v>
      </x:c>
      <x:c r="G924" s="2" t="str">
        <x:v>w_af7c6ee4d900d8dd</x:v>
      </x:c>
      <x:c r="H924" s="2" t="str">
        <x:v>結び付き</x:v>
      </x:c>
      <x:c r="I924" s="2" t="str">
        <x:v>むすびつき</x:v>
      </x:c>
      <x:c r="J924" s="8" t="str">
        <x:v>연결, 관계</x:v>
      </x:c>
      <x:c r="K924" s="2" t="str">
        <x:v>noun</x:v>
      </x:c>
      <x:c r="L924" s="9" t="n">
        <x:v>2.53</x:v>
      </x:c>
      <x:c r="M924" s="2" t="str">
        <x:v>없음</x:v>
      </x:c>
      <x:c r="N924" s="11" t="n">
        <x:v>-2</x:v>
      </x:c>
      <x:c r="O924" s="8" t="str">
        <x:v>일반 사용 빈도 낮은 편(Zipf ≤ 3.0); 검증된 예문 없음; 기존 데이터의 한국어 콘텐츠 보강 필요 태그</x:v>
      </x:c>
      <x:c r="P924" s="8" t="str">
        <x:v>frequency_le_3_0,no_example,weak_legacy_content</x:v>
      </x:c>
      <x:c r="Q924" s="2" t="str"/>
      <x:c r="R924" s="2" t="str"/>
      <x:c r="S924" s="2" t="str"/>
      <x:c r="T924" s="2" t="str"/>
      <x:c r="U924" s="2" t="str"/>
      <x:c r="V924" s="2" t="str">
        <x:v>아니오</x:v>
      </x:c>
      <x:c r="W924" s="2" t="str">
        <x:v>예</x:v>
      </x:c>
      <x:c r="X924" s="2" t="str">
        <x:v>news1,nf18,spec1</x:v>
      </x:c>
      <x:c r="Y924" s="2" t="n">
        <x:v>100</x:v>
      </x:c>
      <x:c r="Z924" s="2" t="str">
        <x:v>news1,nf18</x:v>
      </x:c>
      <x:c r="AA924" s="2" t="n">
        <x:v>100</x:v>
      </x:c>
      <x:c r="AB924" s="8" t="str"/>
      <x:c r="AC924" s="8" t="str"/>
      <x:c r="AD924" s="8" t="str">
        <x:v>["draft-ko-missing"]</x:v>
      </x:c>
      <x:c r="AE924" s="8" t="str">
        <x:v>검토 필요</x:v>
      </x:c>
      <x:c r="AF924" s="8" t="str"/>
    </x:row>
    <x:row r="925">
      <x:c r="A925" s="10" t="n">
        <x:v>924</x:v>
      </x:c>
      <x:c r="B925" s="2" t="str">
        <x:v>2차 보류</x:v>
      </x:c>
      <x:c r="C925" s="2" t="str">
        <x:v>2차 보류</x:v>
      </x:c>
      <x:c r="D925" s="2" t="str">
        <x:v>낮음</x:v>
      </x:c>
      <x:c r="E925" s="2" t="str">
        <x:v>N2</x:v>
      </x:c>
      <x:c r="F925" s="10" t="n">
        <x:v>322</x:v>
      </x:c>
      <x:c r="G925" s="2" t="str">
        <x:v>w_8065e96840fda82b</x:v>
      </x:c>
      <x:c r="H925" s="2" t="str">
        <x:v>捕える</x:v>
      </x:c>
      <x:c r="I925" s="2" t="str">
        <x:v>とらえる</x:v>
      </x:c>
      <x:c r="J925" s="8" t="str">
        <x:v>붙잡다, 포착하다, 체포하다</x:v>
      </x:c>
      <x:c r="K925" s="2" t="str">
        <x:v>verb</x:v>
      </x:c>
      <x:c r="L925" s="9" t="n">
        <x:v>2.55</x:v>
      </x:c>
      <x:c r="M925" s="2" t="str">
        <x:v>없음</x:v>
      </x:c>
      <x:c r="N925" s="11" t="n">
        <x:v>-2</x:v>
      </x:c>
      <x:c r="O925" s="8" t="str">
        <x:v>일반 사용 빈도 낮은 편(Zipf ≤ 3.0); 검증된 예문 없음; 기존 데이터의 한국어 콘텐츠 보강 필요 태그</x:v>
      </x:c>
      <x:c r="P925" s="8" t="str">
        <x:v>frequency_le_3_0,no_example,weak_legacy_content</x:v>
      </x:c>
      <x:c r="Q925" s="2" t="str"/>
      <x:c r="R925" s="2" t="str"/>
      <x:c r="S925" s="2" t="str"/>
      <x:c r="T925" s="2" t="str"/>
      <x:c r="U925" s="2" t="str"/>
      <x:c r="V925" s="2" t="str">
        <x:v>아니오</x:v>
      </x:c>
      <x:c r="W925" s="2" t="str">
        <x:v>예</x:v>
      </x:c>
      <x:c r="X925" s="2" t="str">
        <x:v>ichi1,news2,nf27,nf46,spec1</x:v>
      </x:c>
      <x:c r="Y925" s="2" t="n">
        <x:v>100</x:v>
      </x:c>
      <x:c r="Z925" s="2" t="str">
        <x:v>ichi1</x:v>
      </x:c>
      <x:c r="AA925" s="2" t="n">
        <x:v>100</x:v>
      </x:c>
      <x:c r="AB925" s="8" t="str"/>
      <x:c r="AC925" s="8" t="str"/>
      <x:c r="AD925" s="8" t="str">
        <x:v>["draft-ko-missing"]</x:v>
      </x:c>
      <x:c r="AE925" s="8" t="str">
        <x:v>검토 필요</x:v>
      </x:c>
      <x:c r="AF925" s="8" t="str"/>
    </x:row>
    <x:row r="926">
      <x:c r="A926" s="10" t="n">
        <x:v>925</x:v>
      </x:c>
      <x:c r="B926" s="2" t="str">
        <x:v>2차 보류</x:v>
      </x:c>
      <x:c r="C926" s="2" t="str">
        <x:v>2차 보류</x:v>
      </x:c>
      <x:c r="D926" s="2" t="str">
        <x:v>낮음</x:v>
      </x:c>
      <x:c r="E926" s="2" t="str">
        <x:v>N2</x:v>
      </x:c>
      <x:c r="F926" s="10" t="n">
        <x:v>323</x:v>
      </x:c>
      <x:c r="G926" s="2" t="str">
        <x:v>w_76de3f77015383b1</x:v>
      </x:c>
      <x:c r="H926" s="2" t="str">
        <x:v>鉄橋</x:v>
      </x:c>
      <x:c r="I926" s="2" t="str">
        <x:v>てっきょう</x:v>
      </x:c>
      <x:c r="J926" s="8" t="str">
        <x:v>철교</x:v>
      </x:c>
      <x:c r="K926" s="2" t="str">
        <x:v>noun</x:v>
      </x:c>
      <x:c r="L926" s="9" t="n">
        <x:v>2.56</x:v>
      </x:c>
      <x:c r="M926" s="2" t="str">
        <x:v>없음</x:v>
      </x:c>
      <x:c r="N926" s="11" t="n">
        <x:v>-2</x:v>
      </x:c>
      <x:c r="O926" s="8" t="str">
        <x:v>일반 사용 빈도 낮은 편(Zipf ≤ 3.0); 검증된 예문 없음; 기존 데이터의 한국어 콘텐츠 보강 필요 태그</x:v>
      </x:c>
      <x:c r="P926" s="8" t="str">
        <x:v>frequency_le_3_0,no_example,weak_legacy_content</x:v>
      </x:c>
      <x:c r="Q926" s="2" t="str"/>
      <x:c r="R926" s="2" t="str"/>
      <x:c r="S926" s="2" t="str"/>
      <x:c r="T926" s="2" t="str"/>
      <x:c r="U926" s="2" t="str"/>
      <x:c r="V926" s="2" t="str">
        <x:v>아니오</x:v>
      </x:c>
      <x:c r="W926" s="2" t="str">
        <x:v>예</x:v>
      </x:c>
      <x:c r="X926" s="2" t="str">
        <x:v>ichi1,news2,nf26</x:v>
      </x:c>
      <x:c r="Y926" s="2" t="n">
        <x:v>100</x:v>
      </x:c>
      <x:c r="Z926" s="2" t="str">
        <x:v>ichi1,news2,nf26</x:v>
      </x:c>
      <x:c r="AA926" s="2" t="n">
        <x:v>100</x:v>
      </x:c>
      <x:c r="AB926" s="8" t="str"/>
      <x:c r="AC926" s="8" t="str"/>
      <x:c r="AD926" s="8" t="str">
        <x:v>["draft-ko-missing"]</x:v>
      </x:c>
      <x:c r="AE926" s="8" t="str">
        <x:v>검토 필요</x:v>
      </x:c>
      <x:c r="AF926" s="8" t="str"/>
    </x:row>
    <x:row r="927">
      <x:c r="A927" s="10" t="n">
        <x:v>926</x:v>
      </x:c>
      <x:c r="B927" s="2" t="str">
        <x:v>2차 보류</x:v>
      </x:c>
      <x:c r="C927" s="2" t="str">
        <x:v>2차 보류</x:v>
      </x:c>
      <x:c r="D927" s="2" t="str">
        <x:v>낮음</x:v>
      </x:c>
      <x:c r="E927" s="2" t="str">
        <x:v>N2</x:v>
      </x:c>
      <x:c r="F927" s="10" t="n">
        <x:v>324</x:v>
      </x:c>
      <x:c r="G927" s="2" t="str">
        <x:v>w_d094122866c35446</x:v>
      </x:c>
      <x:c r="H927" s="2" t="str">
        <x:v>写生</x:v>
      </x:c>
      <x:c r="I927" s="2" t="str">
        <x:v>しゃせい</x:v>
      </x:c>
      <x:c r="J927" s="8" t="str">
        <x:v>사생, 스케치</x:v>
      </x:c>
      <x:c r="K927" s="2" t="str">
        <x:v>noun</x:v>
      </x:c>
      <x:c r="L927" s="9" t="n">
        <x:v>2.56</x:v>
      </x:c>
      <x:c r="M927" s="2" t="str">
        <x:v>없음</x:v>
      </x:c>
      <x:c r="N927" s="11" t="n">
        <x:v>-2</x:v>
      </x:c>
      <x:c r="O927" s="8" t="str">
        <x:v>일반 사용 빈도 낮은 편(Zipf ≤ 3.0); 검증된 예문 없음; 기존 데이터의 한국어 콘텐츠 보강 필요 태그</x:v>
      </x:c>
      <x:c r="P927" s="8" t="str">
        <x:v>frequency_le_3_0,no_example,weak_legacy_content</x:v>
      </x:c>
      <x:c r="Q927" s="2" t="str"/>
      <x:c r="R927" s="2" t="str"/>
      <x:c r="S927" s="2" t="str"/>
      <x:c r="T927" s="2" t="str"/>
      <x:c r="U927" s="2" t="str"/>
      <x:c r="V927" s="2" t="str">
        <x:v>아니오</x:v>
      </x:c>
      <x:c r="W927" s="2" t="str">
        <x:v>예</x:v>
      </x:c>
      <x:c r="X927" s="2" t="str">
        <x:v>ichi1,news2,nf26</x:v>
      </x:c>
      <x:c r="Y927" s="2" t="n">
        <x:v>100</x:v>
      </x:c>
      <x:c r="Z927" s="2" t="str">
        <x:v>ichi1,news2,nf26</x:v>
      </x:c>
      <x:c r="AA927" s="2" t="n">
        <x:v>100</x:v>
      </x:c>
      <x:c r="AB927" s="8" t="str"/>
      <x:c r="AC927" s="8" t="str"/>
      <x:c r="AD927" s="8" t="str">
        <x:v>["draft-ko-missing"]</x:v>
      </x:c>
      <x:c r="AE927" s="8" t="str">
        <x:v>검토 필요</x:v>
      </x:c>
      <x:c r="AF927" s="8" t="str"/>
    </x:row>
    <x:row r="928">
      <x:c r="A928" s="10" t="n">
        <x:v>927</x:v>
      </x:c>
      <x:c r="B928" s="2" t="str">
        <x:v>2차 보류</x:v>
      </x:c>
      <x:c r="C928" s="2" t="str">
        <x:v>2차 보류</x:v>
      </x:c>
      <x:c r="D928" s="2" t="str">
        <x:v>낮음</x:v>
      </x:c>
      <x:c r="E928" s="2" t="str">
        <x:v>N1</x:v>
      </x:c>
      <x:c r="F928" s="10" t="n">
        <x:v>411</x:v>
      </x:c>
      <x:c r="G928" s="2" t="str">
        <x:v>w_4a158cf85f508820</x:v>
      </x:c>
      <x:c r="H928" s="2" t="str">
        <x:v>嘴</x:v>
      </x:c>
      <x:c r="I928" s="2" t="str">
        <x:v>くちばし</x:v>
      </x:c>
      <x:c r="J928" s="8" t="str">
        <x:v>부리</x:v>
      </x:c>
      <x:c r="K928" s="2" t="str">
        <x:v>noun</x:v>
      </x:c>
      <x:c r="L928" s="9" t="n">
        <x:v>2.56</x:v>
      </x:c>
      <x:c r="M928" s="2" t="str">
        <x:v>없음</x:v>
      </x:c>
      <x:c r="N928" s="11" t="n">
        <x:v>-2</x:v>
      </x:c>
      <x:c r="O928" s="8" t="str">
        <x:v>일반 사용 빈도 낮은 편(Zipf ≤ 3.0); 검증된 예문 없음; 기존 데이터의 한국어 콘텐츠 보강 필요 태그</x:v>
      </x:c>
      <x:c r="P928" s="8" t="str">
        <x:v>frequency_le_3_0,no_example,weak_legacy_content</x:v>
      </x:c>
      <x:c r="Q928" s="2" t="str"/>
      <x:c r="R928" s="2" t="str"/>
      <x:c r="S928" s="2" t="str"/>
      <x:c r="T928" s="2" t="str"/>
      <x:c r="U928" s="2" t="str"/>
      <x:c r="V928" s="2" t="str">
        <x:v>아니오</x:v>
      </x:c>
      <x:c r="W928" s="2" t="str">
        <x:v>예</x:v>
      </x:c>
      <x:c r="X928" s="2" t="str">
        <x:v>ichi1</x:v>
      </x:c>
      <x:c r="Y928" s="2" t="n">
        <x:v>100</x:v>
      </x:c>
      <x:c r="Z928" s="2" t="str">
        <x:v>ichi1</x:v>
      </x:c>
      <x:c r="AA928" s="2" t="n">
        <x:v>100</x:v>
      </x:c>
      <x:c r="AB928" s="8" t="str">
        <x:v>word usually written using kana alone</x:v>
      </x:c>
      <x:c r="AC928" s="8" t="str"/>
      <x:c r="AD928" s="8" t="str">
        <x:v>["draft-ko-missing"]</x:v>
      </x:c>
      <x:c r="AE928" s="8" t="str">
        <x:v>검토 필요</x:v>
      </x:c>
      <x:c r="AF928" s="8" t="str"/>
    </x:row>
    <x:row r="929">
      <x:c r="A929" s="10" t="n">
        <x:v>928</x:v>
      </x:c>
      <x:c r="B929" s="2" t="str">
        <x:v>2차 보류</x:v>
      </x:c>
      <x:c r="C929" s="2" t="str">
        <x:v>2차 보류</x:v>
      </x:c>
      <x:c r="D929" s="2" t="str">
        <x:v>낮음</x:v>
      </x:c>
      <x:c r="E929" s="2" t="str">
        <x:v>N1</x:v>
      </x:c>
      <x:c r="F929" s="10" t="n">
        <x:v>412</x:v>
      </x:c>
      <x:c r="G929" s="2" t="str">
        <x:v>w_f1490708d286a532</x:v>
      </x:c>
      <x:c r="H929" s="2" t="str">
        <x:v>先だって</x:v>
      </x:c>
      <x:c r="I929" s="2" t="str">
        <x:v>せんだって</x:v>
      </x:c>
      <x:c r="J929" s="8" t="str">
        <x:v>최근, 다른 날, 하루</x:v>
      </x:c>
      <x:c r="K929" s="2" t="str">
        <x:v>noun</x:v>
      </x:c>
      <x:c r="L929" s="9" t="n">
        <x:v>2.56</x:v>
      </x:c>
      <x:c r="M929" s="2" t="str">
        <x:v>없음</x:v>
      </x:c>
      <x:c r="N929" s="11" t="n">
        <x:v>-2</x:v>
      </x:c>
      <x:c r="O929" s="8" t="str">
        <x:v>일반 사용 빈도 낮은 편(Zipf ≤ 3.0); 검증된 예문 없음; 기존 데이터의 한국어 콘텐츠 보강 필요 태그</x:v>
      </x:c>
      <x:c r="P929" s="8" t="str">
        <x:v>frequency_le_3_0,no_example,weak_legacy_content</x:v>
      </x:c>
      <x:c r="Q929" s="2" t="str"/>
      <x:c r="R929" s="2" t="str"/>
      <x:c r="S929" s="2" t="str"/>
      <x:c r="T929" s="2" t="str"/>
      <x:c r="U929" s="2" t="str"/>
      <x:c r="V929" s="2" t="str">
        <x:v>아니오</x:v>
      </x:c>
      <x:c r="W929" s="2" t="str">
        <x:v>예</x:v>
      </x:c>
      <x:c r="X929" s="2" t="str">
        <x:v>ichi1,news2,nf27</x:v>
      </x:c>
      <x:c r="Y929" s="2" t="n">
        <x:v>100</x:v>
      </x:c>
      <x:c r="Z929" s="2" t="str">
        <x:v>ichi1,news2,nf27</x:v>
      </x:c>
      <x:c r="AA929" s="2" t="n">
        <x:v>100</x:v>
      </x:c>
      <x:c r="AB929" s="8" t="str"/>
      <x:c r="AC929" s="8" t="str"/>
      <x:c r="AD929" s="8" t="str">
        <x:v>["draft-ko-missing"]</x:v>
      </x:c>
      <x:c r="AE929" s="8" t="str">
        <x:v>검토 필요</x:v>
      </x:c>
      <x:c r="AF929" s="8" t="str"/>
    </x:row>
    <x:row r="930">
      <x:c r="A930" s="10" t="n">
        <x:v>929</x:v>
      </x:c>
      <x:c r="B930" s="2" t="str">
        <x:v>2차 보류</x:v>
      </x:c>
      <x:c r="C930" s="2" t="str">
        <x:v>2차 보류</x:v>
      </x:c>
      <x:c r="D930" s="2" t="str">
        <x:v>낮음</x:v>
      </x:c>
      <x:c r="E930" s="2" t="str">
        <x:v>N1</x:v>
      </x:c>
      <x:c r="F930" s="10" t="n">
        <x:v>413</x:v>
      </x:c>
      <x:c r="G930" s="2" t="str">
        <x:v>w_fe290cfcc396bca1</x:v>
      </x:c>
      <x:c r="H930" s="2" t="str">
        <x:v>戦災</x:v>
      </x:c>
      <x:c r="I930" s="2" t="str">
        <x:v>せんさい</x:v>
      </x:c>
      <x:c r="J930" s="8" t="str">
        <x:v>전재(전쟁 피해)</x:v>
      </x:c>
      <x:c r="K930" s="2" t="str">
        <x:v>noun</x:v>
      </x:c>
      <x:c r="L930" s="9" t="n">
        <x:v>2.56</x:v>
      </x:c>
      <x:c r="M930" s="2" t="str">
        <x:v>없음</x:v>
      </x:c>
      <x:c r="N930" s="11" t="n">
        <x:v>-2</x:v>
      </x:c>
      <x:c r="O930" s="8" t="str">
        <x:v>일반 사용 빈도 낮은 편(Zipf ≤ 3.0); 검증된 예문 없음; 기존 데이터의 한국어 콘텐츠 보강 필요 태그</x:v>
      </x:c>
      <x:c r="P930" s="8" t="str">
        <x:v>frequency_le_3_0,no_example,weak_legacy_content</x:v>
      </x:c>
      <x:c r="Q930" s="2" t="str"/>
      <x:c r="R930" s="2" t="str"/>
      <x:c r="S930" s="2" t="str"/>
      <x:c r="T930" s="2" t="str"/>
      <x:c r="U930" s="2" t="str"/>
      <x:c r="V930" s="2" t="str">
        <x:v>아니오</x:v>
      </x:c>
      <x:c r="W930" s="2" t="str">
        <x:v>예</x:v>
      </x:c>
      <x:c r="X930" s="2" t="str">
        <x:v>ichi1,news1,nf20</x:v>
      </x:c>
      <x:c r="Y930" s="2" t="n">
        <x:v>100</x:v>
      </x:c>
      <x:c r="Z930" s="2" t="str">
        <x:v>ichi1,news1,nf20</x:v>
      </x:c>
      <x:c r="AA930" s="2" t="n">
        <x:v>100</x:v>
      </x:c>
      <x:c r="AB930" s="8" t="str"/>
      <x:c r="AC930" s="8" t="str"/>
      <x:c r="AD930" s="8" t="str">
        <x:v>["draft-ko-missing"]</x:v>
      </x:c>
      <x:c r="AE930" s="8" t="str">
        <x:v>검토 필요</x:v>
      </x:c>
      <x:c r="AF930" s="8" t="str"/>
    </x:row>
    <x:row r="931">
      <x:c r="A931" s="10" t="n">
        <x:v>930</x:v>
      </x:c>
      <x:c r="B931" s="2" t="str">
        <x:v>2차 보류</x:v>
      </x:c>
      <x:c r="C931" s="2" t="str">
        <x:v>2차 보류</x:v>
      </x:c>
      <x:c r="D931" s="2" t="str">
        <x:v>낮음</x:v>
      </x:c>
      <x:c r="E931" s="2" t="str">
        <x:v>N2</x:v>
      </x:c>
      <x:c r="F931" s="10" t="n">
        <x:v>325</x:v>
      </x:c>
      <x:c r="G931" s="2" t="str">
        <x:v>w_65ce4b6319520a16</x:v>
      </x:c>
      <x:c r="H931" s="2" t="str">
        <x:v>長短</x:v>
      </x:c>
      <x:c r="I931" s="2" t="str">
        <x:v>ちょうたん</x:v>
      </x:c>
      <x:c r="J931" s="8" t="str">
        <x:v>길이, 긴 짧은</x:v>
      </x:c>
      <x:c r="K931" s="2" t="str">
        <x:v>noun</x:v>
      </x:c>
      <x:c r="L931" s="9" t="n">
        <x:v>2.57</x:v>
      </x:c>
      <x:c r="M931" s="2" t="str">
        <x:v>없음</x:v>
      </x:c>
      <x:c r="N931" s="11" t="n">
        <x:v>-2</x:v>
      </x:c>
      <x:c r="O931" s="8" t="str">
        <x:v>일반 사용 빈도 낮은 편(Zipf ≤ 3.0); 검증된 예문 없음; 기존 데이터의 한국어 콘텐츠 보강 필요 태그</x:v>
      </x:c>
      <x:c r="P931" s="8" t="str">
        <x:v>frequency_le_3_0,no_example,weak_legacy_content</x:v>
      </x:c>
      <x:c r="Q931" s="2" t="str"/>
      <x:c r="R931" s="2" t="str"/>
      <x:c r="S931" s="2" t="str"/>
      <x:c r="T931" s="2" t="str"/>
      <x:c r="U931" s="2" t="str"/>
      <x:c r="V931" s="2" t="str">
        <x:v>아니오</x:v>
      </x:c>
      <x:c r="W931" s="2" t="str">
        <x:v>예</x:v>
      </x:c>
      <x:c r="X931" s="2" t="str">
        <x:v>news1,nf08</x:v>
      </x:c>
      <x:c r="Y931" s="2" t="n">
        <x:v>100</x:v>
      </x:c>
      <x:c r="Z931" s="2" t="str">
        <x:v>news1,nf08</x:v>
      </x:c>
      <x:c r="AA931" s="2" t="n">
        <x:v>100</x:v>
      </x:c>
      <x:c r="AB931" s="8" t="str"/>
      <x:c r="AC931" s="8" t="str"/>
      <x:c r="AD931" s="8" t="str">
        <x:v>["draft-ko-missing"]</x:v>
      </x:c>
      <x:c r="AE931" s="8" t="str">
        <x:v>검토 필요</x:v>
      </x:c>
      <x:c r="AF931" s="8" t="str"/>
    </x:row>
    <x:row r="932">
      <x:c r="A932" s="10" t="n">
        <x:v>931</x:v>
      </x:c>
      <x:c r="B932" s="2" t="str">
        <x:v>2차 보류</x:v>
      </x:c>
      <x:c r="C932" s="2" t="str">
        <x:v>2차 보류</x:v>
      </x:c>
      <x:c r="D932" s="2" t="str">
        <x:v>낮음</x:v>
      </x:c>
      <x:c r="E932" s="2" t="str">
        <x:v>N2</x:v>
      </x:c>
      <x:c r="F932" s="10" t="n">
        <x:v>326</x:v>
      </x:c>
      <x:c r="G932" s="2" t="str">
        <x:v>w_e1f47a3d0e5c8116</x:v>
      </x:c>
      <x:c r="H932" s="2" t="str">
        <x:v>清書</x:v>
      </x:c>
      <x:c r="I932" s="2" t="str">
        <x:v>せいしょ</x:v>
      </x:c>
      <x:c r="J932" s="8" t="str">
        <x:v>정서, 깨끗이 옮겨 씀</x:v>
      </x:c>
      <x:c r="K932" s="2" t="str">
        <x:v>noun</x:v>
      </x:c>
      <x:c r="L932" s="9" t="n">
        <x:v>2.57</x:v>
      </x:c>
      <x:c r="M932" s="2" t="str">
        <x:v>없음</x:v>
      </x:c>
      <x:c r="N932" s="11" t="n">
        <x:v>-2</x:v>
      </x:c>
      <x:c r="O932" s="8" t="str">
        <x:v>일반 사용 빈도 낮은 편(Zipf ≤ 3.0); 검증된 예문 없음; 기존 데이터의 한국어 콘텐츠 보강 필요 태그</x:v>
      </x:c>
      <x:c r="P932" s="8" t="str">
        <x:v>frequency_le_3_0,no_example,weak_legacy_content</x:v>
      </x:c>
      <x:c r="Q932" s="2" t="str"/>
      <x:c r="R932" s="2" t="str"/>
      <x:c r="S932" s="2" t="str"/>
      <x:c r="T932" s="2" t="str"/>
      <x:c r="U932" s="2" t="str"/>
      <x:c r="V932" s="2" t="str">
        <x:v>아니오</x:v>
      </x:c>
      <x:c r="W932" s="2" t="str">
        <x:v>예</x:v>
      </x:c>
      <x:c r="X932" s="2" t="str">
        <x:v>ichi1</x:v>
      </x:c>
      <x:c r="Y932" s="2" t="n">
        <x:v>100</x:v>
      </x:c>
      <x:c r="Z932" s="2" t="str">
        <x:v>ichi1</x:v>
      </x:c>
      <x:c r="AA932" s="2" t="n">
        <x:v>100</x:v>
      </x:c>
      <x:c r="AB932" s="8" t="str"/>
      <x:c r="AC932" s="8" t="str"/>
      <x:c r="AD932" s="8" t="str">
        <x:v>["draft-ko-missing"]</x:v>
      </x:c>
      <x:c r="AE932" s="8" t="str">
        <x:v>검토 필요</x:v>
      </x:c>
      <x:c r="AF932" s="8" t="str"/>
    </x:row>
    <x:row r="933">
      <x:c r="A933" s="10" t="n">
        <x:v>932</x:v>
      </x:c>
      <x:c r="B933" s="2" t="str">
        <x:v>2차 보류</x:v>
      </x:c>
      <x:c r="C933" s="2" t="str">
        <x:v>2차 보류</x:v>
      </x:c>
      <x:c r="D933" s="2" t="str">
        <x:v>낮음</x:v>
      </x:c>
      <x:c r="E933" s="2" t="str">
        <x:v>N1</x:v>
      </x:c>
      <x:c r="F933" s="10" t="n">
        <x:v>414</x:v>
      </x:c>
      <x:c r="G933" s="2" t="str">
        <x:v>w_0aa4fd6ccca22959</x:v>
      </x:c>
      <x:c r="H933" s="2" t="str">
        <x:v>妥結</x:v>
      </x:c>
      <x:c r="I933" s="2" t="str">
        <x:v>だけつ</x:v>
      </x:c>
      <x:c r="J933" s="8" t="str">
        <x:v>합의</x:v>
      </x:c>
      <x:c r="K933" s="2" t="str">
        <x:v>noun</x:v>
      </x:c>
      <x:c r="L933" s="9" t="n">
        <x:v>2.57</x:v>
      </x:c>
      <x:c r="M933" s="2" t="str">
        <x:v>없음</x:v>
      </x:c>
      <x:c r="N933" s="11" t="n">
        <x:v>-2</x:v>
      </x:c>
      <x:c r="O933" s="8" t="str">
        <x:v>일반 사용 빈도 낮은 편(Zipf ≤ 3.0); 검증된 예문 없음; 기존 데이터의 한국어 콘텐츠 보강 필요 태그</x:v>
      </x:c>
      <x:c r="P933" s="8" t="str">
        <x:v>frequency_le_3_0,no_example,weak_legacy_content</x:v>
      </x:c>
      <x:c r="Q933" s="2" t="str"/>
      <x:c r="R933" s="2" t="str"/>
      <x:c r="S933" s="2" t="str"/>
      <x:c r="T933" s="2" t="str"/>
      <x:c r="U933" s="2" t="str"/>
      <x:c r="V933" s="2" t="str">
        <x:v>아니오</x:v>
      </x:c>
      <x:c r="W933" s="2" t="str">
        <x:v>예</x:v>
      </x:c>
      <x:c r="X933" s="2" t="str">
        <x:v>ichi1,news1,nf11</x:v>
      </x:c>
      <x:c r="Y933" s="2" t="n">
        <x:v>100</x:v>
      </x:c>
      <x:c r="Z933" s="2" t="str">
        <x:v>ichi1,news1,nf11</x:v>
      </x:c>
      <x:c r="AA933" s="2" t="n">
        <x:v>100</x:v>
      </x:c>
      <x:c r="AB933" s="8" t="str"/>
      <x:c r="AC933" s="8" t="str"/>
      <x:c r="AD933" s="8" t="str">
        <x:v>["draft-ko-missing"]</x:v>
      </x:c>
      <x:c r="AE933" s="8" t="str">
        <x:v>검토 필요</x:v>
      </x:c>
      <x:c r="AF933" s="8" t="str"/>
    </x:row>
    <x:row r="934">
      <x:c r="A934" s="10" t="n">
        <x:v>933</x:v>
      </x:c>
      <x:c r="B934" s="2" t="str">
        <x:v>2차 보류</x:v>
      </x:c>
      <x:c r="C934" s="2" t="str">
        <x:v>2차 보류</x:v>
      </x:c>
      <x:c r="D934" s="2" t="str">
        <x:v>낮음</x:v>
      </x:c>
      <x:c r="E934" s="2" t="str">
        <x:v>N2</x:v>
      </x:c>
      <x:c r="F934" s="10" t="n">
        <x:v>327</x:v>
      </x:c>
      <x:c r="G934" s="2" t="str">
        <x:v>w_dd23ab623b85f108</x:v>
      </x:c>
      <x:c r="H934" s="2" t="str">
        <x:v>出迎える</x:v>
      </x:c>
      <x:c r="I934" s="2" t="str">
        <x:v>でむかえる</x:v>
      </x:c>
      <x:c r="J934" s="8" t="str">
        <x:v>만나다, 인사하다</x:v>
      </x:c>
      <x:c r="K934" s="2" t="str">
        <x:v>verb</x:v>
      </x:c>
      <x:c r="L934" s="9" t="n">
        <x:v>2.58</x:v>
      </x:c>
      <x:c r="M934" s="2" t="str">
        <x:v>없음</x:v>
      </x:c>
      <x:c r="N934" s="11" t="n">
        <x:v>-2</x:v>
      </x:c>
      <x:c r="O934" s="8" t="str">
        <x:v>일반 사용 빈도 낮은 편(Zipf ≤ 3.0); 검증된 예문 없음; 기존 데이터의 한국어 콘텐츠 보강 필요 태그</x:v>
      </x:c>
      <x:c r="P934" s="8" t="str">
        <x:v>frequency_le_3_0,no_example,weak_legacy_content</x:v>
      </x:c>
      <x:c r="Q934" s="2" t="str"/>
      <x:c r="R934" s="2" t="str"/>
      <x:c r="S934" s="2" t="str"/>
      <x:c r="T934" s="2" t="str"/>
      <x:c r="U934" s="2" t="str"/>
      <x:c r="V934" s="2" t="str">
        <x:v>아니오</x:v>
      </x:c>
      <x:c r="W934" s="2" t="str">
        <x:v>예</x:v>
      </x:c>
      <x:c r="X934" s="2" t="str">
        <x:v>news1,nf16</x:v>
      </x:c>
      <x:c r="Y934" s="2" t="n">
        <x:v>100</x:v>
      </x:c>
      <x:c r="Z934" s="2" t="str">
        <x:v>news1,nf16</x:v>
      </x:c>
      <x:c r="AA934" s="2" t="n">
        <x:v>100</x:v>
      </x:c>
      <x:c r="AB934" s="8" t="str"/>
      <x:c r="AC934" s="8" t="str"/>
      <x:c r="AD934" s="8" t="str">
        <x:v>["draft-ko-missing"]</x:v>
      </x:c>
      <x:c r="AE934" s="8" t="str">
        <x:v>검토 필요</x:v>
      </x:c>
      <x:c r="AF934" s="8" t="str"/>
    </x:row>
    <x:row r="935">
      <x:c r="A935" s="10" t="n">
        <x:v>934</x:v>
      </x:c>
      <x:c r="B935" s="2" t="str">
        <x:v>2차 보류</x:v>
      </x:c>
      <x:c r="C935" s="2" t="str">
        <x:v>2차 보류</x:v>
      </x:c>
      <x:c r="D935" s="2" t="str">
        <x:v>낮음</x:v>
      </x:c>
      <x:c r="E935" s="2" t="str">
        <x:v>N1</x:v>
      </x:c>
      <x:c r="F935" s="10" t="n">
        <x:v>415</x:v>
      </x:c>
      <x:c r="G935" s="2" t="str">
        <x:v>w_54b203f8e832014c</x:v>
      </x:c>
      <x:c r="H935" s="2" t="str">
        <x:v>仕立てる</x:v>
      </x:c>
      <x:c r="I935" s="2" t="str">
        <x:v>したてる</x:v>
      </x:c>
      <x:c r="J935" s="8" t="str">
        <x:v>만들다, 준비하다</x:v>
      </x:c>
      <x:c r="K935" s="2" t="str">
        <x:v>verb</x:v>
      </x:c>
      <x:c r="L935" s="9" t="n">
        <x:v>2.59</x:v>
      </x:c>
      <x:c r="M935" s="2" t="str">
        <x:v>없음</x:v>
      </x:c>
      <x:c r="N935" s="11" t="n">
        <x:v>-2</x:v>
      </x:c>
      <x:c r="O935" s="8" t="str">
        <x:v>일반 사용 빈도 낮은 편(Zipf ≤ 3.0); 검증된 예문 없음; 기존 데이터의 한국어 콘텐츠 보강 필요 태그</x:v>
      </x:c>
      <x:c r="P935" s="8" t="str">
        <x:v>frequency_le_3_0,no_example,weak_legacy_content</x:v>
      </x:c>
      <x:c r="Q935" s="2" t="str"/>
      <x:c r="R935" s="2" t="str"/>
      <x:c r="S935" s="2" t="str"/>
      <x:c r="T935" s="2" t="str"/>
      <x:c r="U935" s="2" t="str"/>
      <x:c r="V935" s="2" t="str">
        <x:v>아니오</x:v>
      </x:c>
      <x:c r="W935" s="2" t="str">
        <x:v>예</x:v>
      </x:c>
      <x:c r="X935" s="2" t="str">
        <x:v>ichi1,news2,nf46</x:v>
      </x:c>
      <x:c r="Y935" s="2" t="n">
        <x:v>100</x:v>
      </x:c>
      <x:c r="Z935" s="2" t="str">
        <x:v>ichi1,news2,nf46</x:v>
      </x:c>
      <x:c r="AA935" s="2" t="n">
        <x:v>100</x:v>
      </x:c>
      <x:c r="AB935" s="8" t="str"/>
      <x:c r="AC935" s="8" t="str"/>
      <x:c r="AD935" s="8" t="str">
        <x:v>["draft-ko-missing"]</x:v>
      </x:c>
      <x:c r="AE935" s="8" t="str">
        <x:v>검토 필요</x:v>
      </x:c>
      <x:c r="AF935" s="8" t="str"/>
    </x:row>
    <x:row r="936">
      <x:c r="A936" s="10" t="n">
        <x:v>935</x:v>
      </x:c>
      <x:c r="B936" s="2" t="str">
        <x:v>2차 보류</x:v>
      </x:c>
      <x:c r="C936" s="2" t="str">
        <x:v>2차 보류</x:v>
      </x:c>
      <x:c r="D936" s="2" t="str">
        <x:v>낮음</x:v>
      </x:c>
      <x:c r="E936" s="2" t="str">
        <x:v>N4</x:v>
      </x:c>
      <x:c r="F936" s="10" t="n">
        <x:v>65</x:v>
      </x:c>
      <x:c r="G936" s="2" t="str">
        <x:v>w_52b71369ec5db591</x:v>
      </x:c>
      <x:c r="H936" s="2" t="str">
        <x:v>漬ける</x:v>
      </x:c>
      <x:c r="I936" s="2" t="str">
        <x:v>つける</x:v>
      </x:c>
      <x:c r="J936" s="8" t="str">
        <x:v>담그다, 적시다, 절이다</x:v>
      </x:c>
      <x:c r="K936" s="2" t="str">
        <x:v>verb</x:v>
      </x:c>
      <x:c r="L936" s="9" t="n">
        <x:v>2.6</x:v>
      </x:c>
      <x:c r="M936" s="2" t="str">
        <x:v>없음</x:v>
      </x:c>
      <x:c r="N936" s="11" t="n">
        <x:v>-2</x:v>
      </x:c>
      <x:c r="O936" s="8" t="str">
        <x:v>일반 사용 빈도 낮은 편(Zipf ≤ 3.0); 검증된 예문 없음; 기존 데이터의 한국어 콘텐츠 보강 필요 태그</x:v>
      </x:c>
      <x:c r="P936" s="8" t="str">
        <x:v>frequency_le_3_0,no_example,weak_legacy_content</x:v>
      </x:c>
      <x:c r="Q936" s="2" t="str"/>
      <x:c r="R936" s="2" t="str"/>
      <x:c r="S936" s="2" t="str"/>
      <x:c r="T936" s="2" t="str"/>
      <x:c r="U936" s="2" t="str"/>
      <x:c r="V936" s="2" t="str">
        <x:v>아니오</x:v>
      </x:c>
      <x:c r="W936" s="2" t="str">
        <x:v>예</x:v>
      </x:c>
      <x:c r="X936" s="2" t="str">
        <x:v>ichi1,news1,nf14</x:v>
      </x:c>
      <x:c r="Y936" s="2" t="n">
        <x:v>100</x:v>
      </x:c>
      <x:c r="Z936" s="2" t="str">
        <x:v>ichi1,news1,nf14</x:v>
      </x:c>
      <x:c r="AA936" s="2" t="n">
        <x:v>100</x:v>
      </x:c>
      <x:c r="AB936" s="8" t="str"/>
      <x:c r="AC936" s="8" t="str"/>
      <x:c r="AD936" s="8" t="str">
        <x:v>["draft-ko-missing"]</x:v>
      </x:c>
      <x:c r="AE936" s="8" t="str">
        <x:v>검토 필요</x:v>
      </x:c>
      <x:c r="AF936" s="8" t="str"/>
    </x:row>
    <x:row r="937">
      <x:c r="A937" s="10" t="n">
        <x:v>936</x:v>
      </x:c>
      <x:c r="B937" s="2" t="str">
        <x:v>2차 보류</x:v>
      </x:c>
      <x:c r="C937" s="2" t="str">
        <x:v>2차 보류</x:v>
      </x:c>
      <x:c r="D937" s="2" t="str">
        <x:v>낮음</x:v>
      </x:c>
      <x:c r="E937" s="2" t="str">
        <x:v>N1</x:v>
      </x:c>
      <x:c r="F937" s="10" t="n">
        <x:v>416</x:v>
      </x:c>
      <x:c r="G937" s="2" t="str">
        <x:v>w_ef030ba39af0bee6</x:v>
      </x:c>
      <x:c r="H937" s="2" t="str">
        <x:v>行き違い</x:v>
      </x:c>
      <x:c r="I937" s="2" t="str">
        <x:v>いきちがい</x:v>
      </x:c>
      <x:c r="J937" s="8" t="str">
        <x:v>엇갈림, 오해</x:v>
      </x:c>
      <x:c r="K937" s="2" t="str">
        <x:v>noun</x:v>
      </x:c>
      <x:c r="L937" s="9" t="n">
        <x:v>2.6</x:v>
      </x:c>
      <x:c r="M937" s="2" t="str">
        <x:v>없음</x:v>
      </x:c>
      <x:c r="N937" s="11" t="n">
        <x:v>-2</x:v>
      </x:c>
      <x:c r="O937" s="8" t="str">
        <x:v>일반 사용 빈도 낮은 편(Zipf ≤ 3.0); 검증된 예문 없음; 기존 데이터의 한국어 콘텐츠 보강 필요 태그</x:v>
      </x:c>
      <x:c r="P937" s="8" t="str">
        <x:v>frequency_le_3_0,no_example,weak_legacy_content</x:v>
      </x:c>
      <x:c r="Q937" s="2" t="str"/>
      <x:c r="R937" s="2" t="str"/>
      <x:c r="S937" s="2" t="str"/>
      <x:c r="T937" s="2" t="str"/>
      <x:c r="U937" s="2" t="str"/>
      <x:c r="V937" s="2" t="str">
        <x:v>아니오</x:v>
      </x:c>
      <x:c r="W937" s="2" t="str">
        <x:v>예</x:v>
      </x:c>
      <x:c r="X937" s="2" t="str">
        <x:v>ichi1,news2,nf31</x:v>
      </x:c>
      <x:c r="Y937" s="2" t="n">
        <x:v>100</x:v>
      </x:c>
      <x:c r="Z937" s="2" t="str">
        <x:v>ichi1,news2,nf31</x:v>
      </x:c>
      <x:c r="AA937" s="2" t="n">
        <x:v>100</x:v>
      </x:c>
      <x:c r="AB937" s="8" t="str"/>
      <x:c r="AC937" s="8" t="str"/>
      <x:c r="AD937" s="8" t="str">
        <x:v>["draft-ko-missing"]</x:v>
      </x:c>
      <x:c r="AE937" s="8" t="str">
        <x:v>검토 필요</x:v>
      </x:c>
      <x:c r="AF937" s="8" t="str"/>
    </x:row>
    <x:row r="938">
      <x:c r="A938" s="10" t="n">
        <x:v>937</x:v>
      </x:c>
      <x:c r="B938" s="2" t="str">
        <x:v>2차 보류</x:v>
      </x:c>
      <x:c r="C938" s="2" t="str">
        <x:v>2차 보류</x:v>
      </x:c>
      <x:c r="D938" s="2" t="str">
        <x:v>낮음</x:v>
      </x:c>
      <x:c r="E938" s="2" t="str">
        <x:v>N3</x:v>
      </x:c>
      <x:c r="F938" s="10" t="n">
        <x:v>111</x:v>
      </x:c>
      <x:c r="G938" s="2" t="str">
        <x:v>w_64daaabdec7b758d</x:v>
      </x:c>
      <x:c r="H938" s="2" t="str">
        <x:v>掻く</x:v>
      </x:c>
      <x:c r="I938" s="2" t="str">
        <x:v>かく</x:v>
      </x:c>
      <x:c r="J938" s="8" t="str">
        <x:v>긁다, 흠집</x:v>
      </x:c>
      <x:c r="K938" s="2" t="str">
        <x:v>verb</x:v>
      </x:c>
      <x:c r="L938" s="9" t="n">
        <x:v>2.62</x:v>
      </x:c>
      <x:c r="M938" s="2" t="str">
        <x:v>없음</x:v>
      </x:c>
      <x:c r="N938" s="11" t="n">
        <x:v>-2</x:v>
      </x:c>
      <x:c r="O938" s="8" t="str">
        <x:v>일반 사용 빈도 낮은 편(Zipf ≤ 3.0); 검증된 예문 없음; 기존 데이터의 한국어 콘텐츠 보강 필요 태그</x:v>
      </x:c>
      <x:c r="P938" s="8" t="str">
        <x:v>frequency_le_3_0,no_example,weak_legacy_content</x:v>
      </x:c>
      <x:c r="Q938" s="2" t="str"/>
      <x:c r="R938" s="2" t="str"/>
      <x:c r="S938" s="2" t="str"/>
      <x:c r="T938" s="2" t="str"/>
      <x:c r="U938" s="2" t="str"/>
      <x:c r="V938" s="2" t="str">
        <x:v>아니오</x:v>
      </x:c>
      <x:c r="W938" s="2" t="str">
        <x:v>예</x:v>
      </x:c>
      <x:c r="X938" s="2" t="str">
        <x:v>ichi1</x:v>
      </x:c>
      <x:c r="Y938" s="2" t="n">
        <x:v>100</x:v>
      </x:c>
      <x:c r="Z938" s="2" t="str">
        <x:v>ichi1</x:v>
      </x:c>
      <x:c r="AA938" s="2" t="n">
        <x:v>100</x:v>
      </x:c>
      <x:c r="AB938" s="8" t="str">
        <x:v>word usually written using kana alone</x:v>
      </x:c>
      <x:c r="AC938" s="8" t="str"/>
      <x:c r="AD938" s="8" t="str">
        <x:v>["draft-ko-missing"]</x:v>
      </x:c>
      <x:c r="AE938" s="8" t="str">
        <x:v>검토 필요</x:v>
      </x:c>
      <x:c r="AF938" s="8" t="str"/>
    </x:row>
    <x:row r="939">
      <x:c r="A939" s="10" t="n">
        <x:v>938</x:v>
      </x:c>
      <x:c r="B939" s="2" t="str">
        <x:v>2차 보류</x:v>
      </x:c>
      <x:c r="C939" s="2" t="str">
        <x:v>2차 보류</x:v>
      </x:c>
      <x:c r="D939" s="2" t="str">
        <x:v>낮음</x:v>
      </x:c>
      <x:c r="E939" s="2" t="str">
        <x:v>N2</x:v>
      </x:c>
      <x:c r="F939" s="10" t="n">
        <x:v>328</x:v>
      </x:c>
      <x:c r="G939" s="2" t="str">
        <x:v>w_08ca1df6137e84ac</x:v>
      </x:c>
      <x:c r="H939" s="2" t="str">
        <x:v>厚かましい</x:v>
      </x:c>
      <x:c r="I939" s="2" t="str">
        <x:v>あつかましい</x:v>
      </x:c>
      <x:c r="J939" s="8" t="str">
        <x:v>뻔뻔한</x:v>
      </x:c>
      <x:c r="K939" s="2" t="str">
        <x:v>adjective</x:v>
      </x:c>
      <x:c r="L939" s="9" t="n">
        <x:v>2.62</x:v>
      </x:c>
      <x:c r="M939" s="2" t="str">
        <x:v>없음</x:v>
      </x:c>
      <x:c r="N939" s="11" t="n">
        <x:v>-2</x:v>
      </x:c>
      <x:c r="O939" s="8" t="str">
        <x:v>일반 사용 빈도 낮은 편(Zipf ≤ 3.0); 검증된 예문 없음; 기존 데이터의 한국어 콘텐츠 보강 필요 태그</x:v>
      </x:c>
      <x:c r="P939" s="8" t="str">
        <x:v>frequency_le_3_0,no_example,weak_legacy_content</x:v>
      </x:c>
      <x:c r="Q939" s="2" t="str"/>
      <x:c r="R939" s="2" t="str"/>
      <x:c r="S939" s="2" t="str"/>
      <x:c r="T939" s="2" t="str"/>
      <x:c r="U939" s="2" t="str"/>
      <x:c r="V939" s="2" t="str">
        <x:v>아니오</x:v>
      </x:c>
      <x:c r="W939" s="2" t="str">
        <x:v>예</x:v>
      </x:c>
      <x:c r="X939" s="2" t="str">
        <x:v>ichi1</x:v>
      </x:c>
      <x:c r="Y939" s="2" t="n">
        <x:v>100</x:v>
      </x:c>
      <x:c r="Z939" s="2" t="str">
        <x:v>ichi1</x:v>
      </x:c>
      <x:c r="AA939" s="2" t="n">
        <x:v>100</x:v>
      </x:c>
      <x:c r="AB939" s="8" t="str"/>
      <x:c r="AC939" s="8" t="str"/>
      <x:c r="AD939" s="8" t="str">
        <x:v>["draft-ko-missing"]</x:v>
      </x:c>
      <x:c r="AE939" s="8" t="str">
        <x:v>검토 필요</x:v>
      </x:c>
      <x:c r="AF939" s="8" t="str"/>
    </x:row>
    <x:row r="940">
      <x:c r="A940" s="10" t="n">
        <x:v>939</x:v>
      </x:c>
      <x:c r="B940" s="2" t="str">
        <x:v>2차 보류</x:v>
      </x:c>
      <x:c r="C940" s="2" t="str">
        <x:v>2차 보류</x:v>
      </x:c>
      <x:c r="D940" s="2" t="str">
        <x:v>낮음</x:v>
      </x:c>
      <x:c r="E940" s="2" t="str">
        <x:v>N2</x:v>
      </x:c>
      <x:c r="F940" s="10" t="n">
        <x:v>329</x:v>
      </x:c>
      <x:c r="G940" s="2" t="str">
        <x:v>w_0f10aedeec365426</x:v>
      </x:c>
      <x:c r="H940" s="2" t="str">
        <x:v>彫る</x:v>
      </x:c>
      <x:c r="I940" s="2" t="str">
        <x:v>ほる</x:v>
      </x:c>
      <x:c r="J940" s="8" t="str">
        <x:v>새기다, 조각하다</x:v>
      </x:c>
      <x:c r="K940" s="2" t="str">
        <x:v>verb</x:v>
      </x:c>
      <x:c r="L940" s="9" t="n">
        <x:v>2.62</x:v>
      </x:c>
      <x:c r="M940" s="2" t="str">
        <x:v>없음</x:v>
      </x:c>
      <x:c r="N940" s="11" t="n">
        <x:v>-2</x:v>
      </x:c>
      <x:c r="O940" s="8" t="str">
        <x:v>일반 사용 빈도 낮은 편(Zipf ≤ 3.0); 검증된 예문 없음; 기존 데이터의 한국어 콘텐츠 보강 필요 태그</x:v>
      </x:c>
      <x:c r="P940" s="8" t="str">
        <x:v>frequency_le_3_0,no_example,weak_legacy_content</x:v>
      </x:c>
      <x:c r="Q940" s="2" t="str"/>
      <x:c r="R940" s="2" t="str"/>
      <x:c r="S940" s="2" t="str"/>
      <x:c r="T940" s="2" t="str"/>
      <x:c r="U940" s="2" t="str"/>
      <x:c r="V940" s="2" t="str">
        <x:v>아니오</x:v>
      </x:c>
      <x:c r="W940" s="2" t="str">
        <x:v>예</x:v>
      </x:c>
      <x:c r="X940" s="2" t="str">
        <x:v>ichi1,news2,nf35</x:v>
      </x:c>
      <x:c r="Y940" s="2" t="n">
        <x:v>100</x:v>
      </x:c>
      <x:c r="Z940" s="2" t="str">
        <x:v>ichi1,news2,nf35</x:v>
      </x:c>
      <x:c r="AA940" s="2" t="n">
        <x:v>100</x:v>
      </x:c>
      <x:c r="AB940" s="8" t="str"/>
      <x:c r="AC940" s="8" t="str"/>
      <x:c r="AD940" s="8" t="str">
        <x:v>["draft-ko-missing"]</x:v>
      </x:c>
      <x:c r="AE940" s="8" t="str">
        <x:v>검토 필요</x:v>
      </x:c>
      <x:c r="AF940" s="8" t="str"/>
    </x:row>
    <x:row r="941">
      <x:c r="A941" s="10" t="n">
        <x:v>940</x:v>
      </x:c>
      <x:c r="B941" s="2" t="str">
        <x:v>2차 보류</x:v>
      </x:c>
      <x:c r="C941" s="2" t="str">
        <x:v>2차 보류</x:v>
      </x:c>
      <x:c r="D941" s="2" t="str">
        <x:v>낮음</x:v>
      </x:c>
      <x:c r="E941" s="2" t="str">
        <x:v>N2</x:v>
      </x:c>
      <x:c r="F941" s="10" t="n">
        <x:v>330</x:v>
      </x:c>
      <x:c r="G941" s="2" t="str">
        <x:v>w_e13f09519cb49365</x:v>
      </x:c>
      <x:c r="H941" s="2" t="str">
        <x:v>インキ</x:v>
      </x:c>
      <x:c r="I941" s="2" t="str">
        <x:v>インキ</x:v>
      </x:c>
      <x:c r="J941" s="8" t="str">
        <x:v>잉크</x:v>
      </x:c>
      <x:c r="K941" s="2" t="str">
        <x:v>noun</x:v>
      </x:c>
      <x:c r="L941" s="9" t="n">
        <x:v>2.62</x:v>
      </x:c>
      <x:c r="M941" s="2" t="str">
        <x:v>없음</x:v>
      </x:c>
      <x:c r="N941" s="11" t="n">
        <x:v>-2</x:v>
      </x:c>
      <x:c r="O941" s="8" t="str">
        <x:v>일반 사용 빈도 낮은 편(Zipf ≤ 3.0); 검증된 예문 없음; 기존 데이터의 한국어 콘텐츠 보강 필요 태그</x:v>
      </x:c>
      <x:c r="P941" s="8" t="str">
        <x:v>frequency_le_3_0,no_example,weak_legacy_content</x:v>
      </x:c>
      <x:c r="Q941" s="2" t="str"/>
      <x:c r="R941" s="2" t="str"/>
      <x:c r="S941" s="2" t="str"/>
      <x:c r="T941" s="2" t="str"/>
      <x:c r="U941" s="2" t="str"/>
      <x:c r="V941" s="2" t="str">
        <x:v>아니오</x:v>
      </x:c>
      <x:c r="W941" s="2" t="str">
        <x:v>예</x:v>
      </x:c>
      <x:c r="X941" s="2" t="str">
        <x:v>gai1,ichi1</x:v>
      </x:c>
      <x:c r="Y941" s="2" t="n">
        <x:v>100</x:v>
      </x:c>
      <x:c r="Z941" s="2" t="str">
        <x:v>gai1,ichi1</x:v>
      </x:c>
      <x:c r="AA941" s="2" t="n">
        <x:v>100</x:v>
      </x:c>
      <x:c r="AB941" s="8" t="str"/>
      <x:c r="AC941" s="8" t="str"/>
      <x:c r="AD941" s="8" t="str">
        <x:v>["draft-ko-missing"]</x:v>
      </x:c>
      <x:c r="AE941" s="8" t="str">
        <x:v>검토 필요</x:v>
      </x:c>
      <x:c r="AF941" s="8" t="str"/>
    </x:row>
    <x:row r="942">
      <x:c r="A942" s="10" t="n">
        <x:v>941</x:v>
      </x:c>
      <x:c r="B942" s="2" t="str">
        <x:v>2차 보류</x:v>
      </x:c>
      <x:c r="C942" s="2" t="str">
        <x:v>2차 보류</x:v>
      </x:c>
      <x:c r="D942" s="2" t="str">
        <x:v>낮음</x:v>
      </x:c>
      <x:c r="E942" s="2" t="str">
        <x:v>N2</x:v>
      </x:c>
      <x:c r="F942" s="10" t="n">
        <x:v>331</x:v>
      </x:c>
      <x:c r="G942" s="2" t="str">
        <x:v>w_e1947d121eacb34e</x:v>
      </x:c>
      <x:c r="H942" s="2" t="str">
        <x:v>俄</x:v>
      </x:c>
      <x:c r="I942" s="2" t="str">
        <x:v>にわか</x:v>
      </x:c>
      <x:c r="J942" s="8" t="str">
        <x:v>갑작스러운, 뜻밖의</x:v>
      </x:c>
      <x:c r="K942" s="2" t="str">
        <x:v>adjective</x:v>
      </x:c>
      <x:c r="L942" s="9" t="n">
        <x:v>2.62</x:v>
      </x:c>
      <x:c r="M942" s="2" t="str">
        <x:v>없음</x:v>
      </x:c>
      <x:c r="N942" s="11" t="n">
        <x:v>-2</x:v>
      </x:c>
      <x:c r="O942" s="8" t="str">
        <x:v>일반 사용 빈도 낮은 편(Zipf ≤ 3.0); 검증된 예문 없음; 기존 데이터의 한국어 콘텐츠 보강 필요 태그</x:v>
      </x:c>
      <x:c r="P942" s="8" t="str">
        <x:v>frequency_le_3_0,no_example,weak_legacy_content</x:v>
      </x:c>
      <x:c r="Q942" s="2" t="str"/>
      <x:c r="R942" s="2" t="str"/>
      <x:c r="S942" s="2" t="str"/>
      <x:c r="T942" s="2" t="str"/>
      <x:c r="U942" s="2" t="str"/>
      <x:c r="V942" s="2" t="str">
        <x:v>아니오</x:v>
      </x:c>
      <x:c r="W942" s="2" t="str">
        <x:v>예</x:v>
      </x:c>
      <x:c r="X942" s="2" t="str">
        <x:v>ichi1</x:v>
      </x:c>
      <x:c r="Y942" s="2" t="n">
        <x:v>100</x:v>
      </x:c>
      <x:c r="Z942" s="2" t="str">
        <x:v>ichi1</x:v>
      </x:c>
      <x:c r="AA942" s="2" t="n">
        <x:v>100</x:v>
      </x:c>
      <x:c r="AB942" s="8" t="str">
        <x:v>abbreviation | slang | sometimes written as 仁輪加 | word usually written using kana alone</x:v>
      </x:c>
      <x:c r="AC942" s="8" t="str"/>
      <x:c r="AD942" s="8" t="str">
        <x:v>["draft-ko-missing"]</x:v>
      </x:c>
      <x:c r="AE942" s="8" t="str">
        <x:v>검토 필요</x:v>
      </x:c>
      <x:c r="AF942" s="8" t="str"/>
    </x:row>
    <x:row r="943">
      <x:c r="A943" s="10" t="n">
        <x:v>942</x:v>
      </x:c>
      <x:c r="B943" s="2" t="str">
        <x:v>2차 보류</x:v>
      </x:c>
      <x:c r="C943" s="2" t="str">
        <x:v>2차 보류</x:v>
      </x:c>
      <x:c r="D943" s="2" t="str">
        <x:v>낮음</x:v>
      </x:c>
      <x:c r="E943" s="2" t="str">
        <x:v>N1</x:v>
      </x:c>
      <x:c r="F943" s="10" t="n">
        <x:v>417</x:v>
      </x:c>
      <x:c r="G943" s="2" t="str">
        <x:v>w_b9e6057728c37188</x:v>
      </x:c>
      <x:c r="H943" s="2" t="str">
        <x:v>きちっと</x:v>
      </x:c>
      <x:c r="I943" s="2" t="str">
        <x:v>きちっと</x:v>
      </x:c>
      <x:c r="J943" s="8" t="str">
        <x:v>정확히, 완전히</x:v>
      </x:c>
      <x:c r="K943" s="2" t="str">
        <x:v>adverb</x:v>
      </x:c>
      <x:c r="L943" s="9" t="n">
        <x:v>2.62</x:v>
      </x:c>
      <x:c r="M943" s="2" t="str">
        <x:v>없음</x:v>
      </x:c>
      <x:c r="N943" s="11" t="n">
        <x:v>-2</x:v>
      </x:c>
      <x:c r="O943" s="8" t="str">
        <x:v>일반 사용 빈도 낮은 편(Zipf ≤ 3.0); 검증된 예문 없음; 기존 데이터의 한국어 콘텐츠 보강 필요 태그</x:v>
      </x:c>
      <x:c r="P943" s="8" t="str">
        <x:v>frequency_le_3_0,no_example,weak_legacy_content</x:v>
      </x:c>
      <x:c r="Q943" s="2" t="str"/>
      <x:c r="R943" s="2" t="str"/>
      <x:c r="S943" s="2" t="str"/>
      <x:c r="T943" s="2" t="str"/>
      <x:c r="U943" s="2" t="str"/>
      <x:c r="V943" s="2" t="str">
        <x:v>아니오</x:v>
      </x:c>
      <x:c r="W943" s="2" t="str">
        <x:v>예</x:v>
      </x:c>
      <x:c r="X943" s="2" t="str">
        <x:v>spec1</x:v>
      </x:c>
      <x:c r="Y943" s="2" t="n">
        <x:v>100</x:v>
      </x:c>
      <x:c r="Z943" s="2" t="str">
        <x:v>spec1</x:v>
      </x:c>
      <x:c r="AA943" s="2" t="n">
        <x:v>100</x:v>
      </x:c>
      <x:c r="AB943" s="8" t="str">
        <x:v>onomatopoeic or mimetic word</x:v>
      </x:c>
      <x:c r="AC943" s="8" t="str"/>
      <x:c r="AD943" s="8" t="str">
        <x:v>["draft-ko-missing"]</x:v>
      </x:c>
      <x:c r="AE943" s="8" t="str">
        <x:v>검토 필요</x:v>
      </x:c>
      <x:c r="AF943" s="8" t="str"/>
    </x:row>
    <x:row r="944">
      <x:c r="A944" s="10" t="n">
        <x:v>943</x:v>
      </x:c>
      <x:c r="B944" s="2" t="str">
        <x:v>2차 보류</x:v>
      </x:c>
      <x:c r="C944" s="2" t="str">
        <x:v>2차 보류</x:v>
      </x:c>
      <x:c r="D944" s="2" t="str">
        <x:v>낮음</x:v>
      </x:c>
      <x:c r="E944" s="2" t="str">
        <x:v>N1</x:v>
      </x:c>
      <x:c r="F944" s="10" t="n">
        <x:v>418</x:v>
      </x:c>
      <x:c r="G944" s="2" t="str">
        <x:v>w_dac196fe2469a2e6</x:v>
      </x:c>
      <x:c r="H944" s="2" t="str">
        <x:v>仕組</x:v>
      </x:c>
      <x:c r="I944" s="2" t="str">
        <x:v>しくみ</x:v>
      </x:c>
      <x:c r="J944" s="8" t="str">
        <x:v>구조</x:v>
      </x:c>
      <x:c r="K944" s="2" t="str">
        <x:v>noun</x:v>
      </x:c>
      <x:c r="L944" s="9" t="n">
        <x:v>2.62</x:v>
      </x:c>
      <x:c r="M944" s="2" t="str">
        <x:v>없음</x:v>
      </x:c>
      <x:c r="N944" s="11" t="n">
        <x:v>-2</x:v>
      </x:c>
      <x:c r="O944" s="8" t="str">
        <x:v>일반 사용 빈도 낮은 편(Zipf ≤ 3.0); 검증된 예문 없음; 기존 데이터의 한국어 콘텐츠 보강 필요 태그</x:v>
      </x:c>
      <x:c r="P944" s="8" t="str">
        <x:v>frequency_le_3_0,no_example,weak_legacy_content</x:v>
      </x:c>
      <x:c r="Q944" s="2" t="str"/>
      <x:c r="R944" s="2" t="str"/>
      <x:c r="S944" s="2" t="str"/>
      <x:c r="T944" s="2" t="str"/>
      <x:c r="U944" s="2" t="str"/>
      <x:c r="V944" s="2" t="str">
        <x:v>아니오</x:v>
      </x:c>
      <x:c r="W944" s="2" t="str">
        <x:v>예</x:v>
      </x:c>
      <x:c r="X944" s="2" t="str">
        <x:v>ichi1,news1,nf03</x:v>
      </x:c>
      <x:c r="Y944" s="2" t="n">
        <x:v>100</x:v>
      </x:c>
      <x:c r="Z944" s="2" t="str"/>
      <x:c r="AA944" s="2" t="n">
        <x:v>0</x:v>
      </x:c>
      <x:c r="AB944" s="8" t="str"/>
      <x:c r="AC944" s="8" t="str"/>
      <x:c r="AD944" s="8" t="str">
        <x:v>["draft-ko-missing"]</x:v>
      </x:c>
      <x:c r="AE944" s="8" t="str">
        <x:v>검토 필요</x:v>
      </x:c>
      <x:c r="AF944" s="8" t="str"/>
    </x:row>
    <x:row r="945">
      <x:c r="A945" s="10" t="n">
        <x:v>944</x:v>
      </x:c>
      <x:c r="B945" s="2" t="str">
        <x:v>2차 보류</x:v>
      </x:c>
      <x:c r="C945" s="2" t="str">
        <x:v>2차 보류</x:v>
      </x:c>
      <x:c r="D945" s="2" t="str">
        <x:v>낮음</x:v>
      </x:c>
      <x:c r="E945" s="2" t="str">
        <x:v>N3</x:v>
      </x:c>
      <x:c r="F945" s="10" t="n">
        <x:v>112</x:v>
      </x:c>
      <x:c r="G945" s="2" t="str">
        <x:v>w_d4ac61fa88785484</x:v>
      </x:c>
      <x:c r="H945" s="2" t="str">
        <x:v>思い付く</x:v>
      </x:c>
      <x:c r="I945" s="2" t="str">
        <x:v>おもいつく</x:v>
      </x:c>
      <x:c r="J945" s="8" t="str">
        <x:v>(문득) 생각해 내다, 떠오르다</x:v>
      </x:c>
      <x:c r="K945" s="2" t="str">
        <x:v>verb</x:v>
      </x:c>
      <x:c r="L945" s="9" t="n">
        <x:v>2.63</x:v>
      </x:c>
      <x:c r="M945" s="2" t="str">
        <x:v>없음</x:v>
      </x:c>
      <x:c r="N945" s="11" t="n">
        <x:v>-2</x:v>
      </x:c>
      <x:c r="O945" s="8" t="str">
        <x:v>일반 사용 빈도 낮은 편(Zipf ≤ 3.0); 검증된 예문 없음; 기존 데이터의 한국어 콘텐츠 보강 필요 태그</x:v>
      </x:c>
      <x:c r="P945" s="8" t="str">
        <x:v>frequency_le_3_0,no_example,weak_legacy_content</x:v>
      </x:c>
      <x:c r="Q945" s="2" t="str"/>
      <x:c r="R945" s="2" t="str"/>
      <x:c r="S945" s="2" t="str"/>
      <x:c r="T945" s="2" t="str"/>
      <x:c r="U945" s="2" t="str"/>
      <x:c r="V945" s="2" t="str">
        <x:v>아니오</x:v>
      </x:c>
      <x:c r="W945" s="2" t="str">
        <x:v>예</x:v>
      </x:c>
      <x:c r="X945" s="2" t="str">
        <x:v>ichi1,news2,nf41</x:v>
      </x:c>
      <x:c r="Y945" s="2" t="n">
        <x:v>100</x:v>
      </x:c>
      <x:c r="Z945" s="2" t="str">
        <x:v>ichi1</x:v>
      </x:c>
      <x:c r="AA945" s="2" t="n">
        <x:v>100</x:v>
      </x:c>
      <x:c r="AB945" s="8" t="str"/>
      <x:c r="AC945" s="8" t="str"/>
      <x:c r="AD945" s="8" t="str">
        <x:v>["draft-ko-missing"]</x:v>
      </x:c>
      <x:c r="AE945" s="8" t="str">
        <x:v>검토 필요</x:v>
      </x:c>
      <x:c r="AF945" s="8" t="str"/>
    </x:row>
    <x:row r="946">
      <x:c r="A946" s="10" t="n">
        <x:v>945</x:v>
      </x:c>
      <x:c r="B946" s="2" t="str">
        <x:v>2차 보류</x:v>
      </x:c>
      <x:c r="C946" s="2" t="str">
        <x:v>2차 보류</x:v>
      </x:c>
      <x:c r="D946" s="2" t="str">
        <x:v>낮음</x:v>
      </x:c>
      <x:c r="E946" s="2" t="str">
        <x:v>N1</x:v>
      </x:c>
      <x:c r="F946" s="10" t="n">
        <x:v>419</x:v>
      </x:c>
      <x:c r="G946" s="2" t="str">
        <x:v>w_713d3830400d336b</x:v>
      </x:c>
      <x:c r="H946" s="2" t="str">
        <x:v>見せびらかす</x:v>
      </x:c>
      <x:c r="I946" s="2" t="str">
        <x:v>みせびらかす</x:v>
      </x:c>
      <x:c r="J946" s="8" t="str">
        <x:v>과시하다, 뽐내다</x:v>
      </x:c>
      <x:c r="K946" s="2" t="str">
        <x:v>verb</x:v>
      </x:c>
      <x:c r="L946" s="9" t="n">
        <x:v>2.63</x:v>
      </x:c>
      <x:c r="M946" s="2" t="str">
        <x:v>없음</x:v>
      </x:c>
      <x:c r="N946" s="11" t="n">
        <x:v>-2</x:v>
      </x:c>
      <x:c r="O946" s="8" t="str">
        <x:v>일반 사용 빈도 낮은 편(Zipf ≤ 3.0); 검증된 예문 없음; 기존 데이터의 한국어 콘텐츠 보강 필요 태그</x:v>
      </x:c>
      <x:c r="P946" s="8" t="str">
        <x:v>frequency_le_3_0,no_example,weak_legacy_content</x:v>
      </x:c>
      <x:c r="Q946" s="2" t="str"/>
      <x:c r="R946" s="2" t="str"/>
      <x:c r="S946" s="2" t="str"/>
      <x:c r="T946" s="2" t="str"/>
      <x:c r="U946" s="2" t="str"/>
      <x:c r="V946" s="2" t="str">
        <x:v>아니오</x:v>
      </x:c>
      <x:c r="W946" s="2" t="str">
        <x:v>예</x:v>
      </x:c>
      <x:c r="X946" s="2" t="str">
        <x:v>ichi1,news2,nf35</x:v>
      </x:c>
      <x:c r="Y946" s="2" t="n">
        <x:v>100</x:v>
      </x:c>
      <x:c r="Z946" s="2" t="str">
        <x:v>ichi1,news2,nf35</x:v>
      </x:c>
      <x:c r="AA946" s="2" t="n">
        <x:v>100</x:v>
      </x:c>
      <x:c r="AB946" s="8" t="str"/>
      <x:c r="AC946" s="8" t="str"/>
      <x:c r="AD946" s="8" t="str">
        <x:v>["draft-ko-missing"]</x:v>
      </x:c>
      <x:c r="AE946" s="8" t="str">
        <x:v>검토 필요</x:v>
      </x:c>
      <x:c r="AF946" s="8" t="str"/>
    </x:row>
    <x:row r="947">
      <x:c r="A947" s="10" t="n">
        <x:v>946</x:v>
      </x:c>
      <x:c r="B947" s="2" t="str">
        <x:v>2차 보류</x:v>
      </x:c>
      <x:c r="C947" s="2" t="str">
        <x:v>2차 보류</x:v>
      </x:c>
      <x:c r="D947" s="2" t="str">
        <x:v>낮음</x:v>
      </x:c>
      <x:c r="E947" s="2" t="str">
        <x:v>N1</x:v>
      </x:c>
      <x:c r="F947" s="10" t="n">
        <x:v>420</x:v>
      </x:c>
      <x:c r="G947" s="2" t="str">
        <x:v>w_f995457ae8b962c8</x:v>
      </x:c>
      <x:c r="H947" s="2" t="str">
        <x:v>がっしり</x:v>
      </x:c>
      <x:c r="I947" s="2" t="str">
        <x:v>がっしり</x:v>
      </x:c>
      <x:c r="J947" s="8" t="str">
        <x:v>단단히, 확실히, 힘든, 튼튼한</x:v>
      </x:c>
      <x:c r="K947" s="2" t="str">
        <x:v>adverb</x:v>
      </x:c>
      <x:c r="L947" s="9" t="n">
        <x:v>2.63</x:v>
      </x:c>
      <x:c r="M947" s="2" t="str">
        <x:v>없음</x:v>
      </x:c>
      <x:c r="N947" s="11" t="n">
        <x:v>-2</x:v>
      </x:c>
      <x:c r="O947" s="8" t="str">
        <x:v>일반 사용 빈도 낮은 편(Zipf ≤ 3.0); 검증된 예문 없음; 기존 데이터의 한국어 콘텐츠 보강 필요 태그</x:v>
      </x:c>
      <x:c r="P947" s="8" t="str">
        <x:v>frequency_le_3_0,no_example,weak_legacy_content</x:v>
      </x:c>
      <x:c r="Q947" s="2" t="str"/>
      <x:c r="R947" s="2" t="str"/>
      <x:c r="S947" s="2" t="str"/>
      <x:c r="T947" s="2" t="str"/>
      <x:c r="U947" s="2" t="str"/>
      <x:c r="V947" s="2" t="str">
        <x:v>아니오</x:v>
      </x:c>
      <x:c r="W947" s="2" t="str">
        <x:v>예</x:v>
      </x:c>
      <x:c r="X947" s="2" t="str">
        <x:v>ichi1</x:v>
      </x:c>
      <x:c r="Y947" s="2" t="n">
        <x:v>100</x:v>
      </x:c>
      <x:c r="Z947" s="2" t="str">
        <x:v>ichi1</x:v>
      </x:c>
      <x:c r="AA947" s="2" t="n">
        <x:v>100</x:v>
      </x:c>
      <x:c r="AB947" s="8" t="str">
        <x:v>onomatopoeic or mimetic word</x:v>
      </x:c>
      <x:c r="AC947" s="8" t="str"/>
      <x:c r="AD947" s="8" t="str">
        <x:v>["draft-ko-missing"]</x:v>
      </x:c>
      <x:c r="AE947" s="8" t="str">
        <x:v>검토 필요</x:v>
      </x:c>
      <x:c r="AF947" s="8" t="str"/>
    </x:row>
    <x:row r="948">
      <x:c r="A948" s="10" t="n">
        <x:v>947</x:v>
      </x:c>
      <x:c r="B948" s="2" t="str">
        <x:v>2차 보류</x:v>
      </x:c>
      <x:c r="C948" s="2" t="str">
        <x:v>2차 보류</x:v>
      </x:c>
      <x:c r="D948" s="2" t="str">
        <x:v>낮음</x:v>
      </x:c>
      <x:c r="E948" s="2" t="str">
        <x:v>N2</x:v>
      </x:c>
      <x:c r="F948" s="10" t="n">
        <x:v>332</x:v>
      </x:c>
      <x:c r="G948" s="2" t="str">
        <x:v>w_bb46313b17c5004b</x:v>
      </x:c>
      <x:c r="H948" s="2" t="str">
        <x:v>雨戸</x:v>
      </x:c>
      <x:c r="I948" s="2" t="str">
        <x:v>あまど</x:v>
      </x:c>
      <x:c r="J948" s="8" t="str">
        <x:v>덧문</x:v>
      </x:c>
      <x:c r="K948" s="2" t="str">
        <x:v>noun</x:v>
      </x:c>
      <x:c r="L948" s="9" t="n">
        <x:v>2.64</x:v>
      </x:c>
      <x:c r="M948" s="2" t="str">
        <x:v>없음</x:v>
      </x:c>
      <x:c r="N948" s="11" t="n">
        <x:v>-2</x:v>
      </x:c>
      <x:c r="O948" s="8" t="str">
        <x:v>일반 사용 빈도 낮은 편(Zipf ≤ 3.0); 검증된 예문 없음; 기존 데이터의 한국어 콘텐츠 보강 필요 태그</x:v>
      </x:c>
      <x:c r="P948" s="8" t="str">
        <x:v>frequency_le_3_0,no_example,weak_legacy_content</x:v>
      </x:c>
      <x:c r="Q948" s="2" t="str"/>
      <x:c r="R948" s="2" t="str"/>
      <x:c r="S948" s="2" t="str"/>
      <x:c r="T948" s="2" t="str"/>
      <x:c r="U948" s="2" t="str"/>
      <x:c r="V948" s="2" t="str">
        <x:v>아니오</x:v>
      </x:c>
      <x:c r="W948" s="2" t="str">
        <x:v>예</x:v>
      </x:c>
      <x:c r="X948" s="2" t="str">
        <x:v>ichi1,news2,nf35</x:v>
      </x:c>
      <x:c r="Y948" s="2" t="n">
        <x:v>100</x:v>
      </x:c>
      <x:c r="Z948" s="2" t="str">
        <x:v>ichi1,news2,nf35</x:v>
      </x:c>
      <x:c r="AA948" s="2" t="n">
        <x:v>100</x:v>
      </x:c>
      <x:c r="AB948" s="8" t="str"/>
      <x:c r="AC948" s="8" t="str"/>
      <x:c r="AD948" s="8" t="str">
        <x:v>["draft-ko-missing"]</x:v>
      </x:c>
      <x:c r="AE948" s="8" t="str">
        <x:v>검토 필요</x:v>
      </x:c>
      <x:c r="AF948" s="8" t="str"/>
    </x:row>
    <x:row r="949">
      <x:c r="A949" s="10" t="n">
        <x:v>948</x:v>
      </x:c>
      <x:c r="B949" s="2" t="str">
        <x:v>2차 보류</x:v>
      </x:c>
      <x:c r="C949" s="2" t="str">
        <x:v>2차 보류</x:v>
      </x:c>
      <x:c r="D949" s="2" t="str">
        <x:v>낮음</x:v>
      </x:c>
      <x:c r="E949" s="2" t="str">
        <x:v>N3</x:v>
      </x:c>
      <x:c r="F949" s="10" t="n">
        <x:v>113</x:v>
      </x:c>
      <x:c r="G949" s="2" t="str">
        <x:v>w_3a32b21fd16681e2</x:v>
      </x:c>
      <x:c r="H949" s="2" t="str">
        <x:v>診る</x:v>
      </x:c>
      <x:c r="I949" s="2" t="str">
        <x:v>みる</x:v>
      </x:c>
      <x:c r="J949" s="8" t="str">
        <x:v>진찰하다, 진료하다</x:v>
      </x:c>
      <x:c r="K949" s="2" t="str">
        <x:v>verb</x:v>
      </x:c>
      <x:c r="L949" s="9" t="n">
        <x:v>2.66</x:v>
      </x:c>
      <x:c r="M949" s="2" t="str">
        <x:v>없음</x:v>
      </x:c>
      <x:c r="N949" s="11" t="n">
        <x:v>-2</x:v>
      </x:c>
      <x:c r="O949" s="8" t="str">
        <x:v>일반 사용 빈도 낮은 편(Zipf ≤ 3.0); 검증된 예문 없음; 기존 데이터의 한국어 콘텐츠 보강 필요 태그</x:v>
      </x:c>
      <x:c r="P949" s="8" t="str">
        <x:v>frequency_le_3_0,no_example,weak_legacy_content</x:v>
      </x:c>
      <x:c r="Q949" s="2" t="str"/>
      <x:c r="R949" s="2" t="str"/>
      <x:c r="S949" s="2" t="str"/>
      <x:c r="T949" s="2" t="str"/>
      <x:c r="U949" s="2" t="str"/>
      <x:c r="V949" s="2" t="str">
        <x:v>아니오</x:v>
      </x:c>
      <x:c r="W949" s="2" t="str">
        <x:v>예</x:v>
      </x:c>
      <x:c r="X949" s="2" t="str">
        <x:v>ichi1,news1,nf23</x:v>
      </x:c>
      <x:c r="Y949" s="2" t="n">
        <x:v>100</x:v>
      </x:c>
      <x:c r="Z949" s="2" t="str">
        <x:v>ichi1,news1,nf23</x:v>
      </x:c>
      <x:c r="AA949" s="2" t="n">
        <x:v>100</x:v>
      </x:c>
      <x:c r="AB949" s="8" t="str"/>
      <x:c r="AC949" s="8" t="str"/>
      <x:c r="AD949" s="8" t="str">
        <x:v>["draft-ko-missing"]</x:v>
      </x:c>
      <x:c r="AE949" s="8" t="str">
        <x:v>검토 필요</x:v>
      </x:c>
      <x:c r="AF949" s="8" t="str"/>
    </x:row>
    <x:row r="950">
      <x:c r="A950" s="10" t="n">
        <x:v>949</x:v>
      </x:c>
      <x:c r="B950" s="2" t="str">
        <x:v>2차 보류</x:v>
      </x:c>
      <x:c r="C950" s="2" t="str">
        <x:v>2차 보류</x:v>
      </x:c>
      <x:c r="D950" s="2" t="str">
        <x:v>낮음</x:v>
      </x:c>
      <x:c r="E950" s="2" t="str">
        <x:v>N2</x:v>
      </x:c>
      <x:c r="F950" s="10" t="n">
        <x:v>333</x:v>
      </x:c>
      <x:c r="G950" s="2" t="str">
        <x:v>w_4b4a110c5f535581</x:v>
      </x:c>
      <x:c r="H950" s="2" t="str">
        <x:v>捕る</x:v>
      </x:c>
      <x:c r="I950" s="2" t="str">
        <x:v>とる</x:v>
      </x:c>
      <x:c r="J950" s="8" t="str">
        <x:v>가지다, 잡다, 잡다(물고기)</x:v>
      </x:c>
      <x:c r="K950" s="2" t="str">
        <x:v>verb</x:v>
      </x:c>
      <x:c r="L950" s="9" t="n">
        <x:v>2.66</x:v>
      </x:c>
      <x:c r="M950" s="2" t="str">
        <x:v>없음</x:v>
      </x:c>
      <x:c r="N950" s="11" t="n">
        <x:v>-2</x:v>
      </x:c>
      <x:c r="O950" s="8" t="str">
        <x:v>일반 사용 빈도 낮은 편(Zipf ≤ 3.0); 검증된 예문 없음; 기존 데이터의 한국어 콘텐츠 보강 필요 태그</x:v>
      </x:c>
      <x:c r="P950" s="8" t="str">
        <x:v>frequency_le_3_0,no_example,weak_legacy_content</x:v>
      </x:c>
      <x:c r="Q950" s="2" t="str"/>
      <x:c r="R950" s="2" t="str"/>
      <x:c r="S950" s="2" t="str"/>
      <x:c r="T950" s="2" t="str"/>
      <x:c r="U950" s="2" t="str"/>
      <x:c r="V950" s="2" t="str">
        <x:v>아니오</x:v>
      </x:c>
      <x:c r="W950" s="2" t="str">
        <x:v>예</x:v>
      </x:c>
      <x:c r="X950" s="2" t="str">
        <x:v>ichi1,news2,nf26</x:v>
      </x:c>
      <x:c r="Y950" s="2" t="n">
        <x:v>100</x:v>
      </x:c>
      <x:c r="Z950" s="2" t="str">
        <x:v>ichi1,news2,nf26</x:v>
      </x:c>
      <x:c r="AA950" s="2" t="n">
        <x:v>100</x:v>
      </x:c>
      <x:c r="AB950" s="8" t="str"/>
      <x:c r="AC950" s="8" t="str"/>
      <x:c r="AD950" s="8" t="str">
        <x:v>["draft-ko-missing"]</x:v>
      </x:c>
      <x:c r="AE950" s="8" t="str">
        <x:v>검토 필요</x:v>
      </x:c>
      <x:c r="AF950" s="8" t="str"/>
    </x:row>
    <x:row r="951">
      <x:c r="A951" s="10" t="n">
        <x:v>950</x:v>
      </x:c>
      <x:c r="B951" s="2" t="str">
        <x:v>2차 보류</x:v>
      </x:c>
      <x:c r="C951" s="2" t="str">
        <x:v>2차 보류</x:v>
      </x:c>
      <x:c r="D951" s="2" t="str">
        <x:v>낮음</x:v>
      </x:c>
      <x:c r="E951" s="2" t="str">
        <x:v>N1</x:v>
      </x:c>
      <x:c r="F951" s="10" t="n">
        <x:v>421</x:v>
      </x:c>
      <x:c r="G951" s="2" t="str">
        <x:v>w_7004b2b3d3f2f0f9</x:v>
      </x:c>
      <x:c r="H951" s="2" t="str">
        <x:v>同級</x:v>
      </x:c>
      <x:c r="I951" s="2" t="str">
        <x:v>どうきゅう</x:v>
      </x:c>
      <x:c r="J951" s="8" t="str">
        <x:v>동급</x:v>
      </x:c>
      <x:c r="K951" s="2" t="str">
        <x:v>noun</x:v>
      </x:c>
      <x:c r="L951" s="9" t="n">
        <x:v>2.66</x:v>
      </x:c>
      <x:c r="M951" s="2" t="str">
        <x:v>없음</x:v>
      </x:c>
      <x:c r="N951" s="11" t="n">
        <x:v>-2</x:v>
      </x:c>
      <x:c r="O951" s="8" t="str">
        <x:v>일반 사용 빈도 낮은 편(Zipf ≤ 3.0); 검증된 예문 없음; 기존 데이터의 한국어 콘텐츠 보강 필요 태그</x:v>
      </x:c>
      <x:c r="P951" s="8" t="str">
        <x:v>frequency_le_3_0,no_example,weak_legacy_content</x:v>
      </x:c>
      <x:c r="Q951" s="2" t="str"/>
      <x:c r="R951" s="2" t="str"/>
      <x:c r="S951" s="2" t="str"/>
      <x:c r="T951" s="2" t="str"/>
      <x:c r="U951" s="2" t="str"/>
      <x:c r="V951" s="2" t="str">
        <x:v>아니오</x:v>
      </x:c>
      <x:c r="W951" s="2" t="str">
        <x:v>예</x:v>
      </x:c>
      <x:c r="X951" s="2" t="str">
        <x:v>news1,nf15</x:v>
      </x:c>
      <x:c r="Y951" s="2" t="n">
        <x:v>100</x:v>
      </x:c>
      <x:c r="Z951" s="2" t="str">
        <x:v>news1,nf15</x:v>
      </x:c>
      <x:c r="AA951" s="2" t="n">
        <x:v>100</x:v>
      </x:c>
      <x:c r="AB951" s="8" t="str"/>
      <x:c r="AC951" s="8" t="str"/>
      <x:c r="AD951" s="8" t="str">
        <x:v>["draft-ko-missing"]</x:v>
      </x:c>
      <x:c r="AE951" s="8" t="str">
        <x:v>검토 필요</x:v>
      </x:c>
      <x:c r="AF951" s="8" t="str"/>
    </x:row>
    <x:row r="952">
      <x:c r="A952" s="10" t="n">
        <x:v>951</x:v>
      </x:c>
      <x:c r="B952" s="2" t="str">
        <x:v>2차 보류</x:v>
      </x:c>
      <x:c r="C952" s="2" t="str">
        <x:v>2차 보류</x:v>
      </x:c>
      <x:c r="D952" s="2" t="str">
        <x:v>낮음</x:v>
      </x:c>
      <x:c r="E952" s="2" t="str">
        <x:v>N2</x:v>
      </x:c>
      <x:c r="F952" s="10" t="n">
        <x:v>334</x:v>
      </x:c>
      <x:c r="G952" s="2" t="str">
        <x:v>w_0ad13c94c1b3dbe4</x:v>
      </x:c>
      <x:c r="H952" s="2" t="str">
        <x:v>応接</x:v>
      </x:c>
      <x:c r="I952" s="2" t="str">
        <x:v>おうせつ</x:v>
      </x:c>
      <x:c r="J952" s="8" t="str">
        <x:v>접수, 환영</x:v>
      </x:c>
      <x:c r="K952" s="2" t="str">
        <x:v>noun</x:v>
      </x:c>
      <x:c r="L952" s="9" t="n">
        <x:v>2.67</x:v>
      </x:c>
      <x:c r="M952" s="2" t="str">
        <x:v>없음</x:v>
      </x:c>
      <x:c r="N952" s="11" t="n">
        <x:v>-2</x:v>
      </x:c>
      <x:c r="O952" s="8" t="str">
        <x:v>일반 사용 빈도 낮은 편(Zipf ≤ 3.0); 검증된 예문 없음; 기존 데이터의 한국어 콘텐츠 보강 필요 태그</x:v>
      </x:c>
      <x:c r="P952" s="8" t="str">
        <x:v>frequency_le_3_0,no_example,weak_legacy_content</x:v>
      </x:c>
      <x:c r="Q952" s="2" t="str"/>
      <x:c r="R952" s="2" t="str"/>
      <x:c r="S952" s="2" t="str"/>
      <x:c r="T952" s="2" t="str"/>
      <x:c r="U952" s="2" t="str"/>
      <x:c r="V952" s="2" t="str">
        <x:v>아니오</x:v>
      </x:c>
      <x:c r="W952" s="2" t="str">
        <x:v>예</x:v>
      </x:c>
      <x:c r="X952" s="2" t="str">
        <x:v>ichi1,news1,nf14</x:v>
      </x:c>
      <x:c r="Y952" s="2" t="n">
        <x:v>100</x:v>
      </x:c>
      <x:c r="Z952" s="2" t="str">
        <x:v>ichi1,news1,nf14</x:v>
      </x:c>
      <x:c r="AA952" s="2" t="n">
        <x:v>100</x:v>
      </x:c>
      <x:c r="AB952" s="8" t="str"/>
      <x:c r="AC952" s="8" t="str"/>
      <x:c r="AD952" s="8" t="str">
        <x:v>["draft-ko-missing"]</x:v>
      </x:c>
      <x:c r="AE952" s="8" t="str">
        <x:v>검토 필요</x:v>
      </x:c>
      <x:c r="AF952" s="8" t="str"/>
    </x:row>
    <x:row r="953">
      <x:c r="A953" s="10" t="n">
        <x:v>952</x:v>
      </x:c>
      <x:c r="B953" s="2" t="str">
        <x:v>2차 보류</x:v>
      </x:c>
      <x:c r="C953" s="2" t="str">
        <x:v>2차 보류</x:v>
      </x:c>
      <x:c r="D953" s="2" t="str">
        <x:v>낮음</x:v>
      </x:c>
      <x:c r="E953" s="2" t="str">
        <x:v>N2</x:v>
      </x:c>
      <x:c r="F953" s="10" t="n">
        <x:v>335</x:v>
      </x:c>
      <x:c r="G953" s="2" t="str">
        <x:v>w_a3f5e6e7275bce2f</x:v>
      </x:c>
      <x:c r="H953" s="2" t="str">
        <x:v>朗らか</x:v>
      </x:c>
      <x:c r="I953" s="2" t="str">
        <x:v>ほがらか</x:v>
      </x:c>
      <x:c r="J953" s="8" t="str">
        <x:v>밝은, 명랑한</x:v>
      </x:c>
      <x:c r="K953" s="2" t="str">
        <x:v>adjective</x:v>
      </x:c>
      <x:c r="L953" s="9" t="n">
        <x:v>2.67</x:v>
      </x:c>
      <x:c r="M953" s="2" t="str">
        <x:v>없음</x:v>
      </x:c>
      <x:c r="N953" s="11" t="n">
        <x:v>-2</x:v>
      </x:c>
      <x:c r="O953" s="8" t="str">
        <x:v>일반 사용 빈도 낮은 편(Zipf ≤ 3.0); 검증된 예문 없음; 기존 데이터의 한국어 콘텐츠 보강 필요 태그</x:v>
      </x:c>
      <x:c r="P953" s="8" t="str">
        <x:v>frequency_le_3_0,no_example,weak_legacy_content</x:v>
      </x:c>
      <x:c r="Q953" s="2" t="str"/>
      <x:c r="R953" s="2" t="str"/>
      <x:c r="S953" s="2" t="str"/>
      <x:c r="T953" s="2" t="str"/>
      <x:c r="U953" s="2" t="str"/>
      <x:c r="V953" s="2" t="str">
        <x:v>아니오</x:v>
      </x:c>
      <x:c r="W953" s="2" t="str">
        <x:v>예</x:v>
      </x:c>
      <x:c r="X953" s="2" t="str">
        <x:v>ichi1</x:v>
      </x:c>
      <x:c r="Y953" s="2" t="n">
        <x:v>100</x:v>
      </x:c>
      <x:c r="Z953" s="2" t="str">
        <x:v>ichi1</x:v>
      </x:c>
      <x:c r="AA953" s="2" t="n">
        <x:v>100</x:v>
      </x:c>
      <x:c r="AB953" s="8" t="str"/>
      <x:c r="AC953" s="8" t="str"/>
      <x:c r="AD953" s="8" t="str">
        <x:v>["draft-ko-missing"]</x:v>
      </x:c>
      <x:c r="AE953" s="8" t="str">
        <x:v>검토 필요</x:v>
      </x:c>
      <x:c r="AF953" s="8" t="str"/>
    </x:row>
    <x:row r="954">
      <x:c r="A954" s="10" t="n">
        <x:v>953</x:v>
      </x:c>
      <x:c r="B954" s="2" t="str">
        <x:v>2차 보류</x:v>
      </x:c>
      <x:c r="C954" s="2" t="str">
        <x:v>2차 보류</x:v>
      </x:c>
      <x:c r="D954" s="2" t="str">
        <x:v>낮음</x:v>
      </x:c>
      <x:c r="E954" s="2" t="str">
        <x:v>N2</x:v>
      </x:c>
      <x:c r="F954" s="10" t="n">
        <x:v>336</x:v>
      </x:c>
      <x:c r="G954" s="2" t="str">
        <x:v>w_b8b84241de34022f</x:v>
      </x:c>
      <x:c r="H954" s="2" t="str">
        <x:v>肌着</x:v>
      </x:c>
      <x:c r="I954" s="2" t="str">
        <x:v>はだぎ</x:v>
      </x:c>
      <x:c r="J954" s="8" t="str">
        <x:v>속옷</x:v>
      </x:c>
      <x:c r="K954" s="2" t="str">
        <x:v>noun</x:v>
      </x:c>
      <x:c r="L954" s="9" t="n">
        <x:v>2.68</x:v>
      </x:c>
      <x:c r="M954" s="2" t="str">
        <x:v>없음</x:v>
      </x:c>
      <x:c r="N954" s="11" t="n">
        <x:v>-2</x:v>
      </x:c>
      <x:c r="O954" s="8" t="str">
        <x:v>일반 사용 빈도 낮은 편(Zipf ≤ 3.0); 검증된 예문 없음; 기존 데이터의 한국어 콘텐츠 보강 필요 태그</x:v>
      </x:c>
      <x:c r="P954" s="8" t="str">
        <x:v>frequency_le_3_0,no_example,weak_legacy_content</x:v>
      </x:c>
      <x:c r="Q954" s="2" t="str"/>
      <x:c r="R954" s="2" t="str"/>
      <x:c r="S954" s="2" t="str"/>
      <x:c r="T954" s="2" t="str"/>
      <x:c r="U954" s="2" t="str"/>
      <x:c r="V954" s="2" t="str">
        <x:v>아니오</x:v>
      </x:c>
      <x:c r="W954" s="2" t="str">
        <x:v>예</x:v>
      </x:c>
      <x:c r="X954" s="2" t="str">
        <x:v>ichi1,news2,nf33</x:v>
      </x:c>
      <x:c r="Y954" s="2" t="n">
        <x:v>100</x:v>
      </x:c>
      <x:c r="Z954" s="2" t="str">
        <x:v>ichi1,news2,nf33</x:v>
      </x:c>
      <x:c r="AA954" s="2" t="n">
        <x:v>100</x:v>
      </x:c>
      <x:c r="AB954" s="8" t="str"/>
      <x:c r="AC954" s="8" t="str"/>
      <x:c r="AD954" s="8" t="str">
        <x:v>["draft-ko-missing"]</x:v>
      </x:c>
      <x:c r="AE954" s="8" t="str">
        <x:v>검토 필요</x:v>
      </x:c>
      <x:c r="AF954" s="8" t="str"/>
    </x:row>
    <x:row r="955">
      <x:c r="A955" s="10" t="n">
        <x:v>954</x:v>
      </x:c>
      <x:c r="B955" s="2" t="str">
        <x:v>2차 보류</x:v>
      </x:c>
      <x:c r="C955" s="2" t="str">
        <x:v>2차 보류</x:v>
      </x:c>
      <x:c r="D955" s="2" t="str">
        <x:v>낮음</x:v>
      </x:c>
      <x:c r="E955" s="2" t="str">
        <x:v>N2</x:v>
      </x:c>
      <x:c r="F955" s="10" t="n">
        <x:v>337</x:v>
      </x:c>
      <x:c r="G955" s="2" t="str">
        <x:v>w_41aca0c015c1811d</x:v>
      </x:c>
      <x:c r="H955" s="2" t="str">
        <x:v>青白い</x:v>
      </x:c>
      <x:c r="I955" s="2" t="str">
        <x:v>あおじろい</x:v>
      </x:c>
      <x:c r="J955" s="8" t="str">
        <x:v>창백한, 옅은</x:v>
      </x:c>
      <x:c r="K955" s="2" t="str">
        <x:v>adjective</x:v>
      </x:c>
      <x:c r="L955" s="9" t="n">
        <x:v>2.69</x:v>
      </x:c>
      <x:c r="M955" s="2" t="str">
        <x:v>없음</x:v>
      </x:c>
      <x:c r="N955" s="11" t="n">
        <x:v>-2</x:v>
      </x:c>
      <x:c r="O955" s="8" t="str">
        <x:v>일반 사용 빈도 낮은 편(Zipf ≤ 3.0); 검증된 예문 없음; 기존 데이터의 한국어 콘텐츠 보강 필요 태그</x:v>
      </x:c>
      <x:c r="P955" s="8" t="str">
        <x:v>frequency_le_3_0,no_example,weak_legacy_content</x:v>
      </x:c>
      <x:c r="Q955" s="2" t="str"/>
      <x:c r="R955" s="2" t="str"/>
      <x:c r="S955" s="2" t="str"/>
      <x:c r="T955" s="2" t="str"/>
      <x:c r="U955" s="2" t="str"/>
      <x:c r="V955" s="2" t="str">
        <x:v>아니오</x:v>
      </x:c>
      <x:c r="W955" s="2" t="str">
        <x:v>예</x:v>
      </x:c>
      <x:c r="X955" s="2" t="str">
        <x:v>ichi1,news2,nf40</x:v>
      </x:c>
      <x:c r="Y955" s="2" t="n">
        <x:v>100</x:v>
      </x:c>
      <x:c r="Z955" s="2" t="str">
        <x:v>ichi1,news2,nf40</x:v>
      </x:c>
      <x:c r="AA955" s="2" t="n">
        <x:v>100</x:v>
      </x:c>
      <x:c r="AB955" s="8" t="str"/>
      <x:c r="AC955" s="8" t="str"/>
      <x:c r="AD955" s="8" t="str">
        <x:v>["draft-ko-missing"]</x:v>
      </x:c>
      <x:c r="AE955" s="8" t="str">
        <x:v>검토 필요</x:v>
      </x:c>
      <x:c r="AF955" s="8" t="str"/>
    </x:row>
    <x:row r="956">
      <x:c r="A956" s="10" t="n">
        <x:v>955</x:v>
      </x:c>
      <x:c r="B956" s="2" t="str">
        <x:v>2차 보류</x:v>
      </x:c>
      <x:c r="C956" s="2" t="str">
        <x:v>2차 보류</x:v>
      </x:c>
      <x:c r="D956" s="2" t="str">
        <x:v>낮음</x:v>
      </x:c>
      <x:c r="E956" s="2" t="str">
        <x:v>N2</x:v>
      </x:c>
      <x:c r="F956" s="10" t="n">
        <x:v>338</x:v>
      </x:c>
      <x:c r="G956" s="2" t="str">
        <x:v>w_a66198a344df39a0</x:v>
      </x:c>
      <x:c r="H956" s="2" t="str">
        <x:v>引算</x:v>
      </x:c>
      <x:c r="I956" s="2" t="str">
        <x:v>ひきざん</x:v>
      </x:c>
      <x:c r="J956" s="8" t="str">
        <x:v>뺄셈</x:v>
      </x:c>
      <x:c r="K956" s="2" t="str">
        <x:v>noun</x:v>
      </x:c>
      <x:c r="L956" s="9" t="n">
        <x:v>2.69</x:v>
      </x:c>
      <x:c r="M956" s="2" t="str">
        <x:v>없음</x:v>
      </x:c>
      <x:c r="N956" s="11" t="n">
        <x:v>-2</x:v>
      </x:c>
      <x:c r="O956" s="8" t="str">
        <x:v>일반 사용 빈도 낮은 편(Zipf ≤ 3.0); 검증된 예문 없음; 기존 데이터의 한국어 콘텐츠 보강 필요 태그</x:v>
      </x:c>
      <x:c r="P956" s="8" t="str">
        <x:v>frequency_le_3_0,no_example,weak_legacy_content</x:v>
      </x:c>
      <x:c r="Q956" s="2" t="str"/>
      <x:c r="R956" s="2" t="str"/>
      <x:c r="S956" s="2" t="str"/>
      <x:c r="T956" s="2" t="str"/>
      <x:c r="U956" s="2" t="str"/>
      <x:c r="V956" s="2" t="str">
        <x:v>아니오</x:v>
      </x:c>
      <x:c r="W956" s="2" t="str">
        <x:v>예</x:v>
      </x:c>
      <x:c r="X956" s="2" t="str">
        <x:v>ichi1</x:v>
      </x:c>
      <x:c r="Y956" s="2" t="n">
        <x:v>100</x:v>
      </x:c>
      <x:c r="Z956" s="2" t="str"/>
      <x:c r="AA956" s="2" t="n">
        <x:v>0</x:v>
      </x:c>
      <x:c r="AB956" s="8" t="str"/>
      <x:c r="AC956" s="8" t="str"/>
      <x:c r="AD956" s="8" t="str">
        <x:v>["draft-ko-missing"]</x:v>
      </x:c>
      <x:c r="AE956" s="8" t="str">
        <x:v>검토 필요</x:v>
      </x:c>
      <x:c r="AF956" s="8" t="str"/>
    </x:row>
    <x:row r="957">
      <x:c r="A957" s="10" t="n">
        <x:v>956</x:v>
      </x:c>
      <x:c r="B957" s="2" t="str">
        <x:v>2차 보류</x:v>
      </x:c>
      <x:c r="C957" s="2" t="str">
        <x:v>2차 보류</x:v>
      </x:c>
      <x:c r="D957" s="2" t="str">
        <x:v>낮음</x:v>
      </x:c>
      <x:c r="E957" s="2" t="str">
        <x:v>N1</x:v>
      </x:c>
      <x:c r="F957" s="10" t="n">
        <x:v>422</x:v>
      </x:c>
      <x:c r="G957" s="2" t="str">
        <x:v>w_9b272f3cfc15c8d6</x:v>
      </x:c>
      <x:c r="H957" s="2" t="str">
        <x:v>背く</x:v>
      </x:c>
      <x:c r="I957" s="2" t="str">
        <x:v>そむく</x:v>
      </x:c>
      <x:c r="J957" s="8" t="str">
        <x:v>등지다, 어기다</x:v>
      </x:c>
      <x:c r="K957" s="2" t="str">
        <x:v>verb</x:v>
      </x:c>
      <x:c r="L957" s="9" t="n">
        <x:v>2.69</x:v>
      </x:c>
      <x:c r="M957" s="2" t="str">
        <x:v>없음</x:v>
      </x:c>
      <x:c r="N957" s="11" t="n">
        <x:v>-2</x:v>
      </x:c>
      <x:c r="O957" s="8" t="str">
        <x:v>일반 사용 빈도 낮은 편(Zipf ≤ 3.0); 검증된 예문 없음; 기존 데이터의 한국어 콘텐츠 보강 필요 태그</x:v>
      </x:c>
      <x:c r="P957" s="8" t="str">
        <x:v>frequency_le_3_0,no_example,weak_legacy_content</x:v>
      </x:c>
      <x:c r="Q957" s="2" t="str"/>
      <x:c r="R957" s="2" t="str"/>
      <x:c r="S957" s="2" t="str"/>
      <x:c r="T957" s="2" t="str"/>
      <x:c r="U957" s="2" t="str"/>
      <x:c r="V957" s="2" t="str">
        <x:v>아니오</x:v>
      </x:c>
      <x:c r="W957" s="2" t="str">
        <x:v>예</x:v>
      </x:c>
      <x:c r="X957" s="2" t="str">
        <x:v>ichi1</x:v>
      </x:c>
      <x:c r="Y957" s="2" t="n">
        <x:v>100</x:v>
      </x:c>
      <x:c r="Z957" s="2" t="str">
        <x:v>ichi1</x:v>
      </x:c>
      <x:c r="AA957" s="2" t="n">
        <x:v>100</x:v>
      </x:c>
      <x:c r="AB957" s="8" t="str"/>
      <x:c r="AC957" s="8" t="str"/>
      <x:c r="AD957" s="8" t="str">
        <x:v>["draft-ko-missing"]</x:v>
      </x:c>
      <x:c r="AE957" s="8" t="str">
        <x:v>검토 필요</x:v>
      </x:c>
      <x:c r="AF957" s="8" t="str"/>
    </x:row>
    <x:row r="958">
      <x:c r="A958" s="10" t="n">
        <x:v>957</x:v>
      </x:c>
      <x:c r="B958" s="2" t="str">
        <x:v>2차 보류</x:v>
      </x:c>
      <x:c r="C958" s="2" t="str">
        <x:v>2차 보류</x:v>
      </x:c>
      <x:c r="D958" s="2" t="str">
        <x:v>낮음</x:v>
      </x:c>
      <x:c r="E958" s="2" t="str">
        <x:v>N2</x:v>
      </x:c>
      <x:c r="F958" s="10" t="n">
        <x:v>339</x:v>
      </x:c>
      <x:c r="G958" s="2" t="str">
        <x:v>w_e4f54ea798784465</x:v>
      </x:c>
      <x:c r="H958" s="2" t="str">
        <x:v>坊っちゃん</x:v>
      </x:c>
      <x:c r="I958" s="2" t="str">
        <x:v>ぼっちゃん</x:v>
      </x:c>
      <x:c r="J958" s="8" t="str">
        <x:v>도련님, 아드님</x:v>
      </x:c>
      <x:c r="K958" s="2" t="str">
        <x:v>noun</x:v>
      </x:c>
      <x:c r="L958" s="9" t="n">
        <x:v>2.7</x:v>
      </x:c>
      <x:c r="M958" s="2" t="str">
        <x:v>없음</x:v>
      </x:c>
      <x:c r="N958" s="11" t="n">
        <x:v>-2</x:v>
      </x:c>
      <x:c r="O958" s="8" t="str">
        <x:v>일반 사용 빈도 낮은 편(Zipf ≤ 3.0); 검증된 예문 없음; 기존 데이터의 한국어 콘텐츠 보강 필요 태그</x:v>
      </x:c>
      <x:c r="P958" s="8" t="str">
        <x:v>frequency_le_3_0,no_example,weak_legacy_content</x:v>
      </x:c>
      <x:c r="Q958" s="2" t="str"/>
      <x:c r="R958" s="2" t="str"/>
      <x:c r="S958" s="2" t="str"/>
      <x:c r="T958" s="2" t="str"/>
      <x:c r="U958" s="2" t="str"/>
      <x:c r="V958" s="2" t="str">
        <x:v>아니오</x:v>
      </x:c>
      <x:c r="W958" s="2" t="str">
        <x:v>예</x:v>
      </x:c>
      <x:c r="X958" s="2" t="str">
        <x:v>ichi1,news2,nf33</x:v>
      </x:c>
      <x:c r="Y958" s="2" t="n">
        <x:v>100</x:v>
      </x:c>
      <x:c r="Z958" s="2" t="str">
        <x:v>ichi1,news2,nf33</x:v>
      </x:c>
      <x:c r="AA958" s="2" t="n">
        <x:v>100</x:v>
      </x:c>
      <x:c r="AB958" s="8" t="str">
        <x:v>honorific or respectful (sonkeigo) language | work of art, literature, music, etc. name</x:v>
      </x:c>
      <x:c r="AC958" s="8" t="str"/>
      <x:c r="AD958" s="8" t="str">
        <x:v>["draft-ko-missing"]</x:v>
      </x:c>
      <x:c r="AE958" s="8" t="str">
        <x:v>검토 필요</x:v>
      </x:c>
      <x:c r="AF958" s="8" t="str"/>
    </x:row>
    <x:row r="959">
      <x:c r="A959" s="10" t="n">
        <x:v>958</x:v>
      </x:c>
      <x:c r="B959" s="2" t="str">
        <x:v>2차 보류</x:v>
      </x:c>
      <x:c r="C959" s="2" t="str">
        <x:v>2차 보류</x:v>
      </x:c>
      <x:c r="D959" s="2" t="str">
        <x:v>낮음</x:v>
      </x:c>
      <x:c r="E959" s="2" t="str">
        <x:v>N1</x:v>
      </x:c>
      <x:c r="F959" s="10" t="n">
        <x:v>423</x:v>
      </x:c>
      <x:c r="G959" s="2" t="str">
        <x:v>w_0ba45b64de9c3a57</x:v>
      </x:c>
      <x:c r="H959" s="2" t="str">
        <x:v>明朗</x:v>
      </x:c>
      <x:c r="I959" s="2" t="str">
        <x:v>めいろう</x:v>
      </x:c>
      <x:c r="J959" s="8" t="str">
        <x:v>명랑함; 명료함</x:v>
      </x:c>
      <x:c r="K959" s="2" t="str">
        <x:v>adjective</x:v>
      </x:c>
      <x:c r="L959" s="9" t="n">
        <x:v>2.7</x:v>
      </x:c>
      <x:c r="M959" s="2" t="str">
        <x:v>없음</x:v>
      </x:c>
      <x:c r="N959" s="11" t="n">
        <x:v>-2</x:v>
      </x:c>
      <x:c r="O959" s="8" t="str">
        <x:v>일반 사용 빈도 낮은 편(Zipf ≤ 3.0); 검증된 예문 없음; 기존 데이터의 한국어 콘텐츠 보강 필요 태그</x:v>
      </x:c>
      <x:c r="P959" s="8" t="str">
        <x:v>frequency_le_3_0,no_example,weak_legacy_content</x:v>
      </x:c>
      <x:c r="Q959" s="2" t="str"/>
      <x:c r="R959" s="2" t="str"/>
      <x:c r="S959" s="2" t="str"/>
      <x:c r="T959" s="2" t="str"/>
      <x:c r="U959" s="2" t="str"/>
      <x:c r="V959" s="2" t="str">
        <x:v>아니오</x:v>
      </x:c>
      <x:c r="W959" s="2" t="str">
        <x:v>예</x:v>
      </x:c>
      <x:c r="X959" s="2" t="str">
        <x:v>ichi1,news1,nf16</x:v>
      </x:c>
      <x:c r="Y959" s="2" t="n">
        <x:v>100</x:v>
      </x:c>
      <x:c r="Z959" s="2" t="str">
        <x:v>ichi1,news1,nf16</x:v>
      </x:c>
      <x:c r="AA959" s="2" t="n">
        <x:v>100</x:v>
      </x:c>
      <x:c r="AB959" s="8" t="str"/>
      <x:c r="AC959" s="8" t="str"/>
      <x:c r="AD959" s="8" t="str">
        <x:v>["draft-ko-missing"]</x:v>
      </x:c>
      <x:c r="AE959" s="8" t="str">
        <x:v>검토 필요</x:v>
      </x:c>
      <x:c r="AF959" s="8" t="str"/>
    </x:row>
    <x:row r="960">
      <x:c r="A960" s="10" t="n">
        <x:v>959</x:v>
      </x:c>
      <x:c r="B960" s="2" t="str">
        <x:v>2차 보류</x:v>
      </x:c>
      <x:c r="C960" s="2" t="str">
        <x:v>2차 보류</x:v>
      </x:c>
      <x:c r="D960" s="2" t="str">
        <x:v>낮음</x:v>
      </x:c>
      <x:c r="E960" s="2" t="str">
        <x:v>N1</x:v>
      </x:c>
      <x:c r="F960" s="10" t="n">
        <x:v>424</x:v>
      </x:c>
      <x:c r="G960" s="2" t="str">
        <x:v>w_3e694bca0ac0aeac</x:v>
      </x:c>
      <x:c r="H960" s="2" t="str">
        <x:v>手引</x:v>
      </x:c>
      <x:c r="I960" s="2" t="str">
        <x:v>てびき</x:v>
      </x:c>
      <x:c r="J960" s="8" t="str">
        <x:v>안내, 입문(서)</x:v>
      </x:c>
      <x:c r="K960" s="2" t="str">
        <x:v>noun</x:v>
      </x:c>
      <x:c r="L960" s="9" t="n">
        <x:v>2.7</x:v>
      </x:c>
      <x:c r="M960" s="2" t="str">
        <x:v>없음</x:v>
      </x:c>
      <x:c r="N960" s="11" t="n">
        <x:v>-2</x:v>
      </x:c>
      <x:c r="O960" s="8" t="str">
        <x:v>일반 사용 빈도 낮은 편(Zipf ≤ 3.0); 검증된 예문 없음; 기존 데이터의 한국어 콘텐츠 보강 필요 태그</x:v>
      </x:c>
      <x:c r="P960" s="8" t="str">
        <x:v>frequency_le_3_0,no_example,weak_legacy_content</x:v>
      </x:c>
      <x:c r="Q960" s="2" t="str"/>
      <x:c r="R960" s="2" t="str"/>
      <x:c r="S960" s="2" t="str"/>
      <x:c r="T960" s="2" t="str"/>
      <x:c r="U960" s="2" t="str"/>
      <x:c r="V960" s="2" t="str">
        <x:v>아니오</x:v>
      </x:c>
      <x:c r="W960" s="2" t="str">
        <x:v>예</x:v>
      </x:c>
      <x:c r="X960" s="2" t="str">
        <x:v>ichi1,news1,nf24</x:v>
      </x:c>
      <x:c r="Y960" s="2" t="n">
        <x:v>100</x:v>
      </x:c>
      <x:c r="Z960" s="2" t="str">
        <x:v>ichi1</x:v>
      </x:c>
      <x:c r="AA960" s="2" t="n">
        <x:v>100</x:v>
      </x:c>
      <x:c r="AB960" s="8" t="str"/>
      <x:c r="AC960" s="8" t="str"/>
      <x:c r="AD960" s="8" t="str">
        <x:v>["draft-ko-missing"]</x:v>
      </x:c>
      <x:c r="AE960" s="8" t="str">
        <x:v>검토 필요</x:v>
      </x:c>
      <x:c r="AF960" s="8" t="str"/>
    </x:row>
    <x:row r="961">
      <x:c r="A961" s="10" t="n">
        <x:v>960</x:v>
      </x:c>
      <x:c r="B961" s="2" t="str">
        <x:v>2차 보류</x:v>
      </x:c>
      <x:c r="C961" s="2" t="str">
        <x:v>2차 보류</x:v>
      </x:c>
      <x:c r="D961" s="2" t="str">
        <x:v>낮음</x:v>
      </x:c>
      <x:c r="E961" s="2" t="str">
        <x:v>N3</x:v>
      </x:c>
      <x:c r="F961" s="10" t="n">
        <x:v>114</x:v>
      </x:c>
      <x:c r="G961" s="2" t="str">
        <x:v>w_32c90bf4d0b53af4</x:v>
      </x:c>
      <x:c r="H961" s="2" t="str">
        <x:v>汲む</x:v>
      </x:c>
      <x:c r="I961" s="2" t="str">
        <x:v>くむ</x:v>
      </x:c>
      <x:c r="J961" s="8" t="str">
        <x:v>(물을) 푸다, 긷다</x:v>
      </x:c>
      <x:c r="K961" s="2" t="str">
        <x:v>verb</x:v>
      </x:c>
      <x:c r="L961" s="9" t="n">
        <x:v>2.72</x:v>
      </x:c>
      <x:c r="M961" s="2" t="str">
        <x:v>없음</x:v>
      </x:c>
      <x:c r="N961" s="11" t="n">
        <x:v>-2</x:v>
      </x:c>
      <x:c r="O961" s="8" t="str">
        <x:v>일반 사용 빈도 낮은 편(Zipf ≤ 3.0); 검증된 예문 없음; 기존 데이터의 한국어 콘텐츠 보강 필요 태그</x:v>
      </x:c>
      <x:c r="P961" s="8" t="str">
        <x:v>frequency_le_3_0,no_example,weak_legacy_content</x:v>
      </x:c>
      <x:c r="Q961" s="2" t="str"/>
      <x:c r="R961" s="2" t="str"/>
      <x:c r="S961" s="2" t="str"/>
      <x:c r="T961" s="2" t="str"/>
      <x:c r="U961" s="2" t="str"/>
      <x:c r="V961" s="2" t="str">
        <x:v>아니오</x:v>
      </x:c>
      <x:c r="W961" s="2" t="str">
        <x:v>예</x:v>
      </x:c>
      <x:c r="X961" s="2" t="str">
        <x:v>ichi1</x:v>
      </x:c>
      <x:c r="Y961" s="2" t="n">
        <x:v>100</x:v>
      </x:c>
      <x:c r="Z961" s="2" t="str">
        <x:v>ichi1</x:v>
      </x:c>
      <x:c r="AA961" s="2" t="n">
        <x:v>100</x:v>
      </x:c>
      <x:c r="AB961" s="8" t="str"/>
      <x:c r="AC961" s="8" t="str"/>
      <x:c r="AD961" s="8" t="str">
        <x:v>["draft-ko-missing"]</x:v>
      </x:c>
      <x:c r="AE961" s="8" t="str">
        <x:v>검토 필요</x:v>
      </x:c>
      <x:c r="AF961" s="8" t="str"/>
    </x:row>
    <x:row r="962">
      <x:c r="A962" s="10" t="n">
        <x:v>961</x:v>
      </x:c>
      <x:c r="B962" s="2" t="str">
        <x:v>2차 보류</x:v>
      </x:c>
      <x:c r="C962" s="2" t="str">
        <x:v>2차 보류</x:v>
      </x:c>
      <x:c r="D962" s="2" t="str">
        <x:v>낮음</x:v>
      </x:c>
      <x:c r="E962" s="2" t="str">
        <x:v>N1</x:v>
      </x:c>
      <x:c r="F962" s="10" t="n">
        <x:v>425</x:v>
      </x:c>
      <x:c r="G962" s="2" t="str">
        <x:v>w_475ed81fb0fca7ed</x:v>
      </x:c>
      <x:c r="H962" s="2" t="str">
        <x:v>揺さぶる</x:v>
      </x:c>
      <x:c r="I962" s="2" t="str">
        <x:v>ゆさぶる</x:v>
      </x:c>
      <x:c r="J962" s="8" t="str">
        <x:v>뒤흔들다, 동요시키다</x:v>
      </x:c>
      <x:c r="K962" s="2" t="str">
        <x:v>verb</x:v>
      </x:c>
      <x:c r="L962" s="9" t="n">
        <x:v>2.72</x:v>
      </x:c>
      <x:c r="M962" s="2" t="str">
        <x:v>없음</x:v>
      </x:c>
      <x:c r="N962" s="11" t="n">
        <x:v>-2</x:v>
      </x:c>
      <x:c r="O962" s="8" t="str">
        <x:v>일반 사용 빈도 낮은 편(Zipf ≤ 3.0); 검증된 예문 없음; 기존 데이터의 한국어 콘텐츠 보강 필요 태그</x:v>
      </x:c>
      <x:c r="P962" s="8" t="str">
        <x:v>frequency_le_3_0,no_example,weak_legacy_content</x:v>
      </x:c>
      <x:c r="Q962" s="2" t="str"/>
      <x:c r="R962" s="2" t="str"/>
      <x:c r="S962" s="2" t="str"/>
      <x:c r="T962" s="2" t="str"/>
      <x:c r="U962" s="2" t="str"/>
      <x:c r="V962" s="2" t="str">
        <x:v>아니오</x:v>
      </x:c>
      <x:c r="W962" s="2" t="str">
        <x:v>예</x:v>
      </x:c>
      <x:c r="X962" s="2" t="str">
        <x:v>news1,nf23</x:v>
      </x:c>
      <x:c r="Y962" s="2" t="n">
        <x:v>100</x:v>
      </x:c>
      <x:c r="Z962" s="2" t="str">
        <x:v>news1,nf23</x:v>
      </x:c>
      <x:c r="AA962" s="2" t="n">
        <x:v>100</x:v>
      </x:c>
      <x:c r="AB962" s="8" t="str"/>
      <x:c r="AC962" s="8" t="str"/>
      <x:c r="AD962" s="8" t="str">
        <x:v>["draft-ko-missing"]</x:v>
      </x:c>
      <x:c r="AE962" s="8" t="str">
        <x:v>검토 필요</x:v>
      </x:c>
      <x:c r="AF962" s="8" t="str"/>
    </x:row>
    <x:row r="963">
      <x:c r="A963" s="10" t="n">
        <x:v>962</x:v>
      </x:c>
      <x:c r="B963" s="2" t="str">
        <x:v>2차 보류</x:v>
      </x:c>
      <x:c r="C963" s="2" t="str">
        <x:v>2차 보류</x:v>
      </x:c>
      <x:c r="D963" s="2" t="str">
        <x:v>낮음</x:v>
      </x:c>
      <x:c r="E963" s="2" t="str">
        <x:v>N1</x:v>
      </x:c>
      <x:c r="F963" s="10" t="n">
        <x:v>426</x:v>
      </x:c>
      <x:c r="G963" s="2" t="str">
        <x:v>w_ccbf1de13dfa8cfe</x:v>
      </x:c>
      <x:c r="H963" s="2" t="str">
        <x:v>徐行</x:v>
      </x:c>
      <x:c r="I963" s="2" t="str">
        <x:v>じょこう</x:v>
      </x:c>
      <x:c r="J963" s="8" t="str">
        <x:v>가다 천천히</x:v>
      </x:c>
      <x:c r="K963" s="2" t="str">
        <x:v>noun</x:v>
      </x:c>
      <x:c r="L963" s="9" t="n">
        <x:v>2.72</x:v>
      </x:c>
      <x:c r="M963" s="2" t="str">
        <x:v>없음</x:v>
      </x:c>
      <x:c r="N963" s="11" t="n">
        <x:v>-2</x:v>
      </x:c>
      <x:c r="O963" s="8" t="str">
        <x:v>일반 사용 빈도 낮은 편(Zipf ≤ 3.0); 검증된 예문 없음; 기존 데이터의 한국어 콘텐츠 보강 필요 태그</x:v>
      </x:c>
      <x:c r="P963" s="8" t="str">
        <x:v>frequency_le_3_0,no_example,weak_legacy_content</x:v>
      </x:c>
      <x:c r="Q963" s="2" t="str"/>
      <x:c r="R963" s="2" t="str"/>
      <x:c r="S963" s="2" t="str"/>
      <x:c r="T963" s="2" t="str"/>
      <x:c r="U963" s="2" t="str"/>
      <x:c r="V963" s="2" t="str">
        <x:v>아니오</x:v>
      </x:c>
      <x:c r="W963" s="2" t="str">
        <x:v>예</x:v>
      </x:c>
      <x:c r="X963" s="2" t="str">
        <x:v>ichi1,news2,nf30</x:v>
      </x:c>
      <x:c r="Y963" s="2" t="n">
        <x:v>100</x:v>
      </x:c>
      <x:c r="Z963" s="2" t="str">
        <x:v>ichi1,news2,nf30</x:v>
      </x:c>
      <x:c r="AA963" s="2" t="n">
        <x:v>100</x:v>
      </x:c>
      <x:c r="AB963" s="8" t="str"/>
      <x:c r="AC963" s="8" t="str"/>
      <x:c r="AD963" s="8" t="str">
        <x:v>["draft-ko-missing"]</x:v>
      </x:c>
      <x:c r="AE963" s="8" t="str">
        <x:v>검토 필요</x:v>
      </x:c>
      <x:c r="AF963" s="8" t="str"/>
    </x:row>
    <x:row r="964">
      <x:c r="A964" s="10" t="n">
        <x:v>963</x:v>
      </x:c>
      <x:c r="B964" s="2" t="str">
        <x:v>2차 보류</x:v>
      </x:c>
      <x:c r="C964" s="2" t="str">
        <x:v>2차 보류</x:v>
      </x:c>
      <x:c r="D964" s="2" t="str">
        <x:v>낮음</x:v>
      </x:c>
      <x:c r="E964" s="2" t="str">
        <x:v>N1</x:v>
      </x:c>
      <x:c r="F964" s="10" t="n">
        <x:v>427</x:v>
      </x:c>
      <x:c r="G964" s="2" t="str">
        <x:v>w_f8f401f47c14479b</x:v>
      </x:c>
      <x:c r="H964" s="2" t="str">
        <x:v>葬る</x:v>
      </x:c>
      <x:c r="I964" s="2" t="str">
        <x:v>ほうむる</x:v>
      </x:c>
      <x:c r="J964" s="8" t="str">
        <x:v>장사 지내다, 묻다</x:v>
      </x:c>
      <x:c r="K964" s="2" t="str">
        <x:v>verb</x:v>
      </x:c>
      <x:c r="L964" s="9" t="n">
        <x:v>2.72</x:v>
      </x:c>
      <x:c r="M964" s="2" t="str">
        <x:v>없음</x:v>
      </x:c>
      <x:c r="N964" s="11" t="n">
        <x:v>-2</x:v>
      </x:c>
      <x:c r="O964" s="8" t="str">
        <x:v>일반 사용 빈도 낮은 편(Zipf ≤ 3.0); 검증된 예문 없음; 기존 데이터의 한국어 콘텐츠 보강 필요 태그</x:v>
      </x:c>
      <x:c r="P964" s="8" t="str">
        <x:v>frequency_le_3_0,no_example,weak_legacy_content</x:v>
      </x:c>
      <x:c r="Q964" s="2" t="str"/>
      <x:c r="R964" s="2" t="str"/>
      <x:c r="S964" s="2" t="str"/>
      <x:c r="T964" s="2" t="str"/>
      <x:c r="U964" s="2" t="str"/>
      <x:c r="V964" s="2" t="str">
        <x:v>아니오</x:v>
      </x:c>
      <x:c r="W964" s="2" t="str">
        <x:v>예</x:v>
      </x:c>
      <x:c r="X964" s="2" t="str">
        <x:v>ichi1,news2,nf26</x:v>
      </x:c>
      <x:c r="Y964" s="2" t="n">
        <x:v>100</x:v>
      </x:c>
      <x:c r="Z964" s="2" t="str">
        <x:v>ichi1,news2,nf26</x:v>
      </x:c>
      <x:c r="AA964" s="2" t="n">
        <x:v>100</x:v>
      </x:c>
      <x:c r="AB964" s="8" t="str"/>
      <x:c r="AC964" s="8" t="str"/>
      <x:c r="AD964" s="8" t="str">
        <x:v>["draft-ko-missing"]</x:v>
      </x:c>
      <x:c r="AE964" s="8" t="str">
        <x:v>검토 필요</x:v>
      </x:c>
      <x:c r="AF964" s="8" t="str"/>
    </x:row>
    <x:row r="965">
      <x:c r="A965" s="10" t="n">
        <x:v>964</x:v>
      </x:c>
      <x:c r="B965" s="2" t="str">
        <x:v>2차 보류</x:v>
      </x:c>
      <x:c r="C965" s="2" t="str">
        <x:v>2차 보류</x:v>
      </x:c>
      <x:c r="D965" s="2" t="str">
        <x:v>낮음</x:v>
      </x:c>
      <x:c r="E965" s="2" t="str">
        <x:v>N1</x:v>
      </x:c>
      <x:c r="F965" s="10" t="n">
        <x:v>428</x:v>
      </x:c>
      <x:c r="G965" s="2" t="str">
        <x:v>w_f889521b53ba61cd</x:v>
      </x:c>
      <x:c r="H965" s="2" t="str">
        <x:v>閉口</x:v>
      </x:c>
      <x:c r="I965" s="2" t="str">
        <x:v>へいこう</x:v>
      </x:c>
      <x:c r="J965" s="8" t="str">
        <x:v>질림, 손듦</x:v>
      </x:c>
      <x:c r="K965" s="2" t="str">
        <x:v>verb</x:v>
      </x:c>
      <x:c r="L965" s="9" t="n">
        <x:v>2.73</x:v>
      </x:c>
      <x:c r="M965" s="2" t="str">
        <x:v>없음</x:v>
      </x:c>
      <x:c r="N965" s="11" t="n">
        <x:v>-2</x:v>
      </x:c>
      <x:c r="O965" s="8" t="str">
        <x:v>일반 사용 빈도 낮은 편(Zipf ≤ 3.0); 검증된 예문 없음; 기존 데이터의 한국어 콘텐츠 보강 필요 태그</x:v>
      </x:c>
      <x:c r="P965" s="8" t="str">
        <x:v>frequency_le_3_0,no_example,weak_legacy_content</x:v>
      </x:c>
      <x:c r="Q965" s="2" t="str"/>
      <x:c r="R965" s="2" t="str"/>
      <x:c r="S965" s="2" t="str"/>
      <x:c r="T965" s="2" t="str"/>
      <x:c r="U965" s="2" t="str"/>
      <x:c r="V965" s="2" t="str">
        <x:v>아니오</x:v>
      </x:c>
      <x:c r="W965" s="2" t="str">
        <x:v>예</x:v>
      </x:c>
      <x:c r="X965" s="2" t="str">
        <x:v>ichi1,news2,nf33</x:v>
      </x:c>
      <x:c r="Y965" s="2" t="n">
        <x:v>100</x:v>
      </x:c>
      <x:c r="Z965" s="2" t="str">
        <x:v>ichi1,news2,nf33</x:v>
      </x:c>
      <x:c r="AA965" s="2" t="n">
        <x:v>100</x:v>
      </x:c>
      <x:c r="AB965" s="8" t="str"/>
      <x:c r="AC965" s="8" t="str"/>
      <x:c r="AD965" s="8" t="str">
        <x:v>["draft-ko-missing"]</x:v>
      </x:c>
      <x:c r="AE965" s="8" t="str">
        <x:v>검토 필요</x:v>
      </x:c>
      <x:c r="AF965" s="8" t="str"/>
    </x:row>
    <x:row r="966">
      <x:c r="A966" s="10" t="n">
        <x:v>965</x:v>
      </x:c>
      <x:c r="B966" s="2" t="str">
        <x:v>2차 보류</x:v>
      </x:c>
      <x:c r="C966" s="2" t="str">
        <x:v>2차 보류</x:v>
      </x:c>
      <x:c r="D966" s="2" t="str">
        <x:v>낮음</x:v>
      </x:c>
      <x:c r="E966" s="2" t="str">
        <x:v>N2</x:v>
      </x:c>
      <x:c r="F966" s="10" t="n">
        <x:v>340</x:v>
      </x:c>
      <x:c r="G966" s="2" t="str">
        <x:v>w_121525e8ce9ac54e</x:v>
      </x:c>
      <x:c r="H966" s="2" t="str">
        <x:v>句読点</x:v>
      </x:c>
      <x:c r="I966" s="2" t="str">
        <x:v>くとうてん</x:v>
      </x:c>
      <x:c r="J966" s="8" t="str">
        <x:v>구두점</x:v>
      </x:c>
      <x:c r="K966" s="2" t="str">
        <x:v>noun</x:v>
      </x:c>
      <x:c r="L966" s="9" t="n">
        <x:v>2.74</x:v>
      </x:c>
      <x:c r="M966" s="2" t="str">
        <x:v>없음</x:v>
      </x:c>
      <x:c r="N966" s="11" t="n">
        <x:v>-2</x:v>
      </x:c>
      <x:c r="O966" s="8" t="str">
        <x:v>일반 사용 빈도 낮은 편(Zipf ≤ 3.0); 검증된 예문 없음; 기존 데이터의 한국어 콘텐츠 보강 필요 태그</x:v>
      </x:c>
      <x:c r="P966" s="8" t="str">
        <x:v>frequency_le_3_0,no_example,weak_legacy_content</x:v>
      </x:c>
      <x:c r="Q966" s="2" t="str"/>
      <x:c r="R966" s="2" t="str"/>
      <x:c r="S966" s="2" t="str"/>
      <x:c r="T966" s="2" t="str"/>
      <x:c r="U966" s="2" t="str"/>
      <x:c r="V966" s="2" t="str">
        <x:v>아니오</x:v>
      </x:c>
      <x:c r="W966" s="2" t="str">
        <x:v>예</x:v>
      </x:c>
      <x:c r="X966" s="2" t="str">
        <x:v>ichi1,news2,nf44</x:v>
      </x:c>
      <x:c r="Y966" s="2" t="n">
        <x:v>100</x:v>
      </x:c>
      <x:c r="Z966" s="2" t="str">
        <x:v>ichi1,news2,nf44</x:v>
      </x:c>
      <x:c r="AA966" s="2" t="n">
        <x:v>100</x:v>
      </x:c>
      <x:c r="AB966" s="8" t="str"/>
      <x:c r="AC966" s="8" t="str"/>
      <x:c r="AD966" s="8" t="str">
        <x:v>["draft-ko-missing"]</x:v>
      </x:c>
      <x:c r="AE966" s="8" t="str">
        <x:v>검토 필요</x:v>
      </x:c>
      <x:c r="AF966" s="8" t="str"/>
    </x:row>
    <x:row r="967">
      <x:c r="A967" s="10" t="n">
        <x:v>966</x:v>
      </x:c>
      <x:c r="B967" s="2" t="str">
        <x:v>2차 보류</x:v>
      </x:c>
      <x:c r="C967" s="2" t="str">
        <x:v>2차 보류</x:v>
      </x:c>
      <x:c r="D967" s="2" t="str">
        <x:v>낮음</x:v>
      </x:c>
      <x:c r="E967" s="2" t="str">
        <x:v>N1</x:v>
      </x:c>
      <x:c r="F967" s="10" t="n">
        <x:v>429</x:v>
      </x:c>
      <x:c r="G967" s="2" t="str">
        <x:v>w_27ea49ce54c03299</x:v>
      </x:c>
      <x:c r="H967" s="2" t="str">
        <x:v>水気</x:v>
      </x:c>
      <x:c r="I967" s="2" t="str">
        <x:v>みずけ</x:v>
      </x:c>
      <x:c r="J967" s="8" t="str">
        <x:v>수분, 습기</x:v>
      </x:c>
      <x:c r="K967" s="2" t="str">
        <x:v>noun</x:v>
      </x:c>
      <x:c r="L967" s="9" t="n">
        <x:v>2.74</x:v>
      </x:c>
      <x:c r="M967" s="2" t="str">
        <x:v>없음</x:v>
      </x:c>
      <x:c r="N967" s="11" t="n">
        <x:v>-2</x:v>
      </x:c>
      <x:c r="O967" s="8" t="str">
        <x:v>일반 사용 빈도 낮은 편(Zipf ≤ 3.0); 검증된 예문 없음; 기존 데이터의 한국어 콘텐츠 보강 필요 태그</x:v>
      </x:c>
      <x:c r="P967" s="8" t="str">
        <x:v>frequency_le_3_0,no_example,weak_legacy_content</x:v>
      </x:c>
      <x:c r="Q967" s="2" t="str"/>
      <x:c r="R967" s="2" t="str"/>
      <x:c r="S967" s="2" t="str"/>
      <x:c r="T967" s="2" t="str"/>
      <x:c r="U967" s="2" t="str"/>
      <x:c r="V967" s="2" t="str">
        <x:v>아니오</x:v>
      </x:c>
      <x:c r="W967" s="2" t="str">
        <x:v>예</x:v>
      </x:c>
      <x:c r="X967" s="2" t="str">
        <x:v>news1,nf23</x:v>
      </x:c>
      <x:c r="Y967" s="2" t="n">
        <x:v>100</x:v>
      </x:c>
      <x:c r="Z967" s="2" t="str">
        <x:v>news1,nf23</x:v>
      </x:c>
      <x:c r="AA967" s="2" t="n">
        <x:v>100</x:v>
      </x:c>
      <x:c r="AB967" s="8" t="str"/>
      <x:c r="AC967" s="8" t="str"/>
      <x:c r="AD967" s="8" t="str">
        <x:v>["draft-ko-missing"]</x:v>
      </x:c>
      <x:c r="AE967" s="8" t="str">
        <x:v>검토 필요</x:v>
      </x:c>
      <x:c r="AF967" s="8" t="str"/>
    </x:row>
    <x:row r="968">
      <x:c r="A968" s="10" t="n">
        <x:v>967</x:v>
      </x:c>
      <x:c r="B968" s="2" t="str">
        <x:v>2차 보류</x:v>
      </x:c>
      <x:c r="C968" s="2" t="str">
        <x:v>2차 보류</x:v>
      </x:c>
      <x:c r="D968" s="2" t="str">
        <x:v>낮음</x:v>
      </x:c>
      <x:c r="E968" s="2" t="str">
        <x:v>N1</x:v>
      </x:c>
      <x:c r="F968" s="10" t="n">
        <x:v>430</x:v>
      </x:c>
      <x:c r="G968" s="2" t="str">
        <x:v>w_8cbecda005e65fb1</x:v>
      </x:c>
      <x:c r="H968" s="2" t="str">
        <x:v>お袋</x:v>
      </x:c>
      <x:c r="I968" s="2" t="str">
        <x:v>おふくろ</x:v>
      </x:c>
      <x:c r="J968" s="8" t="str">
        <x:v>어머니</x:v>
      </x:c>
      <x:c r="K968" s="2" t="str">
        <x:v>noun</x:v>
      </x:c>
      <x:c r="L968" s="9" t="n">
        <x:v>2.74</x:v>
      </x:c>
      <x:c r="M968" s="2" t="str">
        <x:v>없음</x:v>
      </x:c>
      <x:c r="N968" s="11" t="n">
        <x:v>-2</x:v>
      </x:c>
      <x:c r="O968" s="8" t="str">
        <x:v>일반 사용 빈도 낮은 편(Zipf ≤ 3.0); 검증된 예문 없음; 기존 데이터의 한국어 콘텐츠 보강 필요 태그</x:v>
      </x:c>
      <x:c r="P968" s="8" t="str">
        <x:v>frequency_le_3_0,no_example,weak_legacy_content</x:v>
      </x:c>
      <x:c r="Q968" s="2" t="str"/>
      <x:c r="R968" s="2" t="str"/>
      <x:c r="S968" s="2" t="str"/>
      <x:c r="T968" s="2" t="str"/>
      <x:c r="U968" s="2" t="str"/>
      <x:c r="V968" s="2" t="str">
        <x:v>아니오</x:v>
      </x:c>
      <x:c r="W968" s="2" t="str">
        <x:v>예</x:v>
      </x:c>
      <x:c r="X968" s="2" t="str">
        <x:v>ichi1</x:v>
      </x:c>
      <x:c r="Y968" s="2" t="n">
        <x:v>100</x:v>
      </x:c>
      <x:c r="Z968" s="2" t="str">
        <x:v>ichi1</x:v>
      </x:c>
      <x:c r="AA968" s="2" t="n">
        <x:v>100</x:v>
      </x:c>
      <x:c r="AB968" s="8" t="str">
        <x:v>colloquial | word usually written using kana alone</x:v>
      </x:c>
      <x:c r="AC968" s="8" t="str"/>
      <x:c r="AD968" s="8" t="str">
        <x:v>["draft-ko-missing"]</x:v>
      </x:c>
      <x:c r="AE968" s="8" t="str">
        <x:v>검토 필요</x:v>
      </x:c>
      <x:c r="AF968" s="8" t="str"/>
    </x:row>
    <x:row r="969">
      <x:c r="A969" s="10" t="n">
        <x:v>968</x:v>
      </x:c>
      <x:c r="B969" s="2" t="str">
        <x:v>2차 보류</x:v>
      </x:c>
      <x:c r="C969" s="2" t="str">
        <x:v>2차 보류</x:v>
      </x:c>
      <x:c r="D969" s="2" t="str">
        <x:v>낮음</x:v>
      </x:c>
      <x:c r="E969" s="2" t="str">
        <x:v>N1</x:v>
      </x:c>
      <x:c r="F969" s="10" t="n">
        <x:v>431</x:v>
      </x:c>
      <x:c r="G969" s="2" t="str">
        <x:v>w_91f0d29d4488ce58</x:v>
      </x:c>
      <x:c r="H969" s="2" t="str">
        <x:v>傷付ける</x:v>
      </x:c>
      <x:c r="I969" s="2" t="str">
        <x:v>きずつける</x:v>
      </x:c>
      <x:c r="J969" s="8" t="str">
        <x:v>상처를 입히다, (감정을) 다치게 하다</x:v>
      </x:c>
      <x:c r="K969" s="2" t="str">
        <x:v>verb</x:v>
      </x:c>
      <x:c r="L969" s="9" t="n">
        <x:v>2.74</x:v>
      </x:c>
      <x:c r="M969" s="2" t="str">
        <x:v>없음</x:v>
      </x:c>
      <x:c r="N969" s="11" t="n">
        <x:v>-2</x:v>
      </x:c>
      <x:c r="O969" s="8" t="str">
        <x:v>일반 사용 빈도 낮은 편(Zipf ≤ 3.0); 검증된 예문 없음; 기존 데이터의 한국어 콘텐츠 보강 필요 태그</x:v>
      </x:c>
      <x:c r="P969" s="8" t="str">
        <x:v>frequency_le_3_0,no_example,weak_legacy_content</x:v>
      </x:c>
      <x:c r="Q969" s="2" t="str"/>
      <x:c r="R969" s="2" t="str"/>
      <x:c r="S969" s="2" t="str"/>
      <x:c r="T969" s="2" t="str"/>
      <x:c r="U969" s="2" t="str"/>
      <x:c r="V969" s="2" t="str">
        <x:v>아니오</x:v>
      </x:c>
      <x:c r="W969" s="2" t="str">
        <x:v>예</x:v>
      </x:c>
      <x:c r="X969" s="2" t="str">
        <x:v>ichi1,news2,nf33,spec1</x:v>
      </x:c>
      <x:c r="Y969" s="2" t="n">
        <x:v>100</x:v>
      </x:c>
      <x:c r="Z969" s="2" t="str">
        <x:v>ichi1,news2,nf33</x:v>
      </x:c>
      <x:c r="AA969" s="2" t="n">
        <x:v>100</x:v>
      </x:c>
      <x:c r="AB969" s="8" t="str"/>
      <x:c r="AC969" s="8" t="str"/>
      <x:c r="AD969" s="8" t="str">
        <x:v>["draft-ko-missing"]</x:v>
      </x:c>
      <x:c r="AE969" s="8" t="str">
        <x:v>검토 필요</x:v>
      </x:c>
      <x:c r="AF969" s="8" t="str"/>
    </x:row>
    <x:row r="970">
      <x:c r="A970" s="10" t="n">
        <x:v>969</x:v>
      </x:c>
      <x:c r="B970" s="2" t="str">
        <x:v>2차 보류</x:v>
      </x:c>
      <x:c r="C970" s="2" t="str">
        <x:v>2차 보류</x:v>
      </x:c>
      <x:c r="D970" s="2" t="str">
        <x:v>낮음</x:v>
      </x:c>
      <x:c r="E970" s="2" t="str">
        <x:v>N4</x:v>
      </x:c>
      <x:c r="F970" s="10" t="n">
        <x:v>66</x:v>
      </x:c>
      <x:c r="G970" s="2" t="str">
        <x:v>w_0cc60591ba0b7b66</x:v>
      </x:c>
      <x:c r="H970" s="2" t="str">
        <x:v>再来週</x:v>
      </x:c>
      <x:c r="I970" s="2" t="str">
        <x:v>さらいしゅう</x:v>
      </x:c>
      <x:c r="J970" s="8" t="str">
        <x:v>다다음 주</x:v>
      </x:c>
      <x:c r="K970" s="2" t="str">
        <x:v>noun</x:v>
      </x:c>
      <x:c r="L970" s="9" t="n">
        <x:v>2.75</x:v>
      </x:c>
      <x:c r="M970" s="2" t="str">
        <x:v>없음</x:v>
      </x:c>
      <x:c r="N970" s="11" t="n">
        <x:v>-2</x:v>
      </x:c>
      <x:c r="O970" s="8" t="str">
        <x:v>일반 사용 빈도 낮은 편(Zipf ≤ 3.0); 검증된 예문 없음; 기존 데이터의 한국어 콘텐츠 보강 필요 태그</x:v>
      </x:c>
      <x:c r="P970" s="8" t="str">
        <x:v>frequency_le_3_0,no_example,weak_legacy_content</x:v>
      </x:c>
      <x:c r="Q970" s="2" t="str"/>
      <x:c r="R970" s="2" t="str"/>
      <x:c r="S970" s="2" t="str"/>
      <x:c r="T970" s="2" t="str"/>
      <x:c r="U970" s="2" t="str"/>
      <x:c r="V970" s="2" t="str">
        <x:v>아니오</x:v>
      </x:c>
      <x:c r="W970" s="2" t="str">
        <x:v>예</x:v>
      </x:c>
      <x:c r="X970" s="2" t="str">
        <x:v>ichi1</x:v>
      </x:c>
      <x:c r="Y970" s="2" t="n">
        <x:v>100</x:v>
      </x:c>
      <x:c r="Z970" s="2" t="str">
        <x:v>ichi1</x:v>
      </x:c>
      <x:c r="AA970" s="2" t="n">
        <x:v>100</x:v>
      </x:c>
      <x:c r="AB970" s="8" t="str"/>
      <x:c r="AC970" s="8" t="str"/>
      <x:c r="AD970" s="8" t="str">
        <x:v>["draft-ko-missing"]</x:v>
      </x:c>
      <x:c r="AE970" s="8" t="str">
        <x:v>검토 필요</x:v>
      </x:c>
      <x:c r="AF970" s="8" t="str"/>
    </x:row>
    <x:row r="971">
      <x:c r="A971" s="10" t="n">
        <x:v>970</x:v>
      </x:c>
      <x:c r="B971" s="2" t="str">
        <x:v>2차 보류</x:v>
      </x:c>
      <x:c r="C971" s="2" t="str">
        <x:v>2차 보류</x:v>
      </x:c>
      <x:c r="D971" s="2" t="str">
        <x:v>낮음</x:v>
      </x:c>
      <x:c r="E971" s="2" t="str">
        <x:v>N2</x:v>
      </x:c>
      <x:c r="F971" s="10" t="n">
        <x:v>341</x:v>
      </x:c>
      <x:c r="G971" s="2" t="str">
        <x:v>w_8c9397dee5f57aaf</x:v>
      </x:c>
      <x:c r="H971" s="2" t="str">
        <x:v>五十音</x:v>
      </x:c>
      <x:c r="I971" s="2" t="str">
        <x:v>ごじゅうおん</x:v>
      </x:c>
      <x:c r="J971" s="8" t="str">
        <x:v>일본의, 일본어 음절 문자표</x:v>
      </x:c>
      <x:c r="K971" s="2" t="str">
        <x:v>noun</x:v>
      </x:c>
      <x:c r="L971" s="9" t="n">
        <x:v>2.75</x:v>
      </x:c>
      <x:c r="M971" s="2" t="str">
        <x:v>없음</x:v>
      </x:c>
      <x:c r="N971" s="11" t="n">
        <x:v>-2</x:v>
      </x:c>
      <x:c r="O971" s="8" t="str">
        <x:v>일반 사용 빈도 낮은 편(Zipf ≤ 3.0); 검증된 예문 없음; 기존 데이터의 한국어 콘텐츠 보강 필요 태그</x:v>
      </x:c>
      <x:c r="P971" s="8" t="str">
        <x:v>frequency_le_3_0,no_example,weak_legacy_content</x:v>
      </x:c>
      <x:c r="Q971" s="2" t="str"/>
      <x:c r="R971" s="2" t="str"/>
      <x:c r="S971" s="2" t="str"/>
      <x:c r="T971" s="2" t="str"/>
      <x:c r="U971" s="2" t="str"/>
      <x:c r="V971" s="2" t="str">
        <x:v>아니오</x:v>
      </x:c>
      <x:c r="W971" s="2" t="str">
        <x:v>예</x:v>
      </x:c>
      <x:c r="X971" s="2" t="str">
        <x:v>ichi1,news2,nf26</x:v>
      </x:c>
      <x:c r="Y971" s="2" t="n">
        <x:v>100</x:v>
      </x:c>
      <x:c r="Z971" s="2" t="str">
        <x:v>ichi1,news2,nf26</x:v>
      </x:c>
      <x:c r="AA971" s="2" t="n">
        <x:v>100</x:v>
      </x:c>
      <x:c r="AB971" s="8" t="str"/>
      <x:c r="AC971" s="8" t="str"/>
      <x:c r="AD971" s="8" t="str">
        <x:v>["draft-ko-missing"]</x:v>
      </x:c>
      <x:c r="AE971" s="8" t="str">
        <x:v>검토 필요</x:v>
      </x:c>
      <x:c r="AF971" s="8" t="str"/>
    </x:row>
    <x:row r="972">
      <x:c r="A972" s="10" t="n">
        <x:v>971</x:v>
      </x:c>
      <x:c r="B972" s="2" t="str">
        <x:v>2차 보류</x:v>
      </x:c>
      <x:c r="C972" s="2" t="str">
        <x:v>2차 보류</x:v>
      </x:c>
      <x:c r="D972" s="2" t="str">
        <x:v>낮음</x:v>
      </x:c>
      <x:c r="E972" s="2" t="str">
        <x:v>N1</x:v>
      </x:c>
      <x:c r="F972" s="10" t="n">
        <x:v>432</x:v>
      </x:c>
      <x:c r="G972" s="2" t="str">
        <x:v>w_871701ef4118a88f</x:v>
      </x:c>
      <x:c r="H972" s="2" t="str">
        <x:v>折衷</x:v>
      </x:c>
      <x:c r="I972" s="2" t="str">
        <x:v>せっちゅう</x:v>
      </x:c>
      <x:c r="J972" s="8" t="str">
        <x:v>절충</x:v>
      </x:c>
      <x:c r="K972" s="2" t="str">
        <x:v>noun</x:v>
      </x:c>
      <x:c r="L972" s="9" t="n">
        <x:v>2.75</x:v>
      </x:c>
      <x:c r="M972" s="2" t="str">
        <x:v>없음</x:v>
      </x:c>
      <x:c r="N972" s="11" t="n">
        <x:v>-2</x:v>
      </x:c>
      <x:c r="O972" s="8" t="str">
        <x:v>일반 사용 빈도 낮은 편(Zipf ≤ 3.0); 검증된 예문 없음; 기존 데이터의 한국어 콘텐츠 보강 필요 태그</x:v>
      </x:c>
      <x:c r="P972" s="8" t="str">
        <x:v>frequency_le_3_0,no_example,weak_legacy_content</x:v>
      </x:c>
      <x:c r="Q972" s="2" t="str"/>
      <x:c r="R972" s="2" t="str"/>
      <x:c r="S972" s="2" t="str"/>
      <x:c r="T972" s="2" t="str"/>
      <x:c r="U972" s="2" t="str"/>
      <x:c r="V972" s="2" t="str">
        <x:v>아니오</x:v>
      </x:c>
      <x:c r="W972" s="2" t="str">
        <x:v>예</x:v>
      </x:c>
      <x:c r="X972" s="2" t="str">
        <x:v>ichi1,news1,nf23</x:v>
      </x:c>
      <x:c r="Y972" s="2" t="n">
        <x:v>100</x:v>
      </x:c>
      <x:c r="Z972" s="2" t="str">
        <x:v>ichi1,news1,nf23</x:v>
      </x:c>
      <x:c r="AA972" s="2" t="n">
        <x:v>100</x:v>
      </x:c>
      <x:c r="AB972" s="8" t="str"/>
      <x:c r="AC972" s="8" t="str"/>
      <x:c r="AD972" s="8" t="str">
        <x:v>["draft-ko-missing"]</x:v>
      </x:c>
      <x:c r="AE972" s="8" t="str">
        <x:v>검토 필요</x:v>
      </x:c>
      <x:c r="AF972" s="8" t="str"/>
    </x:row>
    <x:row r="973">
      <x:c r="A973" s="10" t="n">
        <x:v>972</x:v>
      </x:c>
      <x:c r="B973" s="2" t="str">
        <x:v>2차 보류</x:v>
      </x:c>
      <x:c r="C973" s="2" t="str">
        <x:v>2차 보류</x:v>
      </x:c>
      <x:c r="D973" s="2" t="str">
        <x:v>낮음</x:v>
      </x:c>
      <x:c r="E973" s="2" t="str">
        <x:v>N2</x:v>
      </x:c>
      <x:c r="F973" s="10" t="n">
        <x:v>342</x:v>
      </x:c>
      <x:c r="G973" s="2" t="str">
        <x:v>w_09d31b5d3e96cc64</x:v>
      </x:c>
      <x:c r="H973" s="2" t="str">
        <x:v>落し物</x:v>
      </x:c>
      <x:c r="I973" s="2" t="str">
        <x:v>おとしもの</x:v>
      </x:c>
      <x:c r="J973" s="8" t="str">
        <x:v>분실물</x:v>
      </x:c>
      <x:c r="K973" s="2" t="str">
        <x:v>noun</x:v>
      </x:c>
      <x:c r="L973" s="9" t="n">
        <x:v>2.76</x:v>
      </x:c>
      <x:c r="M973" s="2" t="str">
        <x:v>없음</x:v>
      </x:c>
      <x:c r="N973" s="11" t="n">
        <x:v>-2</x:v>
      </x:c>
      <x:c r="O973" s="8" t="str">
        <x:v>일반 사용 빈도 낮은 편(Zipf ≤ 3.0); 검증된 예문 없음; 기존 데이터의 한국어 콘텐츠 보강 필요 태그</x:v>
      </x:c>
      <x:c r="P973" s="8" t="str">
        <x:v>frequency_le_3_0,no_example,weak_legacy_content</x:v>
      </x:c>
      <x:c r="Q973" s="2" t="str"/>
      <x:c r="R973" s="2" t="str"/>
      <x:c r="S973" s="2" t="str"/>
      <x:c r="T973" s="2" t="str"/>
      <x:c r="U973" s="2" t="str"/>
      <x:c r="V973" s="2" t="str">
        <x:v>아니오</x:v>
      </x:c>
      <x:c r="W973" s="2" t="str">
        <x:v>예</x:v>
      </x:c>
      <x:c r="X973" s="2" t="str">
        <x:v>ichi1,news2,nf40,spec1</x:v>
      </x:c>
      <x:c r="Y973" s="2" t="n">
        <x:v>100</x:v>
      </x:c>
      <x:c r="Z973" s="2" t="str">
        <x:v>spec1</x:v>
      </x:c>
      <x:c r="AA973" s="2" t="n">
        <x:v>100</x:v>
      </x:c>
      <x:c r="AB973" s="8" t="str"/>
      <x:c r="AC973" s="8" t="str"/>
      <x:c r="AD973" s="8" t="str">
        <x:v>["draft-ko-missing"]</x:v>
      </x:c>
      <x:c r="AE973" s="8" t="str">
        <x:v>검토 필요</x:v>
      </x:c>
      <x:c r="AF973" s="8" t="str"/>
    </x:row>
    <x:row r="974">
      <x:c r="A974" s="10" t="n">
        <x:v>973</x:v>
      </x:c>
      <x:c r="B974" s="2" t="str">
        <x:v>2차 보류</x:v>
      </x:c>
      <x:c r="C974" s="2" t="str">
        <x:v>2차 보류</x:v>
      </x:c>
      <x:c r="D974" s="2" t="str">
        <x:v>낮음</x:v>
      </x:c>
      <x:c r="E974" s="2" t="str">
        <x:v>N1</x:v>
      </x:c>
      <x:c r="F974" s="10" t="n">
        <x:v>433</x:v>
      </x:c>
      <x:c r="G974" s="2" t="str">
        <x:v>w_b36e6034a0f6af76</x:v>
      </x:c>
      <x:c r="H974" s="2" t="str">
        <x:v>負かす</x:v>
      </x:c>
      <x:c r="I974" s="2" t="str">
        <x:v>まかす</x:v>
      </x:c>
      <x:c r="J974" s="8" t="str">
        <x:v>이기다, 무찌르다</x:v>
      </x:c>
      <x:c r="K974" s="2" t="str">
        <x:v>verb</x:v>
      </x:c>
      <x:c r="L974" s="9" t="n">
        <x:v>2.76</x:v>
      </x:c>
      <x:c r="M974" s="2" t="str">
        <x:v>없음</x:v>
      </x:c>
      <x:c r="N974" s="11" t="n">
        <x:v>-2</x:v>
      </x:c>
      <x:c r="O974" s="8" t="str">
        <x:v>일반 사용 빈도 낮은 편(Zipf ≤ 3.0); 검증된 예문 없음; 기존 데이터의 한국어 콘텐츠 보강 필요 태그</x:v>
      </x:c>
      <x:c r="P974" s="8" t="str">
        <x:v>frequency_le_3_0,no_example,weak_legacy_content</x:v>
      </x:c>
      <x:c r="Q974" s="2" t="str"/>
      <x:c r="R974" s="2" t="str"/>
      <x:c r="S974" s="2" t="str"/>
      <x:c r="T974" s="2" t="str"/>
      <x:c r="U974" s="2" t="str"/>
      <x:c r="V974" s="2" t="str">
        <x:v>아니오</x:v>
      </x:c>
      <x:c r="W974" s="2" t="str">
        <x:v>예</x:v>
      </x:c>
      <x:c r="X974" s="2" t="str">
        <x:v>ichi1</x:v>
      </x:c>
      <x:c r="Y974" s="2" t="n">
        <x:v>100</x:v>
      </x:c>
      <x:c r="Z974" s="2" t="str">
        <x:v>ichi1</x:v>
      </x:c>
      <x:c r="AA974" s="2" t="n">
        <x:v>100</x:v>
      </x:c>
      <x:c r="AB974" s="8" t="str"/>
      <x:c r="AC974" s="8" t="str"/>
      <x:c r="AD974" s="8" t="str">
        <x:v>["draft-ko-missing"]</x:v>
      </x:c>
      <x:c r="AE974" s="8" t="str">
        <x:v>검토 필요</x:v>
      </x:c>
      <x:c r="AF974" s="8" t="str"/>
    </x:row>
    <x:row r="975">
      <x:c r="A975" s="10" t="n">
        <x:v>974</x:v>
      </x:c>
      <x:c r="B975" s="2" t="str">
        <x:v>2차 보류</x:v>
      </x:c>
      <x:c r="C975" s="2" t="str">
        <x:v>2차 보류</x:v>
      </x:c>
      <x:c r="D975" s="2" t="str">
        <x:v>낮음</x:v>
      </x:c>
      <x:c r="E975" s="2" t="str">
        <x:v>N1</x:v>
      </x:c>
      <x:c r="F975" s="10" t="n">
        <x:v>434</x:v>
      </x:c>
      <x:c r="G975" s="2" t="str">
        <x:v>w_4e787162989e0bc2</x:v>
      </x:c>
      <x:c r="H975" s="2" t="str">
        <x:v>担架</x:v>
      </x:c>
      <x:c r="I975" s="2" t="str">
        <x:v>たんか</x:v>
      </x:c>
      <x:c r="J975" s="8" t="str">
        <x:v>들것</x:v>
      </x:c>
      <x:c r="K975" s="2" t="str">
        <x:v>noun</x:v>
      </x:c>
      <x:c r="L975" s="9" t="n">
        <x:v>2.77</x:v>
      </x:c>
      <x:c r="M975" s="2" t="str">
        <x:v>없음</x:v>
      </x:c>
      <x:c r="N975" s="11" t="n">
        <x:v>-2</x:v>
      </x:c>
      <x:c r="O975" s="8" t="str">
        <x:v>일반 사용 빈도 낮은 편(Zipf ≤ 3.0); 검증된 예문 없음; 기존 데이터의 한국어 콘텐츠 보강 필요 태그</x:v>
      </x:c>
      <x:c r="P975" s="8" t="str">
        <x:v>frequency_le_3_0,no_example,weak_legacy_content</x:v>
      </x:c>
      <x:c r="Q975" s="2" t="str"/>
      <x:c r="R975" s="2" t="str"/>
      <x:c r="S975" s="2" t="str"/>
      <x:c r="T975" s="2" t="str"/>
      <x:c r="U975" s="2" t="str"/>
      <x:c r="V975" s="2" t="str">
        <x:v>아니오</x:v>
      </x:c>
      <x:c r="W975" s="2" t="str">
        <x:v>예</x:v>
      </x:c>
      <x:c r="X975" s="2" t="str">
        <x:v>ichi1,news2,nf36</x:v>
      </x:c>
      <x:c r="Y975" s="2" t="n">
        <x:v>100</x:v>
      </x:c>
      <x:c r="Z975" s="2" t="str">
        <x:v>ichi1,news2,nf36</x:v>
      </x:c>
      <x:c r="AA975" s="2" t="n">
        <x:v>100</x:v>
      </x:c>
      <x:c r="AB975" s="8" t="str"/>
      <x:c r="AC975" s="8" t="str"/>
      <x:c r="AD975" s="8" t="str">
        <x:v>["draft-ko-missing"]</x:v>
      </x:c>
      <x:c r="AE975" s="8" t="str">
        <x:v>검토 필요</x:v>
      </x:c>
      <x:c r="AF975" s="8" t="str"/>
    </x:row>
    <x:row r="976">
      <x:c r="A976" s="10" t="n">
        <x:v>975</x:v>
      </x:c>
      <x:c r="B976" s="2" t="str">
        <x:v>2차 보류</x:v>
      </x:c>
      <x:c r="C976" s="2" t="str">
        <x:v>2차 보류</x:v>
      </x:c>
      <x:c r="D976" s="2" t="str">
        <x:v>낮음</x:v>
      </x:c>
      <x:c r="E976" s="2" t="str">
        <x:v>N2</x:v>
      </x:c>
      <x:c r="F976" s="10" t="n">
        <x:v>343</x:v>
      </x:c>
      <x:c r="G976" s="2" t="str">
        <x:v>w_5a7bd88c0a5719a2</x:v>
      </x:c>
      <x:c r="H976" s="2" t="str">
        <x:v>苦心</x:v>
      </x:c>
      <x:c r="I976" s="2" t="str">
        <x:v>くしん</x:v>
      </x:c>
      <x:c r="J976" s="8" t="str">
        <x:v>고심, 애씀</x:v>
      </x:c>
      <x:c r="K976" s="2" t="str">
        <x:v>noun</x:v>
      </x:c>
      <x:c r="L976" s="9" t="n">
        <x:v>2.78</x:v>
      </x:c>
      <x:c r="M976" s="2" t="str">
        <x:v>없음</x:v>
      </x:c>
      <x:c r="N976" s="11" t="n">
        <x:v>-2</x:v>
      </x:c>
      <x:c r="O976" s="8" t="str">
        <x:v>일반 사용 빈도 낮은 편(Zipf ≤ 3.0); 검증된 예문 없음; 기존 데이터의 한국어 콘텐츠 보강 필요 태그</x:v>
      </x:c>
      <x:c r="P976" s="8" t="str">
        <x:v>frequency_le_3_0,no_example,weak_legacy_content</x:v>
      </x:c>
      <x:c r="Q976" s="2" t="str"/>
      <x:c r="R976" s="2" t="str"/>
      <x:c r="S976" s="2" t="str"/>
      <x:c r="T976" s="2" t="str"/>
      <x:c r="U976" s="2" t="str"/>
      <x:c r="V976" s="2" t="str">
        <x:v>아니오</x:v>
      </x:c>
      <x:c r="W976" s="2" t="str">
        <x:v>예</x:v>
      </x:c>
      <x:c r="X976" s="2" t="str">
        <x:v>ichi1,news1,nf22</x:v>
      </x:c>
      <x:c r="Y976" s="2" t="n">
        <x:v>100</x:v>
      </x:c>
      <x:c r="Z976" s="2" t="str">
        <x:v>ichi1,news1,nf22</x:v>
      </x:c>
      <x:c r="AA976" s="2" t="n">
        <x:v>100</x:v>
      </x:c>
      <x:c r="AB976" s="8" t="str"/>
      <x:c r="AC976" s="8" t="str"/>
      <x:c r="AD976" s="8" t="str">
        <x:v>["draft-ko-missing"]</x:v>
      </x:c>
      <x:c r="AE976" s="8" t="str">
        <x:v>검토 필요</x:v>
      </x:c>
      <x:c r="AF976" s="8" t="str"/>
    </x:row>
    <x:row r="977">
      <x:c r="A977" s="10" t="n">
        <x:v>976</x:v>
      </x:c>
      <x:c r="B977" s="2" t="str">
        <x:v>2차 보류</x:v>
      </x:c>
      <x:c r="C977" s="2" t="str">
        <x:v>2차 보류</x:v>
      </x:c>
      <x:c r="D977" s="2" t="str">
        <x:v>낮음</x:v>
      </x:c>
      <x:c r="E977" s="2" t="str">
        <x:v>N2</x:v>
      </x:c>
      <x:c r="F977" s="10" t="n">
        <x:v>344</x:v>
      </x:c>
      <x:c r="G977" s="2" t="str">
        <x:v>w_d8b0a97be89cbefb</x:v>
      </x:c>
      <x:c r="H977" s="2" t="str">
        <x:v>受話器</x:v>
      </x:c>
      <x:c r="I977" s="2" t="str">
        <x:v>じゅわき</x:v>
      </x:c>
      <x:c r="J977" s="8" t="str">
        <x:v>수화기(전화)</x:v>
      </x:c>
      <x:c r="K977" s="2" t="str">
        <x:v>noun</x:v>
      </x:c>
      <x:c r="L977" s="9" t="n">
        <x:v>2.78</x:v>
      </x:c>
      <x:c r="M977" s="2" t="str">
        <x:v>없음</x:v>
      </x:c>
      <x:c r="N977" s="11" t="n">
        <x:v>-2</x:v>
      </x:c>
      <x:c r="O977" s="8" t="str">
        <x:v>일반 사용 빈도 낮은 편(Zipf ≤ 3.0); 검증된 예문 없음; 기존 데이터의 한국어 콘텐츠 보강 필요 태그</x:v>
      </x:c>
      <x:c r="P977" s="8" t="str">
        <x:v>frequency_le_3_0,no_example,weak_legacy_content</x:v>
      </x:c>
      <x:c r="Q977" s="2" t="str"/>
      <x:c r="R977" s="2" t="str"/>
      <x:c r="S977" s="2" t="str"/>
      <x:c r="T977" s="2" t="str"/>
      <x:c r="U977" s="2" t="str"/>
      <x:c r="V977" s="2" t="str">
        <x:v>아니오</x:v>
      </x:c>
      <x:c r="W977" s="2" t="str">
        <x:v>예</x:v>
      </x:c>
      <x:c r="X977" s="2" t="str">
        <x:v>ichi1,news1,nf16</x:v>
      </x:c>
      <x:c r="Y977" s="2" t="n">
        <x:v>100</x:v>
      </x:c>
      <x:c r="Z977" s="2" t="str">
        <x:v>ichi1,news1,nf16</x:v>
      </x:c>
      <x:c r="AA977" s="2" t="n">
        <x:v>100</x:v>
      </x:c>
      <x:c r="AB977" s="8" t="str"/>
      <x:c r="AC977" s="8" t="str"/>
      <x:c r="AD977" s="8" t="str">
        <x:v>["draft-ko-missing"]</x:v>
      </x:c>
      <x:c r="AE977" s="8" t="str">
        <x:v>검토 필요</x:v>
      </x:c>
      <x:c r="AF977" s="8" t="str"/>
    </x:row>
    <x:row r="978">
      <x:c r="A978" s="10" t="n">
        <x:v>977</x:v>
      </x:c>
      <x:c r="B978" s="2" t="str">
        <x:v>2차 보류</x:v>
      </x:c>
      <x:c r="C978" s="2" t="str">
        <x:v>2차 보류</x:v>
      </x:c>
      <x:c r="D978" s="2" t="str">
        <x:v>낮음</x:v>
      </x:c>
      <x:c r="E978" s="2" t="str">
        <x:v>N3</x:v>
      </x:c>
      <x:c r="F978" s="10" t="n">
        <x:v>115</x:v>
      </x:c>
      <x:c r="G978" s="2" t="str">
        <x:v>w_31294705cbecd19b</x:v>
      </x:c>
      <x:c r="H978" s="2" t="str">
        <x:v>裂く</x:v>
      </x:c>
      <x:c r="I978" s="2" t="str">
        <x:v>さく</x:v>
      </x:c>
      <x:c r="J978" s="8" t="str">
        <x:v>찢다, 가르다</x:v>
      </x:c>
      <x:c r="K978" s="2" t="str">
        <x:v>verb</x:v>
      </x:c>
      <x:c r="L978" s="9" t="n">
        <x:v>2.79</x:v>
      </x:c>
      <x:c r="M978" s="2" t="str">
        <x:v>없음</x:v>
      </x:c>
      <x:c r="N978" s="11" t="n">
        <x:v>-2</x:v>
      </x:c>
      <x:c r="O978" s="8" t="str">
        <x:v>일반 사용 빈도 낮은 편(Zipf ≤ 3.0); 검증된 예문 없음; 기존 데이터의 한국어 콘텐츠 보강 필요 태그</x:v>
      </x:c>
      <x:c r="P978" s="8" t="str">
        <x:v>frequency_le_3_0,no_example,weak_legacy_content</x:v>
      </x:c>
      <x:c r="Q978" s="2" t="str"/>
      <x:c r="R978" s="2" t="str"/>
      <x:c r="S978" s="2" t="str"/>
      <x:c r="T978" s="2" t="str"/>
      <x:c r="U978" s="2" t="str"/>
      <x:c r="V978" s="2" t="str">
        <x:v>아니오</x:v>
      </x:c>
      <x:c r="W978" s="2" t="str">
        <x:v>예</x:v>
      </x:c>
      <x:c r="X978" s="2" t="str">
        <x:v>ichi1</x:v>
      </x:c>
      <x:c r="Y978" s="2" t="n">
        <x:v>100</x:v>
      </x:c>
      <x:c r="Z978" s="2" t="str">
        <x:v>ichi1</x:v>
      </x:c>
      <x:c r="AA978" s="2" t="n">
        <x:v>100</x:v>
      </x:c>
      <x:c r="AB978" s="8" t="str">
        <x:v>archaic</x:v>
      </x:c>
      <x:c r="AC978" s="8" t="str"/>
      <x:c r="AD978" s="8" t="str">
        <x:v>["draft-ko-missing"]</x:v>
      </x:c>
      <x:c r="AE978" s="8" t="str">
        <x:v>검토 필요</x:v>
      </x:c>
      <x:c r="AF978" s="8" t="str"/>
    </x:row>
    <x:row r="979">
      <x:c r="A979" s="10" t="n">
        <x:v>978</x:v>
      </x:c>
      <x:c r="B979" s="2" t="str">
        <x:v>2차 보류</x:v>
      </x:c>
      <x:c r="C979" s="2" t="str">
        <x:v>2차 보류</x:v>
      </x:c>
      <x:c r="D979" s="2" t="str">
        <x:v>낮음</x:v>
      </x:c>
      <x:c r="E979" s="2" t="str">
        <x:v>N2</x:v>
      </x:c>
      <x:c r="F979" s="10" t="n">
        <x:v>345</x:v>
      </x:c>
      <x:c r="G979" s="2" t="str">
        <x:v>w_269ddebb94cfa099</x:v>
      </x:c>
      <x:c r="H979" s="2" t="str">
        <x:v>図々しい</x:v>
      </x:c>
      <x:c r="I979" s="2" t="str">
        <x:v>ずうずうしい</x:v>
      </x:c>
      <x:c r="J979" s="8" t="str">
        <x:v>뻔뻔한</x:v>
      </x:c>
      <x:c r="K979" s="2" t="str">
        <x:v>adjective</x:v>
      </x:c>
      <x:c r="L979" s="9" t="n">
        <x:v>2.79</x:v>
      </x:c>
      <x:c r="M979" s="2" t="str">
        <x:v>없음</x:v>
      </x:c>
      <x:c r="N979" s="11" t="n">
        <x:v>-2</x:v>
      </x:c>
      <x:c r="O979" s="8" t="str">
        <x:v>일반 사용 빈도 낮은 편(Zipf ≤ 3.0); 검증된 예문 없음; 기존 데이터의 한국어 콘텐츠 보강 필요 태그</x:v>
      </x:c>
      <x:c r="P979" s="8" t="str">
        <x:v>frequency_le_3_0,no_example,weak_legacy_content</x:v>
      </x:c>
      <x:c r="Q979" s="2" t="str"/>
      <x:c r="R979" s="2" t="str"/>
      <x:c r="S979" s="2" t="str"/>
      <x:c r="T979" s="2" t="str"/>
      <x:c r="U979" s="2" t="str"/>
      <x:c r="V979" s="2" t="str">
        <x:v>아니오</x:v>
      </x:c>
      <x:c r="W979" s="2" t="str">
        <x:v>예</x:v>
      </x:c>
      <x:c r="X979" s="2" t="str">
        <x:v>ichi1</x:v>
      </x:c>
      <x:c r="Y979" s="2" t="n">
        <x:v>100</x:v>
      </x:c>
      <x:c r="Z979" s="2" t="str">
        <x:v>ichi1</x:v>
      </x:c>
      <x:c r="AA979" s="2" t="n">
        <x:v>100</x:v>
      </x:c>
      <x:c r="AB979" s="8" t="str"/>
      <x:c r="AC979" s="8" t="str"/>
      <x:c r="AD979" s="8" t="str">
        <x:v>["draft-ko-missing"]</x:v>
      </x:c>
      <x:c r="AE979" s="8" t="str">
        <x:v>검토 필요</x:v>
      </x:c>
      <x:c r="AF979" s="8" t="str"/>
    </x:row>
    <x:row r="980">
      <x:c r="A980" s="10" t="n">
        <x:v>979</x:v>
      </x:c>
      <x:c r="B980" s="2" t="str">
        <x:v>2차 보류</x:v>
      </x:c>
      <x:c r="C980" s="2" t="str">
        <x:v>2차 보류</x:v>
      </x:c>
      <x:c r="D980" s="2" t="str">
        <x:v>낮음</x:v>
      </x:c>
      <x:c r="E980" s="2" t="str">
        <x:v>N2</x:v>
      </x:c>
      <x:c r="F980" s="10" t="n">
        <x:v>346</x:v>
      </x:c>
      <x:c r="G980" s="2" t="str">
        <x:v>w_348f9fe2c48c6f73</x:v>
      </x:c>
      <x:c r="H980" s="2" t="str">
        <x:v>工員</x:v>
      </x:c>
      <x:c r="I980" s="2" t="str">
        <x:v>こういん</x:v>
      </x:c>
      <x:c r="J980" s="8" t="str">
        <x:v>공장 노동자</x:v>
      </x:c>
      <x:c r="K980" s="2" t="str">
        <x:v>noun</x:v>
      </x:c>
      <x:c r="L980" s="9" t="n">
        <x:v>2.79</x:v>
      </x:c>
      <x:c r="M980" s="2" t="str">
        <x:v>없음</x:v>
      </x:c>
      <x:c r="N980" s="11" t="n">
        <x:v>-2</x:v>
      </x:c>
      <x:c r="O980" s="8" t="str">
        <x:v>일반 사용 빈도 낮은 편(Zipf ≤ 3.0); 검증된 예문 없음; 기존 데이터의 한국어 콘텐츠 보강 필요 태그</x:v>
      </x:c>
      <x:c r="P980" s="8" t="str">
        <x:v>frequency_le_3_0,no_example,weak_legacy_content</x:v>
      </x:c>
      <x:c r="Q980" s="2" t="str"/>
      <x:c r="R980" s="2" t="str"/>
      <x:c r="S980" s="2" t="str"/>
      <x:c r="T980" s="2" t="str"/>
      <x:c r="U980" s="2" t="str"/>
      <x:c r="V980" s="2" t="str">
        <x:v>아니오</x:v>
      </x:c>
      <x:c r="W980" s="2" t="str">
        <x:v>예</x:v>
      </x:c>
      <x:c r="X980" s="2" t="str">
        <x:v>news1,nf18</x:v>
      </x:c>
      <x:c r="Y980" s="2" t="n">
        <x:v>100</x:v>
      </x:c>
      <x:c r="Z980" s="2" t="str">
        <x:v>news1,nf18</x:v>
      </x:c>
      <x:c r="AA980" s="2" t="n">
        <x:v>100</x:v>
      </x:c>
      <x:c r="AB980" s="8" t="str"/>
      <x:c r="AC980" s="8" t="str"/>
      <x:c r="AD980" s="8" t="str">
        <x:v>["draft-ko-missing"]</x:v>
      </x:c>
      <x:c r="AE980" s="8" t="str">
        <x:v>검토 필요</x:v>
      </x:c>
      <x:c r="AF980" s="8" t="str"/>
    </x:row>
    <x:row r="981">
      <x:c r="A981" s="10" t="n">
        <x:v>980</x:v>
      </x:c>
      <x:c r="B981" s="2" t="str">
        <x:v>2차 보류</x:v>
      </x:c>
      <x:c r="C981" s="2" t="str">
        <x:v>2차 보류</x:v>
      </x:c>
      <x:c r="D981" s="2" t="str">
        <x:v>낮음</x:v>
      </x:c>
      <x:c r="E981" s="2" t="str">
        <x:v>N2</x:v>
      </x:c>
      <x:c r="F981" s="10" t="n">
        <x:v>347</x:v>
      </x:c>
      <x:c r="G981" s="2" t="str">
        <x:v>w_36803638e1726a98</x:v>
      </x:c>
      <x:c r="H981" s="2" t="str">
        <x:v>断水</x:v>
      </x:c>
      <x:c r="I981" s="2" t="str">
        <x:v>だんすい</x:v>
      </x:c>
      <x:c r="J981" s="8" t="str">
        <x:v>단수</x:v>
      </x:c>
      <x:c r="K981" s="2" t="str">
        <x:v>noun</x:v>
      </x:c>
      <x:c r="L981" s="9" t="n">
        <x:v>2.79</x:v>
      </x:c>
      <x:c r="M981" s="2" t="str">
        <x:v>없음</x:v>
      </x:c>
      <x:c r="N981" s="11" t="n">
        <x:v>-2</x:v>
      </x:c>
      <x:c r="O981" s="8" t="str">
        <x:v>일반 사용 빈도 낮은 편(Zipf ≤ 3.0); 검증된 예문 없음; 기존 데이터의 한국어 콘텐츠 보강 필요 태그</x:v>
      </x:c>
      <x:c r="P981" s="8" t="str">
        <x:v>frequency_le_3_0,no_example,weak_legacy_content</x:v>
      </x:c>
      <x:c r="Q981" s="2" t="str"/>
      <x:c r="R981" s="2" t="str"/>
      <x:c r="S981" s="2" t="str"/>
      <x:c r="T981" s="2" t="str"/>
      <x:c r="U981" s="2" t="str"/>
      <x:c r="V981" s="2" t="str">
        <x:v>아니오</x:v>
      </x:c>
      <x:c r="W981" s="2" t="str">
        <x:v>예</x:v>
      </x:c>
      <x:c r="X981" s="2" t="str">
        <x:v>ichi1,news1,nf22</x:v>
      </x:c>
      <x:c r="Y981" s="2" t="n">
        <x:v>100</x:v>
      </x:c>
      <x:c r="Z981" s="2" t="str">
        <x:v>ichi1,news1,nf22</x:v>
      </x:c>
      <x:c r="AA981" s="2" t="n">
        <x:v>100</x:v>
      </x:c>
      <x:c r="AB981" s="8" t="str"/>
      <x:c r="AC981" s="8" t="str"/>
      <x:c r="AD981" s="8" t="str">
        <x:v>["draft-ko-missing"]</x:v>
      </x:c>
      <x:c r="AE981" s="8" t="str">
        <x:v>검토 필요</x:v>
      </x:c>
      <x:c r="AF981" s="8" t="str"/>
    </x:row>
    <x:row r="982">
      <x:c r="A982" s="10" t="n">
        <x:v>981</x:v>
      </x:c>
      <x:c r="B982" s="2" t="str">
        <x:v>2차 보류</x:v>
      </x:c>
      <x:c r="C982" s="2" t="str">
        <x:v>2차 보류</x:v>
      </x:c>
      <x:c r="D982" s="2" t="str">
        <x:v>낮음</x:v>
      </x:c>
      <x:c r="E982" s="2" t="str">
        <x:v>N1</x:v>
      </x:c>
      <x:c r="F982" s="10" t="n">
        <x:v>435</x:v>
      </x:c>
      <x:c r="G982" s="2" t="str">
        <x:v>w_874a69ed8bec774f</x:v>
      </x:c>
      <x:c r="H982" s="2" t="str">
        <x:v>合わす</x:v>
      </x:c>
      <x:c r="I982" s="2" t="str">
        <x:v>あわす</x:v>
      </x:c>
      <x:c r="J982" s="8" t="str">
        <x:v>맞추다, 합치다</x:v>
      </x:c>
      <x:c r="K982" s="2" t="str">
        <x:v>verb</x:v>
      </x:c>
      <x:c r="L982" s="9" t="n">
        <x:v>2.79</x:v>
      </x:c>
      <x:c r="M982" s="2" t="str">
        <x:v>없음</x:v>
      </x:c>
      <x:c r="N982" s="11" t="n">
        <x:v>-2</x:v>
      </x:c>
      <x:c r="O982" s="8" t="str">
        <x:v>일반 사용 빈도 낮은 편(Zipf ≤ 3.0); 검증된 예문 없음; 기존 데이터의 한국어 콘텐츠 보강 필요 태그</x:v>
      </x:c>
      <x:c r="P982" s="8" t="str">
        <x:v>frequency_le_3_0,no_example,weak_legacy_content</x:v>
      </x:c>
      <x:c r="Q982" s="2" t="str"/>
      <x:c r="R982" s="2" t="str"/>
      <x:c r="S982" s="2" t="str"/>
      <x:c r="T982" s="2" t="str"/>
      <x:c r="U982" s="2" t="str"/>
      <x:c r="V982" s="2" t="str">
        <x:v>아니오</x:v>
      </x:c>
      <x:c r="W982" s="2" t="str">
        <x:v>예</x:v>
      </x:c>
      <x:c r="X982" s="2" t="str">
        <x:v>ichi1,news2,nf38</x:v>
      </x:c>
      <x:c r="Y982" s="2" t="n">
        <x:v>100</x:v>
      </x:c>
      <x:c r="Z982" s="2" t="str">
        <x:v>ichi1,news2,nf38</x:v>
      </x:c>
      <x:c r="AA982" s="2" t="n">
        <x:v>100</x:v>
      </x:c>
      <x:c r="AB982" s="8" t="str"/>
      <x:c r="AC982" s="8" t="str"/>
      <x:c r="AD982" s="8" t="str">
        <x:v>["draft-ko-missing"]</x:v>
      </x:c>
      <x:c r="AE982" s="8" t="str">
        <x:v>검토 필요</x:v>
      </x:c>
      <x:c r="AF982" s="8" t="str"/>
    </x:row>
    <x:row r="983">
      <x:c r="A983" s="10" t="n">
        <x:v>982</x:v>
      </x:c>
      <x:c r="B983" s="2" t="str">
        <x:v>2차 보류</x:v>
      </x:c>
      <x:c r="C983" s="2" t="str">
        <x:v>2차 보류</x:v>
      </x:c>
      <x:c r="D983" s="2" t="str">
        <x:v>낮음</x:v>
      </x:c>
      <x:c r="E983" s="2" t="str">
        <x:v>N4</x:v>
      </x:c>
      <x:c r="F983" s="10" t="n">
        <x:v>67</x:v>
      </x:c>
      <x:c r="G983" s="2" t="str">
        <x:v>w_4e68adf3b15aecc4</x:v>
      </x:c>
      <x:c r="H983" s="2" t="str">
        <x:v>取り替える</x:v>
      </x:c>
      <x:c r="I983" s="2" t="str">
        <x:v>とりかえる</x:v>
      </x:c>
      <x:c r="J983" s="8" t="str">
        <x:v>교환하다, 바꾸다</x:v>
      </x:c>
      <x:c r="K983" s="2" t="str">
        <x:v>verb</x:v>
      </x:c>
      <x:c r="L983" s="9" t="n">
        <x:v>2.8</x:v>
      </x:c>
      <x:c r="M983" s="2" t="str">
        <x:v>없음</x:v>
      </x:c>
      <x:c r="N983" s="11" t="n">
        <x:v>-2</x:v>
      </x:c>
      <x:c r="O983" s="8" t="str">
        <x:v>일반 사용 빈도 낮은 편(Zipf ≤ 3.0); 검증된 예문 없음; 기존 데이터의 한국어 콘텐츠 보강 필요 태그</x:v>
      </x:c>
      <x:c r="P983" s="8" t="str">
        <x:v>frequency_le_3_0,no_example,weak_legacy_content</x:v>
      </x:c>
      <x:c r="Q983" s="2" t="str"/>
      <x:c r="R983" s="2" t="str"/>
      <x:c r="S983" s="2" t="str"/>
      <x:c r="T983" s="2" t="str"/>
      <x:c r="U983" s="2" t="str"/>
      <x:c r="V983" s="2" t="str">
        <x:v>아니오</x:v>
      </x:c>
      <x:c r="W983" s="2" t="str">
        <x:v>예</x:v>
      </x:c>
      <x:c r="X983" s="2" t="str">
        <x:v>ichi1,news2,nf25</x:v>
      </x:c>
      <x:c r="Y983" s="2" t="n">
        <x:v>100</x:v>
      </x:c>
      <x:c r="Z983" s="2" t="str">
        <x:v>ichi1</x:v>
      </x:c>
      <x:c r="AA983" s="2" t="n">
        <x:v>100</x:v>
      </x:c>
      <x:c r="AB983" s="8" t="str"/>
      <x:c r="AC983" s="8" t="str"/>
      <x:c r="AD983" s="8" t="str">
        <x:v>["draft-ko-missing"]</x:v>
      </x:c>
      <x:c r="AE983" s="8" t="str">
        <x:v>검토 필요</x:v>
      </x:c>
      <x:c r="AF983" s="8" t="str"/>
    </x:row>
    <x:row r="984">
      <x:c r="A984" s="10" t="n">
        <x:v>983</x:v>
      </x:c>
      <x:c r="B984" s="2" t="str">
        <x:v>2차 보류</x:v>
      </x:c>
      <x:c r="C984" s="2" t="str">
        <x:v>2차 보류</x:v>
      </x:c>
      <x:c r="D984" s="2" t="str">
        <x:v>낮음</x:v>
      </x:c>
      <x:c r="E984" s="2" t="str">
        <x:v>N1</x:v>
      </x:c>
      <x:c r="F984" s="10" t="n">
        <x:v>436</x:v>
      </x:c>
      <x:c r="G984" s="2" t="str">
        <x:v>w_81756aee05f201cc</x:v>
      </x:c>
      <x:c r="H984" s="2" t="str">
        <x:v>私有</x:v>
      </x:c>
      <x:c r="I984" s="2" t="str">
        <x:v>しゆう</x:v>
      </x:c>
      <x:c r="J984" s="8" t="str">
        <x:v>사유, 개인 소유</x:v>
      </x:c>
      <x:c r="K984" s="2" t="str">
        <x:v>noun</x:v>
      </x:c>
      <x:c r="L984" s="9" t="n">
        <x:v>2.8</x:v>
      </x:c>
      <x:c r="M984" s="2" t="str">
        <x:v>없음</x:v>
      </x:c>
      <x:c r="N984" s="11" t="n">
        <x:v>-2</x:v>
      </x:c>
      <x:c r="O984" s="8" t="str">
        <x:v>일반 사용 빈도 낮은 편(Zipf ≤ 3.0); 검증된 예문 없음; 기존 데이터의 한국어 콘텐츠 보강 필요 태그</x:v>
      </x:c>
      <x:c r="P984" s="8" t="str">
        <x:v>frequency_le_3_0,no_example,weak_legacy_content</x:v>
      </x:c>
      <x:c r="Q984" s="2" t="str"/>
      <x:c r="R984" s="2" t="str"/>
      <x:c r="S984" s="2" t="str"/>
      <x:c r="T984" s="2" t="str"/>
      <x:c r="U984" s="2" t="str"/>
      <x:c r="V984" s="2" t="str">
        <x:v>아니오</x:v>
      </x:c>
      <x:c r="W984" s="2" t="str">
        <x:v>예</x:v>
      </x:c>
      <x:c r="X984" s="2" t="str">
        <x:v>news1,nf14</x:v>
      </x:c>
      <x:c r="Y984" s="2" t="n">
        <x:v>100</x:v>
      </x:c>
      <x:c r="Z984" s="2" t="str">
        <x:v>news1,nf14</x:v>
      </x:c>
      <x:c r="AA984" s="2" t="n">
        <x:v>100</x:v>
      </x:c>
      <x:c r="AB984" s="8" t="str"/>
      <x:c r="AC984" s="8" t="str"/>
      <x:c r="AD984" s="8" t="str">
        <x:v>["draft-ko-missing"]</x:v>
      </x:c>
      <x:c r="AE984" s="8" t="str">
        <x:v>검토 필요</x:v>
      </x:c>
      <x:c r="AF984" s="8" t="str"/>
    </x:row>
    <x:row r="985">
      <x:c r="A985" s="10" t="n">
        <x:v>984</x:v>
      </x:c>
      <x:c r="B985" s="2" t="str">
        <x:v>2차 보류</x:v>
      </x:c>
      <x:c r="C985" s="2" t="str">
        <x:v>2차 보류</x:v>
      </x:c>
      <x:c r="D985" s="2" t="str">
        <x:v>낮음</x:v>
      </x:c>
      <x:c r="E985" s="2" t="str">
        <x:v>N3</x:v>
      </x:c>
      <x:c r="F985" s="10" t="n">
        <x:v>116</x:v>
      </x:c>
      <x:c r="G985" s="2" t="str">
        <x:v>w_90b77c29a7a2b047</x:v>
      </x:c>
      <x:c r="H985" s="2" t="str">
        <x:v>今に</x:v>
      </x:c>
      <x:c r="I985" s="2" t="str">
        <x:v>いまに</x:v>
      </x:c>
      <x:c r="J985" s="8" t="str">
        <x:v>머지않아, 곧</x:v>
      </x:c>
      <x:c r="K985" s="2" t="str">
        <x:v>adverb</x:v>
      </x:c>
      <x:c r="L985" s="9" t="n">
        <x:v>2.81</x:v>
      </x:c>
      <x:c r="M985" s="2" t="str">
        <x:v>없음</x:v>
      </x:c>
      <x:c r="N985" s="11" t="n">
        <x:v>-2</x:v>
      </x:c>
      <x:c r="O985" s="8" t="str">
        <x:v>일반 사용 빈도 낮은 편(Zipf ≤ 3.0); 검증된 예문 없음; 기존 데이터의 한국어 콘텐츠 보강 필요 태그</x:v>
      </x:c>
      <x:c r="P985" s="8" t="str">
        <x:v>frequency_le_3_0,no_example,weak_legacy_content</x:v>
      </x:c>
      <x:c r="Q985" s="2" t="str"/>
      <x:c r="R985" s="2" t="str"/>
      <x:c r="S985" s="2" t="str"/>
      <x:c r="T985" s="2" t="str"/>
      <x:c r="U985" s="2" t="str"/>
      <x:c r="V985" s="2" t="str">
        <x:v>아니오</x:v>
      </x:c>
      <x:c r="W985" s="2" t="str">
        <x:v>예</x:v>
      </x:c>
      <x:c r="X985" s="2" t="str">
        <x:v>ichi1,news1,nf22</x:v>
      </x:c>
      <x:c r="Y985" s="2" t="n">
        <x:v>100</x:v>
      </x:c>
      <x:c r="Z985" s="2" t="str">
        <x:v>ichi1,news1,nf22</x:v>
      </x:c>
      <x:c r="AA985" s="2" t="n">
        <x:v>100</x:v>
      </x:c>
      <x:c r="AB985" s="8" t="str"/>
      <x:c r="AC985" s="8" t="str"/>
      <x:c r="AD985" s="8" t="str">
        <x:v>["draft-ko-missing"]</x:v>
      </x:c>
      <x:c r="AE985" s="8" t="str">
        <x:v>검토 필요</x:v>
      </x:c>
      <x:c r="AF985" s="8" t="str"/>
    </x:row>
    <x:row r="986">
      <x:c r="A986" s="10" t="n">
        <x:v>985</x:v>
      </x:c>
      <x:c r="B986" s="2" t="str">
        <x:v>2차 보류</x:v>
      </x:c>
      <x:c r="C986" s="2" t="str">
        <x:v>2차 보류</x:v>
      </x:c>
      <x:c r="D986" s="2" t="str">
        <x:v>낮음</x:v>
      </x:c>
      <x:c r="E986" s="2" t="str">
        <x:v>N2</x:v>
      </x:c>
      <x:c r="F986" s="10" t="n">
        <x:v>348</x:v>
      </x:c>
      <x:c r="G986" s="2" t="str">
        <x:v>w_465a387573468160</x:v>
      </x:c>
      <x:c r="H986" s="2" t="str">
        <x:v>転がす</x:v>
      </x:c>
      <x:c r="I986" s="2" t="str">
        <x:v>ころがす</x:v>
      </x:c>
      <x:c r="J986" s="8" t="str">
        <x:v>굴리다</x:v>
      </x:c>
      <x:c r="K986" s="2" t="str">
        <x:v>verb</x:v>
      </x:c>
      <x:c r="L986" s="9" t="n">
        <x:v>2.81</x:v>
      </x:c>
      <x:c r="M986" s="2" t="str">
        <x:v>없음</x:v>
      </x:c>
      <x:c r="N986" s="11" t="n">
        <x:v>-2</x:v>
      </x:c>
      <x:c r="O986" s="8" t="str">
        <x:v>일반 사용 빈도 낮은 편(Zipf ≤ 3.0); 검증된 예문 없음; 기존 데이터의 한국어 콘텐츠 보강 필요 태그</x:v>
      </x:c>
      <x:c r="P986" s="8" t="str">
        <x:v>frequency_le_3_0,no_example,weak_legacy_content</x:v>
      </x:c>
      <x:c r="Q986" s="2" t="str"/>
      <x:c r="R986" s="2" t="str"/>
      <x:c r="S986" s="2" t="str"/>
      <x:c r="T986" s="2" t="str"/>
      <x:c r="U986" s="2" t="str"/>
      <x:c r="V986" s="2" t="str">
        <x:v>아니오</x:v>
      </x:c>
      <x:c r="W986" s="2" t="str">
        <x:v>예</x:v>
      </x:c>
      <x:c r="X986" s="2" t="str">
        <x:v>ichi1,news2,nf28</x:v>
      </x:c>
      <x:c r="Y986" s="2" t="n">
        <x:v>100</x:v>
      </x:c>
      <x:c r="Z986" s="2" t="str">
        <x:v>ichi1,news2,nf28</x:v>
      </x:c>
      <x:c r="AA986" s="2" t="n">
        <x:v>100</x:v>
      </x:c>
      <x:c r="AB986" s="8" t="str"/>
      <x:c r="AC986" s="8" t="str"/>
      <x:c r="AD986" s="8" t="str">
        <x:v>["draft-ko-missing"]</x:v>
      </x:c>
      <x:c r="AE986" s="8" t="str">
        <x:v>검토 필요</x:v>
      </x:c>
      <x:c r="AF986" s="8" t="str"/>
    </x:row>
    <x:row r="987">
      <x:c r="A987" s="10" t="n">
        <x:v>986</x:v>
      </x:c>
      <x:c r="B987" s="2" t="str">
        <x:v>2차 보류</x:v>
      </x:c>
      <x:c r="C987" s="2" t="str">
        <x:v>2차 보류</x:v>
      </x:c>
      <x:c r="D987" s="2" t="str">
        <x:v>낮음</x:v>
      </x:c>
      <x:c r="E987" s="2" t="str">
        <x:v>N2</x:v>
      </x:c>
      <x:c r="F987" s="10" t="n">
        <x:v>349</x:v>
      </x:c>
      <x:c r="G987" s="2" t="str">
        <x:v>w_8518c3195cf69801</x:v>
      </x:c>
      <x:c r="H987" s="2" t="str">
        <x:v>書留</x:v>
      </x:c>
      <x:c r="I987" s="2" t="str">
        <x:v>かきとめ</x:v>
      </x:c>
      <x:c r="J987" s="8" t="str">
        <x:v>등기 우편</x:v>
      </x:c>
      <x:c r="K987" s="2" t="str">
        <x:v>noun</x:v>
      </x:c>
      <x:c r="L987" s="9" t="n">
        <x:v>2.81</x:v>
      </x:c>
      <x:c r="M987" s="2" t="str">
        <x:v>없음</x:v>
      </x:c>
      <x:c r="N987" s="11" t="n">
        <x:v>-2</x:v>
      </x:c>
      <x:c r="O987" s="8" t="str">
        <x:v>일반 사용 빈도 낮은 편(Zipf ≤ 3.0); 검증된 예문 없음; 기존 데이터의 한국어 콘텐츠 보강 필요 태그</x:v>
      </x:c>
      <x:c r="P987" s="8" t="str">
        <x:v>frequency_le_3_0,no_example,weak_legacy_content</x:v>
      </x:c>
      <x:c r="Q987" s="2" t="str"/>
      <x:c r="R987" s="2" t="str"/>
      <x:c r="S987" s="2" t="str"/>
      <x:c r="T987" s="2" t="str"/>
      <x:c r="U987" s="2" t="str"/>
      <x:c r="V987" s="2" t="str">
        <x:v>아니오</x:v>
      </x:c>
      <x:c r="W987" s="2" t="str">
        <x:v>예</x:v>
      </x:c>
      <x:c r="X987" s="2" t="str">
        <x:v>ichi1,news1,nf14</x:v>
      </x:c>
      <x:c r="Y987" s="2" t="n">
        <x:v>100</x:v>
      </x:c>
      <x:c r="Z987" s="2" t="str">
        <x:v>ichi1,news1,nf14</x:v>
      </x:c>
      <x:c r="AA987" s="2" t="n">
        <x:v>100</x:v>
      </x:c>
      <x:c r="AB987" s="8" t="str">
        <x:v>abbreviation</x:v>
      </x:c>
      <x:c r="AC987" s="8" t="str"/>
      <x:c r="AD987" s="8" t="str">
        <x:v>["draft-ko-missing"]</x:v>
      </x:c>
      <x:c r="AE987" s="8" t="str">
        <x:v>검토 필요</x:v>
      </x:c>
      <x:c r="AF987" s="8" t="str"/>
    </x:row>
    <x:row r="988">
      <x:c r="A988" s="10" t="n">
        <x:v>987</x:v>
      </x:c>
      <x:c r="B988" s="2" t="str">
        <x:v>2차 보류</x:v>
      </x:c>
      <x:c r="C988" s="2" t="str">
        <x:v>2차 보류</x:v>
      </x:c>
      <x:c r="D988" s="2" t="str">
        <x:v>낮음</x:v>
      </x:c>
      <x:c r="E988" s="2" t="str">
        <x:v>N2</x:v>
      </x:c>
      <x:c r="F988" s="10" t="n">
        <x:v>350</x:v>
      </x:c>
      <x:c r="G988" s="2" t="str">
        <x:v>w_fb8df02f91c60955</x:v>
      </x:c>
      <x:c r="H988" s="2" t="str">
        <x:v>信ずる</x:v>
      </x:c>
      <x:c r="I988" s="2" t="str">
        <x:v>しんずる</x:v>
      </x:c>
      <x:c r="J988" s="8" t="str">
        <x:v>믿다</x:v>
      </x:c>
      <x:c r="K988" s="2" t="str">
        <x:v>verb</x:v>
      </x:c>
      <x:c r="L988" s="9" t="n">
        <x:v>2.81</x:v>
      </x:c>
      <x:c r="M988" s="2" t="str">
        <x:v>없음</x:v>
      </x:c>
      <x:c r="N988" s="11" t="n">
        <x:v>-2</x:v>
      </x:c>
      <x:c r="O988" s="8" t="str">
        <x:v>일반 사용 빈도 낮은 편(Zipf ≤ 3.0); 검증된 예문 없음; 기존 데이터의 한국어 콘텐츠 보강 필요 태그</x:v>
      </x:c>
      <x:c r="P988" s="8" t="str">
        <x:v>frequency_le_3_0,no_example,weak_legacy_content</x:v>
      </x:c>
      <x:c r="Q988" s="2" t="str"/>
      <x:c r="R988" s="2" t="str"/>
      <x:c r="S988" s="2" t="str"/>
      <x:c r="T988" s="2" t="str"/>
      <x:c r="U988" s="2" t="str"/>
      <x:c r="V988" s="2" t="str">
        <x:v>아니오</x:v>
      </x:c>
      <x:c r="W988" s="2" t="str">
        <x:v>예</x:v>
      </x:c>
      <x:c r="X988" s="2" t="str">
        <x:v>ichi1,news2,nf30</x:v>
      </x:c>
      <x:c r="Y988" s="2" t="n">
        <x:v>100</x:v>
      </x:c>
      <x:c r="Z988" s="2" t="str">
        <x:v>ichi1,news2,nf30</x:v>
      </x:c>
      <x:c r="AA988" s="2" t="n">
        <x:v>100</x:v>
      </x:c>
      <x:c r="AB988" s="8" t="str"/>
      <x:c r="AC988" s="8" t="str"/>
      <x:c r="AD988" s="8" t="str">
        <x:v>["draft-ko-missing"]</x:v>
      </x:c>
      <x:c r="AE988" s="8" t="str">
        <x:v>검토 필요</x:v>
      </x:c>
      <x:c r="AF988" s="8" t="str"/>
    </x:row>
    <x:row r="989">
      <x:c r="A989" s="10" t="n">
        <x:v>988</x:v>
      </x:c>
      <x:c r="B989" s="2" t="str">
        <x:v>2차 보류</x:v>
      </x:c>
      <x:c r="C989" s="2" t="str">
        <x:v>2차 보류</x:v>
      </x:c>
      <x:c r="D989" s="2" t="str">
        <x:v>낮음</x:v>
      </x:c>
      <x:c r="E989" s="2" t="str">
        <x:v>N1</x:v>
      </x:c>
      <x:c r="F989" s="10" t="n">
        <x:v>437</x:v>
      </x:c>
      <x:c r="G989" s="2" t="str">
        <x:v>w_2dedb5be17e88b1e</x:v>
      </x:c>
      <x:c r="H989" s="2" t="str">
        <x:v>有り様</x:v>
      </x:c>
      <x:c r="I989" s="2" t="str">
        <x:v>ありさま</x:v>
      </x:c>
      <x:c r="J989" s="8" t="str">
        <x:v>모양, 형편, 꼴</x:v>
      </x:c>
      <x:c r="K989" s="2" t="str">
        <x:v>noun</x:v>
      </x:c>
      <x:c r="L989" s="9" t="n">
        <x:v>2.81</x:v>
      </x:c>
      <x:c r="M989" s="2" t="str">
        <x:v>없음</x:v>
      </x:c>
      <x:c r="N989" s="11" t="n">
        <x:v>-2</x:v>
      </x:c>
      <x:c r="O989" s="8" t="str">
        <x:v>일반 사용 빈도 낮은 편(Zipf ≤ 3.0); 검증된 예문 없음; 기존 데이터의 한국어 콘텐츠 보강 필요 태그</x:v>
      </x:c>
      <x:c r="P989" s="8" t="str">
        <x:v>frequency_le_3_0,no_example,weak_legacy_content</x:v>
      </x:c>
      <x:c r="Q989" s="2" t="str"/>
      <x:c r="R989" s="2" t="str"/>
      <x:c r="S989" s="2" t="str"/>
      <x:c r="T989" s="2" t="str"/>
      <x:c r="U989" s="2" t="str"/>
      <x:c r="V989" s="2" t="str">
        <x:v>아니오</x:v>
      </x:c>
      <x:c r="W989" s="2" t="str">
        <x:v>예</x:v>
      </x:c>
      <x:c r="X989" s="2" t="str">
        <x:v>ichi1,news1,nf23</x:v>
      </x:c>
      <x:c r="Y989" s="2" t="n">
        <x:v>100</x:v>
      </x:c>
      <x:c r="Z989" s="2" t="str">
        <x:v>ichi1,news1,nf23</x:v>
      </x:c>
      <x:c r="AA989" s="2" t="n">
        <x:v>100</x:v>
      </x:c>
      <x:c r="AB989" s="8" t="str"/>
      <x:c r="AC989" s="8" t="str"/>
      <x:c r="AD989" s="8" t="str">
        <x:v>["draft-ko-missing"]</x:v>
      </x:c>
      <x:c r="AE989" s="8" t="str">
        <x:v>검토 필요</x:v>
      </x:c>
      <x:c r="AF989" s="8" t="str"/>
    </x:row>
    <x:row r="990">
      <x:c r="A990" s="10" t="n">
        <x:v>989</x:v>
      </x:c>
      <x:c r="B990" s="2" t="str">
        <x:v>2차 보류</x:v>
      </x:c>
      <x:c r="C990" s="2" t="str">
        <x:v>2차 보류</x:v>
      </x:c>
      <x:c r="D990" s="2" t="str">
        <x:v>낮음</x:v>
      </x:c>
      <x:c r="E990" s="2" t="str">
        <x:v>N1</x:v>
      </x:c>
      <x:c r="F990" s="10" t="n">
        <x:v>438</x:v>
      </x:c>
      <x:c r="G990" s="2" t="str">
        <x:v>w_3e8f47768886cb87</x:v>
      </x:c>
      <x:c r="H990" s="2" t="str">
        <x:v>スラックス</x:v>
      </x:c>
      <x:c r="I990" s="2" t="str">
        <x:v>スラックス</x:v>
      </x:c>
      <x:c r="J990" s="8" t="str">
        <x:v>슬랙스, 바지</x:v>
      </x:c>
      <x:c r="K990" s="2" t="str">
        <x:v>noun</x:v>
      </x:c>
      <x:c r="L990" s="9" t="n">
        <x:v>2.81</x:v>
      </x:c>
      <x:c r="M990" s="2" t="str">
        <x:v>없음</x:v>
      </x:c>
      <x:c r="N990" s="11" t="n">
        <x:v>-2</x:v>
      </x:c>
      <x:c r="O990" s="8" t="str">
        <x:v>일반 사용 빈도 낮은 편(Zipf ≤ 3.0); 검증된 예문 없음; 기존 데이터의 한국어 콘텐츠 보강 필요 태그</x:v>
      </x:c>
      <x:c r="P990" s="8" t="str">
        <x:v>frequency_le_3_0,no_example,weak_legacy_content</x:v>
      </x:c>
      <x:c r="Q990" s="2" t="str"/>
      <x:c r="R990" s="2" t="str"/>
      <x:c r="S990" s="2" t="str"/>
      <x:c r="T990" s="2" t="str"/>
      <x:c r="U990" s="2" t="str"/>
      <x:c r="V990" s="2" t="str">
        <x:v>아니오</x:v>
      </x:c>
      <x:c r="W990" s="2" t="str">
        <x:v>예</x:v>
      </x:c>
      <x:c r="X990" s="2" t="str">
        <x:v>gai1</x:v>
      </x:c>
      <x:c r="Y990" s="2" t="n">
        <x:v>100</x:v>
      </x:c>
      <x:c r="Z990" s="2" t="str">
        <x:v>gai1</x:v>
      </x:c>
      <x:c r="AA990" s="2" t="n">
        <x:v>100</x:v>
      </x:c>
      <x:c r="AB990" s="8" t="str"/>
      <x:c r="AC990" s="8" t="str"/>
      <x:c r="AD990" s="8" t="str">
        <x:v>["draft-ko-missing"]</x:v>
      </x:c>
      <x:c r="AE990" s="8" t="str">
        <x:v>검토 필요</x:v>
      </x:c>
      <x:c r="AF990" s="8" t="str"/>
    </x:row>
    <x:row r="991">
      <x:c r="A991" s="10" t="n">
        <x:v>990</x:v>
      </x:c>
      <x:c r="B991" s="2" t="str">
        <x:v>2차 보류</x:v>
      </x:c>
      <x:c r="C991" s="2" t="str">
        <x:v>2차 보류</x:v>
      </x:c>
      <x:c r="D991" s="2" t="str">
        <x:v>낮음</x:v>
      </x:c>
      <x:c r="E991" s="2" t="str">
        <x:v>N2</x:v>
      </x:c>
      <x:c r="F991" s="10" t="n">
        <x:v>351</x:v>
      </x:c>
      <x:c r="G991" s="2" t="str">
        <x:v>w_25445796060f4e71</x:v>
      </x:c>
      <x:c r="H991" s="2" t="str">
        <x:v>宛名</x:v>
      </x:c>
      <x:c r="I991" s="2" t="str">
        <x:v>あてな</x:v>
      </x:c>
      <x:c r="J991" s="8" t="str">
        <x:v>(우편) 받는 사람, 수신인</x:v>
      </x:c>
      <x:c r="K991" s="2" t="str">
        <x:v>noun</x:v>
      </x:c>
      <x:c r="L991" s="9" t="n">
        <x:v>2.82</x:v>
      </x:c>
      <x:c r="M991" s="2" t="str">
        <x:v>없음</x:v>
      </x:c>
      <x:c r="N991" s="11" t="n">
        <x:v>-2</x:v>
      </x:c>
      <x:c r="O991" s="8" t="str">
        <x:v>일반 사용 빈도 낮은 편(Zipf ≤ 3.0); 검증된 예문 없음; 기존 데이터의 한국어 콘텐츠 보강 필요 태그</x:v>
      </x:c>
      <x:c r="P991" s="8" t="str">
        <x:v>frequency_le_3_0,no_example,weak_legacy_content</x:v>
      </x:c>
      <x:c r="Q991" s="2" t="str"/>
      <x:c r="R991" s="2" t="str"/>
      <x:c r="S991" s="2" t="str"/>
      <x:c r="T991" s="2" t="str"/>
      <x:c r="U991" s="2" t="str"/>
      <x:c r="V991" s="2" t="str">
        <x:v>아니오</x:v>
      </x:c>
      <x:c r="W991" s="2" t="str">
        <x:v>예</x:v>
      </x:c>
      <x:c r="X991" s="2" t="str">
        <x:v>ichi1</x:v>
      </x:c>
      <x:c r="Y991" s="2" t="n">
        <x:v>100</x:v>
      </x:c>
      <x:c r="Z991" s="2" t="str">
        <x:v>ichi1</x:v>
      </x:c>
      <x:c r="AA991" s="2" t="n">
        <x:v>100</x:v>
      </x:c>
      <x:c r="AB991" s="8" t="str"/>
      <x:c r="AC991" s="8" t="str"/>
      <x:c r="AD991" s="8" t="str">
        <x:v>["draft-ko-missing"]</x:v>
      </x:c>
      <x:c r="AE991" s="8" t="str">
        <x:v>검토 필요</x:v>
      </x:c>
      <x:c r="AF991" s="8" t="str"/>
    </x:row>
    <x:row r="992">
      <x:c r="A992" s="10" t="n">
        <x:v>991</x:v>
      </x:c>
      <x:c r="B992" s="2" t="str">
        <x:v>2차 보류</x:v>
      </x:c>
      <x:c r="C992" s="2" t="str">
        <x:v>2차 보류</x:v>
      </x:c>
      <x:c r="D992" s="2" t="str">
        <x:v>낮음</x:v>
      </x:c>
      <x:c r="E992" s="2" t="str">
        <x:v>N2</x:v>
      </x:c>
      <x:c r="F992" s="10" t="n">
        <x:v>352</x:v>
      </x:c>
      <x:c r="G992" s="2" t="str">
        <x:v>w_9f8b49adff0b1564</x:v>
      </x:c>
      <x:c r="H992" s="2" t="str">
        <x:v>草履</x:v>
      </x:c>
      <x:c r="I992" s="2" t="str">
        <x:v>ぞうり</x:v>
      </x:c>
      <x:c r="J992" s="8" t="str">
        <x:v>일본식 짚신(조리)</x:v>
      </x:c>
      <x:c r="K992" s="2" t="str">
        <x:v>noun</x:v>
      </x:c>
      <x:c r="L992" s="9" t="n">
        <x:v>2.83</x:v>
      </x:c>
      <x:c r="M992" s="2" t="str">
        <x:v>없음</x:v>
      </x:c>
      <x:c r="N992" s="11" t="n">
        <x:v>-2</x:v>
      </x:c>
      <x:c r="O992" s="8" t="str">
        <x:v>일반 사용 빈도 낮은 편(Zipf ≤ 3.0); 검증된 예문 없음; 기존 데이터의 한국어 콘텐츠 보강 필요 태그</x:v>
      </x:c>
      <x:c r="P992" s="8" t="str">
        <x:v>frequency_le_3_0,no_example,weak_legacy_content</x:v>
      </x:c>
      <x:c r="Q992" s="2" t="str"/>
      <x:c r="R992" s="2" t="str"/>
      <x:c r="S992" s="2" t="str"/>
      <x:c r="T992" s="2" t="str"/>
      <x:c r="U992" s="2" t="str"/>
      <x:c r="V992" s="2" t="str">
        <x:v>아니오</x:v>
      </x:c>
      <x:c r="W992" s="2" t="str">
        <x:v>예</x:v>
      </x:c>
      <x:c r="X992" s="2" t="str">
        <x:v>ichi1,news2,nf41</x:v>
      </x:c>
      <x:c r="Y992" s="2" t="n">
        <x:v>100</x:v>
      </x:c>
      <x:c r="Z992" s="2" t="str">
        <x:v>ichi1,news2,nf41</x:v>
      </x:c>
      <x:c r="AA992" s="2" t="n">
        <x:v>100</x:v>
      </x:c>
      <x:c r="AB992" s="8" t="str"/>
      <x:c r="AC992" s="8" t="str"/>
      <x:c r="AD992" s="8" t="str">
        <x:v>["draft-ko-missing"]</x:v>
      </x:c>
      <x:c r="AE992" s="8" t="str">
        <x:v>검토 필요</x:v>
      </x:c>
      <x:c r="AF992" s="8" t="str"/>
    </x:row>
    <x:row r="993">
      <x:c r="A993" s="10" t="n">
        <x:v>992</x:v>
      </x:c>
      <x:c r="B993" s="2" t="str">
        <x:v>2차 보류</x:v>
      </x:c>
      <x:c r="C993" s="2" t="str">
        <x:v>2차 보류</x:v>
      </x:c>
      <x:c r="D993" s="2" t="str">
        <x:v>낮음</x:v>
      </x:c>
      <x:c r="E993" s="2" t="str">
        <x:v>N1</x:v>
      </x:c>
      <x:c r="F993" s="10" t="n">
        <x:v>439</x:v>
      </x:c>
      <x:c r="G993" s="2" t="str">
        <x:v>w_43b38d78d9fe572b</x:v>
      </x:c>
      <x:c r="H993" s="2" t="str">
        <x:v>駆け足</x:v>
      </x:c>
      <x:c r="I993" s="2" t="str">
        <x:v>かけあし</x:v>
      </x:c>
      <x:c r="J993" s="8" t="str">
        <x:v>구보, 빠른 걸음</x:v>
      </x:c>
      <x:c r="K993" s="2" t="str">
        <x:v>noun</x:v>
      </x:c>
      <x:c r="L993" s="9" t="n">
        <x:v>2.83</x:v>
      </x:c>
      <x:c r="M993" s="2" t="str">
        <x:v>없음</x:v>
      </x:c>
      <x:c r="N993" s="11" t="n">
        <x:v>-2</x:v>
      </x:c>
      <x:c r="O993" s="8" t="str">
        <x:v>일반 사용 빈도 낮은 편(Zipf ≤ 3.0); 검증된 예문 없음; 기존 데이터의 한국어 콘텐츠 보강 필요 태그</x:v>
      </x:c>
      <x:c r="P993" s="8" t="str">
        <x:v>frequency_le_3_0,no_example,weak_legacy_content</x:v>
      </x:c>
      <x:c r="Q993" s="2" t="str"/>
      <x:c r="R993" s="2" t="str"/>
      <x:c r="S993" s="2" t="str"/>
      <x:c r="T993" s="2" t="str"/>
      <x:c r="U993" s="2" t="str"/>
      <x:c r="V993" s="2" t="str">
        <x:v>아니오</x:v>
      </x:c>
      <x:c r="W993" s="2" t="str">
        <x:v>예</x:v>
      </x:c>
      <x:c r="X993" s="2" t="str">
        <x:v>ichi1,news2,nf30</x:v>
      </x:c>
      <x:c r="Y993" s="2" t="n">
        <x:v>100</x:v>
      </x:c>
      <x:c r="Z993" s="2" t="str">
        <x:v>ichi1,news2,nf30</x:v>
      </x:c>
      <x:c r="AA993" s="2" t="n">
        <x:v>100</x:v>
      </x:c>
      <x:c r="AB993" s="8" t="str"/>
      <x:c r="AC993" s="8" t="str"/>
      <x:c r="AD993" s="8" t="str">
        <x:v>["draft-ko-missing"]</x:v>
      </x:c>
      <x:c r="AE993" s="8" t="str">
        <x:v>검토 필요</x:v>
      </x:c>
      <x:c r="AF993" s="8" t="str"/>
    </x:row>
    <x:row r="994">
      <x:c r="A994" s="10" t="n">
        <x:v>993</x:v>
      </x:c>
      <x:c r="B994" s="2" t="str">
        <x:v>2차 보류</x:v>
      </x:c>
      <x:c r="C994" s="2" t="str">
        <x:v>2차 보류</x:v>
      </x:c>
      <x:c r="D994" s="2" t="str">
        <x:v>낮음</x:v>
      </x:c>
      <x:c r="E994" s="2" t="str">
        <x:v>N2</x:v>
      </x:c>
      <x:c r="F994" s="10" t="n">
        <x:v>353</x:v>
      </x:c>
      <x:c r="G994" s="2" t="str">
        <x:v>w_a029f97e41adcce1</x:v>
      </x:c>
      <x:c r="H994" s="2" t="str">
        <x:v>時間割</x:v>
      </x:c>
      <x:c r="I994" s="2" t="str">
        <x:v>じかんわり</x:v>
      </x:c>
      <x:c r="J994" s="8" t="str">
        <x:v>시간표, 일정</x:v>
      </x:c>
      <x:c r="K994" s="2" t="str">
        <x:v>noun</x:v>
      </x:c>
      <x:c r="L994" s="9" t="n">
        <x:v>2.84</x:v>
      </x:c>
      <x:c r="M994" s="2" t="str">
        <x:v>없음</x:v>
      </x:c>
      <x:c r="N994" s="11" t="n">
        <x:v>-2</x:v>
      </x:c>
      <x:c r="O994" s="8" t="str">
        <x:v>일반 사용 빈도 낮은 편(Zipf ≤ 3.0); 검증된 예문 없음; 기존 데이터의 한국어 콘텐츠 보강 필요 태그</x:v>
      </x:c>
      <x:c r="P994" s="8" t="str">
        <x:v>frequency_le_3_0,no_example,weak_legacy_content</x:v>
      </x:c>
      <x:c r="Q994" s="2" t="str"/>
      <x:c r="R994" s="2" t="str"/>
      <x:c r="S994" s="2" t="str"/>
      <x:c r="T994" s="2" t="str"/>
      <x:c r="U994" s="2" t="str"/>
      <x:c r="V994" s="2" t="str">
        <x:v>아니오</x:v>
      </x:c>
      <x:c r="W994" s="2" t="str">
        <x:v>예</x:v>
      </x:c>
      <x:c r="X994" s="2" t="str">
        <x:v>ichi1,news2,nf30</x:v>
      </x:c>
      <x:c r="Y994" s="2" t="n">
        <x:v>100</x:v>
      </x:c>
      <x:c r="Z994" s="2" t="str">
        <x:v>ichi1,news2,nf30</x:v>
      </x:c>
      <x:c r="AA994" s="2" t="n">
        <x:v>100</x:v>
      </x:c>
      <x:c r="AB994" s="8" t="str"/>
      <x:c r="AC994" s="8" t="str"/>
      <x:c r="AD994" s="8" t="str">
        <x:v>["draft-ko-missing"]</x:v>
      </x:c>
      <x:c r="AE994" s="8" t="str">
        <x:v>검토 필요</x:v>
      </x:c>
      <x:c r="AF994" s="8" t="str"/>
    </x:row>
    <x:row r="995">
      <x:c r="A995" s="10" t="n">
        <x:v>994</x:v>
      </x:c>
      <x:c r="B995" s="2" t="str">
        <x:v>2차 보류</x:v>
      </x:c>
      <x:c r="C995" s="2" t="str">
        <x:v>2차 보류</x:v>
      </x:c>
      <x:c r="D995" s="2" t="str">
        <x:v>낮음</x:v>
      </x:c>
      <x:c r="E995" s="2" t="str">
        <x:v>N2</x:v>
      </x:c>
      <x:c r="F995" s="10" t="n">
        <x:v>354</x:v>
      </x:c>
      <x:c r="G995" s="2" t="str">
        <x:v>w_f96ea90a260ddcf2</x:v>
      </x:c>
      <x:c r="H995" s="2" t="str">
        <x:v>祭日</x:v>
      </x:c>
      <x:c r="I995" s="2" t="str">
        <x:v>さいじつ</x:v>
      </x:c>
      <x:c r="J995" s="8" t="str">
        <x:v>축제일, 경축일</x:v>
      </x:c>
      <x:c r="K995" s="2" t="str">
        <x:v>noun</x:v>
      </x:c>
      <x:c r="L995" s="9" t="n">
        <x:v>2.85</x:v>
      </x:c>
      <x:c r="M995" s="2" t="str">
        <x:v>없음</x:v>
      </x:c>
      <x:c r="N995" s="11" t="n">
        <x:v>-2</x:v>
      </x:c>
      <x:c r="O995" s="8" t="str">
        <x:v>일반 사용 빈도 낮은 편(Zipf ≤ 3.0); 검증된 예문 없음; 기존 데이터의 한국어 콘텐츠 보강 필요 태그</x:v>
      </x:c>
      <x:c r="P995" s="8" t="str">
        <x:v>frequency_le_3_0,no_example,weak_legacy_content</x:v>
      </x:c>
      <x:c r="Q995" s="2" t="str"/>
      <x:c r="R995" s="2" t="str"/>
      <x:c r="S995" s="2" t="str"/>
      <x:c r="T995" s="2" t="str"/>
      <x:c r="U995" s="2" t="str"/>
      <x:c r="V995" s="2" t="str">
        <x:v>아니오</x:v>
      </x:c>
      <x:c r="W995" s="2" t="str">
        <x:v>예</x:v>
      </x:c>
      <x:c r="X995" s="2" t="str">
        <x:v>ichi1</x:v>
      </x:c>
      <x:c r="Y995" s="2" t="n">
        <x:v>100</x:v>
      </x:c>
      <x:c r="Z995" s="2" t="str">
        <x:v>ichi1</x:v>
      </x:c>
      <x:c r="AA995" s="2" t="n">
        <x:v>100</x:v>
      </x:c>
      <x:c r="AB995" s="8" t="str"/>
      <x:c r="AC995" s="8" t="str"/>
      <x:c r="AD995" s="8" t="str">
        <x:v>["draft-ko-missing"]</x:v>
      </x:c>
      <x:c r="AE995" s="8" t="str">
        <x:v>검토 필요</x:v>
      </x:c>
      <x:c r="AF995" s="8" t="str"/>
    </x:row>
    <x:row r="996">
      <x:c r="A996" s="10" t="n">
        <x:v>995</x:v>
      </x:c>
      <x:c r="B996" s="2" t="str">
        <x:v>2차 보류</x:v>
      </x:c>
      <x:c r="C996" s="2" t="str">
        <x:v>2차 보류</x:v>
      </x:c>
      <x:c r="D996" s="2" t="str">
        <x:v>낮음</x:v>
      </x:c>
      <x:c r="E996" s="2" t="str">
        <x:v>N1</x:v>
      </x:c>
      <x:c r="F996" s="10" t="n">
        <x:v>440</x:v>
      </x:c>
      <x:c r="G996" s="2" t="str">
        <x:v>w_09de3ae40ccf459c</x:v>
      </x:c>
      <x:c r="H996" s="2" t="str">
        <x:v>ぞんざい</x:v>
      </x:c>
      <x:c r="I996" s="2" t="str">
        <x:v>ぞんざい</x:v>
      </x:c>
      <x:c r="J996" s="8" t="str">
        <x:v>무례한, 부주의한</x:v>
      </x:c>
      <x:c r="K996" s="2" t="str">
        <x:v>adjective</x:v>
      </x:c>
      <x:c r="L996" s="9" t="n">
        <x:v>2.85</x:v>
      </x:c>
      <x:c r="M996" s="2" t="str">
        <x:v>없음</x:v>
      </x:c>
      <x:c r="N996" s="11" t="n">
        <x:v>-2</x:v>
      </x:c>
      <x:c r="O996" s="8" t="str">
        <x:v>일반 사용 빈도 낮은 편(Zipf ≤ 3.0); 검증된 예문 없음; 기존 데이터의 한국어 콘텐츠 보강 필요 태그</x:v>
      </x:c>
      <x:c r="P996" s="8" t="str">
        <x:v>frequency_le_3_0,no_example,weak_legacy_content</x:v>
      </x:c>
      <x:c r="Q996" s="2" t="str"/>
      <x:c r="R996" s="2" t="str"/>
      <x:c r="S996" s="2" t="str"/>
      <x:c r="T996" s="2" t="str"/>
      <x:c r="U996" s="2" t="str"/>
      <x:c r="V996" s="2" t="str">
        <x:v>아니오</x:v>
      </x:c>
      <x:c r="W996" s="2" t="str">
        <x:v>예</x:v>
      </x:c>
      <x:c r="X996" s="2" t="str">
        <x:v>ichi1</x:v>
      </x:c>
      <x:c r="Y996" s="2" t="n">
        <x:v>100</x:v>
      </x:c>
      <x:c r="Z996" s="2" t="str">
        <x:v>ichi1</x:v>
      </x:c>
      <x:c r="AA996" s="2" t="n">
        <x:v>100</x:v>
      </x:c>
      <x:c r="AB996" s="8" t="str"/>
      <x:c r="AC996" s="8" t="str"/>
      <x:c r="AD996" s="8" t="str">
        <x:v>["draft-ko-missing"]</x:v>
      </x:c>
      <x:c r="AE996" s="8" t="str">
        <x:v>검토 필요</x:v>
      </x:c>
      <x:c r="AF996" s="8" t="str"/>
    </x:row>
    <x:row r="997">
      <x:c r="A997" s="10" t="n">
        <x:v>996</x:v>
      </x:c>
      <x:c r="B997" s="2" t="str">
        <x:v>2차 보류</x:v>
      </x:c>
      <x:c r="C997" s="2" t="str">
        <x:v>2차 보류</x:v>
      </x:c>
      <x:c r="D997" s="2" t="str">
        <x:v>낮음</x:v>
      </x:c>
      <x:c r="E997" s="2" t="str">
        <x:v>N1</x:v>
      </x:c>
      <x:c r="F997" s="10" t="n">
        <x:v>441</x:v>
      </x:c>
      <x:c r="G997" s="2" t="str">
        <x:v>w_75b0b9d6475d8175</x:v>
      </x:c>
      <x:c r="H997" s="2" t="str">
        <x:v>仰ぐ</x:v>
      </x:c>
      <x:c r="I997" s="2" t="str">
        <x:v>あおぐ</x:v>
      </x:c>
      <x:c r="J997" s="8" t="str">
        <x:v>우러러보다; 청하다</x:v>
      </x:c>
      <x:c r="K997" s="2" t="str">
        <x:v>verb</x:v>
      </x:c>
      <x:c r="L997" s="9" t="n">
        <x:v>2.85</x:v>
      </x:c>
      <x:c r="M997" s="2" t="str">
        <x:v>없음</x:v>
      </x:c>
      <x:c r="N997" s="11" t="n">
        <x:v>-2</x:v>
      </x:c>
      <x:c r="O997" s="8" t="str">
        <x:v>일반 사용 빈도 낮은 편(Zipf ≤ 3.0); 검증된 예문 없음; 기존 데이터의 한국어 콘텐츠 보강 필요 태그</x:v>
      </x:c>
      <x:c r="P997" s="8" t="str">
        <x:v>frequency_le_3_0,no_example,weak_legacy_content</x:v>
      </x:c>
      <x:c r="Q997" s="2" t="str"/>
      <x:c r="R997" s="2" t="str"/>
      <x:c r="S997" s="2" t="str"/>
      <x:c r="T997" s="2" t="str"/>
      <x:c r="U997" s="2" t="str"/>
      <x:c r="V997" s="2" t="str">
        <x:v>아니오</x:v>
      </x:c>
      <x:c r="W997" s="2" t="str">
        <x:v>예</x:v>
      </x:c>
      <x:c r="X997" s="2" t="str">
        <x:v>ichi1,news2,nf30</x:v>
      </x:c>
      <x:c r="Y997" s="2" t="n">
        <x:v>100</x:v>
      </x:c>
      <x:c r="Z997" s="2" t="str">
        <x:v>ichi1,news2,nf30</x:v>
      </x:c>
      <x:c r="AA997" s="2" t="n">
        <x:v>100</x:v>
      </x:c>
      <x:c r="AB997" s="8" t="str"/>
      <x:c r="AC997" s="8" t="str"/>
      <x:c r="AD997" s="8" t="str">
        <x:v>["draft-ko-missing"]</x:v>
      </x:c>
      <x:c r="AE997" s="8" t="str">
        <x:v>검토 필요</x:v>
      </x:c>
      <x:c r="AF997" s="8" t="str"/>
    </x:row>
    <x:row r="998">
      <x:c r="A998" s="10" t="n">
        <x:v>997</x:v>
      </x:c>
      <x:c r="B998" s="2" t="str">
        <x:v>2차 보류</x:v>
      </x:c>
      <x:c r="C998" s="2" t="str">
        <x:v>2차 보류</x:v>
      </x:c>
      <x:c r="D998" s="2" t="str">
        <x:v>낮음</x:v>
      </x:c>
      <x:c r="E998" s="2" t="str">
        <x:v>N2</x:v>
      </x:c>
      <x:c r="F998" s="10" t="n">
        <x:v>355</x:v>
      </x:c>
      <x:c r="G998" s="2" t="str">
        <x:v>w_f048e6ae66b0fa0e</x:v>
      </x:c>
      <x:c r="H998" s="2" t="str">
        <x:v>落着く</x:v>
      </x:c>
      <x:c r="I998" s="2" t="str">
        <x:v>おちつく</x:v>
      </x:c>
      <x:c r="J998" s="8" t="str">
        <x:v>안정되다, 차분해지다</x:v>
      </x:c>
      <x:c r="K998" s="2" t="str">
        <x:v>verb</x:v>
      </x:c>
      <x:c r="L998" s="9" t="n">
        <x:v>2.86</x:v>
      </x:c>
      <x:c r="M998" s="2" t="str">
        <x:v>없음</x:v>
      </x:c>
      <x:c r="N998" s="11" t="n">
        <x:v>-2</x:v>
      </x:c>
      <x:c r="O998" s="8" t="str">
        <x:v>일반 사용 빈도 낮은 편(Zipf ≤ 3.0); 검증된 예문 없음; 기존 데이터의 한국어 콘텐츠 보강 필요 태그</x:v>
      </x:c>
      <x:c r="P998" s="8" t="str">
        <x:v>frequency_le_3_0,no_example,weak_legacy_content</x:v>
      </x:c>
      <x:c r="Q998" s="2" t="str"/>
      <x:c r="R998" s="2" t="str"/>
      <x:c r="S998" s="2" t="str"/>
      <x:c r="T998" s="2" t="str"/>
      <x:c r="U998" s="2" t="str"/>
      <x:c r="V998" s="2" t="str">
        <x:v>아니오</x:v>
      </x:c>
      <x:c r="W998" s="2" t="str">
        <x:v>예</x:v>
      </x:c>
      <x:c r="X998" s="2" t="str">
        <x:v>ichi1,news2,nf36</x:v>
      </x:c>
      <x:c r="Y998" s="2" t="n">
        <x:v>100</x:v>
      </x:c>
      <x:c r="Z998" s="2" t="str"/>
      <x:c r="AA998" s="2" t="n">
        <x:v>0</x:v>
      </x:c>
      <x:c r="AB998" s="8" t="str">
        <x:v>usu. before a noun as 落ち着いた</x:v>
      </x:c>
      <x:c r="AC998" s="8" t="str"/>
      <x:c r="AD998" s="8" t="str">
        <x:v>["draft-ko-missing"]</x:v>
      </x:c>
      <x:c r="AE998" s="8" t="str">
        <x:v>검토 필요</x:v>
      </x:c>
      <x:c r="AF998" s="8" t="str"/>
    </x:row>
    <x:row r="999">
      <x:c r="A999" s="10" t="n">
        <x:v>998</x:v>
      </x:c>
      <x:c r="B999" s="2" t="str">
        <x:v>2차 보류</x:v>
      </x:c>
      <x:c r="C999" s="2" t="str">
        <x:v>2차 보류</x:v>
      </x:c>
      <x:c r="D999" s="2" t="str">
        <x:v>낮음</x:v>
      </x:c>
      <x:c r="E999" s="2" t="str">
        <x:v>N1</x:v>
      </x:c>
      <x:c r="F999" s="10" t="n">
        <x:v>442</x:v>
      </x:c>
      <x:c r="G999" s="2" t="str">
        <x:v>w_2a87144508502bd1</x:v>
      </x:c>
      <x:c r="H999" s="2" t="str">
        <x:v>見晴らし</x:v>
      </x:c>
      <x:c r="I999" s="2" t="str">
        <x:v>みはらし</x:v>
      </x:c>
      <x:c r="J999" s="8" t="str">
        <x:v>관점, 전망</x:v>
      </x:c>
      <x:c r="K999" s="2" t="str">
        <x:v>noun</x:v>
      </x:c>
      <x:c r="L999" s="9" t="n">
        <x:v>2.86</x:v>
      </x:c>
      <x:c r="M999" s="2" t="str">
        <x:v>없음</x:v>
      </x:c>
      <x:c r="N999" s="11" t="n">
        <x:v>-2</x:v>
      </x:c>
      <x:c r="O999" s="8" t="str">
        <x:v>일반 사용 빈도 낮은 편(Zipf ≤ 3.0); 검증된 예문 없음; 기존 데이터의 한국어 콘텐츠 보강 필요 태그</x:v>
      </x:c>
      <x:c r="P999" s="8" t="str">
        <x:v>frequency_le_3_0,no_example,weak_legacy_content</x:v>
      </x:c>
      <x:c r="Q999" s="2" t="str"/>
      <x:c r="R999" s="2" t="str"/>
      <x:c r="S999" s="2" t="str"/>
      <x:c r="T999" s="2" t="str"/>
      <x:c r="U999" s="2" t="str"/>
      <x:c r="V999" s="2" t="str">
        <x:v>아니오</x:v>
      </x:c>
      <x:c r="W999" s="2" t="str">
        <x:v>예</x:v>
      </x:c>
      <x:c r="X999" s="2" t="str">
        <x:v>ichi1,news2,nf40</x:v>
      </x:c>
      <x:c r="Y999" s="2" t="n">
        <x:v>100</x:v>
      </x:c>
      <x:c r="Z999" s="2" t="str">
        <x:v>ichi1,news2,nf40</x:v>
      </x:c>
      <x:c r="AA999" s="2" t="n">
        <x:v>100</x:v>
      </x:c>
      <x:c r="AB999" s="8" t="str">
        <x:v>abbreviation</x:v>
      </x:c>
      <x:c r="AC999" s="8" t="str"/>
      <x:c r="AD999" s="8" t="str">
        <x:v>["draft-ko-missing"]</x:v>
      </x:c>
      <x:c r="AE999" s="8" t="str">
        <x:v>검토 필요</x:v>
      </x:c>
      <x:c r="AF999" s="8" t="str"/>
    </x:row>
    <x:row r="1000">
      <x:c r="A1000" s="10" t="n">
        <x:v>999</x:v>
      </x:c>
      <x:c r="B1000" s="2" t="str">
        <x:v>2차 보류</x:v>
      </x:c>
      <x:c r="C1000" s="2" t="str">
        <x:v>2차 보류</x:v>
      </x:c>
      <x:c r="D1000" s="2" t="str">
        <x:v>낮음</x:v>
      </x:c>
      <x:c r="E1000" s="2" t="str">
        <x:v>N1</x:v>
      </x:c>
      <x:c r="F1000" s="10" t="n">
        <x:v>443</x:v>
      </x:c>
      <x:c r="G1000" s="2" t="str">
        <x:v>w_8d174bfc2f12fead</x:v>
      </x:c>
      <x:c r="H1000" s="2" t="str">
        <x:v>足し算</x:v>
      </x:c>
      <x:c r="I1000" s="2" t="str">
        <x:v>たしざん</x:v>
      </x:c>
      <x:c r="J1000" s="8" t="str">
        <x:v>덧셈</x:v>
      </x:c>
      <x:c r="K1000" s="2" t="str">
        <x:v>noun</x:v>
      </x:c>
      <x:c r="L1000" s="9" t="n">
        <x:v>2.86</x:v>
      </x:c>
      <x:c r="M1000" s="2" t="str">
        <x:v>없음</x:v>
      </x:c>
      <x:c r="N1000" s="11" t="n">
        <x:v>-2</x:v>
      </x:c>
      <x:c r="O1000" s="8" t="str">
        <x:v>일반 사용 빈도 낮은 편(Zipf ≤ 3.0); 검증된 예문 없음; 기존 데이터의 한국어 콘텐츠 보강 필요 태그</x:v>
      </x:c>
      <x:c r="P1000" s="8" t="str">
        <x:v>frequency_le_3_0,no_example,weak_legacy_content</x:v>
      </x:c>
      <x:c r="Q1000" s="2" t="str"/>
      <x:c r="R1000" s="2" t="str"/>
      <x:c r="S1000" s="2" t="str"/>
      <x:c r="T1000" s="2" t="str"/>
      <x:c r="U1000" s="2" t="str"/>
      <x:c r="V1000" s="2" t="str">
        <x:v>아니오</x:v>
      </x:c>
      <x:c r="W1000" s="2" t="str">
        <x:v>예</x:v>
      </x:c>
      <x:c r="X1000" s="2" t="str">
        <x:v>ichi1,news2,nf36</x:v>
      </x:c>
      <x:c r="Y1000" s="2" t="n">
        <x:v>100</x:v>
      </x:c>
      <x:c r="Z1000" s="2" t="str">
        <x:v>ichi1,news2,nf36</x:v>
      </x:c>
      <x:c r="AA1000" s="2" t="n">
        <x:v>100</x:v>
      </x:c>
      <x:c r="AB1000" s="8" t="str"/>
      <x:c r="AC1000" s="8" t="str"/>
      <x:c r="AD1000" s="8" t="str">
        <x:v>["draft-ko-missing"]</x:v>
      </x:c>
      <x:c r="AE1000" s="8" t="str">
        <x:v>검토 필요</x:v>
      </x:c>
      <x:c r="AF1000" s="8" t="str"/>
    </x:row>
    <x:row r="1001">
      <x:c r="A1001" s="10" t="n">
        <x:v>1000</x:v>
      </x:c>
      <x:c r="B1001" s="2" t="str">
        <x:v>2차 보류</x:v>
      </x:c>
      <x:c r="C1001" s="2" t="str">
        <x:v>2차 보류</x:v>
      </x:c>
      <x:c r="D1001" s="2" t="str">
        <x:v>낮음</x:v>
      </x:c>
      <x:c r="E1001" s="2" t="str">
        <x:v>N2</x:v>
      </x:c>
      <x:c r="F1001" s="10" t="n">
        <x:v>356</x:v>
      </x:c>
      <x:c r="G1001" s="2" t="str">
        <x:v>w_53ae1816aa456be5</x:v>
      </x:c>
      <x:c r="H1001" s="2" t="str">
        <x:v>衣食住</x:v>
      </x:c>
      <x:c r="I1001" s="2" t="str">
        <x:v>いしょくじゅう</x:v>
      </x:c>
      <x:c r="J1001" s="8" t="str">
        <x:v>음식, 옷 피난처</x:v>
      </x:c>
      <x:c r="K1001" s="2" t="str">
        <x:v>noun</x:v>
      </x:c>
      <x:c r="L1001" s="9" t="n">
        <x:v>2.87</x:v>
      </x:c>
      <x:c r="M1001" s="2" t="str">
        <x:v>없음</x:v>
      </x:c>
      <x:c r="N1001" s="11" t="n">
        <x:v>-2</x:v>
      </x:c>
      <x:c r="O1001" s="8" t="str">
        <x:v>일반 사용 빈도 낮은 편(Zipf ≤ 3.0); 검증된 예문 없음; 기존 데이터의 한국어 콘텐츠 보강 필요 태그</x:v>
      </x:c>
      <x:c r="P1001" s="8" t="str">
        <x:v>frequency_le_3_0,no_example,weak_legacy_content</x:v>
      </x:c>
      <x:c r="Q1001" s="2" t="str"/>
      <x:c r="R1001" s="2" t="str"/>
      <x:c r="S1001" s="2" t="str"/>
      <x:c r="T1001" s="2" t="str"/>
      <x:c r="U1001" s="2" t="str"/>
      <x:c r="V1001" s="2" t="str">
        <x:v>아니오</x:v>
      </x:c>
      <x:c r="W1001" s="2" t="str">
        <x:v>예</x:v>
      </x:c>
      <x:c r="X1001" s="2" t="str">
        <x:v>ichi1,news2,nf26</x:v>
      </x:c>
      <x:c r="Y1001" s="2" t="n">
        <x:v>100</x:v>
      </x:c>
      <x:c r="Z1001" s="2" t="str">
        <x:v>ichi1,news2,nf26</x:v>
      </x:c>
      <x:c r="AA1001" s="2" t="n">
        <x:v>100</x:v>
      </x:c>
      <x:c r="AB1001" s="8" t="str"/>
      <x:c r="AC1001" s="8" t="str"/>
      <x:c r="AD1001" s="8" t="str">
        <x:v>["draft-ko-missing"]</x:v>
      </x:c>
      <x:c r="AE1001" s="8" t="str">
        <x:v>검토 필요</x:v>
      </x:c>
      <x:c r="AF1001" s="8" t="str"/>
    </x:row>
    <x:row r="1002">
      <x:c r="A1002" s="10" t="n">
        <x:v>1001</x:v>
      </x:c>
      <x:c r="B1002" s="2" t="str">
        <x:v>2차 보류</x:v>
      </x:c>
      <x:c r="C1002" s="2" t="str">
        <x:v>2차 보류</x:v>
      </x:c>
      <x:c r="D1002" s="2" t="str">
        <x:v>낮음</x:v>
      </x:c>
      <x:c r="E1002" s="2" t="str">
        <x:v>N3</x:v>
      </x:c>
      <x:c r="F1002" s="10" t="n">
        <x:v>117</x:v>
      </x:c>
      <x:c r="G1002" s="2" t="str">
        <x:v>w_076d9f4f4dce14ac</x:v>
      </x:c>
      <x:c r="H1002" s="2" t="str">
        <x:v>剥く</x:v>
      </x:c>
      <x:c r="I1002" s="2" t="str">
        <x:v>むく</x:v>
      </x:c>
      <x:c r="J1002" s="8" t="str">
        <x:v>(껍질을) 벗기다, 까다</x:v>
      </x:c>
      <x:c r="K1002" s="2" t="str">
        <x:v>verb</x:v>
      </x:c>
      <x:c r="L1002" s="9" t="n">
        <x:v>2.88</x:v>
      </x:c>
      <x:c r="M1002" s="2" t="str">
        <x:v>없음</x:v>
      </x:c>
      <x:c r="N1002" s="11" t="n">
        <x:v>-2</x:v>
      </x:c>
      <x:c r="O1002" s="8" t="str">
        <x:v>일반 사용 빈도 낮은 편(Zipf ≤ 3.0); 검증된 예문 없음; 기존 데이터의 한국어 콘텐츠 보강 필요 태그</x:v>
      </x:c>
      <x:c r="P1002" s="8" t="str">
        <x:v>frequency_le_3_0,no_example,weak_legacy_content</x:v>
      </x:c>
      <x:c r="Q1002" s="2" t="str"/>
      <x:c r="R1002" s="2" t="str"/>
      <x:c r="S1002" s="2" t="str"/>
      <x:c r="T1002" s="2" t="str"/>
      <x:c r="U1002" s="2" t="str"/>
      <x:c r="V1002" s="2" t="str">
        <x:v>아니오</x:v>
      </x:c>
      <x:c r="W1002" s="2" t="str">
        <x:v>예</x:v>
      </x:c>
      <x:c r="X1002" s="2" t="str">
        <x:v>ichi1</x:v>
      </x:c>
      <x:c r="Y1002" s="2" t="n">
        <x:v>100</x:v>
      </x:c>
      <x:c r="Z1002" s="2" t="str">
        <x:v>ichi1</x:v>
      </x:c>
      <x:c r="AA1002" s="2" t="n">
        <x:v>100</x:v>
      </x:c>
      <x:c r="AB1002" s="8" t="str">
        <x:v>word usually written using kana alone</x:v>
      </x:c>
      <x:c r="AC1002" s="8" t="str"/>
      <x:c r="AD1002" s="8" t="str">
        <x:v>["draft-ko-missing"]</x:v>
      </x:c>
      <x:c r="AE1002" s="8" t="str">
        <x:v>검토 필요</x:v>
      </x:c>
      <x:c r="AF1002" s="8" t="str"/>
    </x:row>
    <x:row r="1003">
      <x:c r="A1003" s="10" t="n">
        <x:v>1002</x:v>
      </x:c>
      <x:c r="B1003" s="2" t="str">
        <x:v>2차 보류</x:v>
      </x:c>
      <x:c r="C1003" s="2" t="str">
        <x:v>2차 보류</x:v>
      </x:c>
      <x:c r="D1003" s="2" t="str">
        <x:v>낮음</x:v>
      </x:c>
      <x:c r="E1003" s="2" t="str">
        <x:v>N2</x:v>
      </x:c>
      <x:c r="F1003" s="10" t="n">
        <x:v>357</x:v>
      </x:c>
      <x:c r="G1003" s="2" t="str">
        <x:v>w_1e2a728f9fcabb4d</x:v>
      </x:c>
      <x:c r="H1003" s="2" t="str">
        <x:v>溶け込む</x:v>
      </x:c>
      <x:c r="I1003" s="2" t="str">
        <x:v>とけこむ</x:v>
      </x:c>
      <x:c r="J1003" s="8" t="str">
        <x:v>녹다 안으로, 되다 부분 의</x:v>
      </x:c>
      <x:c r="K1003" s="2" t="str">
        <x:v>verb</x:v>
      </x:c>
      <x:c r="L1003" s="9" t="n">
        <x:v>2.88</x:v>
      </x:c>
      <x:c r="M1003" s="2" t="str">
        <x:v>없음</x:v>
      </x:c>
      <x:c r="N1003" s="11" t="n">
        <x:v>-2</x:v>
      </x:c>
      <x:c r="O1003" s="8" t="str">
        <x:v>일반 사용 빈도 낮은 편(Zipf ≤ 3.0); 검증된 예문 없음; 기존 데이터의 한국어 콘텐츠 보강 필요 태그</x:v>
      </x:c>
      <x:c r="P1003" s="8" t="str">
        <x:v>frequency_le_3_0,no_example,weak_legacy_content</x:v>
      </x:c>
      <x:c r="Q1003" s="2" t="str"/>
      <x:c r="R1003" s="2" t="str"/>
      <x:c r="S1003" s="2" t="str"/>
      <x:c r="T1003" s="2" t="str"/>
      <x:c r="U1003" s="2" t="str"/>
      <x:c r="V1003" s="2" t="str">
        <x:v>아니오</x:v>
      </x:c>
      <x:c r="W1003" s="2" t="str">
        <x:v>예</x:v>
      </x:c>
      <x:c r="X1003" s="2" t="str">
        <x:v>ichi1,news2,nf47</x:v>
      </x:c>
      <x:c r="Y1003" s="2" t="n">
        <x:v>100</x:v>
      </x:c>
      <x:c r="Z1003" s="2" t="str">
        <x:v>ichi1,news2,nf47</x:v>
      </x:c>
      <x:c r="AA1003" s="2" t="n">
        <x:v>100</x:v>
      </x:c>
      <x:c r="AB1003" s="8" t="str"/>
      <x:c r="AC1003" s="8" t="str"/>
      <x:c r="AD1003" s="8" t="str">
        <x:v>["draft-ko-missing"]</x:v>
      </x:c>
      <x:c r="AE1003" s="8" t="str">
        <x:v>검토 필요</x:v>
      </x:c>
      <x:c r="AF1003" s="8" t="str"/>
    </x:row>
    <x:row r="1004">
      <x:c r="A1004" s="10" t="n">
        <x:v>1003</x:v>
      </x:c>
      <x:c r="B1004" s="2" t="str">
        <x:v>2차 보류</x:v>
      </x:c>
      <x:c r="C1004" s="2" t="str">
        <x:v>2차 보류</x:v>
      </x:c>
      <x:c r="D1004" s="2" t="str">
        <x:v>낮음</x:v>
      </x:c>
      <x:c r="E1004" s="2" t="str">
        <x:v>N2</x:v>
      </x:c>
      <x:c r="F1004" s="10" t="n">
        <x:v>358</x:v>
      </x:c>
      <x:c r="G1004" s="2" t="str">
        <x:v>w_6c180e630a91f293</x:v>
      </x:c>
      <x:c r="H1004" s="2" t="str">
        <x:v>複写</x:v>
      </x:c>
      <x:c r="I1004" s="2" t="str">
        <x:v>ふくしゃ</x:v>
      </x:c>
      <x:c r="J1004" s="8" t="str">
        <x:v>복사, 복제</x:v>
      </x:c>
      <x:c r="K1004" s="2" t="str">
        <x:v>noun</x:v>
      </x:c>
      <x:c r="L1004" s="9" t="n">
        <x:v>2.88</x:v>
      </x:c>
      <x:c r="M1004" s="2" t="str">
        <x:v>없음</x:v>
      </x:c>
      <x:c r="N1004" s="11" t="n">
        <x:v>-2</x:v>
      </x:c>
      <x:c r="O1004" s="8" t="str">
        <x:v>일반 사용 빈도 낮은 편(Zipf ≤ 3.0); 검증된 예문 없음; 기존 데이터의 한국어 콘텐츠 보강 필요 태그</x:v>
      </x:c>
      <x:c r="P1004" s="8" t="str">
        <x:v>frequency_le_3_0,no_example,weak_legacy_content</x:v>
      </x:c>
      <x:c r="Q1004" s="2" t="str"/>
      <x:c r="R1004" s="2" t="str"/>
      <x:c r="S1004" s="2" t="str"/>
      <x:c r="T1004" s="2" t="str"/>
      <x:c r="U1004" s="2" t="str"/>
      <x:c r="V1004" s="2" t="str">
        <x:v>아니오</x:v>
      </x:c>
      <x:c r="W1004" s="2" t="str">
        <x:v>예</x:v>
      </x:c>
      <x:c r="X1004" s="2" t="str">
        <x:v>ichi1,news2,nf28</x:v>
      </x:c>
      <x:c r="Y1004" s="2" t="n">
        <x:v>100</x:v>
      </x:c>
      <x:c r="Z1004" s="2" t="str">
        <x:v>ichi1,news2,nf28</x:v>
      </x:c>
      <x:c r="AA1004" s="2" t="n">
        <x:v>100</x:v>
      </x:c>
      <x:c r="AB1004" s="8" t="str"/>
      <x:c r="AC1004" s="8" t="str"/>
      <x:c r="AD1004" s="8" t="str">
        <x:v>["draft-ko-missing"]</x:v>
      </x:c>
      <x:c r="AE1004" s="8" t="str">
        <x:v>검토 필요</x:v>
      </x:c>
      <x:c r="AF1004" s="8" t="str"/>
    </x:row>
    <x:row r="1005">
      <x:c r="A1005" s="10" t="n">
        <x:v>1004</x:v>
      </x:c>
      <x:c r="B1005" s="2" t="str">
        <x:v>2차 보류</x:v>
      </x:c>
      <x:c r="C1005" s="2" t="str">
        <x:v>2차 보류</x:v>
      </x:c>
      <x:c r="D1005" s="2" t="str">
        <x:v>낮음</x:v>
      </x:c>
      <x:c r="E1005" s="2" t="str">
        <x:v>N1</x:v>
      </x:c>
      <x:c r="F1005" s="10" t="n">
        <x:v>444</x:v>
      </x:c>
      <x:c r="G1005" s="2" t="str">
        <x:v>w_69f93eeaa41ca495</x:v>
      </x:c>
      <x:c r="H1005" s="2" t="str">
        <x:v>目途</x:v>
      </x:c>
      <x:c r="I1005" s="2" t="str">
        <x:v>めど</x:v>
      </x:c>
      <x:c r="J1005" s="8" t="str">
        <x:v>목표, 전망, 가망</x:v>
      </x:c>
      <x:c r="K1005" s="2" t="str">
        <x:v>noun</x:v>
      </x:c>
      <x:c r="L1005" s="9" t="n">
        <x:v>2.88</x:v>
      </x:c>
      <x:c r="M1005" s="2" t="str">
        <x:v>없음</x:v>
      </x:c>
      <x:c r="N1005" s="11" t="n">
        <x:v>-2</x:v>
      </x:c>
      <x:c r="O1005" s="8" t="str">
        <x:v>일반 사용 빈도 낮은 편(Zipf ≤ 3.0); 검증된 예문 없음; 기존 데이터의 한국어 콘텐츠 보강 필요 태그</x:v>
      </x:c>
      <x:c r="P1005" s="8" t="str">
        <x:v>frequency_le_3_0,no_example,weak_legacy_content</x:v>
      </x:c>
      <x:c r="Q1005" s="2" t="str"/>
      <x:c r="R1005" s="2" t="str"/>
      <x:c r="S1005" s="2" t="str"/>
      <x:c r="T1005" s="2" t="str"/>
      <x:c r="U1005" s="2" t="str"/>
      <x:c r="V1005" s="2" t="str">
        <x:v>아니오</x:v>
      </x:c>
      <x:c r="W1005" s="2" t="str">
        <x:v>예</x:v>
      </x:c>
      <x:c r="X1005" s="2" t="str">
        <x:v>ichi1</x:v>
      </x:c>
      <x:c r="Y1005" s="2" t="n">
        <x:v>100</x:v>
      </x:c>
      <x:c r="Z1005" s="2" t="str"/>
      <x:c r="AA1005" s="2" t="n">
        <x:v>0</x:v>
      </x:c>
      <x:c r="AB1005" s="8" t="str">
        <x:v>word usually written using kana alone</x:v>
      </x:c>
      <x:c r="AC1005" s="8" t="str"/>
      <x:c r="AD1005" s="8" t="str">
        <x:v>["draft-ko-missing"]</x:v>
      </x:c>
      <x:c r="AE1005" s="8" t="str">
        <x:v>검토 필요</x:v>
      </x:c>
      <x:c r="AF1005" s="8" t="str"/>
    </x:row>
    <x:row r="1006">
      <x:c r="A1006" s="10" t="n">
        <x:v>1005</x:v>
      </x:c>
      <x:c r="B1006" s="2" t="str">
        <x:v>2차 보류</x:v>
      </x:c>
      <x:c r="C1006" s="2" t="str">
        <x:v>2차 보류</x:v>
      </x:c>
      <x:c r="D1006" s="2" t="str">
        <x:v>낮음</x:v>
      </x:c>
      <x:c r="E1006" s="2" t="str">
        <x:v>N1</x:v>
      </x:c>
      <x:c r="F1006" s="10" t="n">
        <x:v>445</x:v>
      </x:c>
      <x:c r="G1006" s="2" t="str">
        <x:v>w_8209d27b08704155</x:v>
      </x:c>
      <x:c r="H1006" s="2" t="str">
        <x:v>守衛</x:v>
      </x:c>
      <x:c r="I1006" s="2" t="str">
        <x:v>しゅえい</x:v>
      </x:c>
      <x:c r="J1006" s="8" t="str">
        <x:v>수위, 경비원</x:v>
      </x:c>
      <x:c r="K1006" s="2" t="str">
        <x:v>noun</x:v>
      </x:c>
      <x:c r="L1006" s="9" t="n">
        <x:v>2.88</x:v>
      </x:c>
      <x:c r="M1006" s="2" t="str">
        <x:v>없음</x:v>
      </x:c>
      <x:c r="N1006" s="11" t="n">
        <x:v>-2</x:v>
      </x:c>
      <x:c r="O1006" s="8" t="str">
        <x:v>일반 사용 빈도 낮은 편(Zipf ≤ 3.0); 검증된 예문 없음; 기존 데이터의 한국어 콘텐츠 보강 필요 태그</x:v>
      </x:c>
      <x:c r="P1006" s="8" t="str">
        <x:v>frequency_le_3_0,no_example,weak_legacy_content</x:v>
      </x:c>
      <x:c r="Q1006" s="2" t="str"/>
      <x:c r="R1006" s="2" t="str"/>
      <x:c r="S1006" s="2" t="str"/>
      <x:c r="T1006" s="2" t="str"/>
      <x:c r="U1006" s="2" t="str"/>
      <x:c r="V1006" s="2" t="str">
        <x:v>아니오</x:v>
      </x:c>
      <x:c r="W1006" s="2" t="str">
        <x:v>예</x:v>
      </x:c>
      <x:c r="X1006" s="2" t="str">
        <x:v>ichi1,news2,nf37</x:v>
      </x:c>
      <x:c r="Y1006" s="2" t="n">
        <x:v>100</x:v>
      </x:c>
      <x:c r="Z1006" s="2" t="str">
        <x:v>ichi1,news2,nf37</x:v>
      </x:c>
      <x:c r="AA1006" s="2" t="n">
        <x:v>100</x:v>
      </x:c>
      <x:c r="AB1006" s="8" t="str"/>
      <x:c r="AC1006" s="8" t="str"/>
      <x:c r="AD1006" s="8" t="str">
        <x:v>["draft-ko-missing"]</x:v>
      </x:c>
      <x:c r="AE1006" s="8" t="str">
        <x:v>검토 필요</x:v>
      </x:c>
      <x:c r="AF1006" s="8" t="str"/>
    </x:row>
    <x:row r="1007">
      <x:c r="A1007" s="10" t="n">
        <x:v>1006</x:v>
      </x:c>
      <x:c r="B1007" s="2" t="str">
        <x:v>2차 보류</x:v>
      </x:c>
      <x:c r="C1007" s="2" t="str">
        <x:v>2차 보류</x:v>
      </x:c>
      <x:c r="D1007" s="2" t="str">
        <x:v>낮음</x:v>
      </x:c>
      <x:c r="E1007" s="2" t="str">
        <x:v>N2</x:v>
      </x:c>
      <x:c r="F1007" s="10" t="n">
        <x:v>359</x:v>
      </x:c>
      <x:c r="G1007" s="2" t="str">
        <x:v>w_b59c4e111c8e5426</x:v>
      </x:c>
      <x:c r="H1007" s="2" t="str">
        <x:v>田植え</x:v>
      </x:c>
      <x:c r="I1007" s="2" t="str">
        <x:v>たうえ</x:v>
      </x:c>
      <x:c r="J1007" s="8" t="str">
        <x:v>모내기</x:v>
      </x:c>
      <x:c r="K1007" s="2" t="str">
        <x:v>noun</x:v>
      </x:c>
      <x:c r="L1007" s="9" t="n">
        <x:v>2.89</x:v>
      </x:c>
      <x:c r="M1007" s="2" t="str">
        <x:v>없음</x:v>
      </x:c>
      <x:c r="N1007" s="11" t="n">
        <x:v>-2</x:v>
      </x:c>
      <x:c r="O1007" s="8" t="str">
        <x:v>일반 사용 빈도 낮은 편(Zipf ≤ 3.0); 검증된 예문 없음; 기존 데이터의 한국어 콘텐츠 보강 필요 태그</x:v>
      </x:c>
      <x:c r="P1007" s="8" t="str">
        <x:v>frequency_le_3_0,no_example,weak_legacy_content</x:v>
      </x:c>
      <x:c r="Q1007" s="2" t="str"/>
      <x:c r="R1007" s="2" t="str"/>
      <x:c r="S1007" s="2" t="str"/>
      <x:c r="T1007" s="2" t="str"/>
      <x:c r="U1007" s="2" t="str"/>
      <x:c r="V1007" s="2" t="str">
        <x:v>아니오</x:v>
      </x:c>
      <x:c r="W1007" s="2" t="str">
        <x:v>예</x:v>
      </x:c>
      <x:c r="X1007" s="2" t="str">
        <x:v>ichi1,news1,nf17</x:v>
      </x:c>
      <x:c r="Y1007" s="2" t="n">
        <x:v>100</x:v>
      </x:c>
      <x:c r="Z1007" s="2" t="str">
        <x:v>ichi1,news1,nf17</x:v>
      </x:c>
      <x:c r="AA1007" s="2" t="n">
        <x:v>100</x:v>
      </x:c>
      <x:c r="AB1007" s="8" t="str"/>
      <x:c r="AC1007" s="8" t="str"/>
      <x:c r="AD1007" s="8" t="str">
        <x:v>["draft-ko-missing"]</x:v>
      </x:c>
      <x:c r="AE1007" s="8" t="str">
        <x:v>검토 필요</x:v>
      </x:c>
      <x:c r="AF1007" s="8" t="str"/>
    </x:row>
    <x:row r="1008">
      <x:c r="A1008" s="10" t="n">
        <x:v>1007</x:v>
      </x:c>
      <x:c r="B1008" s="2" t="str">
        <x:v>2차 보류</x:v>
      </x:c>
      <x:c r="C1008" s="2" t="str">
        <x:v>2차 보류</x:v>
      </x:c>
      <x:c r="D1008" s="2" t="str">
        <x:v>낮음</x:v>
      </x:c>
      <x:c r="E1008" s="2" t="str">
        <x:v>N2</x:v>
      </x:c>
      <x:c r="F1008" s="10" t="n">
        <x:v>360</x:v>
      </x:c>
      <x:c r="G1008" s="2" t="str">
        <x:v>w_c61d08b46212d3f6</x:v>
      </x:c>
      <x:c r="H1008" s="2" t="str">
        <x:v>入れ物</x:v>
      </x:c>
      <x:c r="I1008" s="2" t="str">
        <x:v>いれもの</x:v>
      </x:c>
      <x:c r="J1008" s="8" t="str">
        <x:v>그릇, 용기</x:v>
      </x:c>
      <x:c r="K1008" s="2" t="str">
        <x:v>noun</x:v>
      </x:c>
      <x:c r="L1008" s="9" t="n">
        <x:v>2.89</x:v>
      </x:c>
      <x:c r="M1008" s="2" t="str">
        <x:v>없음</x:v>
      </x:c>
      <x:c r="N1008" s="11" t="n">
        <x:v>-2</x:v>
      </x:c>
      <x:c r="O1008" s="8" t="str">
        <x:v>일반 사용 빈도 낮은 편(Zipf ≤ 3.0); 검증된 예문 없음; 기존 데이터의 한국어 콘텐츠 보강 필요 태그</x:v>
      </x:c>
      <x:c r="P1008" s="8" t="str">
        <x:v>frequency_le_3_0,no_example,weak_legacy_content</x:v>
      </x:c>
      <x:c r="Q1008" s="2" t="str"/>
      <x:c r="R1008" s="2" t="str"/>
      <x:c r="S1008" s="2" t="str"/>
      <x:c r="T1008" s="2" t="str"/>
      <x:c r="U1008" s="2" t="str"/>
      <x:c r="V1008" s="2" t="str">
        <x:v>아니오</x:v>
      </x:c>
      <x:c r="W1008" s="2" t="str">
        <x:v>예</x:v>
      </x:c>
      <x:c r="X1008" s="2" t="str">
        <x:v>ichi1,news2,nf41</x:v>
      </x:c>
      <x:c r="Y1008" s="2" t="n">
        <x:v>100</x:v>
      </x:c>
      <x:c r="Z1008" s="2" t="str">
        <x:v>ichi1,news2,nf41</x:v>
      </x:c>
      <x:c r="AA1008" s="2" t="n">
        <x:v>100</x:v>
      </x:c>
      <x:c r="AB1008" s="8" t="str">
        <x:v>euphemistic</x:v>
      </x:c>
      <x:c r="AC1008" s="8" t="str"/>
      <x:c r="AD1008" s="8" t="str">
        <x:v>["draft-ko-missing"]</x:v>
      </x:c>
      <x:c r="AE1008" s="8" t="str">
        <x:v>검토 필요</x:v>
      </x:c>
      <x:c r="AF1008" s="8" t="str"/>
    </x:row>
    <x:row r="1009">
      <x:c r="A1009" s="10" t="n">
        <x:v>1008</x:v>
      </x:c>
      <x:c r="B1009" s="2" t="str">
        <x:v>2차 보류</x:v>
      </x:c>
      <x:c r="C1009" s="2" t="str">
        <x:v>2차 보류</x:v>
      </x:c>
      <x:c r="D1009" s="2" t="str">
        <x:v>낮음</x:v>
      </x:c>
      <x:c r="E1009" s="2" t="str">
        <x:v>N2</x:v>
      </x:c>
      <x:c r="F1009" s="10" t="n">
        <x:v>361</x:v>
      </x:c>
      <x:c r="G1009" s="2" t="str">
        <x:v>w_f6a2e20f749791eb</x:v>
      </x:c>
      <x:c r="H1009" s="2" t="str">
        <x:v>広々</x:v>
      </x:c>
      <x:c r="I1009" s="2" t="str">
        <x:v>ひろびろ</x:v>
      </x:c>
      <x:c r="J1009" s="8" t="str">
        <x:v>널찍함</x:v>
      </x:c>
      <x:c r="K1009" s="2" t="str">
        <x:v>adverb</x:v>
      </x:c>
      <x:c r="L1009" s="9" t="n">
        <x:v>2.89</x:v>
      </x:c>
      <x:c r="M1009" s="2" t="str">
        <x:v>없음</x:v>
      </x:c>
      <x:c r="N1009" s="11" t="n">
        <x:v>-2</x:v>
      </x:c>
      <x:c r="O1009" s="8" t="str">
        <x:v>일반 사용 빈도 낮은 편(Zipf ≤ 3.0); 검증된 예문 없음; 기존 데이터의 한국어 콘텐츠 보강 필요 태그</x:v>
      </x:c>
      <x:c r="P1009" s="8" t="str">
        <x:v>frequency_le_3_0,no_example,weak_legacy_content</x:v>
      </x:c>
      <x:c r="Q1009" s="2" t="str"/>
      <x:c r="R1009" s="2" t="str"/>
      <x:c r="S1009" s="2" t="str"/>
      <x:c r="T1009" s="2" t="str"/>
      <x:c r="U1009" s="2" t="str"/>
      <x:c r="V1009" s="2" t="str">
        <x:v>아니오</x:v>
      </x:c>
      <x:c r="W1009" s="2" t="str">
        <x:v>예</x:v>
      </x:c>
      <x:c r="X1009" s="2" t="str">
        <x:v>spec1</x:v>
      </x:c>
      <x:c r="Y1009" s="2" t="n">
        <x:v>100</x:v>
      </x:c>
      <x:c r="Z1009" s="2" t="str">
        <x:v>spec1</x:v>
      </x:c>
      <x:c r="AA1009" s="2" t="n">
        <x:v>100</x:v>
      </x:c>
      <x:c r="AB1009" s="8" t="str"/>
      <x:c r="AC1009" s="8" t="str"/>
      <x:c r="AD1009" s="8" t="str">
        <x:v>["draft-ko-missing"]</x:v>
      </x:c>
      <x:c r="AE1009" s="8" t="str">
        <x:v>검토 필요</x:v>
      </x:c>
      <x:c r="AF1009" s="8" t="str"/>
    </x:row>
    <x:row r="1010">
      <x:c r="A1010" s="10" t="n">
        <x:v>1009</x:v>
      </x:c>
      <x:c r="B1010" s="2" t="str">
        <x:v>2차 보류</x:v>
      </x:c>
      <x:c r="C1010" s="2" t="str">
        <x:v>2차 보류</x:v>
      </x:c>
      <x:c r="D1010" s="2" t="str">
        <x:v>낮음</x:v>
      </x:c>
      <x:c r="E1010" s="2" t="str">
        <x:v>N4</x:v>
      </x:c>
      <x:c r="F1010" s="10" t="n">
        <x:v>68</x:v>
      </x:c>
      <x:c r="G1010" s="2" t="str">
        <x:v>w_941cab42122d160a</x:v>
      </x:c>
      <x:c r="H1010" s="2" t="str">
        <x:v>押し入れ</x:v>
      </x:c>
      <x:c r="I1010" s="2" t="str">
        <x:v>おしいれ</x:v>
      </x:c>
      <x:c r="J1010" s="8" t="str">
        <x:v>벽장</x:v>
      </x:c>
      <x:c r="K1010" s="2" t="str">
        <x:v>noun</x:v>
      </x:c>
      <x:c r="L1010" s="9" t="n">
        <x:v>2.9</x:v>
      </x:c>
      <x:c r="M1010" s="2" t="str">
        <x:v>없음</x:v>
      </x:c>
      <x:c r="N1010" s="11" t="n">
        <x:v>-2</x:v>
      </x:c>
      <x:c r="O1010" s="8" t="str">
        <x:v>일반 사용 빈도 낮은 편(Zipf ≤ 3.0); 검증된 예문 없음; 기존 데이터의 한국어 콘텐츠 보강 필요 태그</x:v>
      </x:c>
      <x:c r="P1010" s="8" t="str">
        <x:v>frequency_le_3_0,no_example,weak_legacy_content</x:v>
      </x:c>
      <x:c r="Q1010" s="2" t="str"/>
      <x:c r="R1010" s="2" t="str"/>
      <x:c r="S1010" s="2" t="str"/>
      <x:c r="T1010" s="2" t="str"/>
      <x:c r="U1010" s="2" t="str"/>
      <x:c r="V1010" s="2" t="str">
        <x:v>아니오</x:v>
      </x:c>
      <x:c r="W1010" s="2" t="str">
        <x:v>예</x:v>
      </x:c>
      <x:c r="X1010" s="2" t="str">
        <x:v>ichi1</x:v>
      </x:c>
      <x:c r="Y1010" s="2" t="n">
        <x:v>100</x:v>
      </x:c>
      <x:c r="Z1010" s="2" t="str">
        <x:v>ichi1</x:v>
      </x:c>
      <x:c r="AA1010" s="2" t="n">
        <x:v>100</x:v>
      </x:c>
      <x:c r="AB1010" s="8" t="str"/>
      <x:c r="AC1010" s="8" t="str"/>
      <x:c r="AD1010" s="8" t="str">
        <x:v>["draft-ko-missing"]</x:v>
      </x:c>
      <x:c r="AE1010" s="8" t="str">
        <x:v>검토 필요</x:v>
      </x:c>
      <x:c r="AF1010" s="8" t="str"/>
    </x:row>
    <x:row r="1011">
      <x:c r="A1011" s="10" t="n">
        <x:v>1010</x:v>
      </x:c>
      <x:c r="B1011" s="2" t="str">
        <x:v>2차 보류</x:v>
      </x:c>
      <x:c r="C1011" s="2" t="str">
        <x:v>2차 보류</x:v>
      </x:c>
      <x:c r="D1011" s="2" t="str">
        <x:v>낮음</x:v>
      </x:c>
      <x:c r="E1011" s="2" t="str">
        <x:v>N2</x:v>
      </x:c>
      <x:c r="F1011" s="10" t="n">
        <x:v>362</x:v>
      </x:c>
      <x:c r="G1011" s="2" t="str">
        <x:v>w_0def2704e8a8e772</x:v>
      </x:c>
      <x:c r="H1011" s="2" t="str">
        <x:v>囁く</x:v>
      </x:c>
      <x:c r="I1011" s="2" t="str">
        <x:v>ささやく</x:v>
      </x:c>
      <x:c r="J1011" s="8" t="str">
        <x:v>속삭이다</x:v>
      </x:c>
      <x:c r="K1011" s="2" t="str">
        <x:v>verb</x:v>
      </x:c>
      <x:c r="L1011" s="9" t="n">
        <x:v>2.9</x:v>
      </x:c>
      <x:c r="M1011" s="2" t="str">
        <x:v>없음</x:v>
      </x:c>
      <x:c r="N1011" s="11" t="n">
        <x:v>-2</x:v>
      </x:c>
      <x:c r="O1011" s="8" t="str">
        <x:v>일반 사용 빈도 낮은 편(Zipf ≤ 3.0); 검증된 예문 없음; 기존 데이터의 한국어 콘텐츠 보강 필요 태그</x:v>
      </x:c>
      <x:c r="P1011" s="8" t="str">
        <x:v>frequency_le_3_0,no_example,weak_legacy_content</x:v>
      </x:c>
      <x:c r="Q1011" s="2" t="str"/>
      <x:c r="R1011" s="2" t="str"/>
      <x:c r="S1011" s="2" t="str"/>
      <x:c r="T1011" s="2" t="str"/>
      <x:c r="U1011" s="2" t="str"/>
      <x:c r="V1011" s="2" t="str">
        <x:v>아니오</x:v>
      </x:c>
      <x:c r="W1011" s="2" t="str">
        <x:v>예</x:v>
      </x:c>
      <x:c r="X1011" s="2" t="str">
        <x:v>ichi1</x:v>
      </x:c>
      <x:c r="Y1011" s="2" t="n">
        <x:v>100</x:v>
      </x:c>
      <x:c r="Z1011" s="2" t="str">
        <x:v>ichi1</x:v>
      </x:c>
      <x:c r="AA1011" s="2" t="n">
        <x:v>100</x:v>
      </x:c>
      <x:c r="AB1011" s="8" t="str">
        <x:v>usu. in the passive | word usually written using kana alone</x:v>
      </x:c>
      <x:c r="AC1011" s="8" t="str"/>
      <x:c r="AD1011" s="8" t="str">
        <x:v>["draft-ko-missing"]</x:v>
      </x:c>
      <x:c r="AE1011" s="8" t="str">
        <x:v>검토 필요</x:v>
      </x:c>
      <x:c r="AF1011" s="8" t="str"/>
    </x:row>
    <x:row r="1012">
      <x:c r="A1012" s="10" t="n">
        <x:v>1011</x:v>
      </x:c>
      <x:c r="B1012" s="2" t="str">
        <x:v>2차 보류</x:v>
      </x:c>
      <x:c r="C1012" s="2" t="str">
        <x:v>2차 보류</x:v>
      </x:c>
      <x:c r="D1012" s="2" t="str">
        <x:v>낮음</x:v>
      </x:c>
      <x:c r="E1012" s="2" t="str">
        <x:v>N1</x:v>
      </x:c>
      <x:c r="F1012" s="10" t="n">
        <x:v>446</x:v>
      </x:c>
      <x:c r="G1012" s="2" t="str">
        <x:v>w_353a93fcbb7c13d6</x:v>
      </x:c>
      <x:c r="H1012" s="2" t="str">
        <x:v>徹する</x:v>
      </x:c>
      <x:c r="I1012" s="2" t="str">
        <x:v>てっする</x:v>
      </x:c>
      <x:c r="J1012" s="8" t="str">
        <x:v>철저히 하다, 일관하다</x:v>
      </x:c>
      <x:c r="K1012" s="2" t="str">
        <x:v>verb</x:v>
      </x:c>
      <x:c r="L1012" s="9" t="n">
        <x:v>2.9</x:v>
      </x:c>
      <x:c r="M1012" s="2" t="str">
        <x:v>없음</x:v>
      </x:c>
      <x:c r="N1012" s="11" t="n">
        <x:v>-2</x:v>
      </x:c>
      <x:c r="O1012" s="8" t="str">
        <x:v>일반 사용 빈도 낮은 편(Zipf ≤ 3.0); 검증된 예문 없음; 기존 데이터의 한국어 콘텐츠 보강 필요 태그</x:v>
      </x:c>
      <x:c r="P1012" s="8" t="str">
        <x:v>frequency_le_3_0,no_example,weak_legacy_content</x:v>
      </x:c>
      <x:c r="Q1012" s="2" t="str"/>
      <x:c r="R1012" s="2" t="str"/>
      <x:c r="S1012" s="2" t="str"/>
      <x:c r="T1012" s="2" t="str"/>
      <x:c r="U1012" s="2" t="str"/>
      <x:c r="V1012" s="2" t="str">
        <x:v>아니오</x:v>
      </x:c>
      <x:c r="W1012" s="2" t="str">
        <x:v>예</x:v>
      </x:c>
      <x:c r="X1012" s="2" t="str">
        <x:v>ichi1,news1,nf16</x:v>
      </x:c>
      <x:c r="Y1012" s="2" t="n">
        <x:v>100</x:v>
      </x:c>
      <x:c r="Z1012" s="2" t="str">
        <x:v>ichi1,news1,nf16</x:v>
      </x:c>
      <x:c r="AA1012" s="2" t="n">
        <x:v>100</x:v>
      </x:c>
      <x:c r="AB1012" s="8" t="str"/>
      <x:c r="AC1012" s="8" t="str"/>
      <x:c r="AD1012" s="8" t="str">
        <x:v>["draft-ko-missing"]</x:v>
      </x:c>
      <x:c r="AE1012" s="8" t="str">
        <x:v>검토 필요</x:v>
      </x:c>
      <x:c r="AF1012" s="8" t="str"/>
    </x:row>
    <x:row r="1013">
      <x:c r="A1013" s="10" t="n">
        <x:v>1012</x:v>
      </x:c>
      <x:c r="B1013" s="2" t="str">
        <x:v>2차 보류</x:v>
      </x:c>
      <x:c r="C1013" s="2" t="str">
        <x:v>2차 보류</x:v>
      </x:c>
      <x:c r="D1013" s="2" t="str">
        <x:v>낮음</x:v>
      </x:c>
      <x:c r="E1013" s="2" t="str">
        <x:v>N1</x:v>
      </x:c>
      <x:c r="F1013" s="10" t="n">
        <x:v>447</x:v>
      </x:c>
      <x:c r="G1013" s="2" t="str">
        <x:v>w_3a75b395a770a603</x:v>
      </x:c>
      <x:c r="H1013" s="2" t="str">
        <x:v>形勢</x:v>
      </x:c>
      <x:c r="I1013" s="2" t="str">
        <x:v>けいせい</x:v>
      </x:c>
      <x:c r="J1013" s="8" t="str">
        <x:v>형세, 정세</x:v>
      </x:c>
      <x:c r="K1013" s="2" t="str">
        <x:v>noun</x:v>
      </x:c>
      <x:c r="L1013" s="9" t="n">
        <x:v>2.9</x:v>
      </x:c>
      <x:c r="M1013" s="2" t="str">
        <x:v>없음</x:v>
      </x:c>
      <x:c r="N1013" s="11" t="n">
        <x:v>-2</x:v>
      </x:c>
      <x:c r="O1013" s="8" t="str">
        <x:v>일반 사용 빈도 낮은 편(Zipf ≤ 3.0); 검증된 예문 없음; 기존 데이터의 한국어 콘텐츠 보강 필요 태그</x:v>
      </x:c>
      <x:c r="P1013" s="8" t="str">
        <x:v>frequency_le_3_0,no_example,weak_legacy_content</x:v>
      </x:c>
      <x:c r="Q1013" s="2" t="str"/>
      <x:c r="R1013" s="2" t="str"/>
      <x:c r="S1013" s="2" t="str"/>
      <x:c r="T1013" s="2" t="str"/>
      <x:c r="U1013" s="2" t="str"/>
      <x:c r="V1013" s="2" t="str">
        <x:v>아니오</x:v>
      </x:c>
      <x:c r="W1013" s="2" t="str">
        <x:v>예</x:v>
      </x:c>
      <x:c r="X1013" s="2" t="str">
        <x:v>news1,nf18</x:v>
      </x:c>
      <x:c r="Y1013" s="2" t="n">
        <x:v>100</x:v>
      </x:c>
      <x:c r="Z1013" s="2" t="str">
        <x:v>news1,nf18</x:v>
      </x:c>
      <x:c r="AA1013" s="2" t="n">
        <x:v>100</x:v>
      </x:c>
      <x:c r="AB1013" s="8" t="str"/>
      <x:c r="AC1013" s="8" t="str"/>
      <x:c r="AD1013" s="8" t="str">
        <x:v>["draft-ko-missing"]</x:v>
      </x:c>
      <x:c r="AE1013" s="8" t="str">
        <x:v>검토 필요</x:v>
      </x:c>
      <x:c r="AF1013" s="8" t="str"/>
    </x:row>
    <x:row r="1014">
      <x:c r="A1014" s="10" t="n">
        <x:v>1013</x:v>
      </x:c>
      <x:c r="B1014" s="2" t="str">
        <x:v>2차 보류</x:v>
      </x:c>
      <x:c r="C1014" s="2" t="str">
        <x:v>2차 보류</x:v>
      </x:c>
      <x:c r="D1014" s="2" t="str">
        <x:v>낮음</x:v>
      </x:c>
      <x:c r="E1014" s="2" t="str">
        <x:v>N2</x:v>
      </x:c>
      <x:c r="F1014" s="10" t="n">
        <x:v>363</x:v>
      </x:c>
      <x:c r="G1014" s="2" t="str">
        <x:v>w_0beeafd0189a47d8</x:v>
      </x:c>
      <x:c r="H1014" s="2" t="str">
        <x:v>エチケット</x:v>
      </x:c>
      <x:c r="I1014" s="2" t="str">
        <x:v>エチケット</x:v>
      </x:c>
      <x:c r="J1014" s="8" t="str">
        <x:v>예절</x:v>
      </x:c>
      <x:c r="K1014" s="2" t="str">
        <x:v>noun</x:v>
      </x:c>
      <x:c r="L1014" s="9" t="n">
        <x:v>2.91</x:v>
      </x:c>
      <x:c r="M1014" s="2" t="str">
        <x:v>없음</x:v>
      </x:c>
      <x:c r="N1014" s="11" t="n">
        <x:v>-2</x:v>
      </x:c>
      <x:c r="O1014" s="8" t="str">
        <x:v>일반 사용 빈도 낮은 편(Zipf ≤ 3.0); 검증된 예문 없음; 기존 데이터의 한국어 콘텐츠 보강 필요 태그</x:v>
      </x:c>
      <x:c r="P1014" s="8" t="str">
        <x:v>frequency_le_3_0,no_example,weak_legacy_content</x:v>
      </x:c>
      <x:c r="Q1014" s="2" t="str"/>
      <x:c r="R1014" s="2" t="str"/>
      <x:c r="S1014" s="2" t="str"/>
      <x:c r="T1014" s="2" t="str"/>
      <x:c r="U1014" s="2" t="str"/>
      <x:c r="V1014" s="2" t="str">
        <x:v>아니오</x:v>
      </x:c>
      <x:c r="W1014" s="2" t="str">
        <x:v>예</x:v>
      </x:c>
      <x:c r="X1014" s="2" t="str">
        <x:v>gai1,ichi1</x:v>
      </x:c>
      <x:c r="Y1014" s="2" t="n">
        <x:v>100</x:v>
      </x:c>
      <x:c r="Z1014" s="2" t="str">
        <x:v>gai1,ichi1</x:v>
      </x:c>
      <x:c r="AA1014" s="2" t="n">
        <x:v>100</x:v>
      </x:c>
      <x:c r="AB1014" s="8" t="str"/>
      <x:c r="AC1014" s="8" t="str"/>
      <x:c r="AD1014" s="8" t="str">
        <x:v>["draft-ko-missing"]</x:v>
      </x:c>
      <x:c r="AE1014" s="8" t="str">
        <x:v>검토 필요</x:v>
      </x:c>
      <x:c r="AF1014" s="8" t="str"/>
    </x:row>
    <x:row r="1015">
      <x:c r="A1015" s="10" t="n">
        <x:v>1014</x:v>
      </x:c>
      <x:c r="B1015" s="2" t="str">
        <x:v>2차 보류</x:v>
      </x:c>
      <x:c r="C1015" s="2" t="str">
        <x:v>2차 보류</x:v>
      </x:c>
      <x:c r="D1015" s="2" t="str">
        <x:v>낮음</x:v>
      </x:c>
      <x:c r="E1015" s="2" t="str">
        <x:v>N2</x:v>
      </x:c>
      <x:c r="F1015" s="10" t="n">
        <x:v>364</x:v>
      </x:c>
      <x:c r="G1015" s="2" t="str">
        <x:v>w_6e944754268c9b91</x:v>
      </x:c>
      <x:c r="H1015" s="2" t="str">
        <x:v>ずらす</x:v>
      </x:c>
      <x:c r="I1015" s="2" t="str">
        <x:v>ずらす</x:v>
      </x:c>
      <x:c r="J1015" s="8" t="str">
        <x:v>(위치·시간을) 옮기다, 늦추다</x:v>
      </x:c>
      <x:c r="K1015" s="2" t="str">
        <x:v>verb</x:v>
      </x:c>
      <x:c r="L1015" s="9" t="n">
        <x:v>2.91</x:v>
      </x:c>
      <x:c r="M1015" s="2" t="str">
        <x:v>없음</x:v>
      </x:c>
      <x:c r="N1015" s="11" t="n">
        <x:v>-2</x:v>
      </x:c>
      <x:c r="O1015" s="8" t="str">
        <x:v>일반 사용 빈도 낮은 편(Zipf ≤ 3.0); 검증된 예문 없음; 기존 데이터의 한국어 콘텐츠 보강 필요 태그</x:v>
      </x:c>
      <x:c r="P1015" s="8" t="str">
        <x:v>frequency_le_3_0,no_example,weak_legacy_content</x:v>
      </x:c>
      <x:c r="Q1015" s="2" t="str"/>
      <x:c r="R1015" s="2" t="str"/>
      <x:c r="S1015" s="2" t="str"/>
      <x:c r="T1015" s="2" t="str"/>
      <x:c r="U1015" s="2" t="str"/>
      <x:c r="V1015" s="2" t="str">
        <x:v>아니오</x:v>
      </x:c>
      <x:c r="W1015" s="2" t="str">
        <x:v>예</x:v>
      </x:c>
      <x:c r="X1015" s="2" t="str">
        <x:v>ichi1</x:v>
      </x:c>
      <x:c r="Y1015" s="2" t="n">
        <x:v>100</x:v>
      </x:c>
      <x:c r="Z1015" s="2" t="str">
        <x:v>ichi1</x:v>
      </x:c>
      <x:c r="AA1015" s="2" t="n">
        <x:v>100</x:v>
      </x:c>
      <x:c r="AB1015" s="8" t="str"/>
      <x:c r="AC1015" s="8" t="str"/>
      <x:c r="AD1015" s="8" t="str">
        <x:v>["draft-ko-missing"]</x:v>
      </x:c>
      <x:c r="AE1015" s="8" t="str">
        <x:v>검토 필요</x:v>
      </x:c>
      <x:c r="AF1015" s="8" t="str"/>
    </x:row>
    <x:row r="1016">
      <x:c r="A1016" s="10" t="n">
        <x:v>1015</x:v>
      </x:c>
      <x:c r="B1016" s="2" t="str">
        <x:v>2차 보류</x:v>
      </x:c>
      <x:c r="C1016" s="2" t="str">
        <x:v>2차 보류</x:v>
      </x:c>
      <x:c r="D1016" s="2" t="str">
        <x:v>낮음</x:v>
      </x:c>
      <x:c r="E1016" s="2" t="str">
        <x:v>N2</x:v>
      </x:c>
      <x:c r="F1016" s="10" t="n">
        <x:v>365</x:v>
      </x:c>
      <x:c r="G1016" s="2" t="str">
        <x:v>w_ec5c1b86798fb7c1</x:v>
      </x:c>
      <x:c r="H1016" s="2" t="str">
        <x:v>跳ねる</x:v>
      </x:c>
      <x:c r="I1016" s="2" t="str">
        <x:v>はねる</x:v>
      </x:c>
      <x:c r="J1016" s="8" t="str">
        <x:v>뛰어오르다, 튀다</x:v>
      </x:c>
      <x:c r="K1016" s="2" t="str">
        <x:v>verb</x:v>
      </x:c>
      <x:c r="L1016" s="9" t="n">
        <x:v>2.91</x:v>
      </x:c>
      <x:c r="M1016" s="2" t="str">
        <x:v>없음</x:v>
      </x:c>
      <x:c r="N1016" s="11" t="n">
        <x:v>-2</x:v>
      </x:c>
      <x:c r="O1016" s="8" t="str">
        <x:v>일반 사용 빈도 낮은 편(Zipf ≤ 3.0); 검증된 예문 없음; 기존 데이터의 한국어 콘텐츠 보강 필요 태그</x:v>
      </x:c>
      <x:c r="P1016" s="8" t="str">
        <x:v>frequency_le_3_0,no_example,weak_legacy_content</x:v>
      </x:c>
      <x:c r="Q1016" s="2" t="str"/>
      <x:c r="R1016" s="2" t="str"/>
      <x:c r="S1016" s="2" t="str"/>
      <x:c r="T1016" s="2" t="str"/>
      <x:c r="U1016" s="2" t="str"/>
      <x:c r="V1016" s="2" t="str">
        <x:v>아니오</x:v>
      </x:c>
      <x:c r="W1016" s="2" t="str">
        <x:v>예</x:v>
      </x:c>
      <x:c r="X1016" s="2" t="str">
        <x:v>ichi1,news2,nf40</x:v>
      </x:c>
      <x:c r="Y1016" s="2" t="n">
        <x:v>100</x:v>
      </x:c>
      <x:c r="Z1016" s="2" t="str">
        <x:v>ichi1,news2,nf40</x:v>
      </x:c>
      <x:c r="AA1016" s="2" t="n">
        <x:v>100</x:v>
      </x:c>
      <x:c r="AB1016" s="8" t="str">
        <x:v>instead of 撥ねる | usu. ハネる | word usually written using kana alone</x:v>
      </x:c>
      <x:c r="AC1016" s="8" t="str"/>
      <x:c r="AD1016" s="8" t="str">
        <x:v>["draft-ko-missing"]</x:v>
      </x:c>
      <x:c r="AE1016" s="8" t="str">
        <x:v>검토 필요</x:v>
      </x:c>
      <x:c r="AF1016" s="8" t="str"/>
    </x:row>
    <x:row r="1017">
      <x:c r="A1017" s="10" t="n">
        <x:v>1016</x:v>
      </x:c>
      <x:c r="B1017" s="2" t="str">
        <x:v>2차 보류</x:v>
      </x:c>
      <x:c r="C1017" s="2" t="str">
        <x:v>2차 보류</x:v>
      </x:c>
      <x:c r="D1017" s="2" t="str">
        <x:v>낮음</x:v>
      </x:c>
      <x:c r="E1017" s="2" t="str">
        <x:v>N1</x:v>
      </x:c>
      <x:c r="F1017" s="10" t="n">
        <x:v>448</x:v>
      </x:c>
      <x:c r="G1017" s="2" t="str">
        <x:v>w_9484300c5113a170</x:v>
      </x:c>
      <x:c r="H1017" s="2" t="str">
        <x:v>前売</x:v>
      </x:c>
      <x:c r="I1017" s="2" t="str">
        <x:v>まえうり</x:v>
      </x:c>
      <x:c r="J1017" s="8" t="str">
        <x:v>예매</x:v>
      </x:c>
      <x:c r="K1017" s="2" t="str">
        <x:v>noun</x:v>
      </x:c>
      <x:c r="L1017" s="9" t="n">
        <x:v>2.91</x:v>
      </x:c>
      <x:c r="M1017" s="2" t="str">
        <x:v>없음</x:v>
      </x:c>
      <x:c r="N1017" s="11" t="n">
        <x:v>-2</x:v>
      </x:c>
      <x:c r="O1017" s="8" t="str">
        <x:v>일반 사용 빈도 낮은 편(Zipf ≤ 3.0); 검증된 예문 없음; 기존 데이터의 한국어 콘텐츠 보강 필요 태그</x:v>
      </x:c>
      <x:c r="P1017" s="8" t="str">
        <x:v>frequency_le_3_0,no_example,weak_legacy_content</x:v>
      </x:c>
      <x:c r="Q1017" s="2" t="str"/>
      <x:c r="R1017" s="2" t="str"/>
      <x:c r="S1017" s="2" t="str"/>
      <x:c r="T1017" s="2" t="str"/>
      <x:c r="U1017" s="2" t="str"/>
      <x:c r="V1017" s="2" t="str">
        <x:v>아니오</x:v>
      </x:c>
      <x:c r="W1017" s="2" t="str">
        <x:v>예</x:v>
      </x:c>
      <x:c r="X1017" s="2" t="str">
        <x:v>ichi1,news1,nf13</x:v>
      </x:c>
      <x:c r="Y1017" s="2" t="n">
        <x:v>100</x:v>
      </x:c>
      <x:c r="Z1017" s="2" t="str"/>
      <x:c r="AA1017" s="2" t="n">
        <x:v>0</x:v>
      </x:c>
      <x:c r="AB1017" s="8" t="str"/>
      <x:c r="AC1017" s="8" t="str"/>
      <x:c r="AD1017" s="8" t="str">
        <x:v>["draft-ko-missing"]</x:v>
      </x:c>
      <x:c r="AE1017" s="8" t="str">
        <x:v>검토 필요</x:v>
      </x:c>
      <x:c r="AF1017" s="8" t="str"/>
    </x:row>
    <x:row r="1018">
      <x:c r="A1018" s="10" t="n">
        <x:v>1017</x:v>
      </x:c>
      <x:c r="B1018" s="2" t="str">
        <x:v>2차 보류</x:v>
      </x:c>
      <x:c r="C1018" s="2" t="str">
        <x:v>2차 보류</x:v>
      </x:c>
      <x:c r="D1018" s="2" t="str">
        <x:v>낮음</x:v>
      </x:c>
      <x:c r="E1018" s="2" t="str">
        <x:v>N2</x:v>
      </x:c>
      <x:c r="F1018" s="10" t="n">
        <x:v>366</x:v>
      </x:c>
      <x:c r="G1018" s="2" t="str">
        <x:v>w_b69f8cd19581f34a</x:v>
      </x:c>
      <x:c r="H1018" s="2" t="str">
        <x:v>始終</x:v>
      </x:c>
      <x:c r="I1018" s="2" t="str">
        <x:v>しじゅう</x:v>
      </x:c>
      <x:c r="J1018" s="8" t="str">
        <x:v>항상, 끊임없이</x:v>
      </x:c>
      <x:c r="K1018" s="2" t="str">
        <x:v>adverb</x:v>
      </x:c>
      <x:c r="L1018" s="9" t="n">
        <x:v>2.92</x:v>
      </x:c>
      <x:c r="M1018" s="2" t="str">
        <x:v>없음</x:v>
      </x:c>
      <x:c r="N1018" s="11" t="n">
        <x:v>-2</x:v>
      </x:c>
      <x:c r="O1018" s="8" t="str">
        <x:v>일반 사용 빈도 낮은 편(Zipf ≤ 3.0); 검증된 예문 없음; 기존 데이터의 한국어 콘텐츠 보강 필요 태그</x:v>
      </x:c>
      <x:c r="P1018" s="8" t="str">
        <x:v>frequency_le_3_0,no_example,weak_legacy_content</x:v>
      </x:c>
      <x:c r="Q1018" s="2" t="str"/>
      <x:c r="R1018" s="2" t="str"/>
      <x:c r="S1018" s="2" t="str"/>
      <x:c r="T1018" s="2" t="str"/>
      <x:c r="U1018" s="2" t="str"/>
      <x:c r="V1018" s="2" t="str">
        <x:v>아니오</x:v>
      </x:c>
      <x:c r="W1018" s="2" t="str">
        <x:v>예</x:v>
      </x:c>
      <x:c r="X1018" s="2" t="str">
        <x:v>ichi1,news2,nf43</x:v>
      </x:c>
      <x:c r="Y1018" s="2" t="n">
        <x:v>100</x:v>
      </x:c>
      <x:c r="Z1018" s="2" t="str">
        <x:v>ichi1,news2,nf43</x:v>
      </x:c>
      <x:c r="AA1018" s="2" t="n">
        <x:v>100</x:v>
      </x:c>
      <x:c r="AB1018" s="8" t="str"/>
      <x:c r="AC1018" s="8" t="str"/>
      <x:c r="AD1018" s="8" t="str">
        <x:v>["draft-ko-missing"]</x:v>
      </x:c>
      <x:c r="AE1018" s="8" t="str">
        <x:v>검토 필요</x:v>
      </x:c>
      <x:c r="AF1018" s="8" t="str"/>
    </x:row>
    <x:row r="1019">
      <x:c r="A1019" s="10" t="n">
        <x:v>1018</x:v>
      </x:c>
      <x:c r="B1019" s="2" t="str">
        <x:v>2차 보류</x:v>
      </x:c>
      <x:c r="C1019" s="2" t="str">
        <x:v>2차 보류</x:v>
      </x:c>
      <x:c r="D1019" s="2" t="str">
        <x:v>낮음</x:v>
      </x:c>
      <x:c r="E1019" s="2" t="str">
        <x:v>N2</x:v>
      </x:c>
      <x:c r="F1019" s="10" t="n">
        <x:v>367</x:v>
      </x:c>
      <x:c r="G1019" s="2" t="str">
        <x:v>w_d3d86f4ea708b113</x:v>
      </x:c>
      <x:c r="H1019" s="2" t="str">
        <x:v>ぎっしり</x:v>
      </x:c>
      <x:c r="I1019" s="2" t="str">
        <x:v>ぎっしり</x:v>
      </x:c>
      <x:c r="J1019" s="8" t="str">
        <x:v>단단히, 완전히</x:v>
      </x:c>
      <x:c r="K1019" s="2" t="str">
        <x:v>adverb</x:v>
      </x:c>
      <x:c r="L1019" s="9" t="n">
        <x:v>2.92</x:v>
      </x:c>
      <x:c r="M1019" s="2" t="str">
        <x:v>없음</x:v>
      </x:c>
      <x:c r="N1019" s="11" t="n">
        <x:v>-2</x:v>
      </x:c>
      <x:c r="O1019" s="8" t="str">
        <x:v>일반 사용 빈도 낮은 편(Zipf ≤ 3.0); 검증된 예문 없음; 기존 데이터의 한국어 콘텐츠 보강 필요 태그</x:v>
      </x:c>
      <x:c r="P1019" s="8" t="str">
        <x:v>frequency_le_3_0,no_example,weak_legacy_content</x:v>
      </x:c>
      <x:c r="Q1019" s="2" t="str"/>
      <x:c r="R1019" s="2" t="str"/>
      <x:c r="S1019" s="2" t="str"/>
      <x:c r="T1019" s="2" t="str"/>
      <x:c r="U1019" s="2" t="str"/>
      <x:c r="V1019" s="2" t="str">
        <x:v>아니오</x:v>
      </x:c>
      <x:c r="W1019" s="2" t="str">
        <x:v>예</x:v>
      </x:c>
      <x:c r="X1019" s="2" t="str">
        <x:v>ichi1</x:v>
      </x:c>
      <x:c r="Y1019" s="2" t="n">
        <x:v>100</x:v>
      </x:c>
      <x:c r="Z1019" s="2" t="str">
        <x:v>ichi1</x:v>
      </x:c>
      <x:c r="AA1019" s="2" t="n">
        <x:v>100</x:v>
      </x:c>
      <x:c r="AB1019" s="8" t="str">
        <x:v>onomatopoeic or mimetic word</x:v>
      </x:c>
      <x:c r="AC1019" s="8" t="str"/>
      <x:c r="AD1019" s="8" t="str">
        <x:v>["draft-ko-missing"]</x:v>
      </x:c>
      <x:c r="AE1019" s="8" t="str">
        <x:v>검토 필요</x:v>
      </x:c>
      <x:c r="AF1019" s="8" t="str"/>
    </x:row>
    <x:row r="1020">
      <x:c r="A1020" s="10" t="n">
        <x:v>1019</x:v>
      </x:c>
      <x:c r="B1020" s="2" t="str">
        <x:v>2차 보류</x:v>
      </x:c>
      <x:c r="C1020" s="2" t="str">
        <x:v>2차 보류</x:v>
      </x:c>
      <x:c r="D1020" s="2" t="str">
        <x:v>낮음</x:v>
      </x:c>
      <x:c r="E1020" s="2" t="str">
        <x:v>N1</x:v>
      </x:c>
      <x:c r="F1020" s="10" t="n">
        <x:v>449</x:v>
      </x:c>
      <x:c r="G1020" s="2" t="str">
        <x:v>w_9222afcf72d2af72</x:v>
      </x:c>
      <x:c r="H1020" s="2" t="str">
        <x:v>荒っぽい</x:v>
      </x:c>
      <x:c r="I1020" s="2" t="str">
        <x:v>あらっぽい</x:v>
      </x:c>
      <x:c r="J1020" s="8" t="str">
        <x:v>거칠다, 난폭하다</x:v>
      </x:c>
      <x:c r="K1020" s="2" t="str">
        <x:v>adjective</x:v>
      </x:c>
      <x:c r="L1020" s="9" t="n">
        <x:v>2.92</x:v>
      </x:c>
      <x:c r="M1020" s="2" t="str">
        <x:v>없음</x:v>
      </x:c>
      <x:c r="N1020" s="11" t="n">
        <x:v>-2</x:v>
      </x:c>
      <x:c r="O1020" s="8" t="str">
        <x:v>일반 사용 빈도 낮은 편(Zipf ≤ 3.0); 검증된 예문 없음; 기존 데이터의 한국어 콘텐츠 보강 필요 태그</x:v>
      </x:c>
      <x:c r="P1020" s="8" t="str">
        <x:v>frequency_le_3_0,no_example,weak_legacy_content</x:v>
      </x:c>
      <x:c r="Q1020" s="2" t="str"/>
      <x:c r="R1020" s="2" t="str"/>
      <x:c r="S1020" s="2" t="str"/>
      <x:c r="T1020" s="2" t="str"/>
      <x:c r="U1020" s="2" t="str"/>
      <x:c r="V1020" s="2" t="str">
        <x:v>아니오</x:v>
      </x:c>
      <x:c r="W1020" s="2" t="str">
        <x:v>예</x:v>
      </x:c>
      <x:c r="X1020" s="2" t="str">
        <x:v>ichi1,news2,nf34</x:v>
      </x:c>
      <x:c r="Y1020" s="2" t="n">
        <x:v>100</x:v>
      </x:c>
      <x:c r="Z1020" s="2" t="str">
        <x:v>ichi1,news2,nf34</x:v>
      </x:c>
      <x:c r="AA1020" s="2" t="n">
        <x:v>100</x:v>
      </x:c>
      <x:c r="AB1020" s="8" t="str"/>
      <x:c r="AC1020" s="8" t="str"/>
      <x:c r="AD1020" s="8" t="str">
        <x:v>["draft-ko-missing"]</x:v>
      </x:c>
      <x:c r="AE1020" s="8" t="str">
        <x:v>검토 필요</x:v>
      </x:c>
      <x:c r="AF1020" s="8" t="str"/>
    </x:row>
    <x:row r="1021">
      <x:c r="A1021" s="10" t="n">
        <x:v>1020</x:v>
      </x:c>
      <x:c r="B1021" s="2" t="str">
        <x:v>2차 보류</x:v>
      </x:c>
      <x:c r="C1021" s="2" t="str">
        <x:v>2차 보류</x:v>
      </x:c>
      <x:c r="D1021" s="2" t="str">
        <x:v>낮음</x:v>
      </x:c>
      <x:c r="E1021" s="2" t="str">
        <x:v>N2</x:v>
      </x:c>
      <x:c r="F1021" s="10" t="n">
        <x:v>368</x:v>
      </x:c>
      <x:c r="G1021" s="2" t="str">
        <x:v>w_08f82cfeac877a86</x:v>
      </x:c>
      <x:c r="H1021" s="2" t="str">
        <x:v>襖</x:v>
      </x:c>
      <x:c r="I1021" s="2" t="str">
        <x:v>ふすま</x:v>
      </x:c>
      <x:c r="J1021" s="8" t="str">
        <x:v>맹장지, 후스마</x:v>
      </x:c>
      <x:c r="K1021" s="2" t="str">
        <x:v>noun</x:v>
      </x:c>
      <x:c r="L1021" s="9" t="n">
        <x:v>2.93</x:v>
      </x:c>
      <x:c r="M1021" s="2" t="str">
        <x:v>없음</x:v>
      </x:c>
      <x:c r="N1021" s="11" t="n">
        <x:v>-2</x:v>
      </x:c>
      <x:c r="O1021" s="8" t="str">
        <x:v>일반 사용 빈도 낮은 편(Zipf ≤ 3.0); 검증된 예문 없음; 기존 데이터의 한국어 콘텐츠 보강 필요 태그</x:v>
      </x:c>
      <x:c r="P1021" s="8" t="str">
        <x:v>frequency_le_3_0,no_example,weak_legacy_content</x:v>
      </x:c>
      <x:c r="Q1021" s="2" t="str"/>
      <x:c r="R1021" s="2" t="str"/>
      <x:c r="S1021" s="2" t="str"/>
      <x:c r="T1021" s="2" t="str"/>
      <x:c r="U1021" s="2" t="str"/>
      <x:c r="V1021" s="2" t="str">
        <x:v>아니오</x:v>
      </x:c>
      <x:c r="W1021" s="2" t="str">
        <x:v>예</x:v>
      </x:c>
      <x:c r="X1021" s="2" t="str">
        <x:v>ichi1,news2,nf37</x:v>
      </x:c>
      <x:c r="Y1021" s="2" t="n">
        <x:v>100</x:v>
      </x:c>
      <x:c r="Z1021" s="2" t="str">
        <x:v>ichi1,news2,nf37</x:v>
      </x:c>
      <x:c r="AA1021" s="2" t="n">
        <x:v>100</x:v>
      </x:c>
      <x:c r="AB1021" s="8" t="str"/>
      <x:c r="AC1021" s="8" t="str"/>
      <x:c r="AD1021" s="8" t="str">
        <x:v>["draft-ko-missing"]</x:v>
      </x:c>
      <x:c r="AE1021" s="8" t="str">
        <x:v>검토 필요</x:v>
      </x:c>
      <x:c r="AF1021" s="8" t="str"/>
    </x:row>
    <x:row r="1022">
      <x:c r="A1022" s="10" t="n">
        <x:v>1021</x:v>
      </x:c>
      <x:c r="B1022" s="2" t="str">
        <x:v>2차 보류</x:v>
      </x:c>
      <x:c r="C1022" s="2" t="str">
        <x:v>2차 보류</x:v>
      </x:c>
      <x:c r="D1022" s="2" t="str">
        <x:v>낮음</x:v>
      </x:c>
      <x:c r="E1022" s="2" t="str">
        <x:v>N2</x:v>
      </x:c>
      <x:c r="F1022" s="10" t="n">
        <x:v>369</x:v>
      </x:c>
      <x:c r="G1022" s="2" t="str">
        <x:v>w_fe2ae196b88c474f</x:v>
      </x:c>
      <x:c r="H1022" s="2" t="str">
        <x:v>乾かす</x:v>
      </x:c>
      <x:c r="I1022" s="2" t="str">
        <x:v>かわかす</x:v>
      </x:c>
      <x:c r="J1022" s="8" t="str">
        <x:v>마르다, 말리다(옷 등)</x:v>
      </x:c>
      <x:c r="K1022" s="2" t="str">
        <x:v>verb</x:v>
      </x:c>
      <x:c r="L1022" s="9" t="n">
        <x:v>2.93</x:v>
      </x:c>
      <x:c r="M1022" s="2" t="str">
        <x:v>없음</x:v>
      </x:c>
      <x:c r="N1022" s="11" t="n">
        <x:v>-2</x:v>
      </x:c>
      <x:c r="O1022" s="8" t="str">
        <x:v>일반 사용 빈도 낮은 편(Zipf ≤ 3.0); 검증된 예문 없음; 기존 데이터의 한국어 콘텐츠 보강 필요 태그</x:v>
      </x:c>
      <x:c r="P1022" s="8" t="str">
        <x:v>frequency_le_3_0,no_example,weak_legacy_content</x:v>
      </x:c>
      <x:c r="Q1022" s="2" t="str"/>
      <x:c r="R1022" s="2" t="str"/>
      <x:c r="S1022" s="2" t="str"/>
      <x:c r="T1022" s="2" t="str"/>
      <x:c r="U1022" s="2" t="str"/>
      <x:c r="V1022" s="2" t="str">
        <x:v>아니오</x:v>
      </x:c>
      <x:c r="W1022" s="2" t="str">
        <x:v>예</x:v>
      </x:c>
      <x:c r="X1022" s="2" t="str">
        <x:v>ichi1,news2,nf41</x:v>
      </x:c>
      <x:c r="Y1022" s="2" t="n">
        <x:v>100</x:v>
      </x:c>
      <x:c r="Z1022" s="2" t="str">
        <x:v>ichi1,news2,nf41</x:v>
      </x:c>
      <x:c r="AA1022" s="2" t="n">
        <x:v>100</x:v>
      </x:c>
      <x:c r="AB1022" s="8" t="str"/>
      <x:c r="AC1022" s="8" t="str"/>
      <x:c r="AD1022" s="8" t="str">
        <x:v>["draft-ko-missing"]</x:v>
      </x:c>
      <x:c r="AE1022" s="8" t="str">
        <x:v>검토 필요</x:v>
      </x:c>
      <x:c r="AF1022" s="8" t="str"/>
    </x:row>
    <x:row r="1023">
      <x:c r="A1023" s="10" t="n">
        <x:v>1022</x:v>
      </x:c>
      <x:c r="B1023" s="2" t="str">
        <x:v>2차 보류</x:v>
      </x:c>
      <x:c r="C1023" s="2" t="str">
        <x:v>2차 보류</x:v>
      </x:c>
      <x:c r="D1023" s="2" t="str">
        <x:v>낮음</x:v>
      </x:c>
      <x:c r="E1023" s="2" t="str">
        <x:v>N1</x:v>
      </x:c>
      <x:c r="F1023" s="10" t="n">
        <x:v>450</x:v>
      </x:c>
      <x:c r="G1023" s="2" t="str">
        <x:v>w_0dc7924b50348485</x:v>
      </x:c>
      <x:c r="H1023" s="2" t="str">
        <x:v>願書</x:v>
      </x:c>
      <x:c r="I1023" s="2" t="str">
        <x:v>がんしょ</x:v>
      </x:c>
      <x:c r="J1023" s="8" t="str">
        <x:v>원서, 지원서</x:v>
      </x:c>
      <x:c r="K1023" s="2" t="str">
        <x:v>noun</x:v>
      </x:c>
      <x:c r="L1023" s="9" t="n">
        <x:v>2.93</x:v>
      </x:c>
      <x:c r="M1023" s="2" t="str">
        <x:v>없음</x:v>
      </x:c>
      <x:c r="N1023" s="11" t="n">
        <x:v>-2</x:v>
      </x:c>
      <x:c r="O1023" s="8" t="str">
        <x:v>일반 사용 빈도 낮은 편(Zipf ≤ 3.0); 검증된 예문 없음; 기존 데이터의 한국어 콘텐츠 보강 필요 태그</x:v>
      </x:c>
      <x:c r="P1023" s="8" t="str">
        <x:v>frequency_le_3_0,no_example,weak_legacy_content</x:v>
      </x:c>
      <x:c r="Q1023" s="2" t="str"/>
      <x:c r="R1023" s="2" t="str"/>
      <x:c r="S1023" s="2" t="str"/>
      <x:c r="T1023" s="2" t="str"/>
      <x:c r="U1023" s="2" t="str"/>
      <x:c r="V1023" s="2" t="str">
        <x:v>아니오</x:v>
      </x:c>
      <x:c r="W1023" s="2" t="str">
        <x:v>예</x:v>
      </x:c>
      <x:c r="X1023" s="2" t="str">
        <x:v>ichi1,news1,nf19</x:v>
      </x:c>
      <x:c r="Y1023" s="2" t="n">
        <x:v>100</x:v>
      </x:c>
      <x:c r="Z1023" s="2" t="str">
        <x:v>ichi1,news1,nf19</x:v>
      </x:c>
      <x:c r="AA1023" s="2" t="n">
        <x:v>100</x:v>
      </x:c>
      <x:c r="AB1023" s="8" t="str"/>
      <x:c r="AC1023" s="8" t="str"/>
      <x:c r="AD1023" s="8" t="str">
        <x:v>["draft-ko-missing"]</x:v>
      </x:c>
      <x:c r="AE1023" s="8" t="str">
        <x:v>검토 필요</x:v>
      </x:c>
      <x:c r="AF1023" s="8" t="str"/>
    </x:row>
    <x:row r="1024">
      <x:c r="A1024" s="10" t="n">
        <x:v>1023</x:v>
      </x:c>
      <x:c r="B1024" s="2" t="str">
        <x:v>2차 보류</x:v>
      </x:c>
      <x:c r="C1024" s="2" t="str">
        <x:v>2차 보류</x:v>
      </x:c>
      <x:c r="D1024" s="2" t="str">
        <x:v>낮음</x:v>
      </x:c>
      <x:c r="E1024" s="2" t="str">
        <x:v>N1</x:v>
      </x:c>
      <x:c r="F1024" s="10" t="n">
        <x:v>451</x:v>
      </x:c>
      <x:c r="G1024" s="2" t="str">
        <x:v>w_35f57cc9ec210e3a</x:v>
      </x:c>
      <x:c r="H1024" s="2" t="str">
        <x:v>垂れる</x:v>
      </x:c>
      <x:c r="I1024" s="2" t="str">
        <x:v>たれる</x:v>
      </x:c>
      <x:c r="J1024" s="8" t="str">
        <x:v>늘어지다; 떨어지다</x:v>
      </x:c>
      <x:c r="K1024" s="2" t="str">
        <x:v>verb</x:v>
      </x:c>
      <x:c r="L1024" s="9" t="n">
        <x:v>2.93</x:v>
      </x:c>
      <x:c r="M1024" s="2" t="str">
        <x:v>없음</x:v>
      </x:c>
      <x:c r="N1024" s="11" t="n">
        <x:v>-2</x:v>
      </x:c>
      <x:c r="O1024" s="8" t="str">
        <x:v>일반 사용 빈도 낮은 편(Zipf ≤ 3.0); 검증된 예문 없음; 기존 데이터의 한국어 콘텐츠 보강 필요 태그</x:v>
      </x:c>
      <x:c r="P1024" s="8" t="str">
        <x:v>frequency_le_3_0,no_example,weak_legacy_content</x:v>
      </x:c>
      <x:c r="Q1024" s="2" t="str"/>
      <x:c r="R1024" s="2" t="str"/>
      <x:c r="S1024" s="2" t="str"/>
      <x:c r="T1024" s="2" t="str"/>
      <x:c r="U1024" s="2" t="str"/>
      <x:c r="V1024" s="2" t="str">
        <x:v>아니오</x:v>
      </x:c>
      <x:c r="W1024" s="2" t="str">
        <x:v>예</x:v>
      </x:c>
      <x:c r="X1024" s="2" t="str">
        <x:v>ichi1,news2,nf38</x:v>
      </x:c>
      <x:c r="Y1024" s="2" t="n">
        <x:v>100</x:v>
      </x:c>
      <x:c r="Z1024" s="2" t="str">
        <x:v>ichi1,news2,nf38</x:v>
      </x:c>
      <x:c r="AA1024" s="2" t="n">
        <x:v>100</x:v>
      </x:c>
      <x:c r="AB1024" s="8" t="str">
        <x:v>derogatory</x:v>
      </x:c>
      <x:c r="AC1024" s="8" t="str"/>
      <x:c r="AD1024" s="8" t="str">
        <x:v>["draft-ko-missing"]</x:v>
      </x:c>
      <x:c r="AE1024" s="8" t="str">
        <x:v>검토 필요</x:v>
      </x:c>
      <x:c r="AF1024" s="8" t="str"/>
    </x:row>
    <x:row r="1025">
      <x:c r="A1025" s="10" t="n">
        <x:v>1024</x:v>
      </x:c>
      <x:c r="B1025" s="2" t="str">
        <x:v>2차 보류</x:v>
      </x:c>
      <x:c r="C1025" s="2" t="str">
        <x:v>2차 보류</x:v>
      </x:c>
      <x:c r="D1025" s="2" t="str">
        <x:v>낮음</x:v>
      </x:c>
      <x:c r="E1025" s="2" t="str">
        <x:v>N1</x:v>
      </x:c>
      <x:c r="F1025" s="10" t="n">
        <x:v>452</x:v>
      </x:c>
      <x:c r="G1025" s="2" t="str">
        <x:v>w_d947a0c1f9392a00</x:v>
      </x:c>
      <x:c r="H1025" s="2" t="str">
        <x:v>下火</x:v>
      </x:c>
      <x:c r="I1025" s="2" t="str">
        <x:v>したび</x:v>
      </x:c>
      <x:c r="J1025" s="8" t="str">
        <x:v>기세가 꺾임, 한풀 꺾임</x:v>
      </x:c>
      <x:c r="K1025" s="2" t="str">
        <x:v>noun</x:v>
      </x:c>
      <x:c r="L1025" s="9" t="n">
        <x:v>2.93</x:v>
      </x:c>
      <x:c r="M1025" s="2" t="str">
        <x:v>없음</x:v>
      </x:c>
      <x:c r="N1025" s="11" t="n">
        <x:v>-2</x:v>
      </x:c>
      <x:c r="O1025" s="8" t="str">
        <x:v>일반 사용 빈도 낮은 편(Zipf ≤ 3.0); 검증된 예문 없음; 기존 데이터의 한국어 콘텐츠 보강 필요 태그</x:v>
      </x:c>
      <x:c r="P1025" s="8" t="str">
        <x:v>frequency_le_3_0,no_example,weak_legacy_content</x:v>
      </x:c>
      <x:c r="Q1025" s="2" t="str"/>
      <x:c r="R1025" s="2" t="str"/>
      <x:c r="S1025" s="2" t="str"/>
      <x:c r="T1025" s="2" t="str"/>
      <x:c r="U1025" s="2" t="str"/>
      <x:c r="V1025" s="2" t="str">
        <x:v>아니오</x:v>
      </x:c>
      <x:c r="W1025" s="2" t="str">
        <x:v>예</x:v>
      </x:c>
      <x:c r="X1025" s="2" t="str">
        <x:v>news1,nf23</x:v>
      </x:c>
      <x:c r="Y1025" s="2" t="n">
        <x:v>100</x:v>
      </x:c>
      <x:c r="Z1025" s="2" t="str">
        <x:v>news1,nf23</x:v>
      </x:c>
      <x:c r="AA1025" s="2" t="n">
        <x:v>100</x:v>
      </x:c>
      <x:c r="AB1025" s="8" t="str"/>
      <x:c r="AC1025" s="8" t="str"/>
      <x:c r="AD1025" s="8" t="str">
        <x:v>["draft-ko-missing"]</x:v>
      </x:c>
      <x:c r="AE1025" s="8" t="str">
        <x:v>검토 필요</x:v>
      </x:c>
      <x:c r="AF1025" s="8" t="str"/>
    </x:row>
    <x:row r="1026">
      <x:c r="A1026" s="10" t="n">
        <x:v>1025</x:v>
      </x:c>
      <x:c r="B1026" s="2" t="str">
        <x:v>2차 보류</x:v>
      </x:c>
      <x:c r="C1026" s="2" t="str">
        <x:v>2차 보류</x:v>
      </x:c>
      <x:c r="D1026" s="2" t="str">
        <x:v>낮음</x:v>
      </x:c>
      <x:c r="E1026" s="2" t="str">
        <x:v>N1</x:v>
      </x:c>
      <x:c r="F1026" s="10" t="n">
        <x:v>453</x:v>
      </x:c>
      <x:c r="G1026" s="2" t="str">
        <x:v>w_fcafb921f6e24a77</x:v>
      </x:c>
      <x:c r="H1026" s="2" t="str">
        <x:v>身なり</x:v>
      </x:c>
      <x:c r="I1026" s="2" t="str">
        <x:v>みなり</x:v>
      </x:c>
      <x:c r="J1026" s="8" t="str">
        <x:v>옷차림, 행색</x:v>
      </x:c>
      <x:c r="K1026" s="2" t="str">
        <x:v>noun</x:v>
      </x:c>
      <x:c r="L1026" s="9" t="n">
        <x:v>2.93</x:v>
      </x:c>
      <x:c r="M1026" s="2" t="str">
        <x:v>없음</x:v>
      </x:c>
      <x:c r="N1026" s="11" t="n">
        <x:v>-2</x:v>
      </x:c>
      <x:c r="O1026" s="8" t="str">
        <x:v>일반 사용 빈도 낮은 편(Zipf ≤ 3.0); 검증된 예문 없음; 기존 데이터의 한국어 콘텐츠 보강 필요 태그</x:v>
      </x:c>
      <x:c r="P1026" s="8" t="str">
        <x:v>frequency_le_3_0,no_example,weak_legacy_content</x:v>
      </x:c>
      <x:c r="Q1026" s="2" t="str"/>
      <x:c r="R1026" s="2" t="str"/>
      <x:c r="S1026" s="2" t="str"/>
      <x:c r="T1026" s="2" t="str"/>
      <x:c r="U1026" s="2" t="str"/>
      <x:c r="V1026" s="2" t="str">
        <x:v>아니오</x:v>
      </x:c>
      <x:c r="W1026" s="2" t="str">
        <x:v>예</x:v>
      </x:c>
      <x:c r="X1026" s="2" t="str">
        <x:v>ichi1,news2,nf39</x:v>
      </x:c>
      <x:c r="Y1026" s="2" t="n">
        <x:v>100</x:v>
      </x:c>
      <x:c r="Z1026" s="2" t="str">
        <x:v>ichi1,news2,nf39</x:v>
      </x:c>
      <x:c r="AA1026" s="2" t="n">
        <x:v>100</x:v>
      </x:c>
      <x:c r="AB1026" s="8" t="str"/>
      <x:c r="AC1026" s="8" t="str"/>
      <x:c r="AD1026" s="8" t="str">
        <x:v>["draft-ko-missing"]</x:v>
      </x:c>
      <x:c r="AE1026" s="8" t="str">
        <x:v>검토 필요</x:v>
      </x:c>
      <x:c r="AF1026" s="8" t="str"/>
    </x:row>
    <x:row r="1027">
      <x:c r="A1027" s="10" t="n">
        <x:v>1026</x:v>
      </x:c>
      <x:c r="B1027" s="2" t="str">
        <x:v>2차 보류</x:v>
      </x:c>
      <x:c r="C1027" s="2" t="str">
        <x:v>2차 보류</x:v>
      </x:c>
      <x:c r="D1027" s="2" t="str">
        <x:v>낮음</x:v>
      </x:c>
      <x:c r="E1027" s="2" t="str">
        <x:v>N2</x:v>
      </x:c>
      <x:c r="F1027" s="10" t="n">
        <x:v>370</x:v>
      </x:c>
      <x:c r="G1027" s="2" t="str">
        <x:v>w_22b57ca13e715d81</x:v>
      </x:c>
      <x:c r="H1027" s="2" t="str">
        <x:v>振舞う</x:v>
      </x:c>
      <x:c r="I1027" s="2" t="str">
        <x:v>ふるまう</x:v>
      </x:c>
      <x:c r="J1027" s="8" t="str">
        <x:v>행동하다, 대접하다</x:v>
      </x:c>
      <x:c r="K1027" s="2" t="str">
        <x:v>verb</x:v>
      </x:c>
      <x:c r="L1027" s="9" t="n">
        <x:v>2.94</x:v>
      </x:c>
      <x:c r="M1027" s="2" t="str">
        <x:v>없음</x:v>
      </x:c>
      <x:c r="N1027" s="11" t="n">
        <x:v>-2</x:v>
      </x:c>
      <x:c r="O1027" s="8" t="str">
        <x:v>일반 사용 빈도 낮은 편(Zipf ≤ 3.0); 검증된 예문 없음; 기존 데이터의 한국어 콘텐츠 보강 필요 태그</x:v>
      </x:c>
      <x:c r="P1027" s="8" t="str">
        <x:v>frequency_le_3_0,no_example,weak_legacy_content</x:v>
      </x:c>
      <x:c r="Q1027" s="2" t="str"/>
      <x:c r="R1027" s="2" t="str"/>
      <x:c r="S1027" s="2" t="str"/>
      <x:c r="T1027" s="2" t="str"/>
      <x:c r="U1027" s="2" t="str"/>
      <x:c r="V1027" s="2" t="str">
        <x:v>아니오</x:v>
      </x:c>
      <x:c r="W1027" s="2" t="str">
        <x:v>예</x:v>
      </x:c>
      <x:c r="X1027" s="2" t="str">
        <x:v>ichi1,news2,nf44</x:v>
      </x:c>
      <x:c r="Y1027" s="2" t="n">
        <x:v>100</x:v>
      </x:c>
      <x:c r="Z1027" s="2" t="str"/>
      <x:c r="AA1027" s="2" t="n">
        <x:v>0</x:v>
      </x:c>
      <x:c r="AB1027" s="8" t="str"/>
      <x:c r="AC1027" s="8" t="str"/>
      <x:c r="AD1027" s="8" t="str">
        <x:v>["draft-ko-missing"]</x:v>
      </x:c>
      <x:c r="AE1027" s="8" t="str">
        <x:v>검토 필요</x:v>
      </x:c>
      <x:c r="AF1027" s="8" t="str"/>
    </x:row>
    <x:row r="1028">
      <x:c r="A1028" s="10" t="n">
        <x:v>1027</x:v>
      </x:c>
      <x:c r="B1028" s="2" t="str">
        <x:v>2차 보류</x:v>
      </x:c>
      <x:c r="C1028" s="2" t="str">
        <x:v>2차 보류</x:v>
      </x:c>
      <x:c r="D1028" s="2" t="str">
        <x:v>낮음</x:v>
      </x:c>
      <x:c r="E1028" s="2" t="str">
        <x:v>N2</x:v>
      </x:c>
      <x:c r="F1028" s="10" t="n">
        <x:v>371</x:v>
      </x:c>
      <x:c r="G1028" s="2" t="str">
        <x:v>w_31375cd35e91ca21</x:v>
      </x:c>
      <x:c r="H1028" s="2" t="str">
        <x:v>助教授</x:v>
      </x:c>
      <x:c r="I1028" s="2" t="str">
        <x:v>じょきょうじゅ</x:v>
      </x:c>
      <x:c r="J1028" s="8" t="str">
        <x:v>조교수</x:v>
      </x:c>
      <x:c r="K1028" s="2" t="str">
        <x:v>noun</x:v>
      </x:c>
      <x:c r="L1028" s="9" t="n">
        <x:v>2.94</x:v>
      </x:c>
      <x:c r="M1028" s="2" t="str">
        <x:v>없음</x:v>
      </x:c>
      <x:c r="N1028" s="11" t="n">
        <x:v>-2</x:v>
      </x:c>
      <x:c r="O1028" s="8" t="str">
        <x:v>일반 사용 빈도 낮은 편(Zipf ≤ 3.0); 검증된 예문 없음; 기존 데이터의 한국어 콘텐츠 보강 필요 태그</x:v>
      </x:c>
      <x:c r="P1028" s="8" t="str">
        <x:v>frequency_le_3_0,no_example,weak_legacy_content</x:v>
      </x:c>
      <x:c r="Q1028" s="2" t="str"/>
      <x:c r="R1028" s="2" t="str"/>
      <x:c r="S1028" s="2" t="str"/>
      <x:c r="T1028" s="2" t="str"/>
      <x:c r="U1028" s="2" t="str"/>
      <x:c r="V1028" s="2" t="str">
        <x:v>아니오</x:v>
      </x:c>
      <x:c r="W1028" s="2" t="str">
        <x:v>예</x:v>
      </x:c>
      <x:c r="X1028" s="2" t="str">
        <x:v>ichi1,news1,nf04</x:v>
      </x:c>
      <x:c r="Y1028" s="2" t="n">
        <x:v>100</x:v>
      </x:c>
      <x:c r="Z1028" s="2" t="str">
        <x:v>ichi1,news1,nf04</x:v>
      </x:c>
      <x:c r="AA1028" s="2" t="n">
        <x:v>100</x:v>
      </x:c>
      <x:c r="AB1028" s="8" t="str"/>
      <x:c r="AC1028" s="8" t="str"/>
      <x:c r="AD1028" s="8" t="str">
        <x:v>["draft-ko-missing"]</x:v>
      </x:c>
      <x:c r="AE1028" s="8" t="str">
        <x:v>검토 필요</x:v>
      </x:c>
      <x:c r="AF1028" s="8" t="str"/>
    </x:row>
    <x:row r="1029">
      <x:c r="A1029" s="10" t="n">
        <x:v>1028</x:v>
      </x:c>
      <x:c r="B1029" s="2" t="str">
        <x:v>2차 보류</x:v>
      </x:c>
      <x:c r="C1029" s="2" t="str">
        <x:v>2차 보류</x:v>
      </x:c>
      <x:c r="D1029" s="2" t="str">
        <x:v>낮음</x:v>
      </x:c>
      <x:c r="E1029" s="2" t="str">
        <x:v>N2</x:v>
      </x:c>
      <x:c r="F1029" s="10" t="n">
        <x:v>372</x:v>
      </x:c>
      <x:c r="G1029" s="2" t="str">
        <x:v>w_5a4c8c8dbfcef86c</x:v>
      </x:c>
      <x:c r="H1029" s="2" t="str">
        <x:v>大層</x:v>
      </x:c>
      <x:c r="I1029" s="2" t="str">
        <x:v>たいそう</x:v>
      </x:c>
      <x:c r="J1029" s="8" t="str">
        <x:v>매우 많은, 크게</x:v>
      </x:c>
      <x:c r="K1029" s="2" t="str">
        <x:v>adverb</x:v>
      </x:c>
      <x:c r="L1029" s="9" t="n">
        <x:v>2.94</x:v>
      </x:c>
      <x:c r="M1029" s="2" t="str">
        <x:v>없음</x:v>
      </x:c>
      <x:c r="N1029" s="11" t="n">
        <x:v>-2</x:v>
      </x:c>
      <x:c r="O1029" s="8" t="str">
        <x:v>일반 사용 빈도 낮은 편(Zipf ≤ 3.0); 검증된 예문 없음; 기존 데이터의 한국어 콘텐츠 보강 필요 태그</x:v>
      </x:c>
      <x:c r="P1029" s="8" t="str">
        <x:v>frequency_le_3_0,no_example,weak_legacy_content</x:v>
      </x:c>
      <x:c r="Q1029" s="2" t="str"/>
      <x:c r="R1029" s="2" t="str"/>
      <x:c r="S1029" s="2" t="str"/>
      <x:c r="T1029" s="2" t="str"/>
      <x:c r="U1029" s="2" t="str"/>
      <x:c r="V1029" s="2" t="str">
        <x:v>아니오</x:v>
      </x:c>
      <x:c r="W1029" s="2" t="str">
        <x:v>예</x:v>
      </x:c>
      <x:c r="X1029" s="2" t="str">
        <x:v>ichi1</x:v>
      </x:c>
      <x:c r="Y1029" s="2" t="n">
        <x:v>100</x:v>
      </x:c>
      <x:c r="Z1029" s="2" t="str">
        <x:v>ichi1</x:v>
      </x:c>
      <x:c r="AA1029" s="2" t="n">
        <x:v>100</x:v>
      </x:c>
      <x:c r="AB1029" s="8" t="str">
        <x:v>word usually written using kana alone</x:v>
      </x:c>
      <x:c r="AC1029" s="8" t="str"/>
      <x:c r="AD1029" s="8" t="str">
        <x:v>["draft-ko-missing"]</x:v>
      </x:c>
      <x:c r="AE1029" s="8" t="str">
        <x:v>검토 필요</x:v>
      </x:c>
      <x:c r="AF1029" s="8" t="str"/>
    </x:row>
    <x:row r="1030">
      <x:c r="A1030" s="10" t="n">
        <x:v>1029</x:v>
      </x:c>
      <x:c r="B1030" s="2" t="str">
        <x:v>2차 보류</x:v>
      </x:c>
      <x:c r="C1030" s="2" t="str">
        <x:v>2차 보류</x:v>
      </x:c>
      <x:c r="D1030" s="2" t="str">
        <x:v>낮음</x:v>
      </x:c>
      <x:c r="E1030" s="2" t="str">
        <x:v>N2</x:v>
      </x:c>
      <x:c r="F1030" s="10" t="n">
        <x:v>373</x:v>
      </x:c>
      <x:c r="G1030" s="2" t="str">
        <x:v>w_d93de30cbc9e6273</x:v>
      </x:c>
      <x:c r="H1030" s="2" t="str">
        <x:v>砕く</x:v>
      </x:c>
      <x:c r="I1030" s="2" t="str">
        <x:v>くだく</x:v>
      </x:c>
      <x:c r="J1030" s="8" t="str">
        <x:v>부수다, 깨다</x:v>
      </x:c>
      <x:c r="K1030" s="2" t="str">
        <x:v>verb</x:v>
      </x:c>
      <x:c r="L1030" s="9" t="n">
        <x:v>2.94</x:v>
      </x:c>
      <x:c r="M1030" s="2" t="str">
        <x:v>없음</x:v>
      </x:c>
      <x:c r="N1030" s="11" t="n">
        <x:v>-2</x:v>
      </x:c>
      <x:c r="O1030" s="8" t="str">
        <x:v>일반 사용 빈도 낮은 편(Zipf ≤ 3.0); 검증된 예문 없음; 기존 데이터의 한국어 콘텐츠 보강 필요 태그</x:v>
      </x:c>
      <x:c r="P1030" s="8" t="str">
        <x:v>frequency_le_3_0,no_example,weak_legacy_content</x:v>
      </x:c>
      <x:c r="Q1030" s="2" t="str"/>
      <x:c r="R1030" s="2" t="str"/>
      <x:c r="S1030" s="2" t="str"/>
      <x:c r="T1030" s="2" t="str"/>
      <x:c r="U1030" s="2" t="str"/>
      <x:c r="V1030" s="2" t="str">
        <x:v>아니오</x:v>
      </x:c>
      <x:c r="W1030" s="2" t="str">
        <x:v>예</x:v>
      </x:c>
      <x:c r="X1030" s="2" t="str">
        <x:v>ichi1</x:v>
      </x:c>
      <x:c r="Y1030" s="2" t="n">
        <x:v>100</x:v>
      </x:c>
      <x:c r="Z1030" s="2" t="str">
        <x:v>ichi1</x:v>
      </x:c>
      <x:c r="AA1030" s="2" t="n">
        <x:v>100</x:v>
      </x:c>
      <x:c r="AB1030" s="8" t="str"/>
      <x:c r="AC1030" s="8" t="str"/>
      <x:c r="AD1030" s="8" t="str">
        <x:v>["draft-ko-missing"]</x:v>
      </x:c>
      <x:c r="AE1030" s="8" t="str">
        <x:v>검토 필요</x:v>
      </x:c>
      <x:c r="AF1030" s="8" t="str"/>
    </x:row>
    <x:row r="1031">
      <x:c r="A1031" s="10" t="n">
        <x:v>1030</x:v>
      </x:c>
      <x:c r="B1031" s="2" t="str">
        <x:v>2차 보류</x:v>
      </x:c>
      <x:c r="C1031" s="2" t="str">
        <x:v>2차 보류</x:v>
      </x:c>
      <x:c r="D1031" s="2" t="str">
        <x:v>낮음</x:v>
      </x:c>
      <x:c r="E1031" s="2" t="str">
        <x:v>N1</x:v>
      </x:c>
      <x:c r="F1031" s="10" t="n">
        <x:v>454</x:v>
      </x:c>
      <x:c r="G1031" s="2" t="str">
        <x:v>w_96b5df687fd53908</x:v>
      </x:c>
      <x:c r="H1031" s="2" t="str">
        <x:v>付け加える</x:v>
      </x:c>
      <x:c r="I1031" s="2" t="str">
        <x:v>つけくわえる</x:v>
      </x:c>
      <x:c r="J1031" s="8" t="str">
        <x:v>덧붙이다, 첨가하다</x:v>
      </x:c>
      <x:c r="K1031" s="2" t="str">
        <x:v>verb</x:v>
      </x:c>
      <x:c r="L1031" s="9" t="n">
        <x:v>2.94</x:v>
      </x:c>
      <x:c r="M1031" s="2" t="str">
        <x:v>없음</x:v>
      </x:c>
      <x:c r="N1031" s="11" t="n">
        <x:v>-2</x:v>
      </x:c>
      <x:c r="O1031" s="8" t="str">
        <x:v>일반 사용 빈도 낮은 편(Zipf ≤ 3.0); 검증된 예문 없음; 기존 데이터의 한국어 콘텐츠 보강 필요 태그</x:v>
      </x:c>
      <x:c r="P1031" s="8" t="str">
        <x:v>frequency_le_3_0,no_example,weak_legacy_content</x:v>
      </x:c>
      <x:c r="Q1031" s="2" t="str"/>
      <x:c r="R1031" s="2" t="str"/>
      <x:c r="S1031" s="2" t="str"/>
      <x:c r="T1031" s="2" t="str"/>
      <x:c r="U1031" s="2" t="str"/>
      <x:c r="V1031" s="2" t="str">
        <x:v>아니오</x:v>
      </x:c>
      <x:c r="W1031" s="2" t="str">
        <x:v>예</x:v>
      </x:c>
      <x:c r="X1031" s="2" t="str">
        <x:v>ichi1,news2,nf44</x:v>
      </x:c>
      <x:c r="Y1031" s="2" t="n">
        <x:v>100</x:v>
      </x:c>
      <x:c r="Z1031" s="2" t="str">
        <x:v>ichi1,news2,nf44</x:v>
      </x:c>
      <x:c r="AA1031" s="2" t="n">
        <x:v>100</x:v>
      </x:c>
      <x:c r="AB1031" s="8" t="str"/>
      <x:c r="AC1031" s="8" t="str"/>
      <x:c r="AD1031" s="8" t="str">
        <x:v>["draft-ko-missing"]</x:v>
      </x:c>
      <x:c r="AE1031" s="8" t="str">
        <x:v>검토 필요</x:v>
      </x:c>
      <x:c r="AF1031" s="8" t="str"/>
    </x:row>
    <x:row r="1032">
      <x:c r="A1032" s="10" t="n">
        <x:v>1031</x:v>
      </x:c>
      <x:c r="B1032" s="2" t="str">
        <x:v>2차 보류</x:v>
      </x:c>
      <x:c r="C1032" s="2" t="str">
        <x:v>2차 보류</x:v>
      </x:c>
      <x:c r="D1032" s="2" t="str">
        <x:v>낮음</x:v>
      </x:c>
      <x:c r="E1032" s="2" t="str">
        <x:v>N3</x:v>
      </x:c>
      <x:c r="F1032" s="10" t="n">
        <x:v>118</x:v>
      </x:c>
      <x:c r="G1032" s="2" t="str">
        <x:v>w_0bb66ef8e606cf9d</x:v>
      </x:c>
      <x:c r="H1032" s="2" t="str">
        <x:v>物音</x:v>
      </x:c>
      <x:c r="I1032" s="2" t="str">
        <x:v>ものおと</x:v>
      </x:c>
      <x:c r="J1032" s="8" t="str">
        <x:v>소리</x:v>
      </x:c>
      <x:c r="K1032" s="2" t="str">
        <x:v>noun</x:v>
      </x:c>
      <x:c r="L1032" s="9" t="n">
        <x:v>2.95</x:v>
      </x:c>
      <x:c r="M1032" s="2" t="str">
        <x:v>없음</x:v>
      </x:c>
      <x:c r="N1032" s="11" t="n">
        <x:v>-2</x:v>
      </x:c>
      <x:c r="O1032" s="8" t="str">
        <x:v>일반 사용 빈도 낮은 편(Zipf ≤ 3.0); 검증된 예문 없음; 기존 데이터의 한국어 콘텐츠 보강 필요 태그</x:v>
      </x:c>
      <x:c r="P1032" s="8" t="str">
        <x:v>frequency_le_3_0,no_example,weak_legacy_content</x:v>
      </x:c>
      <x:c r="Q1032" s="2" t="str"/>
      <x:c r="R1032" s="2" t="str"/>
      <x:c r="S1032" s="2" t="str"/>
      <x:c r="T1032" s="2" t="str"/>
      <x:c r="U1032" s="2" t="str"/>
      <x:c r="V1032" s="2" t="str">
        <x:v>아니오</x:v>
      </x:c>
      <x:c r="W1032" s="2" t="str">
        <x:v>예</x:v>
      </x:c>
      <x:c r="X1032" s="2" t="str">
        <x:v>ichi1,news2,nf33</x:v>
      </x:c>
      <x:c r="Y1032" s="2" t="n">
        <x:v>100</x:v>
      </x:c>
      <x:c r="Z1032" s="2" t="str">
        <x:v>ichi1,news2,nf33</x:v>
      </x:c>
      <x:c r="AA1032" s="2" t="n">
        <x:v>100</x:v>
      </x:c>
      <x:c r="AB1032" s="8" t="str"/>
      <x:c r="AC1032" s="8" t="str"/>
      <x:c r="AD1032" s="8" t="str">
        <x:v>["draft-ko-missing"]</x:v>
      </x:c>
      <x:c r="AE1032" s="8" t="str">
        <x:v>검토 필요</x:v>
      </x:c>
      <x:c r="AF1032" s="8" t="str"/>
    </x:row>
    <x:row r="1033">
      <x:c r="A1033" s="10" t="n">
        <x:v>1032</x:v>
      </x:c>
      <x:c r="B1033" s="2" t="str">
        <x:v>2차 보류</x:v>
      </x:c>
      <x:c r="C1033" s="2" t="str">
        <x:v>2차 보류</x:v>
      </x:c>
      <x:c r="D1033" s="2" t="str">
        <x:v>낮음</x:v>
      </x:c>
      <x:c r="E1033" s="2" t="str">
        <x:v>N3</x:v>
      </x:c>
      <x:c r="F1033" s="10" t="n">
        <x:v>119</x:v>
      </x:c>
      <x:c r="G1033" s="2" t="str">
        <x:v>w_d1b73b5919e73f48</x:v>
      </x:c>
      <x:c r="H1033" s="2" t="str">
        <x:v>治める</x:v>
      </x:c>
      <x:c r="I1033" s="2" t="str">
        <x:v>おさめる</x:v>
      </x:c>
      <x:c r="J1033" s="8" t="str">
        <x:v>통치하다, 관리하다</x:v>
      </x:c>
      <x:c r="K1033" s="2" t="str">
        <x:v>verb</x:v>
      </x:c>
      <x:c r="L1033" s="9" t="n">
        <x:v>2.95</x:v>
      </x:c>
      <x:c r="M1033" s="2" t="str">
        <x:v>없음</x:v>
      </x:c>
      <x:c r="N1033" s="11" t="n">
        <x:v>-2</x:v>
      </x:c>
      <x:c r="O1033" s="8" t="str">
        <x:v>일반 사용 빈도 낮은 편(Zipf ≤ 3.0); 검증된 예문 없음; 기존 데이터의 한국어 콘텐츠 보강 필요 태그</x:v>
      </x:c>
      <x:c r="P1033" s="8" t="str">
        <x:v>frequency_le_3_0,no_example,weak_legacy_content</x:v>
      </x:c>
      <x:c r="Q1033" s="2" t="str"/>
      <x:c r="R1033" s="2" t="str"/>
      <x:c r="S1033" s="2" t="str"/>
      <x:c r="T1033" s="2" t="str"/>
      <x:c r="U1033" s="2" t="str"/>
      <x:c r="V1033" s="2" t="str">
        <x:v>아니오</x:v>
      </x:c>
      <x:c r="W1033" s="2" t="str">
        <x:v>예</x:v>
      </x:c>
      <x:c r="X1033" s="2" t="str">
        <x:v>ichi1,news2,nf46</x:v>
      </x:c>
      <x:c r="Y1033" s="2" t="n">
        <x:v>100</x:v>
      </x:c>
      <x:c r="Z1033" s="2" t="str">
        <x:v>ichi1,news2,nf46</x:v>
      </x:c>
      <x:c r="AA1033" s="2" t="n">
        <x:v>100</x:v>
      </x:c>
      <x:c r="AB1033" s="8" t="str"/>
      <x:c r="AC1033" s="8" t="str"/>
      <x:c r="AD1033" s="8" t="str">
        <x:v>["draft-ko-missing"]</x:v>
      </x:c>
      <x:c r="AE1033" s="8" t="str">
        <x:v>검토 필요</x:v>
      </x:c>
      <x:c r="AF1033" s="8" t="str"/>
    </x:row>
    <x:row r="1034">
      <x:c r="A1034" s="10" t="n">
        <x:v>1033</x:v>
      </x:c>
      <x:c r="B1034" s="2" t="str">
        <x:v>2차 보류</x:v>
      </x:c>
      <x:c r="C1034" s="2" t="str">
        <x:v>2차 보류</x:v>
      </x:c>
      <x:c r="D1034" s="2" t="str">
        <x:v>낮음</x:v>
      </x:c>
      <x:c r="E1034" s="2" t="str">
        <x:v>N2</x:v>
      </x:c>
      <x:c r="F1034" s="10" t="n">
        <x:v>374</x:v>
      </x:c>
      <x:c r="G1034" s="2" t="str">
        <x:v>w_b7b4488b521400e9</x:v>
      </x:c>
      <x:c r="H1034" s="2" t="str">
        <x:v>呑気</x:v>
      </x:c>
      <x:c r="I1034" s="2" t="str">
        <x:v>のんき</x:v>
      </x:c>
      <x:c r="J1034" s="8" t="str">
        <x:v>태평함, 느긋함</x:v>
      </x:c>
      <x:c r="K1034" s="2" t="str">
        <x:v>adjective</x:v>
      </x:c>
      <x:c r="L1034" s="9" t="n">
        <x:v>2.95</x:v>
      </x:c>
      <x:c r="M1034" s="2" t="str">
        <x:v>없음</x:v>
      </x:c>
      <x:c r="N1034" s="11" t="n">
        <x:v>-2</x:v>
      </x:c>
      <x:c r="O1034" s="8" t="str">
        <x:v>일반 사용 빈도 낮은 편(Zipf ≤ 3.0); 검증된 예문 없음; 기존 데이터의 한국어 콘텐츠 보강 필요 태그</x:v>
      </x:c>
      <x:c r="P1034" s="8" t="str">
        <x:v>frequency_le_3_0,no_example,weak_legacy_content</x:v>
      </x:c>
      <x:c r="Q1034" s="2" t="str"/>
      <x:c r="R1034" s="2" t="str"/>
      <x:c r="S1034" s="2" t="str"/>
      <x:c r="T1034" s="2" t="str"/>
      <x:c r="U1034" s="2" t="str"/>
      <x:c r="V1034" s="2" t="str">
        <x:v>아니오</x:v>
      </x:c>
      <x:c r="W1034" s="2" t="str">
        <x:v>예</x:v>
      </x:c>
      <x:c r="X1034" s="2" t="str">
        <x:v>ichi1</x:v>
      </x:c>
      <x:c r="Y1034" s="2" t="n">
        <x:v>100</x:v>
      </x:c>
      <x:c r="Z1034" s="2" t="str">
        <x:v>ichi1</x:v>
      </x:c>
      <x:c r="AA1034" s="2" t="n">
        <x:v>100</x:v>
      </x:c>
      <x:c r="AB1034" s="8" t="str">
        <x:v>ateji (phonetic) reading | word usually written using kana alone</x:v>
      </x:c>
      <x:c r="AC1034" s="8" t="str"/>
      <x:c r="AD1034" s="8" t="str">
        <x:v>["draft-ko-missing"]</x:v>
      </x:c>
      <x:c r="AE1034" s="8" t="str">
        <x:v>검토 필요</x:v>
      </x:c>
      <x:c r="AF1034" s="8" t="str"/>
    </x:row>
    <x:row r="1035">
      <x:c r="A1035" s="10" t="n">
        <x:v>1034</x:v>
      </x:c>
      <x:c r="B1035" s="2" t="str">
        <x:v>2차 보류</x:v>
      </x:c>
      <x:c r="C1035" s="2" t="str">
        <x:v>2차 보류</x:v>
      </x:c>
      <x:c r="D1035" s="2" t="str">
        <x:v>낮음</x:v>
      </x:c>
      <x:c r="E1035" s="2" t="str">
        <x:v>N2</x:v>
      </x:c>
      <x:c r="F1035" s="10" t="n">
        <x:v>375</x:v>
      </x:c>
      <x:c r="G1035" s="2" t="str">
        <x:v>w_e80ae9d62677e2be</x:v>
      </x:c>
      <x:c r="H1035" s="2" t="str">
        <x:v>毛糸</x:v>
      </x:c>
      <x:c r="I1035" s="2" t="str">
        <x:v>けいと</x:v>
      </x:c>
      <x:c r="J1035" s="8" t="str">
        <x:v>털실</x:v>
      </x:c>
      <x:c r="K1035" s="2" t="str">
        <x:v>noun</x:v>
      </x:c>
      <x:c r="L1035" s="9" t="n">
        <x:v>2.95</x:v>
      </x:c>
      <x:c r="M1035" s="2" t="str">
        <x:v>없음</x:v>
      </x:c>
      <x:c r="N1035" s="11" t="n">
        <x:v>-2</x:v>
      </x:c>
      <x:c r="O1035" s="8" t="str">
        <x:v>일반 사용 빈도 낮은 편(Zipf ≤ 3.0); 검증된 예문 없음; 기존 데이터의 한국어 콘텐츠 보강 필요 태그</x:v>
      </x:c>
      <x:c r="P1035" s="8" t="str">
        <x:v>frequency_le_3_0,no_example,weak_legacy_content</x:v>
      </x:c>
      <x:c r="Q1035" s="2" t="str"/>
      <x:c r="R1035" s="2" t="str"/>
      <x:c r="S1035" s="2" t="str"/>
      <x:c r="T1035" s="2" t="str"/>
      <x:c r="U1035" s="2" t="str"/>
      <x:c r="V1035" s="2" t="str">
        <x:v>아니오</x:v>
      </x:c>
      <x:c r="W1035" s="2" t="str">
        <x:v>예</x:v>
      </x:c>
      <x:c r="X1035" s="2" t="str">
        <x:v>ichi1,news2,nf26</x:v>
      </x:c>
      <x:c r="Y1035" s="2" t="n">
        <x:v>100</x:v>
      </x:c>
      <x:c r="Z1035" s="2" t="str">
        <x:v>ichi1,news2,nf26</x:v>
      </x:c>
      <x:c r="AA1035" s="2" t="n">
        <x:v>100</x:v>
      </x:c>
      <x:c r="AB1035" s="8" t="str"/>
      <x:c r="AC1035" s="8" t="str"/>
      <x:c r="AD1035" s="8" t="str">
        <x:v>["draft-ko-missing"]</x:v>
      </x:c>
      <x:c r="AE1035" s="8" t="str">
        <x:v>검토 필요</x:v>
      </x:c>
      <x:c r="AF1035" s="8" t="str"/>
    </x:row>
    <x:row r="1036">
      <x:c r="A1036" s="10" t="n">
        <x:v>1035</x:v>
      </x:c>
      <x:c r="B1036" s="2" t="str">
        <x:v>2차 보류</x:v>
      </x:c>
      <x:c r="C1036" s="2" t="str">
        <x:v>2차 보류</x:v>
      </x:c>
      <x:c r="D1036" s="2" t="str">
        <x:v>낮음</x:v>
      </x:c>
      <x:c r="E1036" s="2" t="str">
        <x:v>N1</x:v>
      </x:c>
      <x:c r="F1036" s="10" t="n">
        <x:v>455</x:v>
      </x:c>
      <x:c r="G1036" s="2" t="str">
        <x:v>w_5e49b8feda09774b</x:v>
      </x:c>
      <x:c r="H1036" s="2" t="str">
        <x:v>弁償</x:v>
      </x:c>
      <x:c r="I1036" s="2" t="str">
        <x:v>べんしょう</x:v>
      </x:c>
      <x:c r="J1036" s="8" t="str">
        <x:v>보상</x:v>
      </x:c>
      <x:c r="K1036" s="2" t="str">
        <x:v>noun</x:v>
      </x:c>
      <x:c r="L1036" s="9" t="n">
        <x:v>2.95</x:v>
      </x:c>
      <x:c r="M1036" s="2" t="str">
        <x:v>없음</x:v>
      </x:c>
      <x:c r="N1036" s="11" t="n">
        <x:v>-2</x:v>
      </x:c>
      <x:c r="O1036" s="8" t="str">
        <x:v>일반 사용 빈도 낮은 편(Zipf ≤ 3.0); 검증된 예문 없음; 기존 데이터의 한국어 콘텐츠 보강 필요 태그</x:v>
      </x:c>
      <x:c r="P1036" s="8" t="str">
        <x:v>frequency_le_3_0,no_example,weak_legacy_content</x:v>
      </x:c>
      <x:c r="Q1036" s="2" t="str"/>
      <x:c r="R1036" s="2" t="str"/>
      <x:c r="S1036" s="2" t="str"/>
      <x:c r="T1036" s="2" t="str"/>
      <x:c r="U1036" s="2" t="str"/>
      <x:c r="V1036" s="2" t="str">
        <x:v>아니오</x:v>
      </x:c>
      <x:c r="W1036" s="2" t="str">
        <x:v>예</x:v>
      </x:c>
      <x:c r="X1036" s="2" t="str">
        <x:v>ichi1,news2,nf43</x:v>
      </x:c>
      <x:c r="Y1036" s="2" t="n">
        <x:v>100</x:v>
      </x:c>
      <x:c r="Z1036" s="2" t="str">
        <x:v>ichi1,news2,nf43</x:v>
      </x:c>
      <x:c r="AA1036" s="2" t="n">
        <x:v>100</x:v>
      </x:c>
      <x:c r="AB1036" s="8" t="str"/>
      <x:c r="AC1036" s="8" t="str"/>
      <x:c r="AD1036" s="8" t="str">
        <x:v>["draft-ko-missing"]</x:v>
      </x:c>
      <x:c r="AE1036" s="8" t="str">
        <x:v>검토 필요</x:v>
      </x:c>
      <x:c r="AF1036" s="8" t="str"/>
    </x:row>
    <x:row r="1037">
      <x:c r="A1037" s="10" t="n">
        <x:v>1036</x:v>
      </x:c>
      <x:c r="B1037" s="2" t="str">
        <x:v>2차 보류</x:v>
      </x:c>
      <x:c r="C1037" s="2" t="str">
        <x:v>2차 보류</x:v>
      </x:c>
      <x:c r="D1037" s="2" t="str">
        <x:v>낮음</x:v>
      </x:c>
      <x:c r="E1037" s="2" t="str">
        <x:v>N1</x:v>
      </x:c>
      <x:c r="F1037" s="10" t="n">
        <x:v>456</x:v>
      </x:c>
      <x:c r="G1037" s="2" t="str">
        <x:v>w_f027db9e5dffd29e</x:v>
      </x:c>
      <x:c r="H1037" s="2" t="str">
        <x:v>隔週</x:v>
      </x:c>
      <x:c r="I1037" s="2" t="str">
        <x:v>かくしゅう</x:v>
      </x:c>
      <x:c r="J1037" s="8" t="str">
        <x:v>격주</x:v>
      </x:c>
      <x:c r="K1037" s="2" t="str">
        <x:v>adverb</x:v>
      </x:c>
      <x:c r="L1037" s="9" t="n">
        <x:v>2.95</x:v>
      </x:c>
      <x:c r="M1037" s="2" t="str">
        <x:v>없음</x:v>
      </x:c>
      <x:c r="N1037" s="11" t="n">
        <x:v>-2</x:v>
      </x:c>
      <x:c r="O1037" s="8" t="str">
        <x:v>일반 사용 빈도 낮은 편(Zipf ≤ 3.0); 검증된 예문 없음; 기존 데이터의 한국어 콘텐츠 보강 필요 태그</x:v>
      </x:c>
      <x:c r="P1037" s="8" t="str">
        <x:v>frequency_le_3_0,no_example,weak_legacy_content</x:v>
      </x:c>
      <x:c r="Q1037" s="2" t="str"/>
      <x:c r="R1037" s="2" t="str"/>
      <x:c r="S1037" s="2" t="str"/>
      <x:c r="T1037" s="2" t="str"/>
      <x:c r="U1037" s="2" t="str"/>
      <x:c r="V1037" s="2" t="str">
        <x:v>아니오</x:v>
      </x:c>
      <x:c r="W1037" s="2" t="str">
        <x:v>예</x:v>
      </x:c>
      <x:c r="X1037" s="2" t="str">
        <x:v>news1,nf21</x:v>
      </x:c>
      <x:c r="Y1037" s="2" t="n">
        <x:v>100</x:v>
      </x:c>
      <x:c r="Z1037" s="2" t="str">
        <x:v>news1,nf21</x:v>
      </x:c>
      <x:c r="AA1037" s="2" t="n">
        <x:v>100</x:v>
      </x:c>
      <x:c r="AB1037" s="8" t="str"/>
      <x:c r="AC1037" s="8" t="str"/>
      <x:c r="AD1037" s="8" t="str">
        <x:v>["draft-ko-missing"]</x:v>
      </x:c>
      <x:c r="AE1037" s="8" t="str">
        <x:v>검토 필요</x:v>
      </x:c>
      <x:c r="AF1037" s="8" t="str"/>
    </x:row>
    <x:row r="1038">
      <x:c r="A1038" s="10" t="n">
        <x:v>1037</x:v>
      </x:c>
      <x:c r="B1038" s="2" t="str">
        <x:v>2차 보류</x:v>
      </x:c>
      <x:c r="C1038" s="2" t="str">
        <x:v>2차 보류</x:v>
      </x:c>
      <x:c r="D1038" s="2" t="str">
        <x:v>낮음</x:v>
      </x:c>
      <x:c r="E1038" s="2" t="str">
        <x:v>N4</x:v>
      </x:c>
      <x:c r="F1038" s="10" t="n">
        <x:v>69</x:v>
      </x:c>
      <x:c r="G1038" s="2" t="str">
        <x:v>w_dbe3e7e377657834</x:v>
      </x:c>
      <x:c r="H1038" s="2" t="str">
        <x:v>ワープロ</x:v>
      </x:c>
      <x:c r="I1038" s="2" t="str">
        <x:v>ワープロ</x:v>
      </x:c>
      <x:c r="J1038" s="8" t="str">
        <x:v>워드프로세서</x:v>
      </x:c>
      <x:c r="K1038" s="2" t="str">
        <x:v>noun</x:v>
      </x:c>
      <x:c r="L1038" s="9" t="n">
        <x:v>2.96</x:v>
      </x:c>
      <x:c r="M1038" s="2" t="str">
        <x:v>없음</x:v>
      </x:c>
      <x:c r="N1038" s="11" t="n">
        <x:v>-2</x:v>
      </x:c>
      <x:c r="O1038" s="8" t="str">
        <x:v>일반 사용 빈도 낮은 편(Zipf ≤ 3.0); 검증된 예문 없음; 기존 데이터의 한국어 콘텐츠 보강 필요 태그</x:v>
      </x:c>
      <x:c r="P1038" s="8" t="str">
        <x:v>frequency_le_3_0,no_example,weak_legacy_content</x:v>
      </x:c>
      <x:c r="Q1038" s="2" t="str"/>
      <x:c r="R1038" s="2" t="str"/>
      <x:c r="S1038" s="2" t="str"/>
      <x:c r="T1038" s="2" t="str"/>
      <x:c r="U1038" s="2" t="str"/>
      <x:c r="V1038" s="2" t="str">
        <x:v>아니오</x:v>
      </x:c>
      <x:c r="W1038" s="2" t="str">
        <x:v>예</x:v>
      </x:c>
      <x:c r="X1038" s="2" t="str">
        <x:v>gai1,ichi1</x:v>
      </x:c>
      <x:c r="Y1038" s="2" t="n">
        <x:v>100</x:v>
      </x:c>
      <x:c r="Z1038" s="2" t="str">
        <x:v>gai1,ichi1</x:v>
      </x:c>
      <x:c r="AA1038" s="2" t="n">
        <x:v>100</x:v>
      </x:c>
      <x:c r="AB1038" s="8" t="str">
        <x:v>abbreviation</x:v>
      </x:c>
      <x:c r="AC1038" s="8" t="str"/>
      <x:c r="AD1038" s="8" t="str">
        <x:v>["draft-ko-missing"]</x:v>
      </x:c>
      <x:c r="AE1038" s="8" t="str">
        <x:v>검토 필요</x:v>
      </x:c>
      <x:c r="AF1038" s="8" t="str"/>
    </x:row>
    <x:row r="1039">
      <x:c r="A1039" s="10" t="n">
        <x:v>1038</x:v>
      </x:c>
      <x:c r="B1039" s="2" t="str">
        <x:v>2차 보류</x:v>
      </x:c>
      <x:c r="C1039" s="2" t="str">
        <x:v>2차 보류</x:v>
      </x:c>
      <x:c r="D1039" s="2" t="str">
        <x:v>낮음</x:v>
      </x:c>
      <x:c r="E1039" s="2" t="str">
        <x:v>N4</x:v>
      </x:c>
      <x:c r="F1039" s="10" t="n">
        <x:v>70</x:v>
      </x:c>
      <x:c r="G1039" s="2" t="str">
        <x:v>w_f0c5af4b406d749b</x:v>
      </x:c>
      <x:c r="H1039" s="2" t="str">
        <x:v>写す</x:v>
      </x:c>
      <x:c r="I1039" s="2" t="str">
        <x:v>うつす</x:v>
      </x:c>
      <x:c r="J1039" s="8" t="str">
        <x:v>베끼다, 사진을 찍다</x:v>
      </x:c>
      <x:c r="K1039" s="2" t="str">
        <x:v>verb</x:v>
      </x:c>
      <x:c r="L1039" s="9" t="n">
        <x:v>2.96</x:v>
      </x:c>
      <x:c r="M1039" s="2" t="str">
        <x:v>없음</x:v>
      </x:c>
      <x:c r="N1039" s="11" t="n">
        <x:v>-2</x:v>
      </x:c>
      <x:c r="O1039" s="8" t="str">
        <x:v>일반 사용 빈도 낮은 편(Zipf ≤ 3.0); 검증된 예문 없음; 기존 데이터의 한국어 콘텐츠 보강 필요 태그</x:v>
      </x:c>
      <x:c r="P1039" s="8" t="str">
        <x:v>frequency_le_3_0,no_example,weak_legacy_content</x:v>
      </x:c>
      <x:c r="Q1039" s="2" t="str"/>
      <x:c r="R1039" s="2" t="str"/>
      <x:c r="S1039" s="2" t="str"/>
      <x:c r="T1039" s="2" t="str"/>
      <x:c r="U1039" s="2" t="str"/>
      <x:c r="V1039" s="2" t="str">
        <x:v>아니오</x:v>
      </x:c>
      <x:c r="W1039" s="2" t="str">
        <x:v>예</x:v>
      </x:c>
      <x:c r="X1039" s="2" t="str">
        <x:v>ichi1,news1,nf24</x:v>
      </x:c>
      <x:c r="Y1039" s="2" t="n">
        <x:v>100</x:v>
      </x:c>
      <x:c r="Z1039" s="2" t="str">
        <x:v>ichi1,news1,nf24</x:v>
      </x:c>
      <x:c r="AA1039" s="2" t="n">
        <x:v>100</x:v>
      </x:c>
      <x:c r="AB1039" s="8" t="str">
        <x:v>also written as 撮す</x:v>
      </x:c>
      <x:c r="AC1039" s="8" t="str"/>
      <x:c r="AD1039" s="8" t="str">
        <x:v>["draft-ko-missing"]</x:v>
      </x:c>
      <x:c r="AE1039" s="8" t="str">
        <x:v>검토 필요</x:v>
      </x:c>
      <x:c r="AF1039" s="8" t="str"/>
    </x:row>
    <x:row r="1040">
      <x:c r="A1040" s="10" t="n">
        <x:v>1039</x:v>
      </x:c>
      <x:c r="B1040" s="2" t="str">
        <x:v>2차 보류</x:v>
      </x:c>
      <x:c r="C1040" s="2" t="str">
        <x:v>2차 보류</x:v>
      </x:c>
      <x:c r="D1040" s="2" t="str">
        <x:v>낮음</x:v>
      </x:c>
      <x:c r="E1040" s="2" t="str">
        <x:v>N2</x:v>
      </x:c>
      <x:c r="F1040" s="10" t="n">
        <x:v>376</x:v>
      </x:c>
      <x:c r="G1040" s="2" t="str">
        <x:v>w_56e22b4b34e6b4e6</x:v>
      </x:c>
      <x:c r="H1040" s="2" t="str">
        <x:v>浮かべる</x:v>
      </x:c>
      <x:c r="I1040" s="2" t="str">
        <x:v>うかべる</x:v>
      </x:c>
      <x:c r="J1040" s="8" t="str">
        <x:v>뜨다, 표현하다</x:v>
      </x:c>
      <x:c r="K1040" s="2" t="str">
        <x:v>verb</x:v>
      </x:c>
      <x:c r="L1040" s="9" t="n">
        <x:v>2.96</x:v>
      </x:c>
      <x:c r="M1040" s="2" t="str">
        <x:v>없음</x:v>
      </x:c>
      <x:c r="N1040" s="11" t="n">
        <x:v>-2</x:v>
      </x:c>
      <x:c r="O1040" s="8" t="str">
        <x:v>일반 사용 빈도 낮은 편(Zipf ≤ 3.0); 검증된 예문 없음; 기존 데이터의 한국어 콘텐츠 보강 필요 태그</x:v>
      </x:c>
      <x:c r="P1040" s="8" t="str">
        <x:v>frequency_le_3_0,no_example,weak_legacy_content</x:v>
      </x:c>
      <x:c r="Q1040" s="2" t="str"/>
      <x:c r="R1040" s="2" t="str"/>
      <x:c r="S1040" s="2" t="str"/>
      <x:c r="T1040" s="2" t="str"/>
      <x:c r="U1040" s="2" t="str"/>
      <x:c r="V1040" s="2" t="str">
        <x:v>아니오</x:v>
      </x:c>
      <x:c r="W1040" s="2" t="str">
        <x:v>예</x:v>
      </x:c>
      <x:c r="X1040" s="2" t="str">
        <x:v>ichi1,news1,nf19</x:v>
      </x:c>
      <x:c r="Y1040" s="2" t="n">
        <x:v>100</x:v>
      </x:c>
      <x:c r="Z1040" s="2" t="str">
        <x:v>ichi1,news1,nf19</x:v>
      </x:c>
      <x:c r="AA1040" s="2" t="n">
        <x:v>100</x:v>
      </x:c>
      <x:c r="AB1040" s="8" t="str"/>
      <x:c r="AC1040" s="8" t="str"/>
      <x:c r="AD1040" s="8" t="str">
        <x:v>["draft-ko-missing"]</x:v>
      </x:c>
      <x:c r="AE1040" s="8" t="str">
        <x:v>검토 필요</x:v>
      </x:c>
      <x:c r="AF1040" s="8" t="str"/>
    </x:row>
    <x:row r="1041">
      <x:c r="A1041" s="10" t="n">
        <x:v>1040</x:v>
      </x:c>
      <x:c r="B1041" s="2" t="str">
        <x:v>2차 보류</x:v>
      </x:c>
      <x:c r="C1041" s="2" t="str">
        <x:v>2차 보류</x:v>
      </x:c>
      <x:c r="D1041" s="2" t="str">
        <x:v>낮음</x:v>
      </x:c>
      <x:c r="E1041" s="2" t="str">
        <x:v>N2</x:v>
      </x:c>
      <x:c r="F1041" s="10" t="n">
        <x:v>377</x:v>
      </x:c>
      <x:c r="G1041" s="2" t="str">
        <x:v>w_c81940dd6cdbf237</x:v>
      </x:c>
      <x:c r="H1041" s="2" t="str">
        <x:v>縮める</x:v>
      </x:c>
      <x:c r="I1041" s="2" t="str">
        <x:v>ちぢめる</x:v>
      </x:c>
      <x:c r="J1041" s="8" t="str">
        <x:v>줄어들다</x:v>
      </x:c>
      <x:c r="K1041" s="2" t="str">
        <x:v>verb</x:v>
      </x:c>
      <x:c r="L1041" s="9" t="n">
        <x:v>2.96</x:v>
      </x:c>
      <x:c r="M1041" s="2" t="str">
        <x:v>없음</x:v>
      </x:c>
      <x:c r="N1041" s="11" t="n">
        <x:v>-2</x:v>
      </x:c>
      <x:c r="O1041" s="8" t="str">
        <x:v>일반 사용 빈도 낮은 편(Zipf ≤ 3.0); 검증된 예문 없음; 기존 데이터의 한국어 콘텐츠 보강 필요 태그</x:v>
      </x:c>
      <x:c r="P1041" s="8" t="str">
        <x:v>frequency_le_3_0,no_example,weak_legacy_content</x:v>
      </x:c>
      <x:c r="Q1041" s="2" t="str"/>
      <x:c r="R1041" s="2" t="str"/>
      <x:c r="S1041" s="2" t="str"/>
      <x:c r="T1041" s="2" t="str"/>
      <x:c r="U1041" s="2" t="str"/>
      <x:c r="V1041" s="2" t="str">
        <x:v>아니오</x:v>
      </x:c>
      <x:c r="W1041" s="2" t="str">
        <x:v>예</x:v>
      </x:c>
      <x:c r="X1041" s="2" t="str">
        <x:v>ichi1</x:v>
      </x:c>
      <x:c r="Y1041" s="2" t="n">
        <x:v>100</x:v>
      </x:c>
      <x:c r="Z1041" s="2" t="str">
        <x:v>ichi1</x:v>
      </x:c>
      <x:c r="AA1041" s="2" t="n">
        <x:v>100</x:v>
      </x:c>
      <x:c r="AB1041" s="8" t="str"/>
      <x:c r="AC1041" s="8" t="str"/>
      <x:c r="AD1041" s="8" t="str">
        <x:v>["draft-ko-missing"]</x:v>
      </x:c>
      <x:c r="AE1041" s="8" t="str">
        <x:v>검토 필요</x:v>
      </x:c>
      <x:c r="AF1041" s="8" t="str"/>
    </x:row>
    <x:row r="1042">
      <x:c r="A1042" s="10" t="n">
        <x:v>1041</x:v>
      </x:c>
      <x:c r="B1042" s="2" t="str">
        <x:v>2차 보류</x:v>
      </x:c>
      <x:c r="C1042" s="2" t="str">
        <x:v>2차 보류</x:v>
      </x:c>
      <x:c r="D1042" s="2" t="str">
        <x:v>낮음</x:v>
      </x:c>
      <x:c r="E1042" s="2" t="str">
        <x:v>N1</x:v>
      </x:c>
      <x:c r="F1042" s="10" t="n">
        <x:v>457</x:v>
      </x:c>
      <x:c r="G1042" s="2" t="str">
        <x:v>w_46f5465c8d81ef3e</x:v>
      </x:c>
      <x:c r="H1042" s="2" t="str">
        <x:v>見習う</x:v>
      </x:c>
      <x:c r="I1042" s="2" t="str">
        <x:v>みならう</x:v>
      </x:c>
      <x:c r="J1042" s="8" t="str">
        <x:v>본받다, 보고 배우다</x:v>
      </x:c>
      <x:c r="K1042" s="2" t="str">
        <x:v>verb</x:v>
      </x:c>
      <x:c r="L1042" s="9" t="n">
        <x:v>2.96</x:v>
      </x:c>
      <x:c r="M1042" s="2" t="str">
        <x:v>없음</x:v>
      </x:c>
      <x:c r="N1042" s="11" t="n">
        <x:v>-2</x:v>
      </x:c>
      <x:c r="O1042" s="8" t="str">
        <x:v>일반 사용 빈도 낮은 편(Zipf ≤ 3.0); 검증된 예문 없음; 기존 데이터의 한국어 콘텐츠 보강 필요 태그</x:v>
      </x:c>
      <x:c r="P1042" s="8" t="str">
        <x:v>frequency_le_3_0,no_example,weak_legacy_content</x:v>
      </x:c>
      <x:c r="Q1042" s="2" t="str"/>
      <x:c r="R1042" s="2" t="str"/>
      <x:c r="S1042" s="2" t="str"/>
      <x:c r="T1042" s="2" t="str"/>
      <x:c r="U1042" s="2" t="str"/>
      <x:c r="V1042" s="2" t="str">
        <x:v>아니오</x:v>
      </x:c>
      <x:c r="W1042" s="2" t="str">
        <x:v>예</x:v>
      </x:c>
      <x:c r="X1042" s="2" t="str">
        <x:v>ichi1,news2,nf47</x:v>
      </x:c>
      <x:c r="Y1042" s="2" t="n">
        <x:v>100</x:v>
      </x:c>
      <x:c r="Z1042" s="2" t="str">
        <x:v>ichi1,news2,nf47</x:v>
      </x:c>
      <x:c r="AA1042" s="2" t="n">
        <x:v>100</x:v>
      </x:c>
      <x:c r="AB1042" s="8" t="str"/>
      <x:c r="AC1042" s="8" t="str"/>
      <x:c r="AD1042" s="8" t="str">
        <x:v>["draft-ko-missing"]</x:v>
      </x:c>
      <x:c r="AE1042" s="8" t="str">
        <x:v>검토 필요</x:v>
      </x:c>
      <x:c r="AF1042" s="8" t="str"/>
    </x:row>
    <x:row r="1043">
      <x:c r="A1043" s="10" t="n">
        <x:v>1042</x:v>
      </x:c>
      <x:c r="B1043" s="2" t="str">
        <x:v>2차 보류</x:v>
      </x:c>
      <x:c r="C1043" s="2" t="str">
        <x:v>2차 보류</x:v>
      </x:c>
      <x:c r="D1043" s="2" t="str">
        <x:v>낮음</x:v>
      </x:c>
      <x:c r="E1043" s="2" t="str">
        <x:v>N1</x:v>
      </x:c>
      <x:c r="F1043" s="10" t="n">
        <x:v>458</x:v>
      </x:c>
      <x:c r="G1043" s="2" t="str">
        <x:v>w_83ca7fd8e77d8d56</x:v>
      </x:c>
      <x:c r="H1043" s="2" t="str">
        <x:v>据える</x:v>
      </x:c>
      <x:c r="I1043" s="2" t="str">
        <x:v>すえる</x:v>
      </x:c>
      <x:c r="J1043" s="8" t="str">
        <x:v>(자리에) 앉히다, 놓다</x:v>
      </x:c>
      <x:c r="K1043" s="2" t="str">
        <x:v>verb</x:v>
      </x:c>
      <x:c r="L1043" s="9" t="n">
        <x:v>2.96</x:v>
      </x:c>
      <x:c r="M1043" s="2" t="str">
        <x:v>없음</x:v>
      </x:c>
      <x:c r="N1043" s="11" t="n">
        <x:v>-2</x:v>
      </x:c>
      <x:c r="O1043" s="8" t="str">
        <x:v>일반 사용 빈도 낮은 편(Zipf ≤ 3.0); 검증된 예문 없음; 기존 데이터의 한국어 콘텐츠 보강 필요 태그</x:v>
      </x:c>
      <x:c r="P1043" s="8" t="str">
        <x:v>frequency_le_3_0,no_example,weak_legacy_content</x:v>
      </x:c>
      <x:c r="Q1043" s="2" t="str"/>
      <x:c r="R1043" s="2" t="str"/>
      <x:c r="S1043" s="2" t="str"/>
      <x:c r="T1043" s="2" t="str"/>
      <x:c r="U1043" s="2" t="str"/>
      <x:c r="V1043" s="2" t="str">
        <x:v>아니오</x:v>
      </x:c>
      <x:c r="W1043" s="2" t="str">
        <x:v>예</x:v>
      </x:c>
      <x:c r="X1043" s="2" t="str">
        <x:v>ichi1,news1,nf19</x:v>
      </x:c>
      <x:c r="Y1043" s="2" t="n">
        <x:v>100</x:v>
      </x:c>
      <x:c r="Z1043" s="2" t="str">
        <x:v>ichi1,news1,nf19</x:v>
      </x:c>
      <x:c r="AA1043" s="2" t="n">
        <x:v>100</x:v>
      </x:c>
      <x:c r="AB1043" s="8" t="str"/>
      <x:c r="AC1043" s="8" t="str"/>
      <x:c r="AD1043" s="8" t="str">
        <x:v>["draft-ko-missing"]</x:v>
      </x:c>
      <x:c r="AE1043" s="8" t="str">
        <x:v>검토 필요</x:v>
      </x:c>
      <x:c r="AF1043" s="8" t="str"/>
    </x:row>
    <x:row r="1044">
      <x:c r="A1044" s="10" t="n">
        <x:v>1043</x:v>
      </x:c>
      <x:c r="B1044" s="2" t="str">
        <x:v>2차 보류</x:v>
      </x:c>
      <x:c r="C1044" s="2" t="str">
        <x:v>2차 보류</x:v>
      </x:c>
      <x:c r="D1044" s="2" t="str">
        <x:v>낮음</x:v>
      </x:c>
      <x:c r="E1044" s="2" t="str">
        <x:v>N1</x:v>
      </x:c>
      <x:c r="F1044" s="10" t="n">
        <x:v>459</x:v>
      </x:c>
      <x:c r="G1044" s="2" t="str">
        <x:v>w_f19e836baf726613</x:v>
      </x:c>
      <x:c r="H1044" s="2" t="str">
        <x:v>製鉄</x:v>
      </x:c>
      <x:c r="I1044" s="2" t="str">
        <x:v>せいてつ</x:v>
      </x:c>
      <x:c r="J1044" s="8" t="str">
        <x:v>제철</x:v>
      </x:c>
      <x:c r="K1044" s="2" t="str">
        <x:v>noun</x:v>
      </x:c>
      <x:c r="L1044" s="9" t="n">
        <x:v>2.96</x:v>
      </x:c>
      <x:c r="M1044" s="2" t="str">
        <x:v>없음</x:v>
      </x:c>
      <x:c r="N1044" s="11" t="n">
        <x:v>-2</x:v>
      </x:c>
      <x:c r="O1044" s="8" t="str">
        <x:v>일반 사용 빈도 낮은 편(Zipf ≤ 3.0); 검증된 예문 없음; 기존 데이터의 한국어 콘텐츠 보강 필요 태그</x:v>
      </x:c>
      <x:c r="P1044" s="8" t="str">
        <x:v>frequency_le_3_0,no_example,weak_legacy_content</x:v>
      </x:c>
      <x:c r="Q1044" s="2" t="str"/>
      <x:c r="R1044" s="2" t="str"/>
      <x:c r="S1044" s="2" t="str"/>
      <x:c r="T1044" s="2" t="str"/>
      <x:c r="U1044" s="2" t="str"/>
      <x:c r="V1044" s="2" t="str">
        <x:v>아니오</x:v>
      </x:c>
      <x:c r="W1044" s="2" t="str">
        <x:v>예</x:v>
      </x:c>
      <x:c r="X1044" s="2" t="str">
        <x:v>ichi1,news1,nf16</x:v>
      </x:c>
      <x:c r="Y1044" s="2" t="n">
        <x:v>100</x:v>
      </x:c>
      <x:c r="Z1044" s="2" t="str">
        <x:v>ichi1,news1,nf16</x:v>
      </x:c>
      <x:c r="AA1044" s="2" t="n">
        <x:v>100</x:v>
      </x:c>
      <x:c r="AB1044" s="8" t="str"/>
      <x:c r="AC1044" s="8" t="str"/>
      <x:c r="AD1044" s="8" t="str">
        <x:v>["draft-ko-missing"]</x:v>
      </x:c>
      <x:c r="AE1044" s="8" t="str">
        <x:v>검토 필요</x:v>
      </x:c>
      <x:c r="AF1044" s="8" t="str"/>
    </x:row>
    <x:row r="1045">
      <x:c r="A1045" s="10" t="n">
        <x:v>1044</x:v>
      </x:c>
      <x:c r="B1045" s="2" t="str">
        <x:v>2차 보류</x:v>
      </x:c>
      <x:c r="C1045" s="2" t="str">
        <x:v>2차 보류</x:v>
      </x:c>
      <x:c r="D1045" s="2" t="str">
        <x:v>낮음</x:v>
      </x:c>
      <x:c r="E1045" s="2" t="str">
        <x:v>N2</x:v>
      </x:c>
      <x:c r="F1045" s="10" t="n">
        <x:v>378</x:v>
      </x:c>
      <x:c r="G1045" s="2" t="str">
        <x:v>w_5181115066b98554</x:v>
      </x:c>
      <x:c r="H1045" s="2" t="str">
        <x:v>お参り</x:v>
      </x:c>
      <x:c r="I1045" s="2" t="str">
        <x:v>おまいり</x:v>
      </x:c>
      <x:c r="J1045" s="8" t="str">
        <x:v>참배</x:v>
      </x:c>
      <x:c r="K1045" s="2" t="str">
        <x:v>noun</x:v>
      </x:c>
      <x:c r="L1045" s="9" t="n">
        <x:v>2.97</x:v>
      </x:c>
      <x:c r="M1045" s="2" t="str">
        <x:v>없음</x:v>
      </x:c>
      <x:c r="N1045" s="11" t="n">
        <x:v>-2</x:v>
      </x:c>
      <x:c r="O1045" s="8" t="str">
        <x:v>일반 사용 빈도 낮은 편(Zipf ≤ 3.0); 검증된 예문 없음; 기존 데이터의 한국어 콘텐츠 보강 필요 태그</x:v>
      </x:c>
      <x:c r="P1045" s="8" t="str">
        <x:v>frequency_le_3_0,no_example,weak_legacy_content</x:v>
      </x:c>
      <x:c r="Q1045" s="2" t="str"/>
      <x:c r="R1045" s="2" t="str"/>
      <x:c r="S1045" s="2" t="str"/>
      <x:c r="T1045" s="2" t="str"/>
      <x:c r="U1045" s="2" t="str"/>
      <x:c r="V1045" s="2" t="str">
        <x:v>아니오</x:v>
      </x:c>
      <x:c r="W1045" s="2" t="str">
        <x:v>예</x:v>
      </x:c>
      <x:c r="X1045" s="2" t="str">
        <x:v>ichi1,news2,nf36</x:v>
      </x:c>
      <x:c r="Y1045" s="2" t="n">
        <x:v>100</x:v>
      </x:c>
      <x:c r="Z1045" s="2" t="str">
        <x:v>ichi1,news2,nf36</x:v>
      </x:c>
      <x:c r="AA1045" s="2" t="n">
        <x:v>100</x:v>
      </x:c>
      <x:c r="AB1045" s="8" t="str"/>
      <x:c r="AC1045" s="8" t="str"/>
      <x:c r="AD1045" s="8" t="str">
        <x:v>["draft-ko-missing"]</x:v>
      </x:c>
      <x:c r="AE1045" s="8" t="str">
        <x:v>검토 필요</x:v>
      </x:c>
      <x:c r="AF1045" s="8" t="str"/>
    </x:row>
    <x:row r="1046">
      <x:c r="A1046" s="10" t="n">
        <x:v>1045</x:v>
      </x:c>
      <x:c r="B1046" s="2" t="str">
        <x:v>2차 보류</x:v>
      </x:c>
      <x:c r="C1046" s="2" t="str">
        <x:v>2차 보류</x:v>
      </x:c>
      <x:c r="D1046" s="2" t="str">
        <x:v>낮음</x:v>
      </x:c>
      <x:c r="E1046" s="2" t="str">
        <x:v>N3</x:v>
      </x:c>
      <x:c r="F1046" s="10" t="n">
        <x:v>120</x:v>
      </x:c>
      <x:c r="G1046" s="2" t="str">
        <x:v>w_dfff5b9aa9885ddc</x:v>
      </x:c>
      <x:c r="H1046" s="2" t="str">
        <x:v>諺</x:v>
      </x:c>
      <x:c r="I1046" s="2" t="str">
        <x:v>ことわざ</x:v>
      </x:c>
      <x:c r="J1046" s="8" t="str">
        <x:v>속담</x:v>
      </x:c>
      <x:c r="K1046" s="2" t="str">
        <x:v>noun</x:v>
      </x:c>
      <x:c r="L1046" s="9" t="n">
        <x:v>2.98</x:v>
      </x:c>
      <x:c r="M1046" s="2" t="str">
        <x:v>없음</x:v>
      </x:c>
      <x:c r="N1046" s="11" t="n">
        <x:v>-2</x:v>
      </x:c>
      <x:c r="O1046" s="8" t="str">
        <x:v>일반 사용 빈도 낮은 편(Zipf ≤ 3.0); 검증된 예문 없음; 기존 데이터의 한국어 콘텐츠 보강 필요 태그</x:v>
      </x:c>
      <x:c r="P1046" s="8" t="str">
        <x:v>frequency_le_3_0,no_example,weak_legacy_content</x:v>
      </x:c>
      <x:c r="Q1046" s="2" t="str"/>
      <x:c r="R1046" s="2" t="str"/>
      <x:c r="S1046" s="2" t="str"/>
      <x:c r="T1046" s="2" t="str"/>
      <x:c r="U1046" s="2" t="str"/>
      <x:c r="V1046" s="2" t="str">
        <x:v>아니오</x:v>
      </x:c>
      <x:c r="W1046" s="2" t="str">
        <x:v>예</x:v>
      </x:c>
      <x:c r="X1046" s="2" t="str">
        <x:v>ichi1</x:v>
      </x:c>
      <x:c r="Y1046" s="2" t="n">
        <x:v>100</x:v>
      </x:c>
      <x:c r="Z1046" s="2" t="str">
        <x:v>ichi1</x:v>
      </x:c>
      <x:c r="AA1046" s="2" t="n">
        <x:v>100</x:v>
      </x:c>
      <x:c r="AB1046" s="8" t="str">
        <x:v>word usually written using kana alone</x:v>
      </x:c>
      <x:c r="AC1046" s="8" t="str"/>
      <x:c r="AD1046" s="8" t="str">
        <x:v>["draft-ko-missing"]</x:v>
      </x:c>
      <x:c r="AE1046" s="8" t="str">
        <x:v>검토 필요</x:v>
      </x:c>
      <x:c r="AF1046" s="8" t="str"/>
    </x:row>
    <x:row r="1047">
      <x:c r="A1047" s="10" t="n">
        <x:v>1046</x:v>
      </x:c>
      <x:c r="B1047" s="2" t="str">
        <x:v>2차 보류</x:v>
      </x:c>
      <x:c r="C1047" s="2" t="str">
        <x:v>2차 보류</x:v>
      </x:c>
      <x:c r="D1047" s="2" t="str">
        <x:v>낮음</x:v>
      </x:c>
      <x:c r="E1047" s="2" t="str">
        <x:v>N2</x:v>
      </x:c>
      <x:c r="F1047" s="10" t="n">
        <x:v>379</x:v>
      </x:c>
      <x:c r="G1047" s="2" t="str">
        <x:v>w_8f6b0662b3077831</x:v>
      </x:c>
      <x:c r="H1047" s="2" t="str">
        <x:v>元日</x:v>
      </x:c>
      <x:c r="I1047" s="2" t="str">
        <x:v>がんじつ</x:v>
      </x:c>
      <x:c r="J1047" s="8" t="str">
        <x:v>설날, 정월 초하루</x:v>
      </x:c>
      <x:c r="K1047" s="2" t="str">
        <x:v>noun</x:v>
      </x:c>
      <x:c r="L1047" s="9" t="n">
        <x:v>2.98</x:v>
      </x:c>
      <x:c r="M1047" s="2" t="str">
        <x:v>없음</x:v>
      </x:c>
      <x:c r="N1047" s="11" t="n">
        <x:v>-2</x:v>
      </x:c>
      <x:c r="O1047" s="8" t="str">
        <x:v>일반 사용 빈도 낮은 편(Zipf ≤ 3.0); 검증된 예문 없음; 기존 데이터의 한국어 콘텐츠 보강 필요 태그</x:v>
      </x:c>
      <x:c r="P1047" s="8" t="str">
        <x:v>frequency_le_3_0,no_example,weak_legacy_content</x:v>
      </x:c>
      <x:c r="Q1047" s="2" t="str"/>
      <x:c r="R1047" s="2" t="str"/>
      <x:c r="S1047" s="2" t="str"/>
      <x:c r="T1047" s="2" t="str"/>
      <x:c r="U1047" s="2" t="str"/>
      <x:c r="V1047" s="2" t="str">
        <x:v>아니오</x:v>
      </x:c>
      <x:c r="W1047" s="2" t="str">
        <x:v>예</x:v>
      </x:c>
      <x:c r="X1047" s="2" t="str">
        <x:v>ichi1,news1,nf08</x:v>
      </x:c>
      <x:c r="Y1047" s="2" t="n">
        <x:v>100</x:v>
      </x:c>
      <x:c r="Z1047" s="2" t="str">
        <x:v>ichi1,news1,nf08</x:v>
      </x:c>
      <x:c r="AA1047" s="2" t="n">
        <x:v>100</x:v>
      </x:c>
      <x:c r="AB1047" s="8" t="str"/>
      <x:c r="AC1047" s="8" t="str"/>
      <x:c r="AD1047" s="8" t="str">
        <x:v>["draft-ko-missing"]</x:v>
      </x:c>
      <x:c r="AE1047" s="8" t="str">
        <x:v>검토 필요</x:v>
      </x:c>
      <x:c r="AF1047" s="8" t="str"/>
    </x:row>
    <x:row r="1048">
      <x:c r="A1048" s="10" t="n">
        <x:v>1047</x:v>
      </x:c>
      <x:c r="B1048" s="2" t="str">
        <x:v>2차 보류</x:v>
      </x:c>
      <x:c r="C1048" s="2" t="str">
        <x:v>2차 보류</x:v>
      </x:c>
      <x:c r="D1048" s="2" t="str">
        <x:v>낮음</x:v>
      </x:c>
      <x:c r="E1048" s="2" t="str">
        <x:v>N1</x:v>
      </x:c>
      <x:c r="F1048" s="10" t="n">
        <x:v>460</x:v>
      </x:c>
      <x:c r="G1048" s="2" t="str">
        <x:v>w_2a743040c74cfa0a</x:v>
      </x:c>
      <x:c r="H1048" s="2" t="str">
        <x:v>漁村</x:v>
      </x:c>
      <x:c r="I1048" s="2" t="str">
        <x:v>ぎょそん</x:v>
      </x:c>
      <x:c r="J1048" s="8" t="str">
        <x:v>어촌</x:v>
      </x:c>
      <x:c r="K1048" s="2" t="str">
        <x:v>noun</x:v>
      </x:c>
      <x:c r="L1048" s="9" t="n">
        <x:v>2.98</x:v>
      </x:c>
      <x:c r="M1048" s="2" t="str">
        <x:v>없음</x:v>
      </x:c>
      <x:c r="N1048" s="11" t="n">
        <x:v>-2</x:v>
      </x:c>
      <x:c r="O1048" s="8" t="str">
        <x:v>일반 사용 빈도 낮은 편(Zipf ≤ 3.0); 검증된 예문 없음; 기존 데이터의 한국어 콘텐츠 보강 필요 태그</x:v>
      </x:c>
      <x:c r="P1048" s="8" t="str">
        <x:v>frequency_le_3_0,no_example,weak_legacy_content</x:v>
      </x:c>
      <x:c r="Q1048" s="2" t="str"/>
      <x:c r="R1048" s="2" t="str"/>
      <x:c r="S1048" s="2" t="str"/>
      <x:c r="T1048" s="2" t="str"/>
      <x:c r="U1048" s="2" t="str"/>
      <x:c r="V1048" s="2" t="str">
        <x:v>아니오</x:v>
      </x:c>
      <x:c r="W1048" s="2" t="str">
        <x:v>예</x:v>
      </x:c>
      <x:c r="X1048" s="2" t="str">
        <x:v>ichi1,news1,nf21</x:v>
      </x:c>
      <x:c r="Y1048" s="2" t="n">
        <x:v>100</x:v>
      </x:c>
      <x:c r="Z1048" s="2" t="str">
        <x:v>ichi1,news1,nf21</x:v>
      </x:c>
      <x:c r="AA1048" s="2" t="n">
        <x:v>100</x:v>
      </x:c>
      <x:c r="AB1048" s="8" t="str"/>
      <x:c r="AC1048" s="8" t="str"/>
      <x:c r="AD1048" s="8" t="str">
        <x:v>["draft-ko-missing"]</x:v>
      </x:c>
      <x:c r="AE1048" s="8" t="str">
        <x:v>검토 필요</x:v>
      </x:c>
      <x:c r="AF1048" s="8" t="str"/>
    </x:row>
    <x:row r="1049">
      <x:c r="A1049" s="10" t="n">
        <x:v>1048</x:v>
      </x:c>
      <x:c r="B1049" s="2" t="str">
        <x:v>2차 보류</x:v>
      </x:c>
      <x:c r="C1049" s="2" t="str">
        <x:v>2차 보류</x:v>
      </x:c>
      <x:c r="D1049" s="2" t="str">
        <x:v>낮음</x:v>
      </x:c>
      <x:c r="E1049" s="2" t="str">
        <x:v>N3</x:v>
      </x:c>
      <x:c r="F1049" s="10" t="n">
        <x:v>121</x:v>
      </x:c>
      <x:c r="G1049" s="2" t="str">
        <x:v>w_2901dd31bf072352</x:v>
      </x:c>
      <x:c r="H1049" s="2" t="str">
        <x:v>気体</x:v>
      </x:c>
      <x:c r="I1049" s="2" t="str">
        <x:v>きたい</x:v>
      </x:c>
      <x:c r="J1049" s="8" t="str">
        <x:v>기체</x:v>
      </x:c>
      <x:c r="K1049" s="2" t="str">
        <x:v>noun</x:v>
      </x:c>
      <x:c r="L1049" s="9" t="n">
        <x:v>2.99</x:v>
      </x:c>
      <x:c r="M1049" s="2" t="str">
        <x:v>없음</x:v>
      </x:c>
      <x:c r="N1049" s="11" t="n">
        <x:v>-2</x:v>
      </x:c>
      <x:c r="O1049" s="8" t="str">
        <x:v>일반 사용 빈도 낮은 편(Zipf ≤ 3.0); 검증된 예문 없음; 기존 데이터의 한국어 콘텐츠 보강 필요 태그</x:v>
      </x:c>
      <x:c r="P1049" s="8" t="str">
        <x:v>frequency_le_3_0,no_example,weak_legacy_content</x:v>
      </x:c>
      <x:c r="Q1049" s="2" t="str"/>
      <x:c r="R1049" s="2" t="str"/>
      <x:c r="S1049" s="2" t="str"/>
      <x:c r="T1049" s="2" t="str"/>
      <x:c r="U1049" s="2" t="str"/>
      <x:c r="V1049" s="2" t="str">
        <x:v>아니오</x:v>
      </x:c>
      <x:c r="W1049" s="2" t="str">
        <x:v>예</x:v>
      </x:c>
      <x:c r="X1049" s="2" t="str">
        <x:v>ichi1,news2,nf27</x:v>
      </x:c>
      <x:c r="Y1049" s="2" t="n">
        <x:v>100</x:v>
      </x:c>
      <x:c r="Z1049" s="2" t="str">
        <x:v>ichi1,news2,nf27</x:v>
      </x:c>
      <x:c r="AA1049" s="2" t="n">
        <x:v>100</x:v>
      </x:c>
      <x:c r="AB1049" s="8" t="str"/>
      <x:c r="AC1049" s="8" t="str"/>
      <x:c r="AD1049" s="8" t="str">
        <x:v>["draft-ko-missing"]</x:v>
      </x:c>
      <x:c r="AE1049" s="8" t="str">
        <x:v>검토 필요</x:v>
      </x:c>
      <x:c r="AF1049" s="8" t="str"/>
    </x:row>
    <x:row r="1050">
      <x:c r="A1050" s="10" t="n">
        <x:v>1049</x:v>
      </x:c>
      <x:c r="B1050" s="2" t="str">
        <x:v>2차 보류</x:v>
      </x:c>
      <x:c r="C1050" s="2" t="str">
        <x:v>2차 보류</x:v>
      </x:c>
      <x:c r="D1050" s="2" t="str">
        <x:v>낮음</x:v>
      </x:c>
      <x:c r="E1050" s="2" t="str">
        <x:v>N2</x:v>
      </x:c>
      <x:c r="F1050" s="10" t="n">
        <x:v>380</x:v>
      </x:c>
      <x:c r="G1050" s="2" t="str">
        <x:v>w_d05687feb04b3adc</x:v>
      </x:c>
      <x:c r="H1050" s="2" t="str">
        <x:v>索引</x:v>
      </x:c>
      <x:c r="I1050" s="2" t="str">
        <x:v>さくいん</x:v>
      </x:c>
      <x:c r="J1050" s="8" t="str">
        <x:v>색인, 지수</x:v>
      </x:c>
      <x:c r="K1050" s="2" t="str">
        <x:v>noun</x:v>
      </x:c>
      <x:c r="L1050" s="9" t="n">
        <x:v>2.99</x:v>
      </x:c>
      <x:c r="M1050" s="2" t="str">
        <x:v>없음</x:v>
      </x:c>
      <x:c r="N1050" s="11" t="n">
        <x:v>-2</x:v>
      </x:c>
      <x:c r="O1050" s="8" t="str">
        <x:v>일반 사용 빈도 낮은 편(Zipf ≤ 3.0); 검증된 예문 없음; 기존 데이터의 한국어 콘텐츠 보강 필요 태그</x:v>
      </x:c>
      <x:c r="P1050" s="8" t="str">
        <x:v>frequency_le_3_0,no_example,weak_legacy_content</x:v>
      </x:c>
      <x:c r="Q1050" s="2" t="str"/>
      <x:c r="R1050" s="2" t="str"/>
      <x:c r="S1050" s="2" t="str"/>
      <x:c r="T1050" s="2" t="str"/>
      <x:c r="U1050" s="2" t="str"/>
      <x:c r="V1050" s="2" t="str">
        <x:v>아니오</x:v>
      </x:c>
      <x:c r="W1050" s="2" t="str">
        <x:v>예</x:v>
      </x:c>
      <x:c r="X1050" s="2" t="str">
        <x:v>ichi1,news1,nf20</x:v>
      </x:c>
      <x:c r="Y1050" s="2" t="n">
        <x:v>100</x:v>
      </x:c>
      <x:c r="Z1050" s="2" t="str">
        <x:v>ichi1,news1,nf20</x:v>
      </x:c>
      <x:c r="AA1050" s="2" t="n">
        <x:v>100</x:v>
      </x:c>
      <x:c r="AB1050" s="8" t="str"/>
      <x:c r="AC1050" s="8" t="str"/>
      <x:c r="AD1050" s="8" t="str">
        <x:v>["draft-ko-missing"]</x:v>
      </x:c>
      <x:c r="AE1050" s="8" t="str">
        <x:v>검토 필요</x:v>
      </x:c>
      <x:c r="AF1050" s="8" t="str"/>
    </x:row>
    <x:row r="1051">
      <x:c r="A1051" s="10" t="n">
        <x:v>1050</x:v>
      </x:c>
      <x:c r="B1051" s="2" t="str">
        <x:v>2차 보류</x:v>
      </x:c>
      <x:c r="C1051" s="2" t="str">
        <x:v>2차 보류</x:v>
      </x:c>
      <x:c r="D1051" s="2" t="str">
        <x:v>낮음</x:v>
      </x:c>
      <x:c r="E1051" s="2" t="str">
        <x:v>N2</x:v>
      </x:c>
      <x:c r="F1051" s="10" t="n">
        <x:v>381</x:v>
      </x:c>
      <x:c r="G1051" s="2" t="str">
        <x:v>w_cabd878328024d25</x:v>
      </x:c>
      <x:c r="H1051" s="2" t="str">
        <x:v>何分</x:v>
      </x:c>
      <x:c r="I1051" s="2" t="str">
        <x:v>なにぶん</x:v>
      </x:c>
      <x:c r="J1051" s="8" t="str">
        <x:v>에 의해 모두 수단, 의미, 부디, 제발</x:v>
      </x:c>
      <x:c r="K1051" s="2" t="str">
        <x:v>noun</x:v>
      </x:c>
      <x:c r="L1051" s="9" t="n">
        <x:v>3</x:v>
      </x:c>
      <x:c r="M1051" s="2" t="str">
        <x:v>없음</x:v>
      </x:c>
      <x:c r="N1051" s="11" t="n">
        <x:v>-2</x:v>
      </x:c>
      <x:c r="O1051" s="8" t="str">
        <x:v>일반 사용 빈도 낮은 편(Zipf ≤ 3.0); 검증된 예문 없음; 기존 데이터의 한국어 콘텐츠 보강 필요 태그</x:v>
      </x:c>
      <x:c r="P1051" s="8" t="str">
        <x:v>frequency_le_3_0,no_example,weak_legacy_content</x:v>
      </x:c>
      <x:c r="Q1051" s="2" t="str"/>
      <x:c r="R1051" s="2" t="str"/>
      <x:c r="S1051" s="2" t="str"/>
      <x:c r="T1051" s="2" t="str"/>
      <x:c r="U1051" s="2" t="str"/>
      <x:c r="V1051" s="2" t="str">
        <x:v>아니오</x:v>
      </x:c>
      <x:c r="W1051" s="2" t="str">
        <x:v>예</x:v>
      </x:c>
      <x:c r="X1051" s="2" t="str">
        <x:v>ichi1,news2,nf40</x:v>
      </x:c>
      <x:c r="Y1051" s="2" t="n">
        <x:v>100</x:v>
      </x:c>
      <x:c r="Z1051" s="2" t="str">
        <x:v>ichi1,news2,nf40</x:v>
      </x:c>
      <x:c r="AA1051" s="2" t="n">
        <x:v>100</x:v>
      </x:c>
      <x:c r="AB1051" s="8" t="str"/>
      <x:c r="AC1051" s="8" t="str"/>
      <x:c r="AD1051" s="8" t="str">
        <x:v>["draft-ko-missing"]</x:v>
      </x:c>
      <x:c r="AE1051" s="8" t="str">
        <x:v>검토 필요</x:v>
      </x:c>
      <x:c r="AF1051" s="8" t="str"/>
    </x:row>
    <x:row r="1052">
      <x:c r="A1052" s="10" t="n">
        <x:v>1051</x:v>
      </x:c>
      <x:c r="B1052" s="2" t="str">
        <x:v>2차 보류</x:v>
      </x:c>
      <x:c r="C1052" s="2" t="str">
        <x:v>2차 보류</x:v>
      </x:c>
      <x:c r="D1052" s="2" t="str">
        <x:v>낮음</x:v>
      </x:c>
      <x:c r="E1052" s="2" t="str">
        <x:v>N1</x:v>
      </x:c>
      <x:c r="F1052" s="10" t="n">
        <x:v>461</x:v>
      </x:c>
      <x:c r="G1052" s="2" t="str">
        <x:v>w_259da403c894ca65</x:v>
      </x:c>
      <x:c r="H1052" s="2" t="str">
        <x:v>微か</x:v>
      </x:c>
      <x:c r="I1052" s="2" t="str">
        <x:v>かすか</x:v>
      </x:c>
      <x:c r="J1052" s="8" t="str">
        <x:v>희미함, 어렴풋함</x:v>
      </x:c>
      <x:c r="K1052" s="2" t="str">
        <x:v>adjective</x:v>
      </x:c>
      <x:c r="L1052" s="9" t="n">
        <x:v>3</x:v>
      </x:c>
      <x:c r="M1052" s="2" t="str">
        <x:v>없음</x:v>
      </x:c>
      <x:c r="N1052" s="11" t="n">
        <x:v>-2</x:v>
      </x:c>
      <x:c r="O1052" s="8" t="str">
        <x:v>일반 사용 빈도 낮은 편(Zipf ≤ 3.0); 검증된 예문 없음; 기존 데이터의 한국어 콘텐츠 보강 필요 태그</x:v>
      </x:c>
      <x:c r="P1052" s="8" t="str">
        <x:v>frequency_le_3_0,no_example,weak_legacy_content</x:v>
      </x:c>
      <x:c r="Q1052" s="2" t="str"/>
      <x:c r="R1052" s="2" t="str"/>
      <x:c r="S1052" s="2" t="str"/>
      <x:c r="T1052" s="2" t="str"/>
      <x:c r="U1052" s="2" t="str"/>
      <x:c r="V1052" s="2" t="str">
        <x:v>아니오</x:v>
      </x:c>
      <x:c r="W1052" s="2" t="str">
        <x:v>예</x:v>
      </x:c>
      <x:c r="X1052" s="2" t="str">
        <x:v>ichi1</x:v>
      </x:c>
      <x:c r="Y1052" s="2" t="n">
        <x:v>100</x:v>
      </x:c>
      <x:c r="Z1052" s="2" t="str">
        <x:v>ichi1</x:v>
      </x:c>
      <x:c r="AA1052" s="2" t="n">
        <x:v>100</x:v>
      </x:c>
      <x:c r="AB1052" s="8" t="str">
        <x:v>word usually written using kana alone</x:v>
      </x:c>
      <x:c r="AC1052" s="8" t="str"/>
      <x:c r="AD1052" s="8" t="str">
        <x:v>["draft-ko-missing"]</x:v>
      </x:c>
      <x:c r="AE1052" s="8" t="str">
        <x:v>검토 필요</x:v>
      </x:c>
      <x:c r="AF1052" s="8" t="str"/>
    </x:row>
    <x:row r="1053">
      <x:c r="A1053" s="10" t="n">
        <x:v>1052</x:v>
      </x:c>
      <x:c r="B1053" s="2" t="str">
        <x:v>2차 보류</x:v>
      </x:c>
      <x:c r="C1053" s="2" t="str">
        <x:v>2차 보류</x:v>
      </x:c>
      <x:c r="D1053" s="2" t="str">
        <x:v>낮음</x:v>
      </x:c>
      <x:c r="E1053" s="2" t="str">
        <x:v>N1</x:v>
      </x:c>
      <x:c r="F1053" s="10" t="n">
        <x:v>462</x:v>
      </x:c>
      <x:c r="G1053" s="2" t="str">
        <x:v>w_9c9c135739153111</x:v>
      </x:c>
      <x:c r="H1053" s="2" t="str">
        <x:v>戯曲</x:v>
      </x:c>
      <x:c r="I1053" s="2" t="str">
        <x:v>ぎきょく</x:v>
      </x:c>
      <x:c r="J1053" s="8" t="str">
        <x:v>희곡</x:v>
      </x:c>
      <x:c r="K1053" s="2" t="str">
        <x:v>noun</x:v>
      </x:c>
      <x:c r="L1053" s="9" t="n">
        <x:v>3</x:v>
      </x:c>
      <x:c r="M1053" s="2" t="str">
        <x:v>없음</x:v>
      </x:c>
      <x:c r="N1053" s="11" t="n">
        <x:v>-2</x:v>
      </x:c>
      <x:c r="O1053" s="8" t="str">
        <x:v>일반 사용 빈도 낮은 편(Zipf ≤ 3.0); 검증된 예문 없음; 기존 데이터의 한국어 콘텐츠 보강 필요 태그</x:v>
      </x:c>
      <x:c r="P1053" s="8" t="str">
        <x:v>frequency_le_3_0,no_example,weak_legacy_content</x:v>
      </x:c>
      <x:c r="Q1053" s="2" t="str"/>
      <x:c r="R1053" s="2" t="str"/>
      <x:c r="S1053" s="2" t="str"/>
      <x:c r="T1053" s="2" t="str"/>
      <x:c r="U1053" s="2" t="str"/>
      <x:c r="V1053" s="2" t="str">
        <x:v>아니오</x:v>
      </x:c>
      <x:c r="W1053" s="2" t="str">
        <x:v>예</x:v>
      </x:c>
      <x:c r="X1053" s="2" t="str">
        <x:v>ichi1,news1,nf12</x:v>
      </x:c>
      <x:c r="Y1053" s="2" t="n">
        <x:v>100</x:v>
      </x:c>
      <x:c r="Z1053" s="2" t="str">
        <x:v>ichi1,news1,nf12</x:v>
      </x:c>
      <x:c r="AA1053" s="2" t="n">
        <x:v>100</x:v>
      </x:c>
      <x:c r="AB1053" s="8" t="str"/>
      <x:c r="AC1053" s="8" t="str"/>
      <x:c r="AD1053" s="8" t="str">
        <x:v>["draft-ko-missing"]</x:v>
      </x:c>
      <x:c r="AE1053" s="8" t="str">
        <x:v>검토 필요</x:v>
      </x:c>
      <x:c r="AF1053" s="8" t="str"/>
    </x:row>
    <x:row r="1054">
      <x:c r="A1054" s="10" t="n">
        <x:v>1053</x:v>
      </x:c>
      <x:c r="B1054" s="2" t="str">
        <x:v>2차 보류</x:v>
      </x:c>
      <x:c r="C1054" s="2" t="str">
        <x:v>2차 보류</x:v>
      </x:c>
      <x:c r="D1054" s="2" t="str">
        <x:v>낮음</x:v>
      </x:c>
      <x:c r="E1054" s="2" t="str">
        <x:v>N1</x:v>
      </x:c>
      <x:c r="F1054" s="10" t="n">
        <x:v>463</x:v>
      </x:c>
      <x:c r="G1054" s="2" t="str">
        <x:v>w_b11cc624e2e7780a</x:v>
      </x:c>
      <x:c r="H1054" s="2" t="str">
        <x:v>記す</x:v>
      </x:c>
      <x:c r="I1054" s="2" t="str">
        <x:v>しるす</x:v>
      </x:c>
      <x:c r="J1054" s="8" t="str">
        <x:v>메모, 주석, 쓰다 아래로</x:v>
      </x:c>
      <x:c r="K1054" s="2" t="str">
        <x:v>verb</x:v>
      </x:c>
      <x:c r="L1054" s="9" t="n">
        <x:v>3</x:v>
      </x:c>
      <x:c r="M1054" s="2" t="str">
        <x:v>없음</x:v>
      </x:c>
      <x:c r="N1054" s="11" t="n">
        <x:v>-2</x:v>
      </x:c>
      <x:c r="O1054" s="8" t="str">
        <x:v>일반 사용 빈도 낮은 편(Zipf ≤ 3.0); 검증된 예문 없음; 기존 데이터의 한국어 콘텐츠 보강 필요 태그</x:v>
      </x:c>
      <x:c r="P1054" s="8" t="str">
        <x:v>frequency_le_3_0,no_example,weak_legacy_content</x:v>
      </x:c>
      <x:c r="Q1054" s="2" t="str"/>
      <x:c r="R1054" s="2" t="str"/>
      <x:c r="S1054" s="2" t="str"/>
      <x:c r="T1054" s="2" t="str"/>
      <x:c r="U1054" s="2" t="str"/>
      <x:c r="V1054" s="2" t="str">
        <x:v>아니오</x:v>
      </x:c>
      <x:c r="W1054" s="2" t="str">
        <x:v>예</x:v>
      </x:c>
      <x:c r="X1054" s="2" t="str">
        <x:v>ichi1,news1,nf10</x:v>
      </x:c>
      <x:c r="Y1054" s="2" t="n">
        <x:v>100</x:v>
      </x:c>
      <x:c r="Z1054" s="2" t="str">
        <x:v>ichi1,news1,nf10</x:v>
      </x:c>
      <x:c r="AA1054" s="2" t="n">
        <x:v>100</x:v>
      </x:c>
      <x:c r="AB1054" s="8" t="str">
        <x:v>as 心に記す, 胸に記す, etc.</x:v>
      </x:c>
      <x:c r="AC1054" s="8" t="str"/>
      <x:c r="AD1054" s="8" t="str">
        <x:v>["draft-ko-missing"]</x:v>
      </x:c>
      <x:c r="AE1054" s="8" t="str">
        <x:v>검토 필요</x:v>
      </x:c>
      <x:c r="AF1054" s="8" t="str"/>
    </x:row>
    <x:row r="1055">
      <x:c r="A1055" s="10" t="n">
        <x:v>1054</x:v>
      </x:c>
      <x:c r="B1055" s="2" t="str">
        <x:v>2차 보류</x:v>
      </x:c>
      <x:c r="C1055" s="2" t="str">
        <x:v>2차 보류</x:v>
      </x:c>
      <x:c r="D1055" s="2" t="str">
        <x:v>낮음</x:v>
      </x:c>
      <x:c r="E1055" s="2" t="str">
        <x:v>N1</x:v>
      </x:c>
      <x:c r="F1055" s="10" t="n">
        <x:v>464</x:v>
      </x:c>
      <x:c r="G1055" s="2" t="str">
        <x:v>w_c836f8ea18005d45</x:v>
      </x:c>
      <x:c r="H1055" s="2" t="str">
        <x:v>ジーパン</x:v>
      </x:c>
      <x:c r="I1055" s="2" t="str">
        <x:v>ジーパン</x:v>
      </x:c>
      <x:c r="J1055" s="8" t="str">
        <x:v>청바지</x:v>
      </x:c>
      <x:c r="K1055" s="2" t="str">
        <x:v>noun</x:v>
      </x:c>
      <x:c r="L1055" s="9" t="n">
        <x:v>3.01</x:v>
      </x:c>
      <x:c r="M1055" s="2" t="str">
        <x:v>있음</x:v>
      </x:c>
      <x:c r="N1055" s="11" t="n">
        <x:v>-2</x:v>
      </x:c>
      <x:c r="O1055" s="8" t="str">
        <x:v>일반 사용 빈도 보통 이하(Zipf ≤ 3.5); JMdict 우선 어휘 표지 없음; 기존 데이터의 한국어 콘텐츠 보강 필요 태그</x:v>
      </x:c>
      <x:c r="P1055" s="8" t="str">
        <x:v>frequency_le_3_5,no_jmdict_priority,weak_legacy_content</x:v>
      </x:c>
      <x:c r="Q1055" s="2" t="str"/>
      <x:c r="R1055" s="2" t="str"/>
      <x:c r="S1055" s="2" t="str"/>
      <x:c r="T1055" s="2" t="str"/>
      <x:c r="U1055" s="2" t="str"/>
      <x:c r="V1055" s="2" t="str">
        <x:v>아니오</x:v>
      </x:c>
      <x:c r="W1055" s="2" t="str">
        <x:v>아니오</x:v>
      </x:c>
      <x:c r="X1055" s="2" t="str"/>
      <x:c r="Y1055" s="2" t="n">
        <x:v>0</x:v>
      </x:c>
      <x:c r="Z1055" s="2" t="str"/>
      <x:c r="AA1055" s="2" t="n">
        <x:v>0</x:v>
      </x:c>
      <x:c r="AB1055" s="8" t="str"/>
      <x:c r="AC1055" s="8" t="str"/>
      <x:c r="AD1055" s="8" t="str">
        <x:v>["draft-ko-missing"]</x:v>
      </x:c>
      <x:c r="AE1055" s="8" t="str">
        <x:v>검토 필요</x:v>
      </x:c>
      <x:c r="AF1055" s="8" t="str"/>
    </x:row>
    <x:row r="1056">
      <x:c r="A1056" s="10" t="n">
        <x:v>1055</x:v>
      </x:c>
      <x:c r="B1056" s="2" t="str">
        <x:v>2차 보류</x:v>
      </x:c>
      <x:c r="C1056" s="2" t="str">
        <x:v>2차 보류</x:v>
      </x:c>
      <x:c r="D1056" s="2" t="str">
        <x:v>낮음</x:v>
      </x:c>
      <x:c r="E1056" s="2" t="str">
        <x:v>N1</x:v>
      </x:c>
      <x:c r="F1056" s="10" t="n">
        <x:v>465</x:v>
      </x:c>
      <x:c r="G1056" s="2" t="str">
        <x:v>w_48bf32a7bfb7243b</x:v>
      </x:c>
      <x:c r="H1056" s="2" t="str">
        <x:v>遅くとも</x:v>
      </x:c>
      <x:c r="I1056" s="2" t="str">
        <x:v>おそくとも</x:v>
      </x:c>
      <x:c r="J1056" s="8" t="str">
        <x:v>늦어도</x:v>
      </x:c>
      <x:c r="K1056" s="2" t="str">
        <x:v>adverb</x:v>
      </x:c>
      <x:c r="L1056" s="9" t="n">
        <x:v>3.02</x:v>
      </x:c>
      <x:c r="M1056" s="2" t="str">
        <x:v>있음</x:v>
      </x:c>
      <x:c r="N1056" s="11" t="n">
        <x:v>-2</x:v>
      </x:c>
      <x:c r="O1056" s="8" t="str">
        <x:v>일반 사용 빈도 보통 이하(Zipf ≤ 3.5); JMdict 우선 어휘 표지 없음; 기존 데이터의 한국어 콘텐츠 보강 필요 태그</x:v>
      </x:c>
      <x:c r="P1056" s="8" t="str">
        <x:v>frequency_le_3_5,no_jmdict_priority,weak_legacy_content</x:v>
      </x:c>
      <x:c r="Q1056" s="2" t="str"/>
      <x:c r="R1056" s="2" t="str"/>
      <x:c r="S1056" s="2" t="str"/>
      <x:c r="T1056" s="2" t="str"/>
      <x:c r="U1056" s="2" t="str"/>
      <x:c r="V1056" s="2" t="str">
        <x:v>아니오</x:v>
      </x:c>
      <x:c r="W1056" s="2" t="str">
        <x:v>예</x:v>
      </x:c>
      <x:c r="X1056" s="2" t="str"/>
      <x:c r="Y1056" s="2" t="n">
        <x:v>0</x:v>
      </x:c>
      <x:c r="Z1056" s="2" t="str"/>
      <x:c r="AA1056" s="2" t="n">
        <x:v>0</x:v>
      </x:c>
      <x:c r="AB1056" s="8" t="str"/>
      <x:c r="AC1056" s="8" t="str"/>
      <x:c r="AD1056" s="8" t="str">
        <x:v>["draft-ko-missing"]</x:v>
      </x:c>
      <x:c r="AE1056" s="8" t="str">
        <x:v>검토 필요</x:v>
      </x:c>
      <x:c r="AF1056" s="8" t="str"/>
    </x:row>
    <x:row r="1057">
      <x:c r="A1057" s="10" t="n">
        <x:v>1056</x:v>
      </x:c>
      <x:c r="B1057" s="2" t="str">
        <x:v>2차 보류</x:v>
      </x:c>
      <x:c r="C1057" s="2" t="str">
        <x:v>2차 보류</x:v>
      </x:c>
      <x:c r="D1057" s="2" t="str">
        <x:v>낮음</x:v>
      </x:c>
      <x:c r="E1057" s="2" t="str">
        <x:v>N4</x:v>
      </x:c>
      <x:c r="F1057" s="10" t="n">
        <x:v>71</x:v>
      </x:c>
      <x:c r="G1057" s="2" t="str">
        <x:v>w_6f5d32495c167657</x:v>
      </x:c>
      <x:c r="H1057" s="2" t="str">
        <x:v>なさる</x:v>
      </x:c>
      <x:c r="I1057" s="2" t="str">
        <x:v>なさる</x:v>
      </x:c>
      <x:c r="J1057" s="8" t="str">
        <x:v>하시다(존경어)</x:v>
      </x:c>
      <x:c r="K1057" s="2" t="str">
        <x:v>verb</x:v>
      </x:c>
      <x:c r="L1057" s="9" t="n">
        <x:v>3.22</x:v>
      </x:c>
      <x:c r="M1057" s="2" t="str">
        <x:v>있음</x:v>
      </x:c>
      <x:c r="N1057" s="11" t="n">
        <x:v>-2</x:v>
      </x:c>
      <x:c r="O1057" s="8" t="str">
        <x:v>일반 사용 빈도 보통 이하(Zipf ≤ 3.5); JMdict 우선 어휘 표지 없음; 기존 데이터의 한국어 콘텐츠 보강 필요 태그</x:v>
      </x:c>
      <x:c r="P1057" s="8" t="str">
        <x:v>frequency_le_3_5,no_jmdict_priority,weak_legacy_content</x:v>
      </x:c>
      <x:c r="Q1057" s="2" t="str"/>
      <x:c r="R1057" s="2" t="str"/>
      <x:c r="S1057" s="2" t="str"/>
      <x:c r="T1057" s="2" t="str"/>
      <x:c r="U1057" s="2" t="str"/>
      <x:c r="V1057" s="2" t="str">
        <x:v>아니오</x:v>
      </x:c>
      <x:c r="W1057" s="2" t="str">
        <x:v>아니오</x:v>
      </x:c>
      <x:c r="X1057" s="2" t="str"/>
      <x:c r="Y1057" s="2" t="n">
        <x:v>0</x:v>
      </x:c>
      <x:c r="Z1057" s="2" t="str"/>
      <x:c r="AA1057" s="2" t="n">
        <x:v>0</x:v>
      </x:c>
      <x:c r="AB1057" s="8" t="str"/>
      <x:c r="AC1057" s="8" t="str"/>
      <x:c r="AD1057" s="8" t="str">
        <x:v>["draft-ko-missing"]</x:v>
      </x:c>
      <x:c r="AE1057" s="8" t="str">
        <x:v>검토 필요</x:v>
      </x:c>
      <x:c r="AF1057" s="8" t="str"/>
    </x:row>
    <x:row r="1058">
      <x:c r="A1058" s="10" t="n">
        <x:v>1057</x:v>
      </x:c>
      <x:c r="B1058" s="2" t="str">
        <x:v>2차 보류</x:v>
      </x:c>
      <x:c r="C1058" s="2" t="str">
        <x:v>2차 보류</x:v>
      </x:c>
      <x:c r="D1058" s="2" t="str">
        <x:v>낮음</x:v>
      </x:c>
      <x:c r="E1058" s="2" t="str">
        <x:v>N4</x:v>
      </x:c>
      <x:c r="F1058" s="10" t="n">
        <x:v>72</x:v>
      </x:c>
      <x:c r="G1058" s="2" t="str">
        <x:v>w_512fde07bc888caa</x:v>
      </x:c>
      <x:c r="H1058" s="2" t="str">
        <x:v>けんかする</x:v>
      </x:c>
      <x:c r="I1058" s="2" t="str">
        <x:v>けんかする</x:v>
      </x:c>
      <x:c r="J1058" s="8" t="str">
        <x:v>싸움</x:v>
      </x:c>
      <x:c r="K1058" s="2" t="str">
        <x:v>noun</x:v>
      </x:c>
      <x:c r="L1058" s="9" t="n">
        <x:v>3.28</x:v>
      </x:c>
      <x:c r="M1058" s="2" t="str">
        <x:v>있음</x:v>
      </x:c>
      <x:c r="N1058" s="11" t="n">
        <x:v>-2</x:v>
      </x:c>
      <x:c r="O1058" s="8" t="str">
        <x:v>일반 사용 빈도 보통 이하(Zipf ≤ 3.5); JMdict 우선 어휘 표지 없음; 기존 데이터의 한국어 콘텐츠 보강 필요 태그</x:v>
      </x:c>
      <x:c r="P1058" s="8" t="str">
        <x:v>frequency_le_3_5,no_jmdict_priority,weak_legacy_content</x:v>
      </x:c>
      <x:c r="Q1058" s="2" t="str"/>
      <x:c r="R1058" s="2" t="str"/>
      <x:c r="S1058" s="2" t="str"/>
      <x:c r="T1058" s="2" t="str"/>
      <x:c r="U1058" s="2" t="str"/>
      <x:c r="V1058" s="2" t="str">
        <x:v>아니오</x:v>
      </x:c>
      <x:c r="W1058" s="2" t="str">
        <x:v>아니오</x:v>
      </x:c>
      <x:c r="X1058" s="2" t="str"/>
      <x:c r="Y1058" s="2" t="n">
        <x:v>0</x:v>
      </x:c>
      <x:c r="Z1058" s="2" t="str"/>
      <x:c r="AA1058" s="2" t="n">
        <x:v>0</x:v>
      </x:c>
      <x:c r="AB1058" s="8" t="str"/>
      <x:c r="AC1058" s="8" t="str"/>
      <x:c r="AD1058" s="8" t="str">
        <x:v>["draft-ko-missing"]</x:v>
      </x:c>
      <x:c r="AE1058" s="8" t="str">
        <x:v>검토 필요</x:v>
      </x:c>
      <x:c r="AF1058" s="8" t="str"/>
    </x:row>
    <x:row r="1059">
      <x:c r="A1059" s="10" t="n">
        <x:v>1058</x:v>
      </x:c>
      <x:c r="B1059" s="2" t="str">
        <x:v>2차 보류</x:v>
      </x:c>
      <x:c r="C1059" s="2" t="str">
        <x:v>2차 보류</x:v>
      </x:c>
      <x:c r="D1059" s="2" t="str">
        <x:v>낮음</x:v>
      </x:c>
      <x:c r="E1059" s="2" t="str">
        <x:v>N1</x:v>
      </x:c>
      <x:c r="F1059" s="10" t="n">
        <x:v>466</x:v>
      </x:c>
      <x:c r="G1059" s="2" t="str">
        <x:v>w_df60e1135524e494</x:v>
      </x:c>
      <x:c r="H1059" s="2" t="str">
        <x:v>おだてる</x:v>
      </x:c>
      <x:c r="I1059" s="2" t="str">
        <x:v>おだてる</x:v>
      </x:c>
      <x:c r="J1059" s="8" t="str">
        <x:v>아첨하다</x:v>
      </x:c>
      <x:c r="K1059" s="2" t="str">
        <x:v>verb</x:v>
      </x:c>
      <x:c r="L1059" s="9" t="n">
        <x:v>3.34</x:v>
      </x:c>
      <x:c r="M1059" s="2" t="str">
        <x:v>있음</x:v>
      </x:c>
      <x:c r="N1059" s="11" t="n">
        <x:v>-2</x:v>
      </x:c>
      <x:c r="O1059" s="8" t="str">
        <x:v>일반 사용 빈도 보통 이하(Zipf ≤ 3.5); JMdict 우선 어휘 표지 없음; 기존 데이터의 한국어 콘텐츠 보강 필요 태그</x:v>
      </x:c>
      <x:c r="P1059" s="8" t="str">
        <x:v>frequency_le_3_5,no_jmdict_priority,weak_legacy_content</x:v>
      </x:c>
      <x:c r="Q1059" s="2" t="str"/>
      <x:c r="R1059" s="2" t="str"/>
      <x:c r="S1059" s="2" t="str"/>
      <x:c r="T1059" s="2" t="str"/>
      <x:c r="U1059" s="2" t="str"/>
      <x:c r="V1059" s="2" t="str">
        <x:v>아니오</x:v>
      </x:c>
      <x:c r="W1059" s="2" t="str">
        <x:v>아니오</x:v>
      </x:c>
      <x:c r="X1059" s="2" t="str"/>
      <x:c r="Y1059" s="2" t="n">
        <x:v>0</x:v>
      </x:c>
      <x:c r="Z1059" s="2" t="str"/>
      <x:c r="AA1059" s="2" t="n">
        <x:v>0</x:v>
      </x:c>
      <x:c r="AB1059" s="8" t="str"/>
      <x:c r="AC1059" s="8" t="str"/>
      <x:c r="AD1059" s="8" t="str">
        <x:v>["draft-ko-missing"]</x:v>
      </x:c>
      <x:c r="AE1059" s="8" t="str">
        <x:v>검토 필요</x:v>
      </x:c>
      <x:c r="AF1059" s="8" t="str"/>
    </x:row>
    <x:row r="1060">
      <x:c r="A1060" s="10" t="n">
        <x:v>1059</x:v>
      </x:c>
      <x:c r="B1060" s="2" t="str">
        <x:v>2차 보류</x:v>
      </x:c>
      <x:c r="C1060" s="2" t="str">
        <x:v>2차 보류</x:v>
      </x:c>
      <x:c r="D1060" s="2" t="str">
        <x:v>낮음</x:v>
      </x:c>
      <x:c r="E1060" s="2" t="str">
        <x:v>N1</x:v>
      </x:c>
      <x:c r="F1060" s="10" t="n">
        <x:v>467</x:v>
      </x:c>
      <x:c r="G1060" s="2" t="str">
        <x:v>w_b9c641f6b95aab47</x:v>
      </x:c>
      <x:c r="H1060" s="2" t="str">
        <x:v>さっと</x:v>
      </x:c>
      <x:c r="I1060" s="2" t="str">
        <x:v>さっと</x:v>
      </x:c>
      <x:c r="J1060" s="8" t="str">
        <x:v>갑자기</x:v>
      </x:c>
      <x:c r="K1060" s="2" t="str">
        <x:v>adverb</x:v>
      </x:c>
      <x:c r="L1060" s="9" t="n">
        <x:v>3.36</x:v>
      </x:c>
      <x:c r="M1060" s="2" t="str">
        <x:v>있음</x:v>
      </x:c>
      <x:c r="N1060" s="11" t="n">
        <x:v>-2</x:v>
      </x:c>
      <x:c r="O1060" s="8" t="str">
        <x:v>일반 사용 빈도 보통 이하(Zipf ≤ 3.5); JMdict 우선 어휘 표지 없음; 기존 데이터의 한국어 콘텐츠 보강 필요 태그</x:v>
      </x:c>
      <x:c r="P1060" s="8" t="str">
        <x:v>frequency_le_3_5,no_jmdict_priority,weak_legacy_content</x:v>
      </x:c>
      <x:c r="Q1060" s="2" t="str"/>
      <x:c r="R1060" s="2" t="str"/>
      <x:c r="S1060" s="2" t="str"/>
      <x:c r="T1060" s="2" t="str"/>
      <x:c r="U1060" s="2" t="str"/>
      <x:c r="V1060" s="2" t="str">
        <x:v>아니오</x:v>
      </x:c>
      <x:c r="W1060" s="2" t="str">
        <x:v>아니오</x:v>
      </x:c>
      <x:c r="X1060" s="2" t="str"/>
      <x:c r="Y1060" s="2" t="n">
        <x:v>0</x:v>
      </x:c>
      <x:c r="Z1060" s="2" t="str"/>
      <x:c r="AA1060" s="2" t="n">
        <x:v>0</x:v>
      </x:c>
      <x:c r="AB1060" s="8" t="str"/>
      <x:c r="AC1060" s="8" t="str"/>
      <x:c r="AD1060" s="8" t="str">
        <x:v>["draft-ko-missing"]</x:v>
      </x:c>
      <x:c r="AE1060" s="8" t="str">
        <x:v>검토 필요</x:v>
      </x:c>
      <x:c r="AF1060" s="8" t="str"/>
    </x:row>
    <x:row r="1061">
      <x:c r="A1061" s="10" t="n">
        <x:v>1060</x:v>
      </x:c>
      <x:c r="B1061" s="2" t="str">
        <x:v>2차 보류</x:v>
      </x:c>
      <x:c r="C1061" s="2" t="str">
        <x:v>2차 보류</x:v>
      </x:c>
      <x:c r="D1061" s="2" t="str">
        <x:v>낮음</x:v>
      </x:c>
      <x:c r="E1061" s="2" t="str">
        <x:v>N1</x:v>
      </x:c>
      <x:c r="F1061" s="10" t="n">
        <x:v>468</x:v>
      </x:c>
      <x:c r="G1061" s="2" t="str">
        <x:v>w_d6a47632d886cffc</x:v>
      </x:c>
      <x:c r="H1061" s="2" t="str">
        <x:v>取り替え</x:v>
      </x:c>
      <x:c r="I1061" s="2" t="str">
        <x:v>とりかえ</x:v>
      </x:c>
      <x:c r="J1061" s="8" t="str">
        <x:v>교체, 교환</x:v>
      </x:c>
      <x:c r="K1061" s="2" t="str">
        <x:v>noun</x:v>
      </x:c>
      <x:c r="L1061" s="9" t="n">
        <x:v>3.36</x:v>
      </x:c>
      <x:c r="M1061" s="2" t="str">
        <x:v>있음</x:v>
      </x:c>
      <x:c r="N1061" s="11" t="n">
        <x:v>-2</x:v>
      </x:c>
      <x:c r="O1061" s="8" t="str">
        <x:v>일반 사용 빈도 보통 이하(Zipf ≤ 3.5); JMdict 우선 어휘 표지 없음; 기존 데이터의 한국어 콘텐츠 보강 필요 태그</x:v>
      </x:c>
      <x:c r="P1061" s="8" t="str">
        <x:v>frequency_le_3_5,no_jmdict_priority,weak_legacy_content</x:v>
      </x:c>
      <x:c r="Q1061" s="2" t="str"/>
      <x:c r="R1061" s="2" t="str"/>
      <x:c r="S1061" s="2" t="str"/>
      <x:c r="T1061" s="2" t="str"/>
      <x:c r="U1061" s="2" t="str"/>
      <x:c r="V1061" s="2" t="str">
        <x:v>아니오</x:v>
      </x:c>
      <x:c r="W1061" s="2" t="str">
        <x:v>예</x:v>
      </x:c>
      <x:c r="X1061" s="2" t="str"/>
      <x:c r="Y1061" s="2" t="n">
        <x:v>0</x:v>
      </x:c>
      <x:c r="Z1061" s="2" t="str"/>
      <x:c r="AA1061" s="2" t="n">
        <x:v>0</x:v>
      </x:c>
      <x:c r="AB1061" s="8" t="str"/>
      <x:c r="AC1061" s="8" t="str"/>
      <x:c r="AD1061" s="8" t="str">
        <x:v>["draft-ko-missing"]</x:v>
      </x:c>
      <x:c r="AE1061" s="8" t="str">
        <x:v>검토 필요</x:v>
      </x:c>
      <x:c r="AF1061" s="8" t="str"/>
    </x:row>
    <x:row r="1062">
      <x:c r="A1062" s="10" t="n">
        <x:v>1061</x:v>
      </x:c>
      <x:c r="B1062" s="2" t="str">
        <x:v>2차 보류</x:v>
      </x:c>
      <x:c r="C1062" s="2" t="str">
        <x:v>2차 보류</x:v>
      </x:c>
      <x:c r="D1062" s="2" t="str">
        <x:v>낮음</x:v>
      </x:c>
      <x:c r="E1062" s="2" t="str">
        <x:v>N1</x:v>
      </x:c>
      <x:c r="F1062" s="10" t="n">
        <x:v>469</x:v>
      </x:c>
      <x:c r="G1062" s="2" t="str">
        <x:v>w_fc4b1b2a9b67e073</x:v>
      </x:c>
      <x:c r="H1062" s="2" t="str">
        <x:v>取り付ける</x:v>
      </x:c>
      <x:c r="I1062" s="2" t="str">
        <x:v>とりつける</x:v>
      </x:c>
      <x:c r="J1062" s="8" t="str">
        <x:v>설치하다; (합의를) 받아내다</x:v>
      </x:c>
      <x:c r="K1062" s="2" t="str">
        <x:v>verb</x:v>
      </x:c>
      <x:c r="L1062" s="9" t="n">
        <x:v>3.38</x:v>
      </x:c>
      <x:c r="M1062" s="2" t="str">
        <x:v>있음</x:v>
      </x:c>
      <x:c r="N1062" s="11" t="n">
        <x:v>-2</x:v>
      </x:c>
      <x:c r="O1062" s="8" t="str">
        <x:v>일반 사용 빈도 보통 이하(Zipf ≤ 3.5); JMdict 우선 어휘 표지 없음; 기존 데이터의 한국어 콘텐츠 보강 필요 태그</x:v>
      </x:c>
      <x:c r="P1062" s="8" t="str">
        <x:v>frequency_le_3_5,no_jmdict_priority,weak_legacy_content</x:v>
      </x:c>
      <x:c r="Q1062" s="2" t="str"/>
      <x:c r="R1062" s="2" t="str"/>
      <x:c r="S1062" s="2" t="str"/>
      <x:c r="T1062" s="2" t="str"/>
      <x:c r="U1062" s="2" t="str"/>
      <x:c r="V1062" s="2" t="str">
        <x:v>아니오</x:v>
      </x:c>
      <x:c r="W1062" s="2" t="str">
        <x:v>예</x:v>
      </x:c>
      <x:c r="X1062" s="2" t="str"/>
      <x:c r="Y1062" s="2" t="n">
        <x:v>0</x:v>
      </x:c>
      <x:c r="Z1062" s="2" t="str"/>
      <x:c r="AA1062" s="2" t="n">
        <x:v>0</x:v>
      </x:c>
      <x:c r="AB1062" s="8" t="str"/>
      <x:c r="AC1062" s="8" t="str"/>
      <x:c r="AD1062" s="8" t="str">
        <x:v>["draft-ko-missing"]</x:v>
      </x:c>
      <x:c r="AE1062" s="8" t="str">
        <x:v>검토 필요</x:v>
      </x:c>
      <x:c r="AF1062" s="8" t="str"/>
    </x:row>
    <x:row r="1063">
      <x:c r="A1063" s="10" t="n">
        <x:v>1062</x:v>
      </x:c>
      <x:c r="B1063" s="2" t="str">
        <x:v>2차 보류</x:v>
      </x:c>
      <x:c r="C1063" s="2" t="str">
        <x:v>2차 보류</x:v>
      </x:c>
      <x:c r="D1063" s="2" t="str">
        <x:v>낮음</x:v>
      </x:c>
      <x:c r="E1063" s="2" t="str">
        <x:v>N5</x:v>
      </x:c>
      <x:c r="F1063" s="10" t="n">
        <x:v>19</x:v>
      </x:c>
      <x:c r="G1063" s="2" t="str">
        <x:v>w_c6124d2bf6828b06</x:v>
      </x:c>
      <x:c r="H1063" s="2" t="str">
        <x:v>おばあさん</x:v>
      </x:c>
      <x:c r="I1063" s="2" t="str">
        <x:v>おばあさん</x:v>
      </x:c>
      <x:c r="J1063" s="8" t="str">
        <x:v>할머니</x:v>
      </x:c>
      <x:c r="K1063" s="2" t="str">
        <x:v>noun</x:v>
      </x:c>
      <x:c r="L1063" s="9" t="n">
        <x:v>3.43</x:v>
      </x:c>
      <x:c r="M1063" s="2" t="str">
        <x:v>있음</x:v>
      </x:c>
      <x:c r="N1063" s="11" t="n">
        <x:v>-2</x:v>
      </x:c>
      <x:c r="O1063" s="8" t="str">
        <x:v>일반 사용 빈도 보통 이하(Zipf ≤ 3.5); JMdict 우선 어휘 표지 없음; 기존 데이터의 한국어 콘텐츠 보강 필요 태그</x:v>
      </x:c>
      <x:c r="P1063" s="8" t="str">
        <x:v>frequency_le_3_5,no_jmdict_priority,weak_legacy_content</x:v>
      </x:c>
      <x:c r="Q1063" s="2" t="str"/>
      <x:c r="R1063" s="2" t="str"/>
      <x:c r="S1063" s="2" t="str"/>
      <x:c r="T1063" s="2" t="str"/>
      <x:c r="U1063" s="2" t="str"/>
      <x:c r="V1063" s="2" t="str">
        <x:v>아니오</x:v>
      </x:c>
      <x:c r="W1063" s="2" t="str">
        <x:v>아니오</x:v>
      </x:c>
      <x:c r="X1063" s="2" t="str"/>
      <x:c r="Y1063" s="2" t="n">
        <x:v>0</x:v>
      </x:c>
      <x:c r="Z1063" s="2" t="str"/>
      <x:c r="AA1063" s="2" t="n">
        <x:v>0</x:v>
      </x:c>
      <x:c r="AB1063" s="8" t="str"/>
      <x:c r="AC1063" s="8" t="str"/>
      <x:c r="AD1063" s="8" t="str">
        <x:v>["draft-ko-missing"]</x:v>
      </x:c>
      <x:c r="AE1063" s="8" t="str">
        <x:v>검토 필요</x:v>
      </x:c>
      <x:c r="AF1063" s="8" t="str"/>
    </x:row>
    <x:row r="1064">
      <x:c r="A1064" s="10" t="n">
        <x:v>1063</x:v>
      </x:c>
      <x:c r="B1064" s="2" t="str">
        <x:v>2차 보류</x:v>
      </x:c>
      <x:c r="C1064" s="2" t="str">
        <x:v>2차 보류</x:v>
      </x:c>
      <x:c r="D1064" s="2" t="str">
        <x:v>낮음</x:v>
      </x:c>
      <x:c r="E1064" s="2" t="str">
        <x:v>N4</x:v>
      </x:c>
      <x:c r="F1064" s="10" t="n">
        <x:v>73</x:v>
      </x:c>
      <x:c r="G1064" s="2" t="str">
        <x:v>w_0e193c3cc307bb6f</x:v>
      </x:c>
      <x:c r="H1064" s="2" t="str">
        <x:v>ちっとも</x:v>
      </x:c>
      <x:c r="I1064" s="2" t="str">
        <x:v>ちっとも</x:v>
      </x:c>
      <x:c r="J1064" s="8" t="str">
        <x:v>전혀(부정 동사)</x:v>
      </x:c>
      <x:c r="K1064" s="2" t="str">
        <x:v>adverb</x:v>
      </x:c>
      <x:c r="L1064" s="9" t="n">
        <x:v>3.49</x:v>
      </x:c>
      <x:c r="M1064" s="2" t="str">
        <x:v>있음</x:v>
      </x:c>
      <x:c r="N1064" s="11" t="n">
        <x:v>-2</x:v>
      </x:c>
      <x:c r="O1064" s="8" t="str">
        <x:v>일반 사용 빈도 보통 이하(Zipf ≤ 3.5); JMdict 우선 어휘 표지 없음; 기존 데이터의 한국어 콘텐츠 보강 필요 태그</x:v>
      </x:c>
      <x:c r="P1064" s="8" t="str">
        <x:v>frequency_le_3_5,no_jmdict_priority,weak_legacy_content</x:v>
      </x:c>
      <x:c r="Q1064" s="2" t="str"/>
      <x:c r="R1064" s="2" t="str"/>
      <x:c r="S1064" s="2" t="str"/>
      <x:c r="T1064" s="2" t="str"/>
      <x:c r="U1064" s="2" t="str"/>
      <x:c r="V1064" s="2" t="str">
        <x:v>아니오</x:v>
      </x:c>
      <x:c r="W1064" s="2" t="str">
        <x:v>아니오</x:v>
      </x:c>
      <x:c r="X1064" s="2" t="str"/>
      <x:c r="Y1064" s="2" t="n">
        <x:v>0</x:v>
      </x:c>
      <x:c r="Z1064" s="2" t="str"/>
      <x:c r="AA1064" s="2" t="n">
        <x:v>0</x:v>
      </x:c>
      <x:c r="AB1064" s="8" t="str"/>
      <x:c r="AC1064" s="8" t="str"/>
      <x:c r="AD1064" s="8" t="str">
        <x:v>["draft-ko-missing"]</x:v>
      </x:c>
      <x:c r="AE1064" s="8" t="str">
        <x:v>검토 필요</x:v>
      </x:c>
      <x:c r="AF1064" s="8" t="str"/>
    </x:row>
    <x:row r="1065">
      <x:c r="A1065" s="10" t="n">
        <x:v>1064</x:v>
      </x:c>
      <x:c r="B1065" s="2" t="str">
        <x:v>2차 보류</x:v>
      </x:c>
      <x:c r="C1065" s="2" t="str">
        <x:v>2차 보류</x:v>
      </x:c>
      <x:c r="D1065" s="2" t="str">
        <x:v>낮음</x:v>
      </x:c>
      <x:c r="E1065" s="2" t="str">
        <x:v>N2</x:v>
      </x:c>
      <x:c r="F1065" s="10" t="n">
        <x:v>382</x:v>
      </x:c>
      <x:c r="G1065" s="2" t="str">
        <x:v>w_f2d2e2a518024414</x:v>
      </x:c>
      <x:c r="H1065" s="2" t="str">
        <x:v>いきなり</x:v>
      </x:c>
      <x:c r="I1065" s="2" t="str">
        <x:v>いきなり</x:v>
      </x:c>
      <x:c r="J1065" s="8" t="str">
        <x:v>갑자기, 느닷없이</x:v>
      </x:c>
      <x:c r="K1065" s="2" t="str">
        <x:v>adverb</x:v>
      </x:c>
      <x:c r="L1065" s="9" t="n">
        <x:v>4.62</x:v>
      </x:c>
      <x:c r="M1065" s="2" t="str">
        <x:v>없음</x:v>
      </x:c>
      <x:c r="N1065" s="11" t="n">
        <x:v>-2</x:v>
      </x:c>
      <x:c r="O1065" s="8" t="str">
        <x:v>검증된 예문 없음; JMdict 우선 어휘 표지 없음</x:v>
      </x:c>
      <x:c r="P1065" s="8" t="str">
        <x:v>no_example,no_jmdict_priority</x:v>
      </x:c>
      <x:c r="Q1065" s="2" t="str"/>
      <x:c r="R1065" s="2" t="str"/>
      <x:c r="S1065" s="2" t="str"/>
      <x:c r="T1065" s="2" t="str"/>
      <x:c r="U1065" s="2" t="str"/>
      <x:c r="V1065" s="2" t="str">
        <x:v>아니오</x:v>
      </x:c>
      <x:c r="W1065" s="2" t="str">
        <x:v>아니오</x:v>
      </x:c>
      <x:c r="X1065" s="2" t="str"/>
      <x:c r="Y1065" s="2" t="n">
        <x:v>0</x:v>
      </x:c>
      <x:c r="Z1065" s="2" t="str"/>
      <x:c r="AA1065" s="2" t="n">
        <x:v>0</x:v>
      </x:c>
      <x:c r="AB1065" s="8" t="str"/>
      <x:c r="AC1065" s="8" t="str"/>
      <x:c r="AD1065" s="8" t="str">
        <x:v>["ko-reviewed"]</x:v>
      </x:c>
      <x:c r="AE1065" s="8" t="str">
        <x:v>검토 필요</x:v>
      </x:c>
      <x:c r="AF1065" s="8" t="str"/>
    </x:row>
    <x:row r="1066">
      <x:c r="A1066" s="10" t="n">
        <x:v>1065</x:v>
      </x:c>
      <x:c r="B1066" s="2" t="str">
        <x:v>2차 보류</x:v>
      </x:c>
      <x:c r="C1066" s="2" t="str">
        <x:v>2차 보류</x:v>
      </x:c>
      <x:c r="D1066" s="2" t="str">
        <x:v>낮음</x:v>
      </x:c>
      <x:c r="E1066" s="2" t="str">
        <x:v>N2</x:v>
      </x:c>
      <x:c r="F1066" s="10" t="n">
        <x:v>383</x:v>
      </x:c>
      <x:c r="G1066" s="2" t="str">
        <x:v>w_7be7b280d00ddd2e</x:v>
      </x:c>
      <x:c r="H1066" s="2" t="str">
        <x:v>そのころ</x:v>
      </x:c>
      <x:c r="I1066" s="2" t="str">
        <x:v>そのころ</x:v>
      </x:c>
      <x:c r="J1066" s="8" t="str">
        <x:v>그 무렵, 그때</x:v>
      </x:c>
      <x:c r="K1066" s="2" t="str">
        <x:v>noun</x:v>
      </x:c>
      <x:c r="L1066" s="9" t="n">
        <x:v>4.63</x:v>
      </x:c>
      <x:c r="M1066" s="2" t="str">
        <x:v>없음</x:v>
      </x:c>
      <x:c r="N1066" s="11" t="n">
        <x:v>-2</x:v>
      </x:c>
      <x:c r="O1066" s="8" t="str">
        <x:v>검증된 예문 없음; JMdict 우선 어휘 표지 없음</x:v>
      </x:c>
      <x:c r="P1066" s="8" t="str">
        <x:v>no_example,no_jmdict_priority</x:v>
      </x:c>
      <x:c r="Q1066" s="2" t="str"/>
      <x:c r="R1066" s="2" t="str"/>
      <x:c r="S1066" s="2" t="str"/>
      <x:c r="T1066" s="2" t="str"/>
      <x:c r="U1066" s="2" t="str"/>
      <x:c r="V1066" s="2" t="str">
        <x:v>아니오</x:v>
      </x:c>
      <x:c r="W1066" s="2" t="str">
        <x:v>아니오</x:v>
      </x:c>
      <x:c r="X1066" s="2" t="str"/>
      <x:c r="Y1066" s="2" t="n">
        <x:v>0</x:v>
      </x:c>
      <x:c r="Z1066" s="2" t="str"/>
      <x:c r="AA1066" s="2" t="n">
        <x:v>0</x:v>
      </x:c>
      <x:c r="AB1066" s="8" t="str"/>
      <x:c r="AC1066" s="8" t="str"/>
      <x:c r="AD1066" s="8" t="str">
        <x:v>["ko-reviewed"]</x:v>
      </x:c>
      <x:c r="AE1066" s="8" t="str">
        <x:v>검토 필요</x:v>
      </x:c>
      <x:c r="AF1066" s="8" t="str"/>
    </x:row>
    <x:row r="1067">
      <x:c r="A1067" s="10" t="n">
        <x:v>1066</x:v>
      </x:c>
      <x:c r="B1067" s="2" t="str">
        <x:v>2차 보류</x:v>
      </x:c>
      <x:c r="C1067" s="2" t="str">
        <x:v>2차 보류</x:v>
      </x:c>
      <x:c r="D1067" s="2" t="str">
        <x:v>낮음</x:v>
      </x:c>
      <x:c r="E1067" s="2" t="str">
        <x:v>N3</x:v>
      </x:c>
      <x:c r="F1067" s="10" t="n">
        <x:v>122</x:v>
      </x:c>
      <x:c r="G1067" s="2" t="str">
        <x:v>w_0786b0efd583cdb2</x:v>
      </x:c>
      <x:c r="H1067" s="2" t="str">
        <x:v>まるで</x:v>
      </x:c>
      <x:c r="I1067" s="2" t="str">
        <x:v>まるで</x:v>
      </x:c>
      <x:c r="J1067" s="8" t="str">
        <x:v>마치, 꼭</x:v>
      </x:c>
      <x:c r="K1067" s="2" t="str">
        <x:v>adverb</x:v>
      </x:c>
      <x:c r="L1067" s="9" t="n">
        <x:v>4.68</x:v>
      </x:c>
      <x:c r="M1067" s="2" t="str">
        <x:v>없음</x:v>
      </x:c>
      <x:c r="N1067" s="11" t="n">
        <x:v>-2</x:v>
      </x:c>
      <x:c r="O1067" s="8" t="str">
        <x:v>검증된 예문 없음; JMdict 우선 어휘 표지 없음</x:v>
      </x:c>
      <x:c r="P1067" s="8" t="str">
        <x:v>no_example,no_jmdict_priority</x:v>
      </x:c>
      <x:c r="Q1067" s="2" t="str"/>
      <x:c r="R1067" s="2" t="str"/>
      <x:c r="S1067" s="2" t="str"/>
      <x:c r="T1067" s="2" t="str"/>
      <x:c r="U1067" s="2" t="str"/>
      <x:c r="V1067" s="2" t="str">
        <x:v>아니오</x:v>
      </x:c>
      <x:c r="W1067" s="2" t="str">
        <x:v>아니오</x:v>
      </x:c>
      <x:c r="X1067" s="2" t="str"/>
      <x:c r="Y1067" s="2" t="n">
        <x:v>0</x:v>
      </x:c>
      <x:c r="Z1067" s="2" t="str"/>
      <x:c r="AA1067" s="2" t="n">
        <x:v>0</x:v>
      </x:c>
      <x:c r="AB1067" s="8" t="str"/>
      <x:c r="AC1067" s="8" t="str"/>
      <x:c r="AD1067" s="8" t="str">
        <x:v>["ko-reviewed"]</x:v>
      </x:c>
      <x:c r="AE1067" s="8" t="str">
        <x:v>검토 필요</x:v>
      </x:c>
      <x:c r="AF1067" s="8" t="str"/>
    </x:row>
    <x:row r="1068">
      <x:c r="A1068" s="10" t="n">
        <x:v>1067</x:v>
      </x:c>
      <x:c r="B1068" s="2" t="str">
        <x:v>2차 보류</x:v>
      </x:c>
      <x:c r="C1068" s="2" t="str">
        <x:v>2차 보류</x:v>
      </x:c>
      <x:c r="D1068" s="2" t="str">
        <x:v>낮음</x:v>
      </x:c>
      <x:c r="E1068" s="2" t="str">
        <x:v>N3</x:v>
      </x:c>
      <x:c r="F1068" s="10" t="n">
        <x:v>123</x:v>
      </x:c>
      <x:c r="G1068" s="2" t="str">
        <x:v>w_465e1dc0b70ccc7d</x:v>
      </x:c>
      <x:c r="H1068" s="2" t="str">
        <x:v>こんにちは</x:v>
      </x:c>
      <x:c r="I1068" s="2" t="str">
        <x:v>こんにちは</x:v>
      </x:c>
      <x:c r="J1068" s="8" t="str">
        <x:v>안녕하세요</x:v>
      </x:c>
      <x:c r="K1068" s="2" t="str">
        <x:v>interjection</x:v>
      </x:c>
      <x:c r="L1068" s="9" t="n">
        <x:v>4.74</x:v>
      </x:c>
      <x:c r="M1068" s="2" t="str">
        <x:v>없음</x:v>
      </x:c>
      <x:c r="N1068" s="11" t="n">
        <x:v>-2</x:v>
      </x:c>
      <x:c r="O1068" s="8" t="str">
        <x:v>검증된 예문 없음; JMdict 우선 어휘 표지 없음</x:v>
      </x:c>
      <x:c r="P1068" s="8" t="str">
        <x:v>no_example,no_jmdict_priority</x:v>
      </x:c>
      <x:c r="Q1068" s="2" t="str"/>
      <x:c r="R1068" s="2" t="str"/>
      <x:c r="S1068" s="2" t="str"/>
      <x:c r="T1068" s="2" t="str"/>
      <x:c r="U1068" s="2" t="str"/>
      <x:c r="V1068" s="2" t="str">
        <x:v>아니오</x:v>
      </x:c>
      <x:c r="W1068" s="2" t="str">
        <x:v>아니오</x:v>
      </x:c>
      <x:c r="X1068" s="2" t="str"/>
      <x:c r="Y1068" s="2" t="n">
        <x:v>0</x:v>
      </x:c>
      <x:c r="Z1068" s="2" t="str"/>
      <x:c r="AA1068" s="2" t="n">
        <x:v>0</x:v>
      </x:c>
      <x:c r="AB1068" s="8" t="str"/>
      <x:c r="AC1068" s="8" t="str"/>
      <x:c r="AD1068" s="8" t="str">
        <x:v>["ko-reviewed"]</x:v>
      </x:c>
      <x:c r="AE1068" s="8" t="str">
        <x:v>검토 필요</x:v>
      </x:c>
      <x:c r="AF1068" s="8" t="str"/>
    </x:row>
    <x:row r="1069">
      <x:c r="A1069" s="10" t="n">
        <x:v>1068</x:v>
      </x:c>
      <x:c r="B1069" s="2" t="str">
        <x:v>2차 보류</x:v>
      </x:c>
      <x:c r="C1069" s="2" t="str">
        <x:v>2차 보류</x:v>
      </x:c>
      <x:c r="D1069" s="2" t="str">
        <x:v>낮음</x:v>
      </x:c>
      <x:c r="E1069" s="2" t="str">
        <x:v>N3</x:v>
      </x:c>
      <x:c r="F1069" s="10" t="n">
        <x:v>124</x:v>
      </x:c>
      <x:c r="G1069" s="2" t="str">
        <x:v>w_92eb50477a0ece80</x:v>
      </x:c>
      <x:c r="H1069" s="2" t="str">
        <x:v>ごめんなさい</x:v>
      </x:c>
      <x:c r="I1069" s="2" t="str">
        <x:v>ごめんなさい</x:v>
      </x:c>
      <x:c r="J1069" s="8" t="str">
        <x:v>미안합니다, 실례합니다</x:v>
      </x:c>
      <x:c r="K1069" s="2" t="str">
        <x:v>expression</x:v>
      </x:c>
      <x:c r="L1069" s="9" t="n">
        <x:v>4.76</x:v>
      </x:c>
      <x:c r="M1069" s="2" t="str">
        <x:v>없음</x:v>
      </x:c>
      <x:c r="N1069" s="11" t="n">
        <x:v>-2</x:v>
      </x:c>
      <x:c r="O1069" s="8" t="str">
        <x:v>검증된 예문 없음; JMdict 우선 어휘 표지 없음</x:v>
      </x:c>
      <x:c r="P1069" s="8" t="str">
        <x:v>no_example,no_jmdict_priority</x:v>
      </x:c>
      <x:c r="Q1069" s="2" t="str"/>
      <x:c r="R1069" s="2" t="str"/>
      <x:c r="S1069" s="2" t="str"/>
      <x:c r="T1069" s="2" t="str"/>
      <x:c r="U1069" s="2" t="str"/>
      <x:c r="V1069" s="2" t="str">
        <x:v>아니오</x:v>
      </x:c>
      <x:c r="W1069" s="2" t="str">
        <x:v>아니오</x:v>
      </x:c>
      <x:c r="X1069" s="2" t="str"/>
      <x:c r="Y1069" s="2" t="n">
        <x:v>0</x:v>
      </x:c>
      <x:c r="Z1069" s="2" t="str"/>
      <x:c r="AA1069" s="2" t="n">
        <x:v>0</x:v>
      </x:c>
      <x:c r="AB1069" s="8" t="str"/>
      <x:c r="AC1069" s="8" t="str"/>
      <x:c r="AD1069" s="8" t="str">
        <x:v>["ko-reviewed"]</x:v>
      </x:c>
      <x:c r="AE1069" s="8" t="str">
        <x:v>검토 필요</x:v>
      </x:c>
      <x:c r="AF1069" s="8" t="str"/>
    </x:row>
    <x:row r="1070">
      <x:c r="A1070" s="10" t="n">
        <x:v>1069</x:v>
      </x:c>
      <x:c r="B1070" s="2" t="str">
        <x:v>2차 보류</x:v>
      </x:c>
      <x:c r="C1070" s="2" t="str">
        <x:v>2차 보류</x:v>
      </x:c>
      <x:c r="D1070" s="2" t="str">
        <x:v>낮음</x:v>
      </x:c>
      <x:c r="E1070" s="2" t="str">
        <x:v>N3</x:v>
      </x:c>
      <x:c r="F1070" s="10" t="n">
        <x:v>125</x:v>
      </x:c>
      <x:c r="G1070" s="2" t="str">
        <x:v>w_95d7bcec7e65c8e0</x:v>
      </x:c>
      <x:c r="H1070" s="2" t="str">
        <x:v>おめでとう</x:v>
      </x:c>
      <x:c r="I1070" s="2" t="str">
        <x:v>おめでとう</x:v>
      </x:c>
      <x:c r="J1070" s="8" t="str">
        <x:v>축하합니다, 경사</x:v>
      </x:c>
      <x:c r="K1070" s="2" t="str">
        <x:v>interjection</x:v>
      </x:c>
      <x:c r="L1070" s="9" t="n">
        <x:v>4.83</x:v>
      </x:c>
      <x:c r="M1070" s="2" t="str">
        <x:v>없음</x:v>
      </x:c>
      <x:c r="N1070" s="11" t="n">
        <x:v>-2</x:v>
      </x:c>
      <x:c r="O1070" s="8" t="str">
        <x:v>검증된 예문 없음; JMdict 우선 어휘 표지 없음</x:v>
      </x:c>
      <x:c r="P1070" s="8" t="str">
        <x:v>no_example,no_jmdict_priority</x:v>
      </x:c>
      <x:c r="Q1070" s="2" t="str"/>
      <x:c r="R1070" s="2" t="str"/>
      <x:c r="S1070" s="2" t="str"/>
      <x:c r="T1070" s="2" t="str"/>
      <x:c r="U1070" s="2" t="str"/>
      <x:c r="V1070" s="2" t="str">
        <x:v>아니오</x:v>
      </x:c>
      <x:c r="W1070" s="2" t="str">
        <x:v>아니오</x:v>
      </x:c>
      <x:c r="X1070" s="2" t="str"/>
      <x:c r="Y1070" s="2" t="n">
        <x:v>0</x:v>
      </x:c>
      <x:c r="Z1070" s="2" t="str"/>
      <x:c r="AA1070" s="2" t="n">
        <x:v>0</x:v>
      </x:c>
      <x:c r="AB1070" s="8" t="str"/>
      <x:c r="AC1070" s="8" t="str"/>
      <x:c r="AD1070" s="8" t="str">
        <x:v>["ko-reviewed"]</x:v>
      </x:c>
      <x:c r="AE1070" s="8" t="str">
        <x:v>검토 필요</x:v>
      </x:c>
      <x:c r="AF1070" s="8" t="str"/>
    </x:row>
    <x:row r="1071">
      <x:c r="A1071" s="10" t="n">
        <x:v>1070</x:v>
      </x:c>
      <x:c r="B1071" s="2" t="str">
        <x:v>2차 보류</x:v>
      </x:c>
      <x:c r="C1071" s="2" t="str">
        <x:v>2차 보류</x:v>
      </x:c>
      <x:c r="D1071" s="2" t="str">
        <x:v>낮음</x:v>
      </x:c>
      <x:c r="E1071" s="2" t="str">
        <x:v>N2</x:v>
      </x:c>
      <x:c r="F1071" s="10" t="n">
        <x:v>384</x:v>
      </x:c>
      <x:c r="G1071" s="2" t="str">
        <x:v>w_d760d012aa3df7a5</x:v>
      </x:c>
      <x:c r="H1071" s="2" t="str">
        <x:v>勝手に</x:v>
      </x:c>
      <x:c r="I1071" s="2" t="str">
        <x:v>かってに</x:v>
      </x:c>
      <x:c r="J1071" s="8" t="str">
        <x:v>제멋대로, 마음대로</x:v>
      </x:c>
      <x:c r="K1071" s="2" t="str">
        <x:v>adverb</x:v>
      </x:c>
      <x:c r="L1071" s="9" t="n">
        <x:v>4.89</x:v>
      </x:c>
      <x:c r="M1071" s="2" t="str">
        <x:v>없음</x:v>
      </x:c>
      <x:c r="N1071" s="11" t="n">
        <x:v>-2</x:v>
      </x:c>
      <x:c r="O1071" s="8" t="str">
        <x:v>검증된 예문 없음; JMdict 우선 어휘 표지 없음</x:v>
      </x:c>
      <x:c r="P1071" s="8" t="str">
        <x:v>no_example,no_jmdict_priority</x:v>
      </x:c>
      <x:c r="Q1071" s="2" t="str"/>
      <x:c r="R1071" s="2" t="str"/>
      <x:c r="S1071" s="2" t="str"/>
      <x:c r="T1071" s="2" t="str"/>
      <x:c r="U1071" s="2" t="str"/>
      <x:c r="V1071" s="2" t="str">
        <x:v>아니오</x:v>
      </x:c>
      <x:c r="W1071" s="2" t="str">
        <x:v>예</x:v>
      </x:c>
      <x:c r="X1071" s="2" t="str"/>
      <x:c r="Y1071" s="2" t="n">
        <x:v>0</x:v>
      </x:c>
      <x:c r="Z1071" s="2" t="str"/>
      <x:c r="AA1071" s="2" t="n">
        <x:v>0</x:v>
      </x:c>
      <x:c r="AB1071" s="8" t="str"/>
      <x:c r="AC1071" s="8" t="str"/>
      <x:c r="AD1071" s="8" t="str">
        <x:v>["ko-reviewed"]</x:v>
      </x:c>
      <x:c r="AE1071" s="8" t="str">
        <x:v>검토 필요</x:v>
      </x:c>
      <x:c r="AF1071" s="8" t="str"/>
    </x:row>
    <x:row r="1072">
      <x:c r="A1072" s="10" t="n">
        <x:v>1071</x:v>
      </x:c>
      <x:c r="B1072" s="2" t="str">
        <x:v>2차 보류</x:v>
      </x:c>
      <x:c r="C1072" s="2" t="str">
        <x:v>2차 보류</x:v>
      </x:c>
      <x:c r="D1072" s="2" t="str">
        <x:v>낮음</x:v>
      </x:c>
      <x:c r="E1072" s="2" t="str">
        <x:v>N4</x:v>
      </x:c>
      <x:c r="F1072" s="10" t="n">
        <x:v>74</x:v>
      </x:c>
      <x:c r="G1072" s="2" t="str">
        <x:v>w_cbd7bfb69667bf89</x:v>
      </x:c>
      <x:c r="H1072" s="2" t="str">
        <x:v>まず</x:v>
      </x:c>
      <x:c r="I1072" s="2" t="str">
        <x:v>まず</x:v>
      </x:c>
      <x:c r="J1072" s="8" t="str">
        <x:v>먼저, 우선</x:v>
      </x:c>
      <x:c r="K1072" s="2" t="str">
        <x:v>adverb</x:v>
      </x:c>
      <x:c r="L1072" s="9" t="n">
        <x:v>5.06</x:v>
      </x:c>
      <x:c r="M1072" s="2" t="str">
        <x:v>없음</x:v>
      </x:c>
      <x:c r="N1072" s="11" t="n">
        <x:v>-2</x:v>
      </x:c>
      <x:c r="O1072" s="8" t="str">
        <x:v>검증된 예문 없음; JMdict 우선 어휘 표지 없음</x:v>
      </x:c>
      <x:c r="P1072" s="8" t="str">
        <x:v>no_example,no_jmdict_priority</x:v>
      </x:c>
      <x:c r="Q1072" s="2" t="str"/>
      <x:c r="R1072" s="2" t="str"/>
      <x:c r="S1072" s="2" t="str"/>
      <x:c r="T1072" s="2" t="str"/>
      <x:c r="U1072" s="2" t="str"/>
      <x:c r="V1072" s="2" t="str">
        <x:v>아니오</x:v>
      </x:c>
      <x:c r="W1072" s="2" t="str">
        <x:v>아니오</x:v>
      </x:c>
      <x:c r="X1072" s="2" t="str"/>
      <x:c r="Y1072" s="2" t="n">
        <x:v>0</x:v>
      </x:c>
      <x:c r="Z1072" s="2" t="str"/>
      <x:c r="AA1072" s="2" t="n">
        <x:v>0</x:v>
      </x:c>
      <x:c r="AB1072" s="8" t="str"/>
      <x:c r="AC1072" s="8" t="str"/>
      <x:c r="AD1072" s="8" t="str">
        <x:v>["ko-reviewed"]</x:v>
      </x:c>
      <x:c r="AE1072" s="8" t="str">
        <x:v>검토 필요</x:v>
      </x:c>
      <x:c r="AF1072" s="8" t="str"/>
    </x:row>
    <x:row r="1073">
      <x:c r="A1073" s="10" t="n">
        <x:v>1072</x:v>
      </x:c>
      <x:c r="B1073" s="2" t="str">
        <x:v>2차 보류</x:v>
      </x:c>
      <x:c r="C1073" s="2" t="str">
        <x:v>2차 보류</x:v>
      </x:c>
      <x:c r="D1073" s="2" t="str">
        <x:v>낮음</x:v>
      </x:c>
      <x:c r="E1073" s="2" t="str">
        <x:v>N3</x:v>
      </x:c>
      <x:c r="F1073" s="10" t="n">
        <x:v>126</x:v>
      </x:c>
      <x:c r="G1073" s="2" t="str">
        <x:v>w_7af4c6f5925e6489</x:v>
      </x:c>
      <x:c r="H1073" s="2" t="str">
        <x:v>いつまでも</x:v>
      </x:c>
      <x:c r="I1073" s="2" t="str">
        <x:v>いつまでも</x:v>
      </x:c>
      <x:c r="J1073" s="8" t="str">
        <x:v>언제까지나, 영원히</x:v>
      </x:c>
      <x:c r="K1073" s="2" t="str">
        <x:v>adverb</x:v>
      </x:c>
      <x:c r="L1073" s="9" t="n">
        <x:v>5.15</x:v>
      </x:c>
      <x:c r="M1073" s="2" t="str">
        <x:v>없음</x:v>
      </x:c>
      <x:c r="N1073" s="11" t="n">
        <x:v>-2</x:v>
      </x:c>
      <x:c r="O1073" s="8" t="str">
        <x:v>검증된 예문 없음; JMdict 우선 어휘 표지 없음</x:v>
      </x:c>
      <x:c r="P1073" s="8" t="str">
        <x:v>no_example,no_jmdict_priority</x:v>
      </x:c>
      <x:c r="Q1073" s="2" t="str"/>
      <x:c r="R1073" s="2" t="str"/>
      <x:c r="S1073" s="2" t="str"/>
      <x:c r="T1073" s="2" t="str"/>
      <x:c r="U1073" s="2" t="str"/>
      <x:c r="V1073" s="2" t="str">
        <x:v>아니오</x:v>
      </x:c>
      <x:c r="W1073" s="2" t="str">
        <x:v>아니오</x:v>
      </x:c>
      <x:c r="X1073" s="2" t="str"/>
      <x:c r="Y1073" s="2" t="n">
        <x:v>0</x:v>
      </x:c>
      <x:c r="Z1073" s="2" t="str"/>
      <x:c r="AA1073" s="2" t="n">
        <x:v>0</x:v>
      </x:c>
      <x:c r="AB1073" s="8" t="str"/>
      <x:c r="AC1073" s="8" t="str"/>
      <x:c r="AD1073" s="8" t="str">
        <x:v>["ko-reviewed"]</x:v>
      </x:c>
      <x:c r="AE1073" s="8" t="str">
        <x:v>검토 필요</x:v>
      </x:c>
      <x:c r="AF1073" s="8" t="str"/>
    </x:row>
    <x:row r="1074">
      <x:c r="A1074" s="10" t="n">
        <x:v>1073</x:v>
      </x:c>
      <x:c r="B1074" s="2" t="str">
        <x:v>2차 보류</x:v>
      </x:c>
      <x:c r="C1074" s="2" t="str">
        <x:v>2차 보류</x:v>
      </x:c>
      <x:c r="D1074" s="2" t="str">
        <x:v>낮음</x:v>
      </x:c>
      <x:c r="E1074" s="2" t="str">
        <x:v>N2</x:v>
      </x:c>
      <x:c r="F1074" s="10" t="n">
        <x:v>385</x:v>
      </x:c>
      <x:c r="G1074" s="2" t="str">
        <x:v>w_2903ad5dfafa9ef5</x:v>
      </x:c>
      <x:c r="H1074" s="2" t="str">
        <x:v>そういえば</x:v>
      </x:c>
      <x:c r="I1074" s="2" t="str">
        <x:v>そういえば</x:v>
      </x:c>
      <x:c r="J1074" s="8" t="str">
        <x:v>그러고 보니, 말하자면</x:v>
      </x:c>
      <x:c r="K1074" s="2" t="str">
        <x:v>expression</x:v>
      </x:c>
      <x:c r="L1074" s="9" t="n">
        <x:v>5.2</x:v>
      </x:c>
      <x:c r="M1074" s="2" t="str">
        <x:v>없음</x:v>
      </x:c>
      <x:c r="N1074" s="11" t="n">
        <x:v>-2</x:v>
      </x:c>
      <x:c r="O1074" s="8" t="str">
        <x:v>검증된 예문 없음; JMdict 우선 어휘 표지 없음</x:v>
      </x:c>
      <x:c r="P1074" s="8" t="str">
        <x:v>no_example,no_jmdict_priority</x:v>
      </x:c>
      <x:c r="Q1074" s="2" t="str"/>
      <x:c r="R1074" s="2" t="str"/>
      <x:c r="S1074" s="2" t="str"/>
      <x:c r="T1074" s="2" t="str"/>
      <x:c r="U1074" s="2" t="str"/>
      <x:c r="V1074" s="2" t="str">
        <x:v>아니오</x:v>
      </x:c>
      <x:c r="W1074" s="2" t="str">
        <x:v>아니오</x:v>
      </x:c>
      <x:c r="X1074" s="2" t="str"/>
      <x:c r="Y1074" s="2" t="n">
        <x:v>0</x:v>
      </x:c>
      <x:c r="Z1074" s="2" t="str"/>
      <x:c r="AA1074" s="2" t="n">
        <x:v>0</x:v>
      </x:c>
      <x:c r="AB1074" s="8" t="str"/>
      <x:c r="AC1074" s="8" t="str"/>
      <x:c r="AD1074" s="8" t="str">
        <x:v>["ko-reviewed"]</x:v>
      </x:c>
      <x:c r="AE1074" s="8" t="str">
        <x:v>검토 필요</x:v>
      </x:c>
      <x:c r="AF1074" s="8" t="str"/>
    </x:row>
    <x:row r="1075">
      <x:c r="A1075" s="10" t="n">
        <x:v>1074</x:v>
      </x:c>
      <x:c r="B1075" s="2" t="str">
        <x:v>2차 보류</x:v>
      </x:c>
      <x:c r="C1075" s="2" t="str">
        <x:v>2차 보류</x:v>
      </x:c>
      <x:c r="D1075" s="2" t="str">
        <x:v>낮음</x:v>
      </x:c>
      <x:c r="E1075" s="2" t="str">
        <x:v>N4</x:v>
      </x:c>
      <x:c r="F1075" s="10" t="n">
        <x:v>75</x:v>
      </x:c>
      <x:c r="G1075" s="2" t="str">
        <x:v>w_486d794e67b43b00</x:v>
      </x:c>
      <x:c r="H1075" s="2" t="str">
        <x:v>はず</x:v>
      </x:c>
      <x:c r="I1075" s="2" t="str">
        <x:v>はず</x:v>
      </x:c>
      <x:c r="J1075" s="8" t="str">
        <x:v>~일 것이다, ~해야 한다</x:v>
      </x:c>
      <x:c r="K1075" s="2" t="str">
        <x:v>noun</x:v>
      </x:c>
      <x:c r="L1075" s="9" t="n">
        <x:v>5.34</x:v>
      </x:c>
      <x:c r="M1075" s="2" t="str">
        <x:v>없음</x:v>
      </x:c>
      <x:c r="N1075" s="11" t="n">
        <x:v>-2</x:v>
      </x:c>
      <x:c r="O1075" s="8" t="str">
        <x:v>검증된 예문 없음; JMdict 우선 어휘 표지 없음</x:v>
      </x:c>
      <x:c r="P1075" s="8" t="str">
        <x:v>no_example,no_jmdict_priority</x:v>
      </x:c>
      <x:c r="Q1075" s="2" t="str"/>
      <x:c r="R1075" s="2" t="str"/>
      <x:c r="S1075" s="2" t="str"/>
      <x:c r="T1075" s="2" t="str"/>
      <x:c r="U1075" s="2" t="str"/>
      <x:c r="V1075" s="2" t="str">
        <x:v>아니오</x:v>
      </x:c>
      <x:c r="W1075" s="2" t="str">
        <x:v>아니오</x:v>
      </x:c>
      <x:c r="X1075" s="2" t="str"/>
      <x:c r="Y1075" s="2" t="n">
        <x:v>0</x:v>
      </x:c>
      <x:c r="Z1075" s="2" t="str"/>
      <x:c r="AA1075" s="2" t="n">
        <x:v>0</x:v>
      </x:c>
      <x:c r="AB1075" s="8" t="str"/>
      <x:c r="AC1075" s="8" t="str"/>
      <x:c r="AD1075" s="8" t="str">
        <x:v>["ko-reviewed"]</x:v>
      </x:c>
      <x:c r="AE1075" s="8" t="str">
        <x:v>검토 필요</x:v>
      </x:c>
      <x:c r="AF1075" s="8" t="str"/>
    </x:row>
    <x:row r="1076">
      <x:c r="A1076" s="10" t="n">
        <x:v>1075</x:v>
      </x:c>
      <x:c r="B1076" s="2" t="str">
        <x:v>2차 보류</x:v>
      </x:c>
      <x:c r="C1076" s="2" t="str">
        <x:v>2차 보류</x:v>
      </x:c>
      <x:c r="D1076" s="2" t="str">
        <x:v>낮음</x:v>
      </x:c>
      <x:c r="E1076" s="2" t="str">
        <x:v>N2</x:v>
      </x:c>
      <x:c r="F1076" s="10" t="n">
        <x:v>386</x:v>
      </x:c>
      <x:c r="G1076" s="2" t="str">
        <x:v>w_becbe89dce937f34</x:v>
      </x:c>
      <x:c r="H1076" s="2" t="str">
        <x:v>いってきます</x:v>
      </x:c>
      <x:c r="I1076" s="2" t="str">
        <x:v>いってきます</x:v>
      </x:c>
      <x:c r="J1076" s="8" t="str">
        <x:v>다녀오겠습니다</x:v>
      </x:c>
      <x:c r="K1076" s="2" t="str">
        <x:v>expression</x:v>
      </x:c>
      <x:c r="L1076" s="9" t="n">
        <x:v>5.34</x:v>
      </x:c>
      <x:c r="M1076" s="2" t="str">
        <x:v>없음</x:v>
      </x:c>
      <x:c r="N1076" s="11" t="n">
        <x:v>-2</x:v>
      </x:c>
      <x:c r="O1076" s="8" t="str">
        <x:v>검증된 예문 없음; JMdict 우선 어휘 표지 없음</x:v>
      </x:c>
      <x:c r="P1076" s="8" t="str">
        <x:v>no_example,no_jmdict_priority</x:v>
      </x:c>
      <x:c r="Q1076" s="2" t="str"/>
      <x:c r="R1076" s="2" t="str"/>
      <x:c r="S1076" s="2" t="str"/>
      <x:c r="T1076" s="2" t="str"/>
      <x:c r="U1076" s="2" t="str"/>
      <x:c r="V1076" s="2" t="str">
        <x:v>아니오</x:v>
      </x:c>
      <x:c r="W1076" s="2" t="str">
        <x:v>아니오</x:v>
      </x:c>
      <x:c r="X1076" s="2" t="str"/>
      <x:c r="Y1076" s="2" t="n">
        <x:v>0</x:v>
      </x:c>
      <x:c r="Z1076" s="2" t="str"/>
      <x:c r="AA1076" s="2" t="n">
        <x:v>0</x:v>
      </x:c>
      <x:c r="AB1076" s="8" t="str"/>
      <x:c r="AC1076" s="8" t="str"/>
      <x:c r="AD1076" s="8" t="str">
        <x:v>["ko-reviewed"]</x:v>
      </x:c>
      <x:c r="AE1076" s="8" t="str">
        <x:v>검토 필요</x:v>
      </x:c>
      <x:c r="AF1076" s="8" t="str"/>
    </x:row>
    <x:row r="1077">
      <x:c r="A1077" s="10" t="n">
        <x:v>1076</x:v>
      </x:c>
      <x:c r="B1077" s="2" t="str">
        <x:v>2차 보류</x:v>
      </x:c>
      <x:c r="C1077" s="2" t="str">
        <x:v>2차 보류</x:v>
      </x:c>
      <x:c r="D1077" s="2" t="str">
        <x:v>낮음</x:v>
      </x:c>
      <x:c r="E1077" s="2" t="str">
        <x:v>N2</x:v>
      </x:c>
      <x:c r="F1077" s="10" t="n">
        <x:v>387</x:v>
      </x:c>
      <x:c r="G1077" s="2" t="str">
        <x:v>w_1623a8c707cf4d7c</x:v>
      </x:c>
      <x:c r="H1077" s="2" t="str">
        <x:v>おやつ</x:v>
      </x:c>
      <x:c r="I1077" s="2" t="str">
        <x:v>おやつ</x:v>
      </x:c>
      <x:c r="J1077" s="8" t="str">
        <x:v>간식</x:v>
      </x:c>
      <x:c r="K1077" s="2" t="str">
        <x:v>noun</x:v>
      </x:c>
      <x:c r="L1077" s="9" t="n">
        <x:v>5.39</x:v>
      </x:c>
      <x:c r="M1077" s="2" t="str">
        <x:v>없음</x:v>
      </x:c>
      <x:c r="N1077" s="11" t="n">
        <x:v>-2</x:v>
      </x:c>
      <x:c r="O1077" s="8" t="str">
        <x:v>검증된 예문 없음; JMdict 우선 어휘 표지 없음</x:v>
      </x:c>
      <x:c r="P1077" s="8" t="str">
        <x:v>no_example,no_jmdict_priority</x:v>
      </x:c>
      <x:c r="Q1077" s="2" t="str"/>
      <x:c r="R1077" s="2" t="str"/>
      <x:c r="S1077" s="2" t="str"/>
      <x:c r="T1077" s="2" t="str"/>
      <x:c r="U1077" s="2" t="str"/>
      <x:c r="V1077" s="2" t="str">
        <x:v>아니오</x:v>
      </x:c>
      <x:c r="W1077" s="2" t="str">
        <x:v>아니오</x:v>
      </x:c>
      <x:c r="X1077" s="2" t="str"/>
      <x:c r="Y1077" s="2" t="n">
        <x:v>0</x:v>
      </x:c>
      <x:c r="Z1077" s="2" t="str"/>
      <x:c r="AA1077" s="2" t="n">
        <x:v>0</x:v>
      </x:c>
      <x:c r="AB1077" s="8" t="str"/>
      <x:c r="AC1077" s="8" t="str"/>
      <x:c r="AD1077" s="8" t="str">
        <x:v>["ko-reviewed"]</x:v>
      </x:c>
      <x:c r="AE1077" s="8" t="str">
        <x:v>검토 필요</x:v>
      </x:c>
      <x:c r="AF1077" s="8" t="str"/>
    </x:row>
    <x:row r="1078">
      <x:c r="A1078" s="10" t="n">
        <x:v>1077</x:v>
      </x:c>
      <x:c r="B1078" s="2" t="str">
        <x:v>2차 보류</x:v>
      </x:c>
      <x:c r="C1078" s="2" t="str">
        <x:v>2차 보류</x:v>
      </x:c>
      <x:c r="D1078" s="2" t="str">
        <x:v>낮음</x:v>
      </x:c>
      <x:c r="E1078" s="2" t="str">
        <x:v>N3</x:v>
      </x:c>
      <x:c r="F1078" s="10" t="n">
        <x:v>127</x:v>
      </x:c>
      <x:c r="G1078" s="2" t="str">
        <x:v>w_92732af5b8cc361d</x:v>
      </x:c>
      <x:c r="H1078" s="2" t="str">
        <x:v>ある</x:v>
      </x:c>
      <x:c r="I1078" s="2" t="str">
        <x:v>ある</x:v>
      </x:c>
      <x:c r="J1078" s="8" t="str">
        <x:v>있다, 존재하다</x:v>
      </x:c>
      <x:c r="K1078" s="2" t="str">
        <x:v>verb</x:v>
      </x:c>
      <x:c r="L1078" s="9" t="n">
        <x:v>6.6</x:v>
      </x:c>
      <x:c r="M1078" s="2" t="str">
        <x:v>없음</x:v>
      </x:c>
      <x:c r="N1078" s="11" t="n">
        <x:v>-2</x:v>
      </x:c>
      <x:c r="O1078" s="8" t="str">
        <x:v>검증된 예문 없음; JMdict 우선 어휘 표지 없음</x:v>
      </x:c>
      <x:c r="P1078" s="8" t="str">
        <x:v>no_example,no_jmdict_priority</x:v>
      </x:c>
      <x:c r="Q1078" s="2" t="str"/>
      <x:c r="R1078" s="2" t="str"/>
      <x:c r="S1078" s="2" t="str"/>
      <x:c r="T1078" s="2" t="str"/>
      <x:c r="U1078" s="2" t="str"/>
      <x:c r="V1078" s="2" t="str">
        <x:v>아니오</x:v>
      </x:c>
      <x:c r="W1078" s="2" t="str">
        <x:v>아니오</x:v>
      </x:c>
      <x:c r="X1078" s="2" t="str"/>
      <x:c r="Y1078" s="2" t="n">
        <x:v>0</x:v>
      </x:c>
      <x:c r="Z1078" s="2" t="str"/>
      <x:c r="AA1078" s="2" t="n">
        <x:v>0</x:v>
      </x:c>
      <x:c r="AB1078" s="8" t="str"/>
      <x:c r="AC1078" s="8" t="str"/>
      <x:c r="AD1078" s="8" t="str">
        <x:v>["ko-reviewed"]</x:v>
      </x:c>
      <x:c r="AE1078" s="8" t="str">
        <x:v>검토 필요</x:v>
      </x:c>
      <x:c r="AF1078" s="8" t="str"/>
    </x:row>
    <x:row r="1079">
      <x:c r="A1079" s="10" t="n">
        <x:v>1078</x:v>
      </x:c>
      <x:c r="B1079" s="2" t="str">
        <x:v>2차 보류</x:v>
      </x:c>
      <x:c r="C1079" s="2" t="str">
        <x:v>2차 보류</x:v>
      </x:c>
      <x:c r="D1079" s="2" t="str">
        <x:v>낮음</x:v>
      </x:c>
      <x:c r="E1079" s="2" t="str">
        <x:v>N1</x:v>
      </x:c>
      <x:c r="F1079" s="10" t="n">
        <x:v>470</x:v>
      </x:c>
      <x:c r="G1079" s="2" t="str">
        <x:v>w_f60f7b55eba0baba</x:v>
      </x:c>
      <x:c r="H1079" s="2" t="str">
        <x:v>見逃す</x:v>
      </x:c>
      <x:c r="I1079" s="2" t="str">
        <x:v>みのがす</x:v>
      </x:c>
      <x:c r="J1079" s="8" t="str">
        <x:v>놓치다, 못 보고 지나치다</x:v>
      </x:c>
      <x:c r="K1079" s="2" t="str">
        <x:v>verb</x:v>
      </x:c>
      <x:c r="L1079" s="9" t="n">
        <x:v>3.53</x:v>
      </x:c>
      <x:c r="M1079" s="2" t="str">
        <x:v>없음</x:v>
      </x:c>
      <x:c r="N1079" s="11" t="n">
        <x:v>-4</x:v>
      </x:c>
      <x:c r="O1079" s="8" t="str">
        <x:v>기존 한국어 뜻 품질 감사 대상; 검증된 예문 없음; 기존 데이터의 한국어 콘텐츠 보강 필요 태그</x:v>
      </x:c>
      <x:c r="P1079" s="8" t="str">
        <x:v>legacy_gloss_audit:senses_5_6,no_example,weak_legacy_content</x:v>
      </x:c>
      <x:c r="Q1079" s="2" t="str"/>
      <x:c r="R1079" s="2" t="str"/>
      <x:c r="S1079" s="2" t="str"/>
      <x:c r="T1079" s="2" t="str"/>
      <x:c r="U1079" s="2" t="str"/>
      <x:c r="V1079" s="2" t="str">
        <x:v>아니오</x:v>
      </x:c>
      <x:c r="W1079" s="2" t="str">
        <x:v>예</x:v>
      </x:c>
      <x:c r="X1079" s="2" t="str">
        <x:v>ichi1,news2,nf44</x:v>
      </x:c>
      <x:c r="Y1079" s="2" t="n">
        <x:v>100</x:v>
      </x:c>
      <x:c r="Z1079" s="2" t="str">
        <x:v>ichi1,news2,nf44</x:v>
      </x:c>
      <x:c r="AA1079" s="2" t="n">
        <x:v>100</x:v>
      </x:c>
      <x:c r="AB1079" s="8" t="str"/>
      <x:c r="AC1079" s="8" t="str">
        <x:v>senses_5_6</x:v>
      </x:c>
      <x:c r="AD1079" s="8" t="str">
        <x:v>["draft-ko-missing"]</x:v>
      </x:c>
      <x:c r="AE1079" s="8" t="str">
        <x:v>검토 필요</x:v>
      </x:c>
      <x:c r="AF1079" s="8" t="str"/>
    </x:row>
    <x:row r="1080">
      <x:c r="A1080" s="10" t="n">
        <x:v>1079</x:v>
      </x:c>
      <x:c r="B1080" s="2" t="str">
        <x:v>2차 보류</x:v>
      </x:c>
      <x:c r="C1080" s="2" t="str">
        <x:v>2차 보류</x:v>
      </x:c>
      <x:c r="D1080" s="2" t="str">
        <x:v>낮음</x:v>
      </x:c>
      <x:c r="E1080" s="2" t="str">
        <x:v>N2</x:v>
      </x:c>
      <x:c r="F1080" s="10" t="n">
        <x:v>388</x:v>
      </x:c>
      <x:c r="G1080" s="2" t="str">
        <x:v>w_beec94661333f872</x:v>
      </x:c>
      <x:c r="H1080" s="2" t="str">
        <x:v>休養</x:v>
      </x:c>
      <x:c r="I1080" s="2" t="str">
        <x:v>きゅうよう</x:v>
      </x:c>
      <x:c r="J1080" s="8" t="str">
        <x:v>휴양, 휴식</x:v>
      </x:c>
      <x:c r="K1080" s="2" t="str">
        <x:v>noun</x:v>
      </x:c>
      <x:c r="L1080" s="9" t="n">
        <x:v>3.54</x:v>
      </x:c>
      <x:c r="M1080" s="2" t="str">
        <x:v>없음</x:v>
      </x:c>
      <x:c r="N1080" s="11" t="n">
        <x:v>-4</x:v>
      </x:c>
      <x:c r="O1080" s="8" t="str">
        <x:v>기존 한국어 뜻 품질 감사 대상; 검증된 예문 없음; 기존 데이터의 한국어 콘텐츠 보강 필요 태그</x:v>
      </x:c>
      <x:c r="P1080" s="8" t="str">
        <x:v>legacy_gloss_audit:senses_5_6,no_example,weak_legacy_content</x:v>
      </x:c>
      <x:c r="Q1080" s="2" t="str"/>
      <x:c r="R1080" s="2" t="str"/>
      <x:c r="S1080" s="2" t="str"/>
      <x:c r="T1080" s="2" t="str"/>
      <x:c r="U1080" s="2" t="str"/>
      <x:c r="V1080" s="2" t="str">
        <x:v>아니오</x:v>
      </x:c>
      <x:c r="W1080" s="2" t="str">
        <x:v>예</x:v>
      </x:c>
      <x:c r="X1080" s="2" t="str">
        <x:v>ichi1,news1,nf13</x:v>
      </x:c>
      <x:c r="Y1080" s="2" t="n">
        <x:v>100</x:v>
      </x:c>
      <x:c r="Z1080" s="2" t="str">
        <x:v>ichi1,news1,nf13</x:v>
      </x:c>
      <x:c r="AA1080" s="2" t="n">
        <x:v>100</x:v>
      </x:c>
      <x:c r="AB1080" s="8" t="str"/>
      <x:c r="AC1080" s="8" t="str">
        <x:v>senses_5_6</x:v>
      </x:c>
      <x:c r="AD1080" s="8" t="str">
        <x:v>["draft-ko-missing"]</x:v>
      </x:c>
      <x:c r="AE1080" s="8" t="str">
        <x:v>검토 필요</x:v>
      </x:c>
      <x:c r="AF1080" s="8" t="str"/>
    </x:row>
    <x:row r="1081">
      <x:c r="A1081" s="10" t="n">
        <x:v>1080</x:v>
      </x:c>
      <x:c r="B1081" s="2" t="str">
        <x:v>2차 보류</x:v>
      </x:c>
      <x:c r="C1081" s="2" t="str">
        <x:v>2차 보류</x:v>
      </x:c>
      <x:c r="D1081" s="2" t="str">
        <x:v>낮음</x:v>
      </x:c>
      <x:c r="E1081" s="2" t="str">
        <x:v>N3</x:v>
      </x:c>
      <x:c r="F1081" s="10" t="n">
        <x:v>128</x:v>
      </x:c>
      <x:c r="G1081" s="2" t="str">
        <x:v>w_74a2172181c968be</x:v>
      </x:c>
      <x:c r="H1081" s="2" t="str">
        <x:v>勘定</x:v>
      </x:c>
      <x:c r="I1081" s="2" t="str">
        <x:v>かんじょう</x:v>
      </x:c>
      <x:c r="J1081" s="8" t="str">
        <x:v>계산, 셈; 계산서</x:v>
      </x:c>
      <x:c r="K1081" s="2" t="str">
        <x:v>noun</x:v>
      </x:c>
      <x:c r="L1081" s="9" t="n">
        <x:v>3.58</x:v>
      </x:c>
      <x:c r="M1081" s="2" t="str">
        <x:v>없음</x:v>
      </x:c>
      <x:c r="N1081" s="11" t="n">
        <x:v>-4</x:v>
      </x:c>
      <x:c r="O1081" s="8" t="str">
        <x:v>기존 한국어 뜻 품질 감사 대상; 검증된 예문 없음; 기존 데이터의 한국어 콘텐츠 보강 필요 태그</x:v>
      </x:c>
      <x:c r="P1081" s="8" t="str">
        <x:v>legacy_gloss_audit:senses_5_6,no_example,weak_legacy_content</x:v>
      </x:c>
      <x:c r="Q1081" s="2" t="str"/>
      <x:c r="R1081" s="2" t="str"/>
      <x:c r="S1081" s="2" t="str"/>
      <x:c r="T1081" s="2" t="str"/>
      <x:c r="U1081" s="2" t="str"/>
      <x:c r="V1081" s="2" t="str">
        <x:v>아니오</x:v>
      </x:c>
      <x:c r="W1081" s="2" t="str">
        <x:v>예</x:v>
      </x:c>
      <x:c r="X1081" s="2" t="str">
        <x:v>ichi1,news1,nf11</x:v>
      </x:c>
      <x:c r="Y1081" s="2" t="n">
        <x:v>100</x:v>
      </x:c>
      <x:c r="Z1081" s="2" t="str">
        <x:v>ichi1,news1,nf11</x:v>
      </x:c>
      <x:c r="AA1081" s="2" t="n">
        <x:v>100</x:v>
      </x:c>
      <x:c r="AB1081" s="8" t="str"/>
      <x:c r="AC1081" s="8" t="str">
        <x:v>senses_5_6</x:v>
      </x:c>
      <x:c r="AD1081" s="8" t="str">
        <x:v>["draft-ko-missing"]</x:v>
      </x:c>
      <x:c r="AE1081" s="8" t="str">
        <x:v>검토 필요</x:v>
      </x:c>
      <x:c r="AF1081" s="8" t="str"/>
    </x:row>
    <x:row r="1082">
      <x:c r="A1082" s="10" t="n">
        <x:v>1081</x:v>
      </x:c>
      <x:c r="B1082" s="2" t="str">
        <x:v>2차 보류</x:v>
      </x:c>
      <x:c r="C1082" s="2" t="str">
        <x:v>2차 보류</x:v>
      </x:c>
      <x:c r="D1082" s="2" t="str">
        <x:v>낮음</x:v>
      </x:c>
      <x:c r="E1082" s="2" t="str">
        <x:v>N1</x:v>
      </x:c>
      <x:c r="F1082" s="10" t="n">
        <x:v>471</x:v>
      </x:c>
      <x:c r="G1082" s="2" t="str">
        <x:v>w_4b6c5f6b362085b4</x:v>
      </x:c>
      <x:c r="H1082" s="2" t="str">
        <x:v>胴</x:v>
      </x:c>
      <x:c r="I1082" s="2" t="str">
        <x:v>どう</x:v>
      </x:c>
      <x:c r="J1082" s="8" t="str">
        <x:v>몸통, 동체</x:v>
      </x:c>
      <x:c r="K1082" s="2" t="str">
        <x:v>noun</x:v>
      </x:c>
      <x:c r="L1082" s="9" t="n">
        <x:v>3.63</x:v>
      </x:c>
      <x:c r="M1082" s="2" t="str">
        <x:v>없음</x:v>
      </x:c>
      <x:c r="N1082" s="11" t="n">
        <x:v>-4</x:v>
      </x:c>
      <x:c r="O1082" s="8" t="str">
        <x:v>기존 한국어 뜻 품질 감사 대상; 검증된 예문 없음; 기존 데이터의 한국어 콘텐츠 보강 필요 태그</x:v>
      </x:c>
      <x:c r="P1082" s="8" t="str">
        <x:v>legacy_gloss_audit:senses_5_6,no_example,weak_legacy_content</x:v>
      </x:c>
      <x:c r="Q1082" s="2" t="str"/>
      <x:c r="R1082" s="2" t="str"/>
      <x:c r="S1082" s="2" t="str"/>
      <x:c r="T1082" s="2" t="str"/>
      <x:c r="U1082" s="2" t="str"/>
      <x:c r="V1082" s="2" t="str">
        <x:v>아니오</x:v>
      </x:c>
      <x:c r="W1082" s="2" t="str">
        <x:v>예</x:v>
      </x:c>
      <x:c r="X1082" s="2" t="str">
        <x:v>ichi1,news1,nf19</x:v>
      </x:c>
      <x:c r="Y1082" s="2" t="n">
        <x:v>100</x:v>
      </x:c>
      <x:c r="Z1082" s="2" t="str">
        <x:v>ichi1,news1,nf19</x:v>
      </x:c>
      <x:c r="AA1082" s="2" t="n">
        <x:v>100</x:v>
      </x:c>
      <x:c r="AB1082" s="8" t="str">
        <x:v>also written as 筒 | rare term</x:v>
      </x:c>
      <x:c r="AC1082" s="8" t="str">
        <x:v>senses_5_6</x:v>
      </x:c>
      <x:c r="AD1082" s="8" t="str">
        <x:v>["draft-ko-missing"]</x:v>
      </x:c>
      <x:c r="AE1082" s="8" t="str">
        <x:v>검토 필요</x:v>
      </x:c>
      <x:c r="AF1082" s="8" t="str"/>
    </x:row>
    <x:row r="1083">
      <x:c r="A1083" s="10" t="n">
        <x:v>1082</x:v>
      </x:c>
      <x:c r="B1083" s="2" t="str">
        <x:v>2차 보류</x:v>
      </x:c>
      <x:c r="C1083" s="2" t="str">
        <x:v>2차 보류</x:v>
      </x:c>
      <x:c r="D1083" s="2" t="str">
        <x:v>낮음</x:v>
      </x:c>
      <x:c r="E1083" s="2" t="str">
        <x:v>N1</x:v>
      </x:c>
      <x:c r="F1083" s="10" t="n">
        <x:v>472</x:v>
      </x:c>
      <x:c r="G1083" s="2" t="str">
        <x:v>w_5b7fd1bea9bcb1f8</x:v>
      </x:c>
      <x:c r="H1083" s="2" t="str">
        <x:v>歩み</x:v>
      </x:c>
      <x:c r="I1083" s="2" t="str">
        <x:v>あゆみ</x:v>
      </x:c>
      <x:c r="J1083" s="8" t="str">
        <x:v>걸음; 발자취</x:v>
      </x:c>
      <x:c r="K1083" s="2" t="str">
        <x:v>noun</x:v>
      </x:c>
      <x:c r="L1083" s="9" t="n">
        <x:v>3.64</x:v>
      </x:c>
      <x:c r="M1083" s="2" t="str">
        <x:v>없음</x:v>
      </x:c>
      <x:c r="N1083" s="11" t="n">
        <x:v>-4</x:v>
      </x:c>
      <x:c r="O1083" s="8" t="str">
        <x:v>기존 한국어 뜻 품질 감사 대상; 검증된 예문 없음; 기존 데이터의 한국어 콘텐츠 보강 필요 태그</x:v>
      </x:c>
      <x:c r="P1083" s="8" t="str">
        <x:v>legacy_gloss_audit:senses_5_6,no_example,weak_legacy_content</x:v>
      </x:c>
      <x:c r="Q1083" s="2" t="str"/>
      <x:c r="R1083" s="2" t="str"/>
      <x:c r="S1083" s="2" t="str"/>
      <x:c r="T1083" s="2" t="str"/>
      <x:c r="U1083" s="2" t="str"/>
      <x:c r="V1083" s="2" t="str">
        <x:v>아니오</x:v>
      </x:c>
      <x:c r="W1083" s="2" t="str">
        <x:v>예</x:v>
      </x:c>
      <x:c r="X1083" s="2" t="str">
        <x:v>news1,nf11</x:v>
      </x:c>
      <x:c r="Y1083" s="2" t="n">
        <x:v>100</x:v>
      </x:c>
      <x:c r="Z1083" s="2" t="str">
        <x:v>news1,nf11</x:v>
      </x:c>
      <x:c r="AA1083" s="2" t="n">
        <x:v>100</x:v>
      </x:c>
      <x:c r="AB1083" s="8" t="str"/>
      <x:c r="AC1083" s="8" t="str">
        <x:v>senses_5_6</x:v>
      </x:c>
      <x:c r="AD1083" s="8" t="str">
        <x:v>["draft-ko-missing"]</x:v>
      </x:c>
      <x:c r="AE1083" s="8" t="str">
        <x:v>검토 필요</x:v>
      </x:c>
      <x:c r="AF1083" s="8" t="str"/>
    </x:row>
    <x:row r="1084">
      <x:c r="A1084" s="10" t="n">
        <x:v>1083</x:v>
      </x:c>
      <x:c r="B1084" s="2" t="str">
        <x:v>2차 보류</x:v>
      </x:c>
      <x:c r="C1084" s="2" t="str">
        <x:v>2차 보류</x:v>
      </x:c>
      <x:c r="D1084" s="2" t="str">
        <x:v>낮음</x:v>
      </x:c>
      <x:c r="E1084" s="2" t="str">
        <x:v>N1</x:v>
      </x:c>
      <x:c r="F1084" s="10" t="n">
        <x:v>473</x:v>
      </x:c>
      <x:c r="G1084" s="2" t="str">
        <x:v>w_caa241d87648dec7</x:v>
      </x:c>
      <x:c r="H1084" s="2" t="str">
        <x:v>規範</x:v>
      </x:c>
      <x:c r="I1084" s="2" t="str">
        <x:v>きはん</x:v>
      </x:c>
      <x:c r="J1084" s="8" t="str">
        <x:v>규범</x:v>
      </x:c>
      <x:c r="K1084" s="2" t="str">
        <x:v>noun</x:v>
      </x:c>
      <x:c r="L1084" s="9" t="n">
        <x:v>3.69</x:v>
      </x:c>
      <x:c r="M1084" s="2" t="str">
        <x:v>없음</x:v>
      </x:c>
      <x:c r="N1084" s="11" t="n">
        <x:v>-4</x:v>
      </x:c>
      <x:c r="O1084" s="8" t="str">
        <x:v>기존 한국어 뜻 품질 감사 대상; 검증된 예문 없음; 기존 데이터의 한국어 콘텐츠 보강 필요 태그</x:v>
      </x:c>
      <x:c r="P1084" s="8" t="str">
        <x:v>legacy_gloss_audit:senses_5_6,no_example,weak_legacy_content</x:v>
      </x:c>
      <x:c r="Q1084" s="2" t="str"/>
      <x:c r="R1084" s="2" t="str"/>
      <x:c r="S1084" s="2" t="str"/>
      <x:c r="T1084" s="2" t="str"/>
      <x:c r="U1084" s="2" t="str"/>
      <x:c r="V1084" s="2" t="str">
        <x:v>아니오</x:v>
      </x:c>
      <x:c r="W1084" s="2" t="str">
        <x:v>예</x:v>
      </x:c>
      <x:c r="X1084" s="2" t="str">
        <x:v>ichi1,news1,nf14</x:v>
      </x:c>
      <x:c r="Y1084" s="2" t="n">
        <x:v>100</x:v>
      </x:c>
      <x:c r="Z1084" s="2" t="str">
        <x:v>ichi1,news1,nf14</x:v>
      </x:c>
      <x:c r="AA1084" s="2" t="n">
        <x:v>100</x:v>
      </x:c>
      <x:c r="AB1084" s="8" t="str"/>
      <x:c r="AC1084" s="8" t="str">
        <x:v>senses_5_6</x:v>
      </x:c>
      <x:c r="AD1084" s="8" t="str">
        <x:v>["draft-ko-missing"]</x:v>
      </x:c>
      <x:c r="AE1084" s="8" t="str">
        <x:v>검토 필요</x:v>
      </x:c>
      <x:c r="AF1084" s="8" t="str"/>
    </x:row>
    <x:row r="1085">
      <x:c r="A1085" s="10" t="n">
        <x:v>1084</x:v>
      </x:c>
      <x:c r="B1085" s="2" t="str">
        <x:v>2차 보류</x:v>
      </x:c>
      <x:c r="C1085" s="2" t="str">
        <x:v>2차 보류</x:v>
      </x:c>
      <x:c r="D1085" s="2" t="str">
        <x:v>낮음</x:v>
      </x:c>
      <x:c r="E1085" s="2" t="str">
        <x:v>N2</x:v>
      </x:c>
      <x:c r="F1085" s="10" t="n">
        <x:v>389</x:v>
      </x:c>
      <x:c r="G1085" s="2" t="str">
        <x:v>w_d0b1fe095dd72cd5</x:v>
      </x:c>
      <x:c r="H1085" s="2" t="str">
        <x:v>鐘</x:v>
      </x:c>
      <x:c r="I1085" s="2" t="str">
        <x:v>かね</x:v>
      </x:c>
      <x:c r="J1085" s="8" t="str">
        <x:v>종, 종소리</x:v>
      </x:c>
      <x:c r="K1085" s="2" t="str">
        <x:v>noun</x:v>
      </x:c>
      <x:c r="L1085" s="9" t="n">
        <x:v>3.72</x:v>
      </x:c>
      <x:c r="M1085" s="2" t="str">
        <x:v>없음</x:v>
      </x:c>
      <x:c r="N1085" s="11" t="n">
        <x:v>-4</x:v>
      </x:c>
      <x:c r="O1085" s="8" t="str">
        <x:v>기존 한국어 뜻 품질 감사 대상; 검증된 예문 없음; 기존 데이터의 한국어 콘텐츠 보강 필요 태그</x:v>
      </x:c>
      <x:c r="P1085" s="8" t="str">
        <x:v>legacy_gloss_audit:senses_5_6,no_example,weak_legacy_content</x:v>
      </x:c>
      <x:c r="Q1085" s="2" t="str"/>
      <x:c r="R1085" s="2" t="str"/>
      <x:c r="S1085" s="2" t="str"/>
      <x:c r="T1085" s="2" t="str"/>
      <x:c r="U1085" s="2" t="str"/>
      <x:c r="V1085" s="2" t="str">
        <x:v>아니오</x:v>
      </x:c>
      <x:c r="W1085" s="2" t="str">
        <x:v>예</x:v>
      </x:c>
      <x:c r="X1085" s="2" t="str">
        <x:v>ichi1,news1,nf12</x:v>
      </x:c>
      <x:c r="Y1085" s="2" t="n">
        <x:v>100</x:v>
      </x:c>
      <x:c r="Z1085" s="2" t="str">
        <x:v>ichi1,news1,nf12</x:v>
      </x:c>
      <x:c r="AA1085" s="2" t="n">
        <x:v>100</x:v>
      </x:c>
      <x:c r="AB1085" s="8" t="str"/>
      <x:c r="AC1085" s="8" t="str">
        <x:v>senses_5_6</x:v>
      </x:c>
      <x:c r="AD1085" s="8" t="str">
        <x:v>["draft-ko-missing"]</x:v>
      </x:c>
      <x:c r="AE1085" s="8" t="str">
        <x:v>검토 필요</x:v>
      </x:c>
      <x:c r="AF1085" s="8" t="str"/>
    </x:row>
    <x:row r="1086">
      <x:c r="A1086" s="10" t="n">
        <x:v>1085</x:v>
      </x:c>
      <x:c r="B1086" s="2" t="str">
        <x:v>2차 보류</x:v>
      </x:c>
      <x:c r="C1086" s="2" t="str">
        <x:v>2차 보류</x:v>
      </x:c>
      <x:c r="D1086" s="2" t="str">
        <x:v>낮음</x:v>
      </x:c>
      <x:c r="E1086" s="2" t="str">
        <x:v>N2</x:v>
      </x:c>
      <x:c r="F1086" s="10" t="n">
        <x:v>390</x:v>
      </x:c>
      <x:c r="G1086" s="2" t="str">
        <x:v>w_13ff9a7243921812</x:v>
      </x:c>
      <x:c r="H1086" s="2" t="str">
        <x:v>持参</x:v>
      </x:c>
      <x:c r="I1086" s="2" t="str">
        <x:v>じさん</x:v>
      </x:c>
      <x:c r="J1086" s="8" t="str">
        <x:v>지참, 가져옴</x:v>
      </x:c>
      <x:c r="K1086" s="2" t="str">
        <x:v>noun</x:v>
      </x:c>
      <x:c r="L1086" s="9" t="n">
        <x:v>3.75</x:v>
      </x:c>
      <x:c r="M1086" s="2" t="str">
        <x:v>없음</x:v>
      </x:c>
      <x:c r="N1086" s="11" t="n">
        <x:v>-4</x:v>
      </x:c>
      <x:c r="O1086" s="8" t="str">
        <x:v>기존 한국어 뜻 품질 감사 대상; 검증된 예문 없음; 기존 데이터의 한국어 콘텐츠 보강 필요 태그</x:v>
      </x:c>
      <x:c r="P1086" s="8" t="str">
        <x:v>legacy_gloss_audit:mt_noise_token,no_example,weak_legacy_content</x:v>
      </x:c>
      <x:c r="Q1086" s="2" t="str"/>
      <x:c r="R1086" s="2" t="str"/>
      <x:c r="S1086" s="2" t="str"/>
      <x:c r="T1086" s="2" t="str"/>
      <x:c r="U1086" s="2" t="str"/>
      <x:c r="V1086" s="2" t="str">
        <x:v>아니오</x:v>
      </x:c>
      <x:c r="W1086" s="2" t="str">
        <x:v>예</x:v>
      </x:c>
      <x:c r="X1086" s="2" t="str">
        <x:v>ichi1,news1,nf16</x:v>
      </x:c>
      <x:c r="Y1086" s="2" t="n">
        <x:v>100</x:v>
      </x:c>
      <x:c r="Z1086" s="2" t="str">
        <x:v>ichi1,news1,nf16</x:v>
      </x:c>
      <x:c r="AA1086" s="2" t="n">
        <x:v>100</x:v>
      </x:c>
      <x:c r="AB1086" s="8" t="str"/>
      <x:c r="AC1086" s="8" t="str">
        <x:v>mt_noise_token</x:v>
      </x:c>
      <x:c r="AD1086" s="8" t="str">
        <x:v>["draft-ko-missing"]</x:v>
      </x:c>
      <x:c r="AE1086" s="8" t="str">
        <x:v>검토 필요</x:v>
      </x:c>
      <x:c r="AF1086" s="8" t="str"/>
    </x:row>
    <x:row r="1087">
      <x:c r="A1087" s="10" t="n">
        <x:v>1086</x:v>
      </x:c>
      <x:c r="B1087" s="2" t="str">
        <x:v>2차 보류</x:v>
      </x:c>
      <x:c r="C1087" s="2" t="str">
        <x:v>2차 보류</x:v>
      </x:c>
      <x:c r="D1087" s="2" t="str">
        <x:v>낮음</x:v>
      </x:c>
      <x:c r="E1087" s="2" t="str">
        <x:v>N1</x:v>
      </x:c>
      <x:c r="F1087" s="10" t="n">
        <x:v>474</x:v>
      </x:c>
      <x:c r="G1087" s="2" t="str">
        <x:v>w_b1cd209259dba0e2</x:v>
      </x:c>
      <x:c r="H1087" s="2" t="str">
        <x:v>申込</x:v>
      </x:c>
      <x:c r="I1087" s="2" t="str">
        <x:v>もうしこみ</x:v>
      </x:c>
      <x:c r="J1087" s="8" t="str">
        <x:v>신청, 신청서</x:v>
      </x:c>
      <x:c r="K1087" s="2" t="str">
        <x:v>noun</x:v>
      </x:c>
      <x:c r="L1087" s="9" t="n">
        <x:v>3.75</x:v>
      </x:c>
      <x:c r="M1087" s="2" t="str">
        <x:v>없음</x:v>
      </x:c>
      <x:c r="N1087" s="11" t="n">
        <x:v>-4</x:v>
      </x:c>
      <x:c r="O1087" s="8" t="str">
        <x:v>기존 한국어 뜻 품질 감사 대상; 검증된 예문 없음; 기존 데이터의 한국어 콘텐츠 보강 필요 태그</x:v>
      </x:c>
      <x:c r="P1087" s="8" t="str">
        <x:v>legacy_gloss_audit:senses_5_6,no_example,weak_legacy_content</x:v>
      </x:c>
      <x:c r="Q1087" s="2" t="str"/>
      <x:c r="R1087" s="2" t="str"/>
      <x:c r="S1087" s="2" t="str"/>
      <x:c r="T1087" s="2" t="str"/>
      <x:c r="U1087" s="2" t="str"/>
      <x:c r="V1087" s="2" t="str">
        <x:v>아니오</x:v>
      </x:c>
      <x:c r="W1087" s="2" t="str">
        <x:v>예</x:v>
      </x:c>
      <x:c r="X1087" s="2" t="str">
        <x:v>ichi1,news1,nf04</x:v>
      </x:c>
      <x:c r="Y1087" s="2" t="n">
        <x:v>100</x:v>
      </x:c>
      <x:c r="Z1087" s="2" t="str">
        <x:v>ichi1</x:v>
      </x:c>
      <x:c r="AA1087" s="2" t="n">
        <x:v>100</x:v>
      </x:c>
      <x:c r="AB1087" s="8" t="str"/>
      <x:c r="AC1087" s="8" t="str">
        <x:v>senses_5_6</x:v>
      </x:c>
      <x:c r="AD1087" s="8" t="str">
        <x:v>["draft-ko-missing"]</x:v>
      </x:c>
      <x:c r="AE1087" s="8" t="str">
        <x:v>검토 필요</x:v>
      </x:c>
      <x:c r="AF1087" s="8" t="str"/>
    </x:row>
    <x:row r="1088">
      <x:c r="A1088" s="10" t="n">
        <x:v>1087</x:v>
      </x:c>
      <x:c r="B1088" s="2" t="str">
        <x:v>2차 보류</x:v>
      </x:c>
      <x:c r="C1088" s="2" t="str">
        <x:v>2차 보류</x:v>
      </x:c>
      <x:c r="D1088" s="2" t="str">
        <x:v>낮음</x:v>
      </x:c>
      <x:c r="E1088" s="2" t="str">
        <x:v>N1</x:v>
      </x:c>
      <x:c r="F1088" s="10" t="n">
        <x:v>475</x:v>
      </x:c>
      <x:c r="G1088" s="2" t="str">
        <x:v>w_b904e336b1dfe11f</x:v>
      </x:c>
      <x:c r="H1088" s="2" t="str">
        <x:v>武力</x:v>
      </x:c>
      <x:c r="I1088" s="2" t="str">
        <x:v>ぶりょく</x:v>
      </x:c>
      <x:c r="J1088" s="8" t="str">
        <x:v>무력</x:v>
      </x:c>
      <x:c r="K1088" s="2" t="str">
        <x:v>noun</x:v>
      </x:c>
      <x:c r="L1088" s="9" t="n">
        <x:v>3.77</x:v>
      </x:c>
      <x:c r="M1088" s="2" t="str">
        <x:v>없음</x:v>
      </x:c>
      <x:c r="N1088" s="11" t="n">
        <x:v>-4</x:v>
      </x:c>
      <x:c r="O1088" s="8" t="str">
        <x:v>기존 한국어 뜻 품질 감사 대상; 검증된 예문 없음; 기존 데이터의 한국어 콘텐츠 보강 필요 태그</x:v>
      </x:c>
      <x:c r="P1088" s="8" t="str">
        <x:v>legacy_gloss_audit:mt_noise_token,no_example,weak_legacy_content</x:v>
      </x:c>
      <x:c r="Q1088" s="2" t="str"/>
      <x:c r="R1088" s="2" t="str"/>
      <x:c r="S1088" s="2" t="str"/>
      <x:c r="T1088" s="2" t="str"/>
      <x:c r="U1088" s="2" t="str"/>
      <x:c r="V1088" s="2" t="str">
        <x:v>아니오</x:v>
      </x:c>
      <x:c r="W1088" s="2" t="str">
        <x:v>예</x:v>
      </x:c>
      <x:c r="X1088" s="2" t="str">
        <x:v>ichi1,news1,nf02</x:v>
      </x:c>
      <x:c r="Y1088" s="2" t="n">
        <x:v>100</x:v>
      </x:c>
      <x:c r="Z1088" s="2" t="str">
        <x:v>ichi1,news1,nf02</x:v>
      </x:c>
      <x:c r="AA1088" s="2" t="n">
        <x:v>100</x:v>
      </x:c>
      <x:c r="AB1088" s="8" t="str"/>
      <x:c r="AC1088" s="8" t="str">
        <x:v>mt_noise_token</x:v>
      </x:c>
      <x:c r="AD1088" s="8" t="str">
        <x:v>["draft-ko-missing"]</x:v>
      </x:c>
      <x:c r="AE1088" s="8" t="str">
        <x:v>검토 필요</x:v>
      </x:c>
      <x:c r="AF1088" s="8" t="str"/>
    </x:row>
    <x:row r="1089">
      <x:c r="A1089" s="10" t="n">
        <x:v>1088</x:v>
      </x:c>
      <x:c r="B1089" s="2" t="str">
        <x:v>2차 보류</x:v>
      </x:c>
      <x:c r="C1089" s="2" t="str">
        <x:v>2차 보류</x:v>
      </x:c>
      <x:c r="D1089" s="2" t="str">
        <x:v>낮음</x:v>
      </x:c>
      <x:c r="E1089" s="2" t="str">
        <x:v>N1</x:v>
      </x:c>
      <x:c r="F1089" s="10" t="n">
        <x:v>476</x:v>
      </x:c>
      <x:c r="G1089" s="2" t="str">
        <x:v>w_77a9e1ec6c651702</x:v>
      </x:c>
      <x:c r="H1089" s="2" t="str">
        <x:v>不調</x:v>
      </x:c>
      <x:c r="I1089" s="2" t="str">
        <x:v>ふちょう</x:v>
      </x:c>
      <x:c r="J1089" s="8" t="str">
        <x:v>부진, 컨디션 난조</x:v>
      </x:c>
      <x:c r="K1089" s="2" t="str">
        <x:v>noun</x:v>
      </x:c>
      <x:c r="L1089" s="9" t="n">
        <x:v>3.78</x:v>
      </x:c>
      <x:c r="M1089" s="2" t="str">
        <x:v>없음</x:v>
      </x:c>
      <x:c r="N1089" s="11" t="n">
        <x:v>-4</x:v>
      </x:c>
      <x:c r="O1089" s="8" t="str">
        <x:v>기존 한국어 뜻 품질 감사 대상; 검증된 예문 없음; 기존 데이터의 한국어 콘텐츠 보강 필요 태그</x:v>
      </x:c>
      <x:c r="P1089" s="8" t="str">
        <x:v>legacy_gloss_audit:senses_5_6,no_example,weak_legacy_content</x:v>
      </x:c>
      <x:c r="Q1089" s="2" t="str"/>
      <x:c r="R1089" s="2" t="str"/>
      <x:c r="S1089" s="2" t="str"/>
      <x:c r="T1089" s="2" t="str"/>
      <x:c r="U1089" s="2" t="str"/>
      <x:c r="V1089" s="2" t="str">
        <x:v>아니오</x:v>
      </x:c>
      <x:c r="W1089" s="2" t="str">
        <x:v>예</x:v>
      </x:c>
      <x:c r="X1089" s="2" t="str">
        <x:v>news1,nf09</x:v>
      </x:c>
      <x:c r="Y1089" s="2" t="n">
        <x:v>100</x:v>
      </x:c>
      <x:c r="Z1089" s="2" t="str">
        <x:v>news1,nf09</x:v>
      </x:c>
      <x:c r="AA1089" s="2" t="n">
        <x:v>100</x:v>
      </x:c>
      <x:c r="AB1089" s="8" t="str"/>
      <x:c r="AC1089" s="8" t="str">
        <x:v>senses_5_6</x:v>
      </x:c>
      <x:c r="AD1089" s="8" t="str">
        <x:v>["draft-ko-missing"]</x:v>
      </x:c>
      <x:c r="AE1089" s="8" t="str">
        <x:v>검토 필요</x:v>
      </x:c>
      <x:c r="AF1089" s="8" t="str"/>
    </x:row>
    <x:row r="1090">
      <x:c r="A1090" s="10" t="n">
        <x:v>1089</x:v>
      </x:c>
      <x:c r="B1090" s="2" t="str">
        <x:v>2차 보류</x:v>
      </x:c>
      <x:c r="C1090" s="2" t="str">
        <x:v>2차 보류</x:v>
      </x:c>
      <x:c r="D1090" s="2" t="str">
        <x:v>낮음</x:v>
      </x:c>
      <x:c r="E1090" s="2" t="str">
        <x:v>N1</x:v>
      </x:c>
      <x:c r="F1090" s="10" t="n">
        <x:v>477</x:v>
      </x:c>
      <x:c r="G1090" s="2" t="str">
        <x:v>w_2026b6b32990426e</x:v>
      </x:c>
      <x:c r="H1090" s="2" t="str">
        <x:v>定食</x:v>
      </x:c>
      <x:c r="I1090" s="2" t="str">
        <x:v>ていしょく</x:v>
      </x:c>
      <x:c r="J1090" s="8" t="str">
        <x:v>정식(定食)</x:v>
      </x:c>
      <x:c r="K1090" s="2" t="str">
        <x:v>noun</x:v>
      </x:c>
      <x:c r="L1090" s="9" t="n">
        <x:v>3.8</x:v>
      </x:c>
      <x:c r="M1090" s="2" t="str">
        <x:v>없음</x:v>
      </x:c>
      <x:c r="N1090" s="11" t="n">
        <x:v>-4</x:v>
      </x:c>
      <x:c r="O1090" s="8" t="str">
        <x:v>기존 한국어 뜻 품질 감사 대상; 검증된 예문 없음; 기존 데이터의 한국어 콘텐츠 보강 필요 태그</x:v>
      </x:c>
      <x:c r="P1090" s="8" t="str">
        <x:v>legacy_gloss_audit:senses_5_6,no_example,weak_legacy_content</x:v>
      </x:c>
      <x:c r="Q1090" s="2" t="str"/>
      <x:c r="R1090" s="2" t="str"/>
      <x:c r="S1090" s="2" t="str"/>
      <x:c r="T1090" s="2" t="str"/>
      <x:c r="U1090" s="2" t="str"/>
      <x:c r="V1090" s="2" t="str">
        <x:v>아니오</x:v>
      </x:c>
      <x:c r="W1090" s="2" t="str">
        <x:v>예</x:v>
      </x:c>
      <x:c r="X1090" s="2" t="str">
        <x:v>ichi1,news1,nf22</x:v>
      </x:c>
      <x:c r="Y1090" s="2" t="n">
        <x:v>100</x:v>
      </x:c>
      <x:c r="Z1090" s="2" t="str">
        <x:v>ichi1,news1,nf22</x:v>
      </x:c>
      <x:c r="AA1090" s="2" t="n">
        <x:v>100</x:v>
      </x:c>
      <x:c r="AB1090" s="8" t="str"/>
      <x:c r="AC1090" s="8" t="str">
        <x:v>senses_5_6</x:v>
      </x:c>
      <x:c r="AD1090" s="8" t="str">
        <x:v>["draft-ko-missing"]</x:v>
      </x:c>
      <x:c r="AE1090" s="8" t="str">
        <x:v>검토 필요</x:v>
      </x:c>
      <x:c r="AF1090" s="8" t="str"/>
    </x:row>
    <x:row r="1091">
      <x:c r="A1091" s="10" t="n">
        <x:v>1090</x:v>
      </x:c>
      <x:c r="B1091" s="2" t="str">
        <x:v>2차 보류</x:v>
      </x:c>
      <x:c r="C1091" s="2" t="str">
        <x:v>2차 보류</x:v>
      </x:c>
      <x:c r="D1091" s="2" t="str">
        <x:v>낮음</x:v>
      </x:c>
      <x:c r="E1091" s="2" t="str">
        <x:v>N1</x:v>
      </x:c>
      <x:c r="F1091" s="10" t="n">
        <x:v>478</x:v>
      </x:c>
      <x:c r="G1091" s="2" t="str">
        <x:v>w_3a00e4e99b5969c2</x:v>
      </x:c>
      <x:c r="H1091" s="2" t="str">
        <x:v>区画</x:v>
      </x:c>
      <x:c r="I1091" s="2" t="str">
        <x:v>くかく</x:v>
      </x:c>
      <x:c r="J1091" s="8" t="str">
        <x:v>구획</x:v>
      </x:c>
      <x:c r="K1091" s="2" t="str">
        <x:v>noun</x:v>
      </x:c>
      <x:c r="L1091" s="9" t="n">
        <x:v>3.81</x:v>
      </x:c>
      <x:c r="M1091" s="2" t="str">
        <x:v>없음</x:v>
      </x:c>
      <x:c r="N1091" s="11" t="n">
        <x:v>-4</x:v>
      </x:c>
      <x:c r="O1091" s="8" t="str">
        <x:v>기존 한국어 뜻 품질 감사 대상; 검증된 예문 없음; 기존 데이터의 한국어 콘텐츠 보강 필요 태그</x:v>
      </x:c>
      <x:c r="P1091" s="8" t="str">
        <x:v>legacy_gloss_audit:senses_5_6,no_example,weak_legacy_content</x:v>
      </x:c>
      <x:c r="Q1091" s="2" t="str"/>
      <x:c r="R1091" s="2" t="str"/>
      <x:c r="S1091" s="2" t="str"/>
      <x:c r="T1091" s="2" t="str"/>
      <x:c r="U1091" s="2" t="str"/>
      <x:c r="V1091" s="2" t="str">
        <x:v>아니오</x:v>
      </x:c>
      <x:c r="W1091" s="2" t="str">
        <x:v>예</x:v>
      </x:c>
      <x:c r="X1091" s="2" t="str">
        <x:v>ichi1,news1,nf12</x:v>
      </x:c>
      <x:c r="Y1091" s="2" t="n">
        <x:v>100</x:v>
      </x:c>
      <x:c r="Z1091" s="2" t="str">
        <x:v>ichi1,news1,nf12</x:v>
      </x:c>
      <x:c r="AA1091" s="2" t="n">
        <x:v>100</x:v>
      </x:c>
      <x:c r="AB1091" s="8" t="str"/>
      <x:c r="AC1091" s="8" t="str">
        <x:v>senses_5_6</x:v>
      </x:c>
      <x:c r="AD1091" s="8" t="str">
        <x:v>["draft-ko-missing"]</x:v>
      </x:c>
      <x:c r="AE1091" s="8" t="str">
        <x:v>검토 필요</x:v>
      </x:c>
      <x:c r="AF1091" s="8" t="str"/>
    </x:row>
    <x:row r="1092">
      <x:c r="A1092" s="10" t="n">
        <x:v>1091</x:v>
      </x:c>
      <x:c r="B1092" s="2" t="str">
        <x:v>2차 보류</x:v>
      </x:c>
      <x:c r="C1092" s="2" t="str">
        <x:v>2차 보류</x:v>
      </x:c>
      <x:c r="D1092" s="2" t="str">
        <x:v>낮음</x:v>
      </x:c>
      <x:c r="E1092" s="2" t="str">
        <x:v>N2</x:v>
      </x:c>
      <x:c r="F1092" s="10" t="n">
        <x:v>391</x:v>
      </x:c>
      <x:c r="G1092" s="2" t="str">
        <x:v>w_4a3d41dcd87d739c</x:v>
      </x:c>
      <x:c r="H1092" s="2" t="str">
        <x:v>観念</x:v>
      </x:c>
      <x:c r="I1092" s="2" t="str">
        <x:v>かんねん</x:v>
      </x:c>
      <x:c r="J1092" s="8" t="str">
        <x:v>관념, 개념</x:v>
      </x:c>
      <x:c r="K1092" s="2" t="str">
        <x:v>noun</x:v>
      </x:c>
      <x:c r="L1092" s="9" t="n">
        <x:v>3.84</x:v>
      </x:c>
      <x:c r="M1092" s="2" t="str">
        <x:v>없음</x:v>
      </x:c>
      <x:c r="N1092" s="11" t="n">
        <x:v>-4</x:v>
      </x:c>
      <x:c r="O1092" s="8" t="str">
        <x:v>기존 한국어 뜻 품질 감사 대상; 검증된 예문 없음; 기존 데이터의 한국어 콘텐츠 보강 필요 태그</x:v>
      </x:c>
      <x:c r="P1092" s="8" t="str">
        <x:v>legacy_gloss_audit:senses_5_6,no_example,weak_legacy_content</x:v>
      </x:c>
      <x:c r="Q1092" s="2" t="str"/>
      <x:c r="R1092" s="2" t="str"/>
      <x:c r="S1092" s="2" t="str"/>
      <x:c r="T1092" s="2" t="str"/>
      <x:c r="U1092" s="2" t="str"/>
      <x:c r="V1092" s="2" t="str">
        <x:v>아니오</x:v>
      </x:c>
      <x:c r="W1092" s="2" t="str">
        <x:v>예</x:v>
      </x:c>
      <x:c r="X1092" s="2" t="str">
        <x:v>ichi1,news1,nf17</x:v>
      </x:c>
      <x:c r="Y1092" s="2" t="n">
        <x:v>100</x:v>
      </x:c>
      <x:c r="Z1092" s="2" t="str">
        <x:v>ichi1,news1,nf17</x:v>
      </x:c>
      <x:c r="AA1092" s="2" t="n">
        <x:v>100</x:v>
      </x:c>
      <x:c r="AB1092" s="8" t="str"/>
      <x:c r="AC1092" s="8" t="str">
        <x:v>senses_5_6</x:v>
      </x:c>
      <x:c r="AD1092" s="8" t="str">
        <x:v>["draft-ko-missing"]</x:v>
      </x:c>
      <x:c r="AE1092" s="8" t="str">
        <x:v>검토 필요</x:v>
      </x:c>
      <x:c r="AF1092" s="8" t="str"/>
    </x:row>
    <x:row r="1093">
      <x:c r="A1093" s="10" t="n">
        <x:v>1092</x:v>
      </x:c>
      <x:c r="B1093" s="2" t="str">
        <x:v>2차 보류</x:v>
      </x:c>
      <x:c r="C1093" s="2" t="str">
        <x:v>2차 보류</x:v>
      </x:c>
      <x:c r="D1093" s="2" t="str">
        <x:v>낮음</x:v>
      </x:c>
      <x:c r="E1093" s="2" t="str">
        <x:v>N2</x:v>
      </x:c>
      <x:c r="F1093" s="10" t="n">
        <x:v>392</x:v>
      </x:c>
      <x:c r="G1093" s="2" t="str">
        <x:v>w_cce3289f0d3d65a6</x:v>
      </x:c>
      <x:c r="H1093" s="2" t="str">
        <x:v>住居</x:v>
      </x:c>
      <x:c r="I1093" s="2" t="str">
        <x:v>じゅうきょ</x:v>
      </x:c>
      <x:c r="J1093" s="8" t="str">
        <x:v>주거, 거처</x:v>
      </x:c>
      <x:c r="K1093" s="2" t="str">
        <x:v>noun</x:v>
      </x:c>
      <x:c r="L1093" s="9" t="n">
        <x:v>3.84</x:v>
      </x:c>
      <x:c r="M1093" s="2" t="str">
        <x:v>없음</x:v>
      </x:c>
      <x:c r="N1093" s="11" t="n">
        <x:v>-4</x:v>
      </x:c>
      <x:c r="O1093" s="8" t="str">
        <x:v>기존 한국어 뜻 품질 감사 대상; 검증된 예문 없음; 기존 데이터의 한국어 콘텐츠 보강 필요 태그</x:v>
      </x:c>
      <x:c r="P1093" s="8" t="str">
        <x:v>legacy_gloss_audit:senses_5_6,no_example,weak_legacy_content</x:v>
      </x:c>
      <x:c r="Q1093" s="2" t="str"/>
      <x:c r="R1093" s="2" t="str"/>
      <x:c r="S1093" s="2" t="str"/>
      <x:c r="T1093" s="2" t="str"/>
      <x:c r="U1093" s="2" t="str"/>
      <x:c r="V1093" s="2" t="str">
        <x:v>아니오</x:v>
      </x:c>
      <x:c r="W1093" s="2" t="str">
        <x:v>예</x:v>
      </x:c>
      <x:c r="X1093" s="2" t="str">
        <x:v>ichi1,news1,nf08</x:v>
      </x:c>
      <x:c r="Y1093" s="2" t="n">
        <x:v>100</x:v>
      </x:c>
      <x:c r="Z1093" s="2" t="str">
        <x:v>ichi1,news1,nf08</x:v>
      </x:c>
      <x:c r="AA1093" s="2" t="n">
        <x:v>100</x:v>
      </x:c>
      <x:c r="AB1093" s="8" t="str"/>
      <x:c r="AC1093" s="8" t="str">
        <x:v>senses_5_6</x:v>
      </x:c>
      <x:c r="AD1093" s="8" t="str">
        <x:v>["draft-ko-missing"]</x:v>
      </x:c>
      <x:c r="AE1093" s="8" t="str">
        <x:v>검토 필요</x:v>
      </x:c>
      <x:c r="AF1093" s="8" t="str"/>
    </x:row>
    <x:row r="1094">
      <x:c r="A1094" s="10" t="n">
        <x:v>1093</x:v>
      </x:c>
      <x:c r="B1094" s="2" t="str">
        <x:v>2차 보류</x:v>
      </x:c>
      <x:c r="C1094" s="2" t="str">
        <x:v>2차 보류</x:v>
      </x:c>
      <x:c r="D1094" s="2" t="str">
        <x:v>낮음</x:v>
      </x:c>
      <x:c r="E1094" s="2" t="str">
        <x:v>N2</x:v>
      </x:c>
      <x:c r="F1094" s="10" t="n">
        <x:v>393</x:v>
      </x:c>
      <x:c r="G1094" s="2" t="str">
        <x:v>w_2318b5c7314c5fc9</x:v>
      </x:c>
      <x:c r="H1094" s="2" t="str">
        <x:v>殴る</x:v>
      </x:c>
      <x:c r="I1094" s="2" t="str">
        <x:v>なぐる</x:v>
      </x:c>
      <x:c r="J1094" s="8" t="str">
        <x:v>때리다, 치다</x:v>
      </x:c>
      <x:c r="K1094" s="2" t="str">
        <x:v>verb</x:v>
      </x:c>
      <x:c r="L1094" s="9" t="n">
        <x:v>3.85</x:v>
      </x:c>
      <x:c r="M1094" s="2" t="str">
        <x:v>없음</x:v>
      </x:c>
      <x:c r="N1094" s="11" t="n">
        <x:v>-4</x:v>
      </x:c>
      <x:c r="O1094" s="8" t="str">
        <x:v>기존 한국어 뜻 품질 감사 대상; 검증된 예문 없음; 기존 데이터의 한국어 콘텐츠 보강 필요 태그</x:v>
      </x:c>
      <x:c r="P1094" s="8" t="str">
        <x:v>legacy_gloss_audit:mt_noise_token,no_example,weak_legacy_content</x:v>
      </x:c>
      <x:c r="Q1094" s="2" t="str"/>
      <x:c r="R1094" s="2" t="str"/>
      <x:c r="S1094" s="2" t="str"/>
      <x:c r="T1094" s="2" t="str"/>
      <x:c r="U1094" s="2" t="str"/>
      <x:c r="V1094" s="2" t="str">
        <x:v>아니오</x:v>
      </x:c>
      <x:c r="W1094" s="2" t="str">
        <x:v>예</x:v>
      </x:c>
      <x:c r="X1094" s="2" t="str">
        <x:v>ichi1,news1,nf11</x:v>
      </x:c>
      <x:c r="Y1094" s="2" t="n">
        <x:v>100</x:v>
      </x:c>
      <x:c r="Z1094" s="2" t="str">
        <x:v>ichi1,news1,nf11</x:v>
      </x:c>
      <x:c r="AA1094" s="2" t="n">
        <x:v>100</x:v>
      </x:c>
      <x:c r="AB1094" s="8" t="str"/>
      <x:c r="AC1094" s="8" t="str">
        <x:v>mt_noise_token</x:v>
      </x:c>
      <x:c r="AD1094" s="8" t="str">
        <x:v>["draft-ko-missing"]</x:v>
      </x:c>
      <x:c r="AE1094" s="8" t="str">
        <x:v>검토 필요</x:v>
      </x:c>
      <x:c r="AF1094" s="8" t="str"/>
    </x:row>
    <x:row r="1095">
      <x:c r="A1095" s="10" t="n">
        <x:v>1094</x:v>
      </x:c>
      <x:c r="B1095" s="2" t="str">
        <x:v>2차 보류</x:v>
      </x:c>
      <x:c r="C1095" s="2" t="str">
        <x:v>2차 보류</x:v>
      </x:c>
      <x:c r="D1095" s="2" t="str">
        <x:v>낮음</x:v>
      </x:c>
      <x:c r="E1095" s="2" t="str">
        <x:v>N2</x:v>
      </x:c>
      <x:c r="F1095" s="10" t="n">
        <x:v>394</x:v>
      </x:c>
      <x:c r="G1095" s="2" t="str">
        <x:v>w_dff1a1570059dc3c</x:v>
      </x:c>
      <x:c r="H1095" s="2" t="str">
        <x:v>会館</x:v>
      </x:c>
      <x:c r="I1095" s="2" t="str">
        <x:v>かいかん</x:v>
      </x:c>
      <x:c r="J1095" s="8" t="str">
        <x:v>회관</x:v>
      </x:c>
      <x:c r="K1095" s="2" t="str">
        <x:v>noun</x:v>
      </x:c>
      <x:c r="L1095" s="9" t="n">
        <x:v>3.89</x:v>
      </x:c>
      <x:c r="M1095" s="2" t="str">
        <x:v>없음</x:v>
      </x:c>
      <x:c r="N1095" s="11" t="n">
        <x:v>-4</x:v>
      </x:c>
      <x:c r="O1095" s="8" t="str">
        <x:v>기존 한국어 뜻 품질 감사 대상; 검증된 예문 없음; 기존 데이터의 한국어 콘텐츠 보강 필요 태그</x:v>
      </x:c>
      <x:c r="P1095" s="8" t="str">
        <x:v>legacy_gloss_audit:senses_5_6,no_example,weak_legacy_content</x:v>
      </x:c>
      <x:c r="Q1095" s="2" t="str"/>
      <x:c r="R1095" s="2" t="str"/>
      <x:c r="S1095" s="2" t="str"/>
      <x:c r="T1095" s="2" t="str"/>
      <x:c r="U1095" s="2" t="str"/>
      <x:c r="V1095" s="2" t="str">
        <x:v>아니오</x:v>
      </x:c>
      <x:c r="W1095" s="2" t="str">
        <x:v>예</x:v>
      </x:c>
      <x:c r="X1095" s="2" t="str">
        <x:v>news1,nf02</x:v>
      </x:c>
      <x:c r="Y1095" s="2" t="n">
        <x:v>100</x:v>
      </x:c>
      <x:c r="Z1095" s="2" t="str">
        <x:v>news1,nf02</x:v>
      </x:c>
      <x:c r="AA1095" s="2" t="n">
        <x:v>100</x:v>
      </x:c>
      <x:c r="AB1095" s="8" t="str"/>
      <x:c r="AC1095" s="8" t="str">
        <x:v>senses_5_6</x:v>
      </x:c>
      <x:c r="AD1095" s="8" t="str">
        <x:v>["draft-ko-missing"]</x:v>
      </x:c>
      <x:c r="AE1095" s="8" t="str">
        <x:v>검토 필요</x:v>
      </x:c>
      <x:c r="AF1095" s="8" t="str"/>
    </x:row>
    <x:row r="1096">
      <x:c r="A1096" s="10" t="n">
        <x:v>1095</x:v>
      </x:c>
      <x:c r="B1096" s="2" t="str">
        <x:v>2차 보류</x:v>
      </x:c>
      <x:c r="C1096" s="2" t="str">
        <x:v>2차 보류</x:v>
      </x:c>
      <x:c r="D1096" s="2" t="str">
        <x:v>낮음</x:v>
      </x:c>
      <x:c r="E1096" s="2" t="str">
        <x:v>N1</x:v>
      </x:c>
      <x:c r="F1096" s="10" t="n">
        <x:v>479</x:v>
      </x:c>
      <x:c r="G1096" s="2" t="str">
        <x:v>w_1a549e7eef1574a3</x:v>
      </x:c>
      <x:c r="H1096" s="2" t="str">
        <x:v>動向</x:v>
      </x:c>
      <x:c r="I1096" s="2" t="str">
        <x:v>どうこう</x:v>
      </x:c>
      <x:c r="J1096" s="8" t="str">
        <x:v>동향</x:v>
      </x:c>
      <x:c r="K1096" s="2" t="str">
        <x:v>noun</x:v>
      </x:c>
      <x:c r="L1096" s="9" t="n">
        <x:v>3.89</x:v>
      </x:c>
      <x:c r="M1096" s="2" t="str">
        <x:v>없음</x:v>
      </x:c>
      <x:c r="N1096" s="11" t="n">
        <x:v>-4</x:v>
      </x:c>
      <x:c r="O1096" s="8" t="str">
        <x:v>기존 한국어 뜻 품질 감사 대상; 검증된 예문 없음; 기존 데이터의 한국어 콘텐츠 보강 필요 태그</x:v>
      </x:c>
      <x:c r="P1096" s="8" t="str">
        <x:v>legacy_gloss_audit:senses_5_6,no_example,weak_legacy_content</x:v>
      </x:c>
      <x:c r="Q1096" s="2" t="str"/>
      <x:c r="R1096" s="2" t="str"/>
      <x:c r="S1096" s="2" t="str"/>
      <x:c r="T1096" s="2" t="str"/>
      <x:c r="U1096" s="2" t="str"/>
      <x:c r="V1096" s="2" t="str">
        <x:v>아니오</x:v>
      </x:c>
      <x:c r="W1096" s="2" t="str">
        <x:v>예</x:v>
      </x:c>
      <x:c r="X1096" s="2" t="str">
        <x:v>ichi1,news1,nf03</x:v>
      </x:c>
      <x:c r="Y1096" s="2" t="n">
        <x:v>100</x:v>
      </x:c>
      <x:c r="Z1096" s="2" t="str">
        <x:v>ichi1,news1,nf03</x:v>
      </x:c>
      <x:c r="AA1096" s="2" t="n">
        <x:v>100</x:v>
      </x:c>
      <x:c r="AB1096" s="8" t="str"/>
      <x:c r="AC1096" s="8" t="str">
        <x:v>senses_5_6</x:v>
      </x:c>
      <x:c r="AD1096" s="8" t="str">
        <x:v>["draft-ko-missing"]</x:v>
      </x:c>
      <x:c r="AE1096" s="8" t="str">
        <x:v>검토 필요</x:v>
      </x:c>
      <x:c r="AF1096" s="8" t="str"/>
    </x:row>
    <x:row r="1097">
      <x:c r="A1097" s="10" t="n">
        <x:v>1096</x:v>
      </x:c>
      <x:c r="B1097" s="2" t="str">
        <x:v>2차 보류</x:v>
      </x:c>
      <x:c r="C1097" s="2" t="str">
        <x:v>2차 보류</x:v>
      </x:c>
      <x:c r="D1097" s="2" t="str">
        <x:v>낮음</x:v>
      </x:c>
      <x:c r="E1097" s="2" t="str">
        <x:v>N3</x:v>
      </x:c>
      <x:c r="F1097" s="10" t="n">
        <x:v>129</x:v>
      </x:c>
      <x:c r="G1097" s="2" t="str">
        <x:v>w_928510070f3d9e33</x:v>
      </x:c>
      <x:c r="H1097" s="2" t="str">
        <x:v>景気</x:v>
      </x:c>
      <x:c r="I1097" s="2" t="str">
        <x:v>けいき</x:v>
      </x:c>
      <x:c r="J1097" s="8" t="str">
        <x:v>경기(경제 상황)</x:v>
      </x:c>
      <x:c r="K1097" s="2" t="str">
        <x:v>noun</x:v>
      </x:c>
      <x:c r="L1097" s="9" t="n">
        <x:v>3.93</x:v>
      </x:c>
      <x:c r="M1097" s="2" t="str">
        <x:v>없음</x:v>
      </x:c>
      <x:c r="N1097" s="11" t="n">
        <x:v>-4</x:v>
      </x:c>
      <x:c r="O1097" s="8" t="str">
        <x:v>기존 한국어 뜻 품질 감사 대상; 검증된 예문 없음; 기존 데이터의 한국어 콘텐츠 보강 필요 태그</x:v>
      </x:c>
      <x:c r="P1097" s="8" t="str">
        <x:v>legacy_gloss_audit:senses_5_6,no_example,weak_legacy_content</x:v>
      </x:c>
      <x:c r="Q1097" s="2" t="str"/>
      <x:c r="R1097" s="2" t="str"/>
      <x:c r="S1097" s="2" t="str"/>
      <x:c r="T1097" s="2" t="str"/>
      <x:c r="U1097" s="2" t="str"/>
      <x:c r="V1097" s="2" t="str">
        <x:v>아니오</x:v>
      </x:c>
      <x:c r="W1097" s="2" t="str">
        <x:v>예</x:v>
      </x:c>
      <x:c r="X1097" s="2" t="str">
        <x:v>ichi1,news1,nf01</x:v>
      </x:c>
      <x:c r="Y1097" s="2" t="n">
        <x:v>100</x:v>
      </x:c>
      <x:c r="Z1097" s="2" t="str">
        <x:v>ichi1,news1,nf01</x:v>
      </x:c>
      <x:c r="AA1097" s="2" t="n">
        <x:v>100</x:v>
      </x:c>
      <x:c r="AB1097" s="8" t="str"/>
      <x:c r="AC1097" s="8" t="str">
        <x:v>senses_5_6</x:v>
      </x:c>
      <x:c r="AD1097" s="8" t="str">
        <x:v>["draft-ko-missing"]</x:v>
      </x:c>
      <x:c r="AE1097" s="8" t="str">
        <x:v>검토 필요</x:v>
      </x:c>
      <x:c r="AF1097" s="8" t="str"/>
    </x:row>
    <x:row r="1098">
      <x:c r="A1098" s="10" t="n">
        <x:v>1097</x:v>
      </x:c>
      <x:c r="B1098" s="2" t="str">
        <x:v>2차 보류</x:v>
      </x:c>
      <x:c r="C1098" s="2" t="str">
        <x:v>2차 보류</x:v>
      </x:c>
      <x:c r="D1098" s="2" t="str">
        <x:v>낮음</x:v>
      </x:c>
      <x:c r="E1098" s="2" t="str">
        <x:v>N1</x:v>
      </x:c>
      <x:c r="F1098" s="10" t="n">
        <x:v>480</x:v>
      </x:c>
      <x:c r="G1098" s="2" t="str">
        <x:v>w_e8daa12da79cf049</x:v>
      </x:c>
      <x:c r="H1098" s="2" t="str">
        <x:v>手当</x:v>
      </x:c>
      <x:c r="I1098" s="2" t="str">
        <x:v>てあて</x:v>
      </x:c>
      <x:c r="J1098" s="8" t="str">
        <x:v>수당; 처치, 치료</x:v>
      </x:c>
      <x:c r="K1098" s="2" t="str">
        <x:v>noun</x:v>
      </x:c>
      <x:c r="L1098" s="9" t="n">
        <x:v>3.96</x:v>
      </x:c>
      <x:c r="M1098" s="2" t="str">
        <x:v>없음</x:v>
      </x:c>
      <x:c r="N1098" s="11" t="n">
        <x:v>-4</x:v>
      </x:c>
      <x:c r="O1098" s="8" t="str">
        <x:v>기존 한국어 뜻 품질 감사 대상; 검증된 예문 없음; 기존 데이터의 한국어 콘텐츠 보강 필요 태그</x:v>
      </x:c>
      <x:c r="P1098" s="8" t="str">
        <x:v>legacy_gloss_audit:senses_5_6,no_example,weak_legacy_content</x:v>
      </x:c>
      <x:c r="Q1098" s="2" t="str"/>
      <x:c r="R1098" s="2" t="str"/>
      <x:c r="S1098" s="2" t="str"/>
      <x:c r="T1098" s="2" t="str"/>
      <x:c r="U1098" s="2" t="str"/>
      <x:c r="V1098" s="2" t="str">
        <x:v>아니오</x:v>
      </x:c>
      <x:c r="W1098" s="2" t="str">
        <x:v>예</x:v>
      </x:c>
      <x:c r="X1098" s="2" t="str">
        <x:v>ichi1,news1,nf07</x:v>
      </x:c>
      <x:c r="Y1098" s="2" t="n">
        <x:v>100</x:v>
      </x:c>
      <x:c r="Z1098" s="2" t="str">
        <x:v>ichi1,news1,nf07</x:v>
      </x:c>
      <x:c r="AA1098" s="2" t="n">
        <x:v>100</x:v>
      </x:c>
      <x:c r="AB1098" s="8" t="str">
        <x:v>esp. 手当 | esp. 手当て</x:v>
      </x:c>
      <x:c r="AC1098" s="8" t="str">
        <x:v>senses_5_6</x:v>
      </x:c>
      <x:c r="AD1098" s="8" t="str">
        <x:v>["draft-ko-missing"]</x:v>
      </x:c>
      <x:c r="AE1098" s="8" t="str">
        <x:v>검토 필요</x:v>
      </x:c>
      <x:c r="AF1098" s="8" t="str"/>
    </x:row>
    <x:row r="1099">
      <x:c r="A1099" s="10" t="n">
        <x:v>1098</x:v>
      </x:c>
      <x:c r="B1099" s="2" t="str">
        <x:v>2차 보류</x:v>
      </x:c>
      <x:c r="C1099" s="2" t="str">
        <x:v>2차 보류</x:v>
      </x:c>
      <x:c r="D1099" s="2" t="str">
        <x:v>낮음</x:v>
      </x:c>
      <x:c r="E1099" s="2" t="str">
        <x:v>N3</x:v>
      </x:c>
      <x:c r="F1099" s="10" t="n">
        <x:v>130</x:v>
      </x:c>
      <x:c r="G1099" s="2" t="str">
        <x:v>w_8ee294c6fb155430</x:v>
      </x:c>
      <x:c r="H1099" s="2" t="str">
        <x:v>厄介</x:v>
      </x:c>
      <x:c r="I1099" s="2" t="str">
        <x:v>やっかい</x:v>
      </x:c>
      <x:c r="J1099" s="8" t="str">
        <x:v>성가심, 귀찮음</x:v>
      </x:c>
      <x:c r="K1099" s="2" t="str">
        <x:v>adjective</x:v>
      </x:c>
      <x:c r="L1099" s="9" t="n">
        <x:v>3.99</x:v>
      </x:c>
      <x:c r="M1099" s="2" t="str">
        <x:v>없음</x:v>
      </x:c>
      <x:c r="N1099" s="11" t="n">
        <x:v>-4</x:v>
      </x:c>
      <x:c r="O1099" s="8" t="str">
        <x:v>기존 한국어 뜻 품질 감사 대상; 검증된 예문 없음; 기존 데이터의 한국어 콘텐츠 보강 필요 태그</x:v>
      </x:c>
      <x:c r="P1099" s="8" t="str">
        <x:v>legacy_gloss_audit:senses_5_6,no_example,weak_legacy_content</x:v>
      </x:c>
      <x:c r="Q1099" s="2" t="str"/>
      <x:c r="R1099" s="2" t="str"/>
      <x:c r="S1099" s="2" t="str"/>
      <x:c r="T1099" s="2" t="str"/>
      <x:c r="U1099" s="2" t="str"/>
      <x:c r="V1099" s="2" t="str">
        <x:v>아니오</x:v>
      </x:c>
      <x:c r="W1099" s="2" t="str">
        <x:v>예</x:v>
      </x:c>
      <x:c r="X1099" s="2" t="str">
        <x:v>ichi1,news1,nf23</x:v>
      </x:c>
      <x:c r="Y1099" s="2" t="n">
        <x:v>100</x:v>
      </x:c>
      <x:c r="Z1099" s="2" t="str">
        <x:v>ichi1,news1,nf23</x:v>
      </x:c>
      <x:c r="AA1099" s="2" t="n">
        <x:v>100</x:v>
      </x:c>
      <x:c r="AB1099" s="8" t="str"/>
      <x:c r="AC1099" s="8" t="str">
        <x:v>senses_5_6</x:v>
      </x:c>
      <x:c r="AD1099" s="8" t="str">
        <x:v>["draft-ko-missing"]</x:v>
      </x:c>
      <x:c r="AE1099" s="8" t="str">
        <x:v>검토 필요</x:v>
      </x:c>
      <x:c r="AF1099" s="8" t="str"/>
    </x:row>
    <x:row r="1100">
      <x:c r="A1100" s="10" t="n">
        <x:v>1099</x:v>
      </x:c>
      <x:c r="B1100" s="2" t="str">
        <x:v>2차 보류</x:v>
      </x:c>
      <x:c r="C1100" s="2" t="str">
        <x:v>2차 보류</x:v>
      </x:c>
      <x:c r="D1100" s="2" t="str">
        <x:v>낮음</x:v>
      </x:c>
      <x:c r="E1100" s="2" t="str">
        <x:v>N1</x:v>
      </x:c>
      <x:c r="F1100" s="10" t="n">
        <x:v>481</x:v>
      </x:c>
      <x:c r="G1100" s="2" t="str">
        <x:v>w_cf8ca12b18f7c25c</x:v>
      </x:c>
      <x:c r="H1100" s="2" t="str">
        <x:v>分裂</x:v>
      </x:c>
      <x:c r="I1100" s="2" t="str">
        <x:v>ぶんれつ</x:v>
      </x:c>
      <x:c r="J1100" s="8" t="str">
        <x:v>분열</x:v>
      </x:c>
      <x:c r="K1100" s="2" t="str">
        <x:v>noun</x:v>
      </x:c>
      <x:c r="L1100" s="9" t="n">
        <x:v>4</x:v>
      </x:c>
      <x:c r="M1100" s="2" t="str">
        <x:v>없음</x:v>
      </x:c>
      <x:c r="N1100" s="11" t="n">
        <x:v>-4</x:v>
      </x:c>
      <x:c r="O1100" s="8" t="str">
        <x:v>기존 한국어 뜻 품질 감사 대상; 검증된 예문 없음; 기존 데이터의 한국어 콘텐츠 보강 필요 태그</x:v>
      </x:c>
      <x:c r="P1100" s="8" t="str">
        <x:v>legacy_gloss_audit:mt_noise_token,no_example,weak_legacy_content</x:v>
      </x:c>
      <x:c r="Q1100" s="2" t="str"/>
      <x:c r="R1100" s="2" t="str"/>
      <x:c r="S1100" s="2" t="str"/>
      <x:c r="T1100" s="2" t="str"/>
      <x:c r="U1100" s="2" t="str"/>
      <x:c r="V1100" s="2" t="str">
        <x:v>아니오</x:v>
      </x:c>
      <x:c r="W1100" s="2" t="str">
        <x:v>예</x:v>
      </x:c>
      <x:c r="X1100" s="2" t="str">
        <x:v>ichi1,news1,nf04</x:v>
      </x:c>
      <x:c r="Y1100" s="2" t="n">
        <x:v>100</x:v>
      </x:c>
      <x:c r="Z1100" s="2" t="str">
        <x:v>ichi1,news1,nf04</x:v>
      </x:c>
      <x:c r="AA1100" s="2" t="n">
        <x:v>100</x:v>
      </x:c>
      <x:c r="AB1100" s="8" t="str"/>
      <x:c r="AC1100" s="8" t="str">
        <x:v>mt_noise_token</x:v>
      </x:c>
      <x:c r="AD1100" s="8" t="str">
        <x:v>["draft-ko-missing"]</x:v>
      </x:c>
      <x:c r="AE1100" s="8" t="str">
        <x:v>검토 필요</x:v>
      </x:c>
      <x:c r="AF1100" s="8" t="str"/>
    </x:row>
    <x:row r="1101">
      <x:c r="A1101" s="10" t="n">
        <x:v>1100</x:v>
      </x:c>
      <x:c r="B1101" s="2" t="str">
        <x:v>2차 보류</x:v>
      </x:c>
      <x:c r="C1101" s="2" t="str">
        <x:v>2차 보류</x:v>
      </x:c>
      <x:c r="D1101" s="2" t="str">
        <x:v>낮음</x:v>
      </x:c>
      <x:c r="E1101" s="2" t="str">
        <x:v>N2</x:v>
      </x:c>
      <x:c r="F1101" s="10" t="n">
        <x:v>395</x:v>
      </x:c>
      <x:c r="G1101" s="2" t="str">
        <x:v>w_2bf5fbf903304e68</x:v>
      </x:c>
      <x:c r="H1101" s="2" t="str">
        <x:v>上り</x:v>
      </x:c>
      <x:c r="I1101" s="2" t="str">
        <x:v>のぼり</x:v>
      </x:c>
      <x:c r="J1101" s="8" t="str">
        <x:v>상행(도쿄로 향함); 오르막</x:v>
      </x:c>
      <x:c r="K1101" s="2" t="str">
        <x:v>noun</x:v>
      </x:c>
      <x:c r="L1101" s="9" t="n">
        <x:v>4.01</x:v>
      </x:c>
      <x:c r="M1101" s="2" t="str">
        <x:v>없음</x:v>
      </x:c>
      <x:c r="N1101" s="11" t="n">
        <x:v>-4</x:v>
      </x:c>
      <x:c r="O1101" s="8" t="str">
        <x:v>기존 한국어 뜻 품질 감사 대상; 검증된 예문 없음; 기존 데이터의 한국어 콘텐츠 보강 필요 태그</x:v>
      </x:c>
      <x:c r="P1101" s="8" t="str">
        <x:v>legacy_gloss_audit:mt_noise_token,no_example,weak_legacy_content</x:v>
      </x:c>
      <x:c r="Q1101" s="2" t="str"/>
      <x:c r="R1101" s="2" t="str"/>
      <x:c r="S1101" s="2" t="str"/>
      <x:c r="T1101" s="2" t="str"/>
      <x:c r="U1101" s="2" t="str"/>
      <x:c r="V1101" s="2" t="str">
        <x:v>아니오</x:v>
      </x:c>
      <x:c r="W1101" s="2" t="str">
        <x:v>예</x:v>
      </x:c>
      <x:c r="X1101" s="2" t="str">
        <x:v>ichi1,news1,nf10</x:v>
      </x:c>
      <x:c r="Y1101" s="2" t="n">
        <x:v>100</x:v>
      </x:c>
      <x:c r="Z1101" s="2" t="str">
        <x:v>ichi1,news1,nf10</x:v>
      </x:c>
      <x:c r="AA1101" s="2" t="n">
        <x:v>100</x:v>
      </x:c>
      <x:c r="AB1101" s="8" t="str"/>
      <x:c r="AC1101" s="8" t="str">
        <x:v>mt_noise_token</x:v>
      </x:c>
      <x:c r="AD1101" s="8" t="str">
        <x:v>["draft-ko-missing"]</x:v>
      </x:c>
      <x:c r="AE1101" s="8" t="str">
        <x:v>검토 필요</x:v>
      </x:c>
      <x:c r="AF1101" s="8" t="str"/>
    </x:row>
    <x:row r="1102">
      <x:c r="A1102" s="10" t="n">
        <x:v>1101</x:v>
      </x:c>
      <x:c r="B1102" s="2" t="str">
        <x:v>2차 보류</x:v>
      </x:c>
      <x:c r="C1102" s="2" t="str">
        <x:v>2차 보류</x:v>
      </x:c>
      <x:c r="D1102" s="2" t="str">
        <x:v>낮음</x:v>
      </x:c>
      <x:c r="E1102" s="2" t="str">
        <x:v>N1</x:v>
      </x:c>
      <x:c r="F1102" s="10" t="n">
        <x:v>482</x:v>
      </x:c>
      <x:c r="G1102" s="2" t="str">
        <x:v>w_7afeef330fc15b64</x:v>
      </x:c>
      <x:c r="H1102" s="2" t="str">
        <x:v>中断</x:v>
      </x:c>
      <x:c r="I1102" s="2" t="str">
        <x:v>ちゅうだん</x:v>
      </x:c>
      <x:c r="J1102" s="8" t="str">
        <x:v>중단</x:v>
      </x:c>
      <x:c r="K1102" s="2" t="str">
        <x:v>noun</x:v>
      </x:c>
      <x:c r="L1102" s="9" t="n">
        <x:v>4.01</x:v>
      </x:c>
      <x:c r="M1102" s="2" t="str">
        <x:v>없음</x:v>
      </x:c>
      <x:c r="N1102" s="11" t="n">
        <x:v>-4</x:v>
      </x:c>
      <x:c r="O1102" s="8" t="str">
        <x:v>기존 한국어 뜻 품질 감사 대상; 검증된 예문 없음; 기존 데이터의 한국어 콘텐츠 보강 필요 태그</x:v>
      </x:c>
      <x:c r="P1102" s="8" t="str">
        <x:v>legacy_gloss_audit:senses_5_6,no_example,weak_legacy_content</x:v>
      </x:c>
      <x:c r="Q1102" s="2" t="str"/>
      <x:c r="R1102" s="2" t="str"/>
      <x:c r="S1102" s="2" t="str"/>
      <x:c r="T1102" s="2" t="str"/>
      <x:c r="U1102" s="2" t="str"/>
      <x:c r="V1102" s="2" t="str">
        <x:v>아니오</x:v>
      </x:c>
      <x:c r="W1102" s="2" t="str">
        <x:v>예</x:v>
      </x:c>
      <x:c r="X1102" s="2" t="str">
        <x:v>ichi1,news1,nf11</x:v>
      </x:c>
      <x:c r="Y1102" s="2" t="n">
        <x:v>100</x:v>
      </x:c>
      <x:c r="Z1102" s="2" t="str">
        <x:v>ichi1,news1,nf11</x:v>
      </x:c>
      <x:c r="AA1102" s="2" t="n">
        <x:v>100</x:v>
      </x:c>
      <x:c r="AB1102" s="8" t="str"/>
      <x:c r="AC1102" s="8" t="str">
        <x:v>senses_5_6</x:v>
      </x:c>
      <x:c r="AD1102" s="8" t="str">
        <x:v>["draft-ko-missing"]</x:v>
      </x:c>
      <x:c r="AE1102" s="8" t="str">
        <x:v>검토 필요</x:v>
      </x:c>
      <x:c r="AF1102" s="8" t="str"/>
    </x:row>
    <x:row r="1103">
      <x:c r="A1103" s="10" t="n">
        <x:v>1102</x:v>
      </x:c>
      <x:c r="B1103" s="2" t="str">
        <x:v>2차 보류</x:v>
      </x:c>
      <x:c r="C1103" s="2" t="str">
        <x:v>2차 보류</x:v>
      </x:c>
      <x:c r="D1103" s="2" t="str">
        <x:v>낮음</x:v>
      </x:c>
      <x:c r="E1103" s="2" t="str">
        <x:v>N1</x:v>
      </x:c>
      <x:c r="F1103" s="10" t="n">
        <x:v>483</x:v>
      </x:c>
      <x:c r="G1103" s="2" t="str">
        <x:v>w_b44f480ca7aab826</x:v>
      </x:c>
      <x:c r="H1103" s="2" t="str">
        <x:v>意向</x:v>
      </x:c>
      <x:c r="I1103" s="2" t="str">
        <x:v>いこう</x:v>
      </x:c>
      <x:c r="J1103" s="8" t="str">
        <x:v>의향, 의도</x:v>
      </x:c>
      <x:c r="K1103" s="2" t="str">
        <x:v>noun</x:v>
      </x:c>
      <x:c r="L1103" s="9" t="n">
        <x:v>4.01</x:v>
      </x:c>
      <x:c r="M1103" s="2" t="str">
        <x:v>없음</x:v>
      </x:c>
      <x:c r="N1103" s="11" t="n">
        <x:v>-4</x:v>
      </x:c>
      <x:c r="O1103" s="8" t="str">
        <x:v>기존 한국어 뜻 품질 감사 대상; 검증된 예문 없음; 기존 데이터의 한국어 콘텐츠 보강 필요 태그</x:v>
      </x:c>
      <x:c r="P1103" s="8" t="str">
        <x:v>legacy_gloss_audit:senses_5_6,no_example,weak_legacy_content</x:v>
      </x:c>
      <x:c r="Q1103" s="2" t="str"/>
      <x:c r="R1103" s="2" t="str"/>
      <x:c r="S1103" s="2" t="str"/>
      <x:c r="T1103" s="2" t="str"/>
      <x:c r="U1103" s="2" t="str"/>
      <x:c r="V1103" s="2" t="str">
        <x:v>아니오</x:v>
      </x:c>
      <x:c r="W1103" s="2" t="str">
        <x:v>예</x:v>
      </x:c>
      <x:c r="X1103" s="2" t="str">
        <x:v>ichi1,news1,nf01</x:v>
      </x:c>
      <x:c r="Y1103" s="2" t="n">
        <x:v>100</x:v>
      </x:c>
      <x:c r="Z1103" s="2" t="str">
        <x:v>ichi1,news1,nf01</x:v>
      </x:c>
      <x:c r="AA1103" s="2" t="n">
        <x:v>100</x:v>
      </x:c>
      <x:c r="AB1103" s="8" t="str"/>
      <x:c r="AC1103" s="8" t="str">
        <x:v>senses_5_6</x:v>
      </x:c>
      <x:c r="AD1103" s="8" t="str">
        <x:v>["draft-ko-missing"]</x:v>
      </x:c>
      <x:c r="AE1103" s="8" t="str">
        <x:v>검토 필요</x:v>
      </x:c>
      <x:c r="AF1103" s="8" t="str"/>
    </x:row>
    <x:row r="1104">
      <x:c r="A1104" s="10" t="n">
        <x:v>1103</x:v>
      </x:c>
      <x:c r="B1104" s="2" t="str">
        <x:v>2차 보류</x:v>
      </x:c>
      <x:c r="C1104" s="2" t="str">
        <x:v>2차 보류</x:v>
      </x:c>
      <x:c r="D1104" s="2" t="str">
        <x:v>낮음</x:v>
      </x:c>
      <x:c r="E1104" s="2" t="str">
        <x:v>N3</x:v>
      </x:c>
      <x:c r="F1104" s="10" t="n">
        <x:v>131</x:v>
      </x:c>
      <x:c r="G1104" s="2" t="str">
        <x:v>w_85e93af730e6e4e6</x:v>
      </x:c>
      <x:c r="H1104" s="2" t="str">
        <x:v>科目</x:v>
      </x:c>
      <x:c r="I1104" s="2" t="str">
        <x:v>かもく</x:v>
      </x:c>
      <x:c r="J1104" s="8" t="str">
        <x:v>과목</x:v>
      </x:c>
      <x:c r="K1104" s="2" t="str">
        <x:v>noun</x:v>
      </x:c>
      <x:c r="L1104" s="9" t="n">
        <x:v>4.02</x:v>
      </x:c>
      <x:c r="M1104" s="2" t="str">
        <x:v>없음</x:v>
      </x:c>
      <x:c r="N1104" s="11" t="n">
        <x:v>-4</x:v>
      </x:c>
      <x:c r="O1104" s="8" t="str">
        <x:v>기존 한국어 뜻 품질 감사 대상; 검증된 예문 없음; 기존 데이터의 한국어 콘텐츠 보강 필요 태그</x:v>
      </x:c>
      <x:c r="P1104" s="8" t="str">
        <x:v>legacy_gloss_audit:senses_5_6,no_example,weak_legacy_content</x:v>
      </x:c>
      <x:c r="Q1104" s="2" t="str"/>
      <x:c r="R1104" s="2" t="str"/>
      <x:c r="S1104" s="2" t="str"/>
      <x:c r="T1104" s="2" t="str"/>
      <x:c r="U1104" s="2" t="str"/>
      <x:c r="V1104" s="2" t="str">
        <x:v>아니오</x:v>
      </x:c>
      <x:c r="W1104" s="2" t="str">
        <x:v>예</x:v>
      </x:c>
      <x:c r="X1104" s="2" t="str">
        <x:v>ichi1,news1,nf09</x:v>
      </x:c>
      <x:c r="Y1104" s="2" t="n">
        <x:v>100</x:v>
      </x:c>
      <x:c r="Z1104" s="2" t="str">
        <x:v>ichi1,news1,nf09</x:v>
      </x:c>
      <x:c r="AA1104" s="2" t="n">
        <x:v>100</x:v>
      </x:c>
      <x:c r="AB1104" s="8" t="str"/>
      <x:c r="AC1104" s="8" t="str">
        <x:v>senses_5_6</x:v>
      </x:c>
      <x:c r="AD1104" s="8" t="str">
        <x:v>["draft-ko-missing"]</x:v>
      </x:c>
      <x:c r="AE1104" s="8" t="str">
        <x:v>검토 필요</x:v>
      </x:c>
      <x:c r="AF1104" s="8" t="str"/>
    </x:row>
    <x:row r="1105">
      <x:c r="A1105" s="10" t="n">
        <x:v>1104</x:v>
      </x:c>
      <x:c r="B1105" s="2" t="str">
        <x:v>2차 보류</x:v>
      </x:c>
      <x:c r="C1105" s="2" t="str">
        <x:v>2차 보류</x:v>
      </x:c>
      <x:c r="D1105" s="2" t="str">
        <x:v>낮음</x:v>
      </x:c>
      <x:c r="E1105" s="2" t="str">
        <x:v>N1</x:v>
      </x:c>
      <x:c r="F1105" s="10" t="n">
        <x:v>484</x:v>
      </x:c>
      <x:c r="G1105" s="2" t="str">
        <x:v>w_261a31967386799c</x:v>
      </x:c>
      <x:c r="H1105" s="2" t="str">
        <x:v>救済</x:v>
      </x:c>
      <x:c r="I1105" s="2" t="str">
        <x:v>きゅうさい</x:v>
      </x:c>
      <x:c r="J1105" s="8" t="str">
        <x:v>구제</x:v>
      </x:c>
      <x:c r="K1105" s="2" t="str">
        <x:v>noun</x:v>
      </x:c>
      <x:c r="L1105" s="9" t="n">
        <x:v>4.03</x:v>
      </x:c>
      <x:c r="M1105" s="2" t="str">
        <x:v>없음</x:v>
      </x:c>
      <x:c r="N1105" s="11" t="n">
        <x:v>-4</x:v>
      </x:c>
      <x:c r="O1105" s="8" t="str">
        <x:v>기존 한국어 뜻 품질 감사 대상; 검증된 예문 없음; 기존 데이터의 한국어 콘텐츠 보강 필요 태그</x:v>
      </x:c>
      <x:c r="P1105" s="8" t="str">
        <x:v>legacy_gloss_audit:senses_5_6,no_example,weak_legacy_content</x:v>
      </x:c>
      <x:c r="Q1105" s="2" t="str"/>
      <x:c r="R1105" s="2" t="str"/>
      <x:c r="S1105" s="2" t="str"/>
      <x:c r="T1105" s="2" t="str"/>
      <x:c r="U1105" s="2" t="str"/>
      <x:c r="V1105" s="2" t="str">
        <x:v>아니오</x:v>
      </x:c>
      <x:c r="W1105" s="2" t="str">
        <x:v>예</x:v>
      </x:c>
      <x:c r="X1105" s="2" t="str">
        <x:v>ichi1,news1,nf04</x:v>
      </x:c>
      <x:c r="Y1105" s="2" t="n">
        <x:v>100</x:v>
      </x:c>
      <x:c r="Z1105" s="2" t="str">
        <x:v>ichi1,news1,nf04</x:v>
      </x:c>
      <x:c r="AA1105" s="2" t="n">
        <x:v>100</x:v>
      </x:c>
      <x:c r="AB1105" s="8" t="str"/>
      <x:c r="AC1105" s="8" t="str">
        <x:v>senses_5_6</x:v>
      </x:c>
      <x:c r="AD1105" s="8" t="str">
        <x:v>["draft-ko-missing"]</x:v>
      </x:c>
      <x:c r="AE1105" s="8" t="str">
        <x:v>검토 필요</x:v>
      </x:c>
      <x:c r="AF1105" s="8" t="str"/>
    </x:row>
    <x:row r="1106">
      <x:c r="A1106" s="10" t="n">
        <x:v>1105</x:v>
      </x:c>
      <x:c r="B1106" s="2" t="str">
        <x:v>2차 보류</x:v>
      </x:c>
      <x:c r="C1106" s="2" t="str">
        <x:v>2차 보류</x:v>
      </x:c>
      <x:c r="D1106" s="2" t="str">
        <x:v>낮음</x:v>
      </x:c>
      <x:c r="E1106" s="2" t="str">
        <x:v>N1</x:v>
      </x:c>
      <x:c r="F1106" s="10" t="n">
        <x:v>485</x:v>
      </x:c>
      <x:c r="G1106" s="2" t="str">
        <x:v>w_cf3403f54f35fc2a</x:v>
      </x:c>
      <x:c r="H1106" s="2" t="str">
        <x:v>身近</x:v>
      </x:c>
      <x:c r="I1106" s="2" t="str">
        <x:v>みぢか</x:v>
      </x:c>
      <x:c r="J1106" s="8" t="str">
        <x:v>신변, 가까움, 친근함</x:v>
      </x:c>
      <x:c r="K1106" s="2" t="str">
        <x:v>adjective</x:v>
      </x:c>
      <x:c r="L1106" s="9" t="n">
        <x:v>4.03</x:v>
      </x:c>
      <x:c r="M1106" s="2" t="str">
        <x:v>없음</x:v>
      </x:c>
      <x:c r="N1106" s="11" t="n">
        <x:v>-4</x:v>
      </x:c>
      <x:c r="O1106" s="8" t="str">
        <x:v>기존 한국어 뜻 품질 감사 대상; 검증된 예문 없음; 기존 데이터의 한국어 콘텐츠 보강 필요 태그</x:v>
      </x:c>
      <x:c r="P1106" s="8" t="str">
        <x:v>legacy_gloss_audit:senses_5_6,no_example,weak_legacy_content</x:v>
      </x:c>
      <x:c r="Q1106" s="2" t="str"/>
      <x:c r="R1106" s="2" t="str"/>
      <x:c r="S1106" s="2" t="str"/>
      <x:c r="T1106" s="2" t="str"/>
      <x:c r="U1106" s="2" t="str"/>
      <x:c r="V1106" s="2" t="str">
        <x:v>아니오</x:v>
      </x:c>
      <x:c r="W1106" s="2" t="str">
        <x:v>예</x:v>
      </x:c>
      <x:c r="X1106" s="2" t="str">
        <x:v>ichi1,news1,nf24</x:v>
      </x:c>
      <x:c r="Y1106" s="2" t="n">
        <x:v>100</x:v>
      </x:c>
      <x:c r="Z1106" s="2" t="str">
        <x:v>ichi1,news1,nf24</x:v>
      </x:c>
      <x:c r="AA1106" s="2" t="n">
        <x:v>100</x:v>
      </x:c>
      <x:c r="AB1106" s="8" t="str"/>
      <x:c r="AC1106" s="8" t="str">
        <x:v>senses_5_6</x:v>
      </x:c>
      <x:c r="AD1106" s="8" t="str">
        <x:v>["draft-ko-missing"]</x:v>
      </x:c>
      <x:c r="AE1106" s="8" t="str">
        <x:v>검토 필요</x:v>
      </x:c>
      <x:c r="AF1106" s="8" t="str"/>
    </x:row>
    <x:row r="1107">
      <x:c r="A1107" s="10" t="n">
        <x:v>1106</x:v>
      </x:c>
      <x:c r="B1107" s="2" t="str">
        <x:v>2차 보류</x:v>
      </x:c>
      <x:c r="C1107" s="2" t="str">
        <x:v>2차 보류</x:v>
      </x:c>
      <x:c r="D1107" s="2" t="str">
        <x:v>낮음</x:v>
      </x:c>
      <x:c r="E1107" s="2" t="str">
        <x:v>N3</x:v>
      </x:c>
      <x:c r="F1107" s="10" t="n">
        <x:v>132</x:v>
      </x:c>
      <x:c r="G1107" s="2" t="str">
        <x:v>w_7fc6998a41dc9a56</x:v>
      </x:c>
      <x:c r="H1107" s="2" t="str">
        <x:v>戻す</x:v>
      </x:c>
      <x:c r="I1107" s="2" t="str">
        <x:v>もどす</x:v>
      </x:c>
      <x:c r="J1107" s="8" t="str">
        <x:v>되돌리다, 돌려놓다</x:v>
      </x:c>
      <x:c r="K1107" s="2" t="str">
        <x:v>verb</x:v>
      </x:c>
      <x:c r="L1107" s="9" t="n">
        <x:v>4.05</x:v>
      </x:c>
      <x:c r="M1107" s="2" t="str">
        <x:v>없음</x:v>
      </x:c>
      <x:c r="N1107" s="11" t="n">
        <x:v>-4</x:v>
      </x:c>
      <x:c r="O1107" s="8" t="str">
        <x:v>기존 한국어 뜻 품질 감사 대상; 검증된 예문 없음; 기존 데이터의 한국어 콘텐츠 보강 필요 태그</x:v>
      </x:c>
      <x:c r="P1107" s="8" t="str">
        <x:v>legacy_gloss_audit:senses_5_6,no_example,weak_legacy_content</x:v>
      </x:c>
      <x:c r="Q1107" s="2" t="str"/>
      <x:c r="R1107" s="2" t="str"/>
      <x:c r="S1107" s="2" t="str"/>
      <x:c r="T1107" s="2" t="str"/>
      <x:c r="U1107" s="2" t="str"/>
      <x:c r="V1107" s="2" t="str">
        <x:v>아니오</x:v>
      </x:c>
      <x:c r="W1107" s="2" t="str">
        <x:v>예</x:v>
      </x:c>
      <x:c r="X1107" s="2" t="str">
        <x:v>ichi1,news1,nf23</x:v>
      </x:c>
      <x:c r="Y1107" s="2" t="n">
        <x:v>100</x:v>
      </x:c>
      <x:c r="Z1107" s="2" t="str">
        <x:v>ichi1,news1,nf23</x:v>
      </x:c>
      <x:c r="AA1107" s="2" t="n">
        <x:v>100</x:v>
      </x:c>
      <x:c r="AB1107" s="8" t="str"/>
      <x:c r="AC1107" s="8" t="str">
        <x:v>senses_5_6</x:v>
      </x:c>
      <x:c r="AD1107" s="8" t="str">
        <x:v>["draft-ko-missing"]</x:v>
      </x:c>
      <x:c r="AE1107" s="8" t="str">
        <x:v>검토 필요</x:v>
      </x:c>
      <x:c r="AF1107" s="8" t="str"/>
    </x:row>
    <x:row r="1108">
      <x:c r="A1108" s="10" t="n">
        <x:v>1107</x:v>
      </x:c>
      <x:c r="B1108" s="2" t="str">
        <x:v>2차 보류</x:v>
      </x:c>
      <x:c r="C1108" s="2" t="str">
        <x:v>2차 보류</x:v>
      </x:c>
      <x:c r="D1108" s="2" t="str">
        <x:v>낮음</x:v>
      </x:c>
      <x:c r="E1108" s="2" t="str">
        <x:v>N1</x:v>
      </x:c>
      <x:c r="F1108" s="10" t="n">
        <x:v>486</x:v>
      </x:c>
      <x:c r="G1108" s="2" t="str">
        <x:v>w_2119dd3cac2a55fa</x:v>
      </x:c>
      <x:c r="H1108" s="2" t="str">
        <x:v>救い</x:v>
      </x:c>
      <x:c r="I1108" s="2" t="str">
        <x:v>すくい</x:v>
      </x:c>
      <x:c r="J1108" s="8" t="str">
        <x:v>구원, 도움</x:v>
      </x:c>
      <x:c r="K1108" s="2" t="str">
        <x:v>noun</x:v>
      </x:c>
      <x:c r="L1108" s="9" t="n">
        <x:v>4.11</x:v>
      </x:c>
      <x:c r="M1108" s="2" t="str">
        <x:v>없음</x:v>
      </x:c>
      <x:c r="N1108" s="11" t="n">
        <x:v>-4</x:v>
      </x:c>
      <x:c r="O1108" s="8" t="str">
        <x:v>기존 한국어 뜻 품질 감사 대상; 검증된 예문 없음; 기존 데이터의 한국어 콘텐츠 보강 필요 태그</x:v>
      </x:c>
      <x:c r="P1108" s="8" t="str">
        <x:v>legacy_gloss_audit:senses_5_6,no_example,weak_legacy_content</x:v>
      </x:c>
      <x:c r="Q1108" s="2" t="str"/>
      <x:c r="R1108" s="2" t="str"/>
      <x:c r="S1108" s="2" t="str"/>
      <x:c r="T1108" s="2" t="str"/>
      <x:c r="U1108" s="2" t="str"/>
      <x:c r="V1108" s="2" t="str">
        <x:v>아니오</x:v>
      </x:c>
      <x:c r="W1108" s="2" t="str">
        <x:v>예</x:v>
      </x:c>
      <x:c r="X1108" s="2" t="str">
        <x:v>ichi1,news1,nf14</x:v>
      </x:c>
      <x:c r="Y1108" s="2" t="n">
        <x:v>100</x:v>
      </x:c>
      <x:c r="Z1108" s="2" t="str">
        <x:v>ichi1,news1,nf14</x:v>
      </x:c>
      <x:c r="AA1108" s="2" t="n">
        <x:v>100</x:v>
      </x:c>
      <x:c r="AB1108" s="8" t="str"/>
      <x:c r="AC1108" s="8" t="str">
        <x:v>senses_5_6</x:v>
      </x:c>
      <x:c r="AD1108" s="8" t="str">
        <x:v>["draft-ko-missing"]</x:v>
      </x:c>
      <x:c r="AE1108" s="8" t="str">
        <x:v>검토 필요</x:v>
      </x:c>
      <x:c r="AF1108" s="8" t="str"/>
    </x:row>
    <x:row r="1109">
      <x:c r="A1109" s="10" t="n">
        <x:v>1108</x:v>
      </x:c>
      <x:c r="B1109" s="2" t="str">
        <x:v>2차 보류</x:v>
      </x:c>
      <x:c r="C1109" s="2" t="str">
        <x:v>2차 보류</x:v>
      </x:c>
      <x:c r="D1109" s="2" t="str">
        <x:v>낮음</x:v>
      </x:c>
      <x:c r="E1109" s="2" t="str">
        <x:v>N3</x:v>
      </x:c>
      <x:c r="F1109" s="10" t="n">
        <x:v>133</x:v>
      </x:c>
      <x:c r="G1109" s="2" t="str">
        <x:v>w_08923ac6c2b95253</x:v>
      </x:c>
      <x:c r="H1109" s="2" t="str">
        <x:v>救助</x:v>
      </x:c>
      <x:c r="I1109" s="2" t="str">
        <x:v>きゅうじょ</x:v>
      </x:c>
      <x:c r="J1109" s="8" t="str">
        <x:v>구조, 구출</x:v>
      </x:c>
      <x:c r="K1109" s="2" t="str">
        <x:v>noun</x:v>
      </x:c>
      <x:c r="L1109" s="9" t="n">
        <x:v>4.13</x:v>
      </x:c>
      <x:c r="M1109" s="2" t="str">
        <x:v>없음</x:v>
      </x:c>
      <x:c r="N1109" s="11" t="n">
        <x:v>-4</x:v>
      </x:c>
      <x:c r="O1109" s="8" t="str">
        <x:v>기존 한국어 뜻 품질 감사 대상; 검증된 예문 없음; 기존 데이터의 한국어 콘텐츠 보강 필요 태그</x:v>
      </x:c>
      <x:c r="P1109" s="8" t="str">
        <x:v>legacy_gloss_audit:senses_5_6,no_example,weak_legacy_content</x:v>
      </x:c>
      <x:c r="Q1109" s="2" t="str"/>
      <x:c r="R1109" s="2" t="str"/>
      <x:c r="S1109" s="2" t="str"/>
      <x:c r="T1109" s="2" t="str"/>
      <x:c r="U1109" s="2" t="str"/>
      <x:c r="V1109" s="2" t="str">
        <x:v>아니오</x:v>
      </x:c>
      <x:c r="W1109" s="2" t="str">
        <x:v>예</x:v>
      </x:c>
      <x:c r="X1109" s="2" t="str">
        <x:v>ichi1,news1,nf09</x:v>
      </x:c>
      <x:c r="Y1109" s="2" t="n">
        <x:v>100</x:v>
      </x:c>
      <x:c r="Z1109" s="2" t="str">
        <x:v>ichi1,news1,nf09</x:v>
      </x:c>
      <x:c r="AA1109" s="2" t="n">
        <x:v>100</x:v>
      </x:c>
      <x:c r="AB1109" s="8" t="str"/>
      <x:c r="AC1109" s="8" t="str">
        <x:v>senses_5_6</x:v>
      </x:c>
      <x:c r="AD1109" s="8" t="str">
        <x:v>["draft-ko-missing"]</x:v>
      </x:c>
      <x:c r="AE1109" s="8" t="str">
        <x:v>검토 필요</x:v>
      </x:c>
      <x:c r="AF1109" s="8" t="str"/>
    </x:row>
    <x:row r="1110">
      <x:c r="A1110" s="10" t="n">
        <x:v>1109</x:v>
      </x:c>
      <x:c r="B1110" s="2" t="str">
        <x:v>2차 보류</x:v>
      </x:c>
      <x:c r="C1110" s="2" t="str">
        <x:v>2차 보류</x:v>
      </x:c>
      <x:c r="D1110" s="2" t="str">
        <x:v>낮음</x:v>
      </x:c>
      <x:c r="E1110" s="2" t="str">
        <x:v>N3</x:v>
      </x:c>
      <x:c r="F1110" s="10" t="n">
        <x:v>134</x:v>
      </x:c>
      <x:c r="G1110" s="2" t="str">
        <x:v>w_6dd31bd87ca4777f</x:v>
      </x:c>
      <x:c r="H1110" s="2" t="str">
        <x:v>休暇</x:v>
      </x:c>
      <x:c r="I1110" s="2" t="str">
        <x:v>きゅうか</x:v>
      </x:c>
      <x:c r="J1110" s="8" t="str">
        <x:v>휴가</x:v>
      </x:c>
      <x:c r="K1110" s="2" t="str">
        <x:v>noun</x:v>
      </x:c>
      <x:c r="L1110" s="9" t="n">
        <x:v>4.14</x:v>
      </x:c>
      <x:c r="M1110" s="2" t="str">
        <x:v>없음</x:v>
      </x:c>
      <x:c r="N1110" s="11" t="n">
        <x:v>-4</x:v>
      </x:c>
      <x:c r="O1110" s="8" t="str">
        <x:v>기존 한국어 뜻 품질 감사 대상; 검증된 예문 없음; 기존 데이터의 한국어 콘텐츠 보강 필요 태그</x:v>
      </x:c>
      <x:c r="P1110" s="8" t="str">
        <x:v>legacy_gloss_audit:senses_5_6,no_example,weak_legacy_content</x:v>
      </x:c>
      <x:c r="Q1110" s="2" t="str"/>
      <x:c r="R1110" s="2" t="str"/>
      <x:c r="S1110" s="2" t="str"/>
      <x:c r="T1110" s="2" t="str"/>
      <x:c r="U1110" s="2" t="str"/>
      <x:c r="V1110" s="2" t="str">
        <x:v>아니오</x:v>
      </x:c>
      <x:c r="W1110" s="2" t="str">
        <x:v>예</x:v>
      </x:c>
      <x:c r="X1110" s="2" t="str">
        <x:v>ichi1,news1,nf05</x:v>
      </x:c>
      <x:c r="Y1110" s="2" t="n">
        <x:v>100</x:v>
      </x:c>
      <x:c r="Z1110" s="2" t="str">
        <x:v>ichi1,news1,nf05</x:v>
      </x:c>
      <x:c r="AA1110" s="2" t="n">
        <x:v>100</x:v>
      </x:c>
      <x:c r="AB1110" s="8" t="str"/>
      <x:c r="AC1110" s="8" t="str">
        <x:v>senses_5_6</x:v>
      </x:c>
      <x:c r="AD1110" s="8" t="str">
        <x:v>["draft-ko-missing"]</x:v>
      </x:c>
      <x:c r="AE1110" s="8" t="str">
        <x:v>검토 필요</x:v>
      </x:c>
      <x:c r="AF1110" s="8" t="str"/>
    </x:row>
    <x:row r="1111">
      <x:c r="A1111" s="10" t="n">
        <x:v>1110</x:v>
      </x:c>
      <x:c r="B1111" s="2" t="str">
        <x:v>2차 보류</x:v>
      </x:c>
      <x:c r="C1111" s="2" t="str">
        <x:v>2차 보류</x:v>
      </x:c>
      <x:c r="D1111" s="2" t="str">
        <x:v>낮음</x:v>
      </x:c>
      <x:c r="E1111" s="2" t="str">
        <x:v>N3</x:v>
      </x:c>
      <x:c r="F1111" s="10" t="n">
        <x:v>135</x:v>
      </x:c>
      <x:c r="G1111" s="2" t="str">
        <x:v>w_e827f2cbbdfecbdf</x:v>
      </x:c>
      <x:c r="H1111" s="2" t="str">
        <x:v>交際</x:v>
      </x:c>
      <x:c r="I1111" s="2" t="str">
        <x:v>こうさい</x:v>
      </x:c>
      <x:c r="J1111" s="8" t="str">
        <x:v>교제</x:v>
      </x:c>
      <x:c r="K1111" s="2" t="str">
        <x:v>noun</x:v>
      </x:c>
      <x:c r="L1111" s="9" t="n">
        <x:v>4.16</x:v>
      </x:c>
      <x:c r="M1111" s="2" t="str">
        <x:v>없음</x:v>
      </x:c>
      <x:c r="N1111" s="11" t="n">
        <x:v>-4</x:v>
      </x:c>
      <x:c r="O1111" s="8" t="str">
        <x:v>기존 한국어 뜻 품질 감사 대상; 검증된 예문 없음; 기존 데이터의 한국어 콘텐츠 보강 필요 태그</x:v>
      </x:c>
      <x:c r="P1111" s="8" t="str">
        <x:v>legacy_gloss_audit:senses_5_6,no_example,weak_legacy_content</x:v>
      </x:c>
      <x:c r="Q1111" s="2" t="str"/>
      <x:c r="R1111" s="2" t="str"/>
      <x:c r="S1111" s="2" t="str"/>
      <x:c r="T1111" s="2" t="str"/>
      <x:c r="U1111" s="2" t="str"/>
      <x:c r="V1111" s="2" t="str">
        <x:v>아니오</x:v>
      </x:c>
      <x:c r="W1111" s="2" t="str">
        <x:v>예</x:v>
      </x:c>
      <x:c r="X1111" s="2" t="str">
        <x:v>ichi1,news1,nf11</x:v>
      </x:c>
      <x:c r="Y1111" s="2" t="n">
        <x:v>100</x:v>
      </x:c>
      <x:c r="Z1111" s="2" t="str">
        <x:v>ichi1,news1,nf11</x:v>
      </x:c>
      <x:c r="AA1111" s="2" t="n">
        <x:v>100</x:v>
      </x:c>
      <x:c r="AB1111" s="8" t="str"/>
      <x:c r="AC1111" s="8" t="str">
        <x:v>senses_5_6</x:v>
      </x:c>
      <x:c r="AD1111" s="8" t="str">
        <x:v>["draft-ko-missing"]</x:v>
      </x:c>
      <x:c r="AE1111" s="8" t="str">
        <x:v>검토 필요</x:v>
      </x:c>
      <x:c r="AF1111" s="8" t="str"/>
    </x:row>
    <x:row r="1112">
      <x:c r="A1112" s="10" t="n">
        <x:v>1111</x:v>
      </x:c>
      <x:c r="B1112" s="2" t="str">
        <x:v>2차 보류</x:v>
      </x:c>
      <x:c r="C1112" s="2" t="str">
        <x:v>2차 보류</x:v>
      </x:c>
      <x:c r="D1112" s="2" t="str">
        <x:v>낮음</x:v>
      </x:c>
      <x:c r="E1112" s="2" t="str">
        <x:v>N2</x:v>
      </x:c>
      <x:c r="F1112" s="10" t="n">
        <x:v>396</x:v>
      </x:c>
      <x:c r="G1112" s="2" t="str">
        <x:v>w_2cb1c7848a99643f</x:v>
      </x:c>
      <x:c r="H1112" s="2" t="str">
        <x:v>引っ越し</x:v>
      </x:c>
      <x:c r="I1112" s="2" t="str">
        <x:v>ひっこし</x:v>
      </x:c>
      <x:c r="J1112" s="8" t="str">
        <x:v>이사</x:v>
      </x:c>
      <x:c r="K1112" s="2" t="str">
        <x:v>noun</x:v>
      </x:c>
      <x:c r="L1112" s="9" t="n">
        <x:v>4.22</x:v>
      </x:c>
      <x:c r="M1112" s="2" t="str">
        <x:v>없음</x:v>
      </x:c>
      <x:c r="N1112" s="11" t="n">
        <x:v>-4</x:v>
      </x:c>
      <x:c r="O1112" s="8" t="str">
        <x:v>기존 한국어 뜻 품질 감사 대상; 검증된 예문 없음; 기존 데이터의 한국어 콘텐츠 보강 필요 태그</x:v>
      </x:c>
      <x:c r="P1112" s="8" t="str">
        <x:v>legacy_gloss_audit:senses_5_6,no_example,weak_legacy_content</x:v>
      </x:c>
      <x:c r="Q1112" s="2" t="str"/>
      <x:c r="R1112" s="2" t="str"/>
      <x:c r="S1112" s="2" t="str"/>
      <x:c r="T1112" s="2" t="str"/>
      <x:c r="U1112" s="2" t="str"/>
      <x:c r="V1112" s="2" t="str">
        <x:v>아니오</x:v>
      </x:c>
      <x:c r="W1112" s="2" t="str">
        <x:v>예</x:v>
      </x:c>
      <x:c r="X1112" s="2" t="str">
        <x:v>ichi1,news1,nf12</x:v>
      </x:c>
      <x:c r="Y1112" s="2" t="n">
        <x:v>100</x:v>
      </x:c>
      <x:c r="Z1112" s="2" t="str">
        <x:v>ichi1,news1,nf12</x:v>
      </x:c>
      <x:c r="AA1112" s="2" t="n">
        <x:v>100</x:v>
      </x:c>
      <x:c r="AB1112" s="8" t="str"/>
      <x:c r="AC1112" s="8" t="str">
        <x:v>senses_5_6</x:v>
      </x:c>
      <x:c r="AD1112" s="8" t="str">
        <x:v>["draft-ko-missing"]</x:v>
      </x:c>
      <x:c r="AE1112" s="8" t="str">
        <x:v>검토 필요</x:v>
      </x:c>
      <x:c r="AF1112" s="8" t="str"/>
    </x:row>
    <x:row r="1113">
      <x:c r="A1113" s="10" t="n">
        <x:v>1112</x:v>
      </x:c>
      <x:c r="B1113" s="2" t="str">
        <x:v>2차 보류</x:v>
      </x:c>
      <x:c r="C1113" s="2" t="str">
        <x:v>2차 보류</x:v>
      </x:c>
      <x:c r="D1113" s="2" t="str">
        <x:v>낮음</x:v>
      </x:c>
      <x:c r="E1113" s="2" t="str">
        <x:v>N2</x:v>
      </x:c>
      <x:c r="F1113" s="10" t="n">
        <x:v>397</x:v>
      </x:c>
      <x:c r="G1113" s="2" t="str">
        <x:v>w_1a6cab79eb8539bd</x:v>
      </x:c>
      <x:c r="H1113" s="2" t="str">
        <x:v>上級</x:v>
      </x:c>
      <x:c r="I1113" s="2" t="str">
        <x:v>じょうきゅう</x:v>
      </x:c>
      <x:c r="J1113" s="8" t="str">
        <x:v>상급, 고급</x:v>
      </x:c>
      <x:c r="K1113" s="2" t="str">
        <x:v>noun</x:v>
      </x:c>
      <x:c r="L1113" s="9" t="n">
        <x:v>4.25</x:v>
      </x:c>
      <x:c r="M1113" s="2" t="str">
        <x:v>없음</x:v>
      </x:c>
      <x:c r="N1113" s="11" t="n">
        <x:v>-4</x:v>
      </x:c>
      <x:c r="O1113" s="8" t="str">
        <x:v>기존 한국어 뜻 품질 감사 대상; 검증된 예문 없음; 기존 데이터의 한국어 콘텐츠 보강 필요 태그</x:v>
      </x:c>
      <x:c r="P1113" s="8" t="str">
        <x:v>legacy_gloss_audit:senses_ge7,no_example,weak_legacy_content</x:v>
      </x:c>
      <x:c r="Q1113" s="2" t="str"/>
      <x:c r="R1113" s="2" t="str"/>
      <x:c r="S1113" s="2" t="str"/>
      <x:c r="T1113" s="2" t="str"/>
      <x:c r="U1113" s="2" t="str"/>
      <x:c r="V1113" s="2" t="str">
        <x:v>아니오</x:v>
      </x:c>
      <x:c r="W1113" s="2" t="str">
        <x:v>예</x:v>
      </x:c>
      <x:c r="X1113" s="2" t="str">
        <x:v>ichi1,news1,nf10</x:v>
      </x:c>
      <x:c r="Y1113" s="2" t="n">
        <x:v>100</x:v>
      </x:c>
      <x:c r="Z1113" s="2" t="str">
        <x:v>ichi1,news1,nf10</x:v>
      </x:c>
      <x:c r="AA1113" s="2" t="n">
        <x:v>100</x:v>
      </x:c>
      <x:c r="AB1113" s="8" t="str"/>
      <x:c r="AC1113" s="8" t="str">
        <x:v>senses_ge7</x:v>
      </x:c>
      <x:c r="AD1113" s="8" t="str">
        <x:v>["draft-ko-missing"]</x:v>
      </x:c>
      <x:c r="AE1113" s="8" t="str">
        <x:v>검토 필요</x:v>
      </x:c>
      <x:c r="AF1113" s="8" t="str"/>
    </x:row>
    <x:row r="1114">
      <x:c r="A1114" s="10" t="n">
        <x:v>1113</x:v>
      </x:c>
      <x:c r="B1114" s="2" t="str">
        <x:v>2차 보류</x:v>
      </x:c>
      <x:c r="C1114" s="2" t="str">
        <x:v>2차 보류</x:v>
      </x:c>
      <x:c r="D1114" s="2" t="str">
        <x:v>낮음</x:v>
      </x:c>
      <x:c r="E1114" s="2" t="str">
        <x:v>N1</x:v>
      </x:c>
      <x:c r="F1114" s="10" t="n">
        <x:v>487</x:v>
      </x:c>
      <x:c r="G1114" s="2" t="str">
        <x:v>w_10284144fa6f8fa9</x:v>
      </x:c>
      <x:c r="H1114" s="2" t="str">
        <x:v>提示</x:v>
      </x:c>
      <x:c r="I1114" s="2" t="str">
        <x:v>ていじ</x:v>
      </x:c>
      <x:c r="J1114" s="8" t="str">
        <x:v>제시</x:v>
      </x:c>
      <x:c r="K1114" s="2" t="str">
        <x:v>noun</x:v>
      </x:c>
      <x:c r="L1114" s="9" t="n">
        <x:v>4.25</x:v>
      </x:c>
      <x:c r="M1114" s="2" t="str">
        <x:v>없음</x:v>
      </x:c>
      <x:c r="N1114" s="11" t="n">
        <x:v>-4</x:v>
      </x:c>
      <x:c r="O1114" s="8" t="str">
        <x:v>기존 한국어 뜻 품질 감사 대상; 검증된 예문 없음; 기존 데이터의 한국어 콘텐츠 보강 필요 태그</x:v>
      </x:c>
      <x:c r="P1114" s="8" t="str">
        <x:v>legacy_gloss_audit:senses_5_6,no_example,weak_legacy_content</x:v>
      </x:c>
      <x:c r="Q1114" s="2" t="str"/>
      <x:c r="R1114" s="2" t="str"/>
      <x:c r="S1114" s="2" t="str"/>
      <x:c r="T1114" s="2" t="str"/>
      <x:c r="U1114" s="2" t="str"/>
      <x:c r="V1114" s="2" t="str">
        <x:v>아니오</x:v>
      </x:c>
      <x:c r="W1114" s="2" t="str">
        <x:v>예</x:v>
      </x:c>
      <x:c r="X1114" s="2" t="str">
        <x:v>news1,nf10</x:v>
      </x:c>
      <x:c r="Y1114" s="2" t="n">
        <x:v>100</x:v>
      </x:c>
      <x:c r="Z1114" s="2" t="str">
        <x:v>news1,nf10</x:v>
      </x:c>
      <x:c r="AA1114" s="2" t="n">
        <x:v>100</x:v>
      </x:c>
      <x:c r="AB1114" s="8" t="str"/>
      <x:c r="AC1114" s="8" t="str">
        <x:v>senses_5_6</x:v>
      </x:c>
      <x:c r="AD1114" s="8" t="str">
        <x:v>["draft-ko-missing"]</x:v>
      </x:c>
      <x:c r="AE1114" s="8" t="str">
        <x:v>검토 필요</x:v>
      </x:c>
      <x:c r="AF1114" s="8" t="str"/>
    </x:row>
    <x:row r="1115">
      <x:c r="A1115" s="10" t="n">
        <x:v>1114</x:v>
      </x:c>
      <x:c r="B1115" s="2" t="str">
        <x:v>2차 보류</x:v>
      </x:c>
      <x:c r="C1115" s="2" t="str">
        <x:v>2차 보류</x:v>
      </x:c>
      <x:c r="D1115" s="2" t="str">
        <x:v>낮음</x:v>
      </x:c>
      <x:c r="E1115" s="2" t="str">
        <x:v>N3</x:v>
      </x:c>
      <x:c r="F1115" s="10" t="n">
        <x:v>136</x:v>
      </x:c>
      <x:c r="G1115" s="2" t="str">
        <x:v>w_471352b7953c55a4</x:v>
      </x:c>
      <x:c r="H1115" s="2" t="str">
        <x:v>集まり</x:v>
      </x:c>
      <x:c r="I1115" s="2" t="str">
        <x:v>あつまり</x:v>
      </x:c>
      <x:c r="J1115" s="8" t="str">
        <x:v>모임, 집합</x:v>
      </x:c>
      <x:c r="K1115" s="2" t="str">
        <x:v>noun</x:v>
      </x:c>
      <x:c r="L1115" s="9" t="n">
        <x:v>4.27</x:v>
      </x:c>
      <x:c r="M1115" s="2" t="str">
        <x:v>없음</x:v>
      </x:c>
      <x:c r="N1115" s="11" t="n">
        <x:v>-4</x:v>
      </x:c>
      <x:c r="O1115" s="8" t="str">
        <x:v>기존 한국어 뜻 품질 감사 대상; 검증된 예문 없음; 기존 데이터의 한국어 콘텐츠 보강 필요 태그</x:v>
      </x:c>
      <x:c r="P1115" s="8" t="str">
        <x:v>legacy_gloss_audit:senses_5_6,no_example,weak_legacy_content</x:v>
      </x:c>
      <x:c r="Q1115" s="2" t="str"/>
      <x:c r="R1115" s="2" t="str"/>
      <x:c r="S1115" s="2" t="str"/>
      <x:c r="T1115" s="2" t="str"/>
      <x:c r="U1115" s="2" t="str"/>
      <x:c r="V1115" s="2" t="str">
        <x:v>아니오</x:v>
      </x:c>
      <x:c r="W1115" s="2" t="str">
        <x:v>예</x:v>
      </x:c>
      <x:c r="X1115" s="2" t="str">
        <x:v>ichi1,news1,nf09</x:v>
      </x:c>
      <x:c r="Y1115" s="2" t="n">
        <x:v>100</x:v>
      </x:c>
      <x:c r="Z1115" s="2" t="str">
        <x:v>ichi1,news1,nf09</x:v>
      </x:c>
      <x:c r="AA1115" s="2" t="n">
        <x:v>100</x:v>
      </x:c>
      <x:c r="AB1115" s="8" t="str"/>
      <x:c r="AC1115" s="8" t="str">
        <x:v>senses_5_6</x:v>
      </x:c>
      <x:c r="AD1115" s="8" t="str">
        <x:v>["draft-ko-missing"]</x:v>
      </x:c>
      <x:c r="AE1115" s="8" t="str">
        <x:v>검토 필요</x:v>
      </x:c>
      <x:c r="AF1115" s="8" t="str"/>
    </x:row>
    <x:row r="1116">
      <x:c r="A1116" s="10" t="n">
        <x:v>1115</x:v>
      </x:c>
      <x:c r="B1116" s="2" t="str">
        <x:v>2차 보류</x:v>
      </x:c>
      <x:c r="C1116" s="2" t="str">
        <x:v>2차 보류</x:v>
      </x:c>
      <x:c r="D1116" s="2" t="str">
        <x:v>낮음</x:v>
      </x:c>
      <x:c r="E1116" s="2" t="str">
        <x:v>N4</x:v>
      </x:c>
      <x:c r="F1116" s="10" t="n">
        <x:v>76</x:v>
      </x:c>
      <x:c r="G1116" s="2" t="str">
        <x:v>w_16699f6292844bcd</x:v>
      </x:c>
      <x:c r="H1116" s="2" t="str">
        <x:v>オーバー</x:v>
      </x:c>
      <x:c r="I1116" s="2" t="str">
        <x:v>オーバー</x:v>
      </x:c>
      <x:c r="J1116" s="8" t="str">
        <x:v>오버코트; 초과, 과장</x:v>
      </x:c>
      <x:c r="K1116" s="2" t="str">
        <x:v>noun</x:v>
      </x:c>
      <x:c r="L1116" s="9" t="n">
        <x:v>4.3</x:v>
      </x:c>
      <x:c r="M1116" s="2" t="str">
        <x:v>없음</x:v>
      </x:c>
      <x:c r="N1116" s="11" t="n">
        <x:v>-4</x:v>
      </x:c>
      <x:c r="O1116" s="8" t="str">
        <x:v>기존 한국어 뜻 품질 감사 대상; 검증된 예문 없음; 기존 데이터의 한국어 콘텐츠 보강 필요 태그</x:v>
      </x:c>
      <x:c r="P1116" s="8" t="str">
        <x:v>legacy_gloss_audit:senses_5_6,no_example,weak_legacy_content</x:v>
      </x:c>
      <x:c r="Q1116" s="2" t="str"/>
      <x:c r="R1116" s="2" t="str"/>
      <x:c r="S1116" s="2" t="str"/>
      <x:c r="T1116" s="2" t="str"/>
      <x:c r="U1116" s="2" t="str"/>
      <x:c r="V1116" s="2" t="str">
        <x:v>아니오</x:v>
      </x:c>
      <x:c r="W1116" s="2" t="str">
        <x:v>예</x:v>
      </x:c>
      <x:c r="X1116" s="2" t="str">
        <x:v>gai1</x:v>
      </x:c>
      <x:c r="Y1116" s="2" t="n">
        <x:v>100</x:v>
      </x:c>
      <x:c r="Z1116" s="2" t="str">
        <x:v>gai1</x:v>
      </x:c>
      <x:c r="AA1116" s="2" t="n">
        <x:v>100</x:v>
      </x:c>
      <x:c r="AB1116" s="8" t="str">
        <x:v>abbreviation</x:v>
      </x:c>
      <x:c r="AC1116" s="8" t="str">
        <x:v>senses_5_6</x:v>
      </x:c>
      <x:c r="AD1116" s="8" t="str">
        <x:v>["draft-ko-missing"]</x:v>
      </x:c>
      <x:c r="AE1116" s="8" t="str">
        <x:v>검토 필요</x:v>
      </x:c>
      <x:c r="AF1116" s="8" t="str"/>
    </x:row>
    <x:row r="1117">
      <x:c r="A1117" s="10" t="n">
        <x:v>1116</x:v>
      </x:c>
      <x:c r="B1117" s="2" t="str">
        <x:v>2차 보류</x:v>
      </x:c>
      <x:c r="C1117" s="2" t="str">
        <x:v>2차 보류</x:v>
      </x:c>
      <x:c r="D1117" s="2" t="str">
        <x:v>낮음</x:v>
      </x:c>
      <x:c r="E1117" s="2" t="str">
        <x:v>N2</x:v>
      </x:c>
      <x:c r="F1117" s="10" t="n">
        <x:v>398</x:v>
      </x:c>
      <x:c r="G1117" s="2" t="str">
        <x:v>w_bfb48265cff3313b</x:v>
      </x:c>
      <x:c r="H1117" s="2" t="str">
        <x:v>上下</x:v>
      </x:c>
      <x:c r="I1117" s="2" t="str">
        <x:v>じょうげ</x:v>
      </x:c>
      <x:c r="J1117" s="8" t="str">
        <x:v>위아래, 상하</x:v>
      </x:c>
      <x:c r="K1117" s="2" t="str">
        <x:v>noun</x:v>
      </x:c>
      <x:c r="L1117" s="9" t="n">
        <x:v>4.3</x:v>
      </x:c>
      <x:c r="M1117" s="2" t="str">
        <x:v>없음</x:v>
      </x:c>
      <x:c r="N1117" s="11" t="n">
        <x:v>-4</x:v>
      </x:c>
      <x:c r="O1117" s="8" t="str">
        <x:v>기존 한국어 뜻 품질 감사 대상; 검증된 예문 없음; 기존 데이터의 한국어 콘텐츠 보강 필요 태그</x:v>
      </x:c>
      <x:c r="P1117" s="8" t="str">
        <x:v>legacy_gloss_audit:mt_noise_token,no_example,weak_legacy_content</x:v>
      </x:c>
      <x:c r="Q1117" s="2" t="str"/>
      <x:c r="R1117" s="2" t="str"/>
      <x:c r="S1117" s="2" t="str"/>
      <x:c r="T1117" s="2" t="str"/>
      <x:c r="U1117" s="2" t="str"/>
      <x:c r="V1117" s="2" t="str">
        <x:v>아니오</x:v>
      </x:c>
      <x:c r="W1117" s="2" t="str">
        <x:v>예</x:v>
      </x:c>
      <x:c r="X1117" s="2" t="str">
        <x:v>ichi1,news1,nf05</x:v>
      </x:c>
      <x:c r="Y1117" s="2" t="n">
        <x:v>100</x:v>
      </x:c>
      <x:c r="Z1117" s="2" t="str">
        <x:v>ichi1,news1,nf05</x:v>
      </x:c>
      <x:c r="AA1117" s="2" t="n">
        <x:v>100</x:v>
      </x:c>
      <x:c r="AB1117" s="8" t="str"/>
      <x:c r="AC1117" s="8" t="str">
        <x:v>mt_noise_token</x:v>
      </x:c>
      <x:c r="AD1117" s="8" t="str">
        <x:v>["draft-ko-missing"]</x:v>
      </x:c>
      <x:c r="AE1117" s="8" t="str">
        <x:v>검토 필요</x:v>
      </x:c>
      <x:c r="AF1117" s="8" t="str"/>
    </x:row>
    <x:row r="1118">
      <x:c r="A1118" s="10" t="n">
        <x:v>1117</x:v>
      </x:c>
      <x:c r="B1118" s="2" t="str">
        <x:v>2차 보류</x:v>
      </x:c>
      <x:c r="C1118" s="2" t="str">
        <x:v>2차 보류</x:v>
      </x:c>
      <x:c r="D1118" s="2" t="str">
        <x:v>낮음</x:v>
      </x:c>
      <x:c r="E1118" s="2" t="str">
        <x:v>N1</x:v>
      </x:c>
      <x:c r="F1118" s="10" t="n">
        <x:v>488</x:v>
      </x:c>
      <x:c r="G1118" s="2" t="str">
        <x:v>w_aa4d76b169602e1e</x:v>
      </x:c>
      <x:c r="H1118" s="2" t="str">
        <x:v>関与</x:v>
      </x:c>
      <x:c r="I1118" s="2" t="str">
        <x:v>かんよ</x:v>
      </x:c>
      <x:c r="J1118" s="8" t="str">
        <x:v>관여</x:v>
      </x:c>
      <x:c r="K1118" s="2" t="str">
        <x:v>noun</x:v>
      </x:c>
      <x:c r="L1118" s="9" t="n">
        <x:v>4.31</x:v>
      </x:c>
      <x:c r="M1118" s="2" t="str">
        <x:v>없음</x:v>
      </x:c>
      <x:c r="N1118" s="11" t="n">
        <x:v>-4</x:v>
      </x:c>
      <x:c r="O1118" s="8" t="str">
        <x:v>기존 한국어 뜻 품질 감사 대상; 검증된 예문 없음; 기존 데이터의 한국어 콘텐츠 보강 필요 태그</x:v>
      </x:c>
      <x:c r="P1118" s="8" t="str">
        <x:v>legacy_gloss_audit:mt_noise_token,no_example,weak_legacy_content</x:v>
      </x:c>
      <x:c r="Q1118" s="2" t="str"/>
      <x:c r="R1118" s="2" t="str"/>
      <x:c r="S1118" s="2" t="str"/>
      <x:c r="T1118" s="2" t="str"/>
      <x:c r="U1118" s="2" t="str"/>
      <x:c r="V1118" s="2" t="str">
        <x:v>아니오</x:v>
      </x:c>
      <x:c r="W1118" s="2" t="str">
        <x:v>예</x:v>
      </x:c>
      <x:c r="X1118" s="2" t="str">
        <x:v>news1,nf05</x:v>
      </x:c>
      <x:c r="Y1118" s="2" t="n">
        <x:v>100</x:v>
      </x:c>
      <x:c r="Z1118" s="2" t="str">
        <x:v>news1,nf05</x:v>
      </x:c>
      <x:c r="AA1118" s="2" t="n">
        <x:v>100</x:v>
      </x:c>
      <x:c r="AB1118" s="8" t="str"/>
      <x:c r="AC1118" s="8" t="str">
        <x:v>mt_noise_token</x:v>
      </x:c>
      <x:c r="AD1118" s="8" t="str">
        <x:v>["draft-ko-missing"]</x:v>
      </x:c>
      <x:c r="AE1118" s="8" t="str">
        <x:v>검토 필요</x:v>
      </x:c>
      <x:c r="AF1118" s="8" t="str"/>
    </x:row>
    <x:row r="1119">
      <x:c r="A1119" s="10" t="n">
        <x:v>1118</x:v>
      </x:c>
      <x:c r="B1119" s="2" t="str">
        <x:v>2차 보류</x:v>
      </x:c>
      <x:c r="C1119" s="2" t="str">
        <x:v>2차 보류</x:v>
      </x:c>
      <x:c r="D1119" s="2" t="str">
        <x:v>낮음</x:v>
      </x:c>
      <x:c r="E1119" s="2" t="str">
        <x:v>N1</x:v>
      </x:c>
      <x:c r="F1119" s="10" t="n">
        <x:v>489</x:v>
      </x:c>
      <x:c r="G1119" s="2" t="str">
        <x:v>w_21dd11caaa9c3389</x:v>
      </x:c>
      <x:c r="H1119" s="2" t="str">
        <x:v>事項</x:v>
      </x:c>
      <x:c r="I1119" s="2" t="str">
        <x:v>じこう</x:v>
      </x:c>
      <x:c r="J1119" s="8" t="str">
        <x:v>사항, 항목</x:v>
      </x:c>
      <x:c r="K1119" s="2" t="str">
        <x:v>noun</x:v>
      </x:c>
      <x:c r="L1119" s="9" t="n">
        <x:v>4.32</x:v>
      </x:c>
      <x:c r="M1119" s="2" t="str">
        <x:v>없음</x:v>
      </x:c>
      <x:c r="N1119" s="11" t="n">
        <x:v>-4</x:v>
      </x:c>
      <x:c r="O1119" s="8" t="str">
        <x:v>기존 한국어 뜻 품질 감사 대상; 검증된 예문 없음; 기존 데이터의 한국어 콘텐츠 보강 필요 태그</x:v>
      </x:c>
      <x:c r="P1119" s="8" t="str">
        <x:v>legacy_gloss_audit:senses_5_6,no_example,weak_legacy_content</x:v>
      </x:c>
      <x:c r="Q1119" s="2" t="str"/>
      <x:c r="R1119" s="2" t="str"/>
      <x:c r="S1119" s="2" t="str"/>
      <x:c r="T1119" s="2" t="str"/>
      <x:c r="U1119" s="2" t="str"/>
      <x:c r="V1119" s="2" t="str">
        <x:v>아니오</x:v>
      </x:c>
      <x:c r="W1119" s="2" t="str">
        <x:v>예</x:v>
      </x:c>
      <x:c r="X1119" s="2" t="str">
        <x:v>news1,nf05</x:v>
      </x:c>
      <x:c r="Y1119" s="2" t="n">
        <x:v>100</x:v>
      </x:c>
      <x:c r="Z1119" s="2" t="str">
        <x:v>news1,nf05</x:v>
      </x:c>
      <x:c r="AA1119" s="2" t="n">
        <x:v>100</x:v>
      </x:c>
      <x:c r="AB1119" s="8" t="str"/>
      <x:c r="AC1119" s="8" t="str">
        <x:v>senses_5_6</x:v>
      </x:c>
      <x:c r="AD1119" s="8" t="str">
        <x:v>["draft-ko-missing"]</x:v>
      </x:c>
      <x:c r="AE1119" s="8" t="str">
        <x:v>검토 필요</x:v>
      </x:c>
      <x:c r="AF1119" s="8" t="str"/>
    </x:row>
    <x:row r="1120">
      <x:c r="A1120" s="10" t="n">
        <x:v>1119</x:v>
      </x:c>
      <x:c r="B1120" s="2" t="str">
        <x:v>2차 보류</x:v>
      </x:c>
      <x:c r="C1120" s="2" t="str">
        <x:v>2차 보류</x:v>
      </x:c>
      <x:c r="D1120" s="2" t="str">
        <x:v>낮음</x:v>
      </x:c>
      <x:c r="E1120" s="2" t="str">
        <x:v>N3</x:v>
      </x:c>
      <x:c r="F1120" s="10" t="n">
        <x:v>137</x:v>
      </x:c>
      <x:c r="G1120" s="2" t="str">
        <x:v>w_abdbc6b15184187d</x:v>
      </x:c>
      <x:c r="H1120" s="2" t="str">
        <x:v>柄</x:v>
      </x:c>
      <x:c r="I1120" s="2" t="str">
        <x:v>がら</x:v>
      </x:c>
      <x:c r="J1120" s="8" t="str">
        <x:v>무늬; 몸집; 성품</x:v>
      </x:c>
      <x:c r="K1120" s="2" t="str">
        <x:v>noun</x:v>
      </x:c>
      <x:c r="L1120" s="9" t="n">
        <x:v>4.36</x:v>
      </x:c>
      <x:c r="M1120" s="2" t="str">
        <x:v>없음</x:v>
      </x:c>
      <x:c r="N1120" s="11" t="n">
        <x:v>-4</x:v>
      </x:c>
      <x:c r="O1120" s="8" t="str">
        <x:v>기존 한국어 뜻 품질 감사 대상; 검증된 예문 없음; 기존 데이터의 한국어 콘텐츠 보강 필요 태그</x:v>
      </x:c>
      <x:c r="P1120" s="8" t="str">
        <x:v>legacy_gloss_audit:senses_5_6,no_example,weak_legacy_content</x:v>
      </x:c>
      <x:c r="Q1120" s="2" t="str"/>
      <x:c r="R1120" s="2" t="str"/>
      <x:c r="S1120" s="2" t="str"/>
      <x:c r="T1120" s="2" t="str"/>
      <x:c r="U1120" s="2" t="str"/>
      <x:c r="V1120" s="2" t="str">
        <x:v>아니오</x:v>
      </x:c>
      <x:c r="W1120" s="2" t="str">
        <x:v>예</x:v>
      </x:c>
      <x:c r="X1120" s="2" t="str">
        <x:v>ichi1,news1,nf07</x:v>
      </x:c>
      <x:c r="Y1120" s="2" t="n">
        <x:v>100</x:v>
      </x:c>
      <x:c r="Z1120" s="2" t="str">
        <x:v>ichi1,news1,nf07</x:v>
      </x:c>
      <x:c r="AA1120" s="2" t="n">
        <x:v>100</x:v>
      </x:c>
      <x:c r="AB1120" s="8" t="str">
        <x:v>also as ガラ</x:v>
      </x:c>
      <x:c r="AC1120" s="8" t="str">
        <x:v>senses_5_6</x:v>
      </x:c>
      <x:c r="AD1120" s="8" t="str">
        <x:v>["draft-ko-missing"]</x:v>
      </x:c>
      <x:c r="AE1120" s="8" t="str">
        <x:v>검토 필요</x:v>
      </x:c>
      <x:c r="AF1120" s="8" t="str"/>
    </x:row>
    <x:row r="1121">
      <x:c r="A1121" s="10" t="n">
        <x:v>1120</x:v>
      </x:c>
      <x:c r="B1121" s="2" t="str">
        <x:v>2차 보류</x:v>
      </x:c>
      <x:c r="C1121" s="2" t="str">
        <x:v>2차 보류</x:v>
      </x:c>
      <x:c r="D1121" s="2" t="str">
        <x:v>낮음</x:v>
      </x:c>
      <x:c r="E1121" s="2" t="str">
        <x:v>N1</x:v>
      </x:c>
      <x:c r="F1121" s="10" t="n">
        <x:v>490</x:v>
      </x:c>
      <x:c r="G1121" s="2" t="str">
        <x:v>w_b98563c83919ac09</x:v>
      </x:c>
      <x:c r="H1121" s="2" t="str">
        <x:v>逆転</x:v>
      </x:c>
      <x:c r="I1121" s="2" t="str">
        <x:v>ぎゃくてん</x:v>
      </x:c>
      <x:c r="J1121" s="8" t="str">
        <x:v>역전</x:v>
      </x:c>
      <x:c r="K1121" s="2" t="str">
        <x:v>noun</x:v>
      </x:c>
      <x:c r="L1121" s="9" t="n">
        <x:v>4.36</x:v>
      </x:c>
      <x:c r="M1121" s="2" t="str">
        <x:v>없음</x:v>
      </x:c>
      <x:c r="N1121" s="11" t="n">
        <x:v>-4</x:v>
      </x:c>
      <x:c r="O1121" s="8" t="str">
        <x:v>기존 한국어 뜻 품질 감사 대상; 검증된 예문 없음; 기존 데이터의 한국어 콘텐츠 보강 필요 태그</x:v>
      </x:c>
      <x:c r="P1121" s="8" t="str">
        <x:v>legacy_gloss_audit:mt_noise_token,no_example,weak_legacy_content</x:v>
      </x:c>
      <x:c r="Q1121" s="2" t="str"/>
      <x:c r="R1121" s="2" t="str"/>
      <x:c r="S1121" s="2" t="str"/>
      <x:c r="T1121" s="2" t="str"/>
      <x:c r="U1121" s="2" t="str"/>
      <x:c r="V1121" s="2" t="str">
        <x:v>아니오</x:v>
      </x:c>
      <x:c r="W1121" s="2" t="str">
        <x:v>예</x:v>
      </x:c>
      <x:c r="X1121" s="2" t="str">
        <x:v>news1,nf03</x:v>
      </x:c>
      <x:c r="Y1121" s="2" t="n">
        <x:v>100</x:v>
      </x:c>
      <x:c r="Z1121" s="2" t="str">
        <x:v>news1,nf03</x:v>
      </x:c>
      <x:c r="AA1121" s="2" t="n">
        <x:v>100</x:v>
      </x:c>
      <x:c r="AB1121" s="8" t="str"/>
      <x:c r="AC1121" s="8" t="str">
        <x:v>mt_noise_token</x:v>
      </x:c>
      <x:c r="AD1121" s="8" t="str">
        <x:v>["draft-ko-missing"]</x:v>
      </x:c>
      <x:c r="AE1121" s="8" t="str">
        <x:v>검토 필요</x:v>
      </x:c>
      <x:c r="AF1121" s="8" t="str"/>
    </x:row>
    <x:row r="1122">
      <x:c r="A1122" s="10" t="n">
        <x:v>1121</x:v>
      </x:c>
      <x:c r="B1122" s="2" t="str">
        <x:v>2차 보류</x:v>
      </x:c>
      <x:c r="C1122" s="2" t="str">
        <x:v>2차 보류</x:v>
      </x:c>
      <x:c r="D1122" s="2" t="str">
        <x:v>낮음</x:v>
      </x:c>
      <x:c r="E1122" s="2" t="str">
        <x:v>N1</x:v>
      </x:c>
      <x:c r="F1122" s="10" t="n">
        <x:v>491</x:v>
      </x:c>
      <x:c r="G1122" s="2" t="str">
        <x:v>w_45c375e94f7656fe</x:v>
      </x:c>
      <x:c r="H1122" s="2" t="str">
        <x:v>勢力</x:v>
      </x:c>
      <x:c r="I1122" s="2" t="str">
        <x:v>せいりょく</x:v>
      </x:c>
      <x:c r="J1122" s="8" t="str">
        <x:v>세력</x:v>
      </x:c>
      <x:c r="K1122" s="2" t="str">
        <x:v>noun</x:v>
      </x:c>
      <x:c r="L1122" s="9" t="n">
        <x:v>4.4</x:v>
      </x:c>
      <x:c r="M1122" s="2" t="str">
        <x:v>없음</x:v>
      </x:c>
      <x:c r="N1122" s="11" t="n">
        <x:v>-4</x:v>
      </x:c>
      <x:c r="O1122" s="8" t="str">
        <x:v>기존 한국어 뜻 품질 감사 대상; 검증된 예문 없음; 기존 데이터의 한국어 콘텐츠 보강 필요 태그</x:v>
      </x:c>
      <x:c r="P1122" s="8" t="str">
        <x:v>legacy_gloss_audit:mt_noise_token,no_example,weak_legacy_content</x:v>
      </x:c>
      <x:c r="Q1122" s="2" t="str"/>
      <x:c r="R1122" s="2" t="str"/>
      <x:c r="S1122" s="2" t="str"/>
      <x:c r="T1122" s="2" t="str"/>
      <x:c r="U1122" s="2" t="str"/>
      <x:c r="V1122" s="2" t="str">
        <x:v>아니오</x:v>
      </x:c>
      <x:c r="W1122" s="2" t="str">
        <x:v>예</x:v>
      </x:c>
      <x:c r="X1122" s="2" t="str">
        <x:v>ichi1,news1,nf01</x:v>
      </x:c>
      <x:c r="Y1122" s="2" t="n">
        <x:v>100</x:v>
      </x:c>
      <x:c r="Z1122" s="2" t="str">
        <x:v>ichi1,news1,nf01</x:v>
      </x:c>
      <x:c r="AA1122" s="2" t="n">
        <x:v>100</x:v>
      </x:c>
      <x:c r="AB1122" s="8" t="str"/>
      <x:c r="AC1122" s="8" t="str">
        <x:v>mt_noise_token</x:v>
      </x:c>
      <x:c r="AD1122" s="8" t="str">
        <x:v>["draft-ko-missing"]</x:v>
      </x:c>
      <x:c r="AE1122" s="8" t="str">
        <x:v>검토 필요</x:v>
      </x:c>
      <x:c r="AF1122" s="8" t="str"/>
    </x:row>
    <x:row r="1123">
      <x:c r="A1123" s="10" t="n">
        <x:v>1122</x:v>
      </x:c>
      <x:c r="B1123" s="2" t="str">
        <x:v>2차 보류</x:v>
      </x:c>
      <x:c r="C1123" s="2" t="str">
        <x:v>2차 보류</x:v>
      </x:c>
      <x:c r="D1123" s="2" t="str">
        <x:v>낮음</x:v>
      </x:c>
      <x:c r="E1123" s="2" t="str">
        <x:v>N2</x:v>
      </x:c>
      <x:c r="F1123" s="10" t="n">
        <x:v>399</x:v>
      </x:c>
      <x:c r="G1123" s="2" t="str">
        <x:v>w_c03bc787703f423b</x:v>
      </x:c>
      <x:c r="H1123" s="2" t="str">
        <x:v>警備</x:v>
      </x:c>
      <x:c r="I1123" s="2" t="str">
        <x:v>けいび</x:v>
      </x:c>
      <x:c r="J1123" s="8" t="str">
        <x:v>경비, 경호</x:v>
      </x:c>
      <x:c r="K1123" s="2" t="str">
        <x:v>noun</x:v>
      </x:c>
      <x:c r="L1123" s="9" t="n">
        <x:v>4.41</x:v>
      </x:c>
      <x:c r="M1123" s="2" t="str">
        <x:v>없음</x:v>
      </x:c>
      <x:c r="N1123" s="11" t="n">
        <x:v>-4</x:v>
      </x:c>
      <x:c r="O1123" s="8" t="str">
        <x:v>기존 한국어 뜻 품질 감사 대상; 검증된 예문 없음; 기존 데이터의 한국어 콘텐츠 보강 필요 태그</x:v>
      </x:c>
      <x:c r="P1123" s="8" t="str">
        <x:v>legacy_gloss_audit:senses_5_6,no_example,weak_legacy_content</x:v>
      </x:c>
      <x:c r="Q1123" s="2" t="str"/>
      <x:c r="R1123" s="2" t="str"/>
      <x:c r="S1123" s="2" t="str"/>
      <x:c r="T1123" s="2" t="str"/>
      <x:c r="U1123" s="2" t="str"/>
      <x:c r="V1123" s="2" t="str">
        <x:v>아니오</x:v>
      </x:c>
      <x:c r="W1123" s="2" t="str">
        <x:v>예</x:v>
      </x:c>
      <x:c r="X1123" s="2" t="str">
        <x:v>news1,nf04</x:v>
      </x:c>
      <x:c r="Y1123" s="2" t="n">
        <x:v>100</x:v>
      </x:c>
      <x:c r="Z1123" s="2" t="str">
        <x:v>news1,nf04</x:v>
      </x:c>
      <x:c r="AA1123" s="2" t="n">
        <x:v>100</x:v>
      </x:c>
      <x:c r="AB1123" s="8" t="str"/>
      <x:c r="AC1123" s="8" t="str">
        <x:v>senses_5_6</x:v>
      </x:c>
      <x:c r="AD1123" s="8" t="str">
        <x:v>["draft-ko-missing"]</x:v>
      </x:c>
      <x:c r="AE1123" s="8" t="str">
        <x:v>검토 필요</x:v>
      </x:c>
      <x:c r="AF1123" s="8" t="str"/>
    </x:row>
    <x:row r="1124">
      <x:c r="A1124" s="10" t="n">
        <x:v>1123</x:v>
      </x:c>
      <x:c r="B1124" s="2" t="str">
        <x:v>2차 보류</x:v>
      </x:c>
      <x:c r="C1124" s="2" t="str">
        <x:v>2차 보류</x:v>
      </x:c>
      <x:c r="D1124" s="2" t="str">
        <x:v>낮음</x:v>
      </x:c>
      <x:c r="E1124" s="2" t="str">
        <x:v>N1</x:v>
      </x:c>
      <x:c r="F1124" s="10" t="n">
        <x:v>492</x:v>
      </x:c>
      <x:c r="G1124" s="2" t="str">
        <x:v>w_e95c54bc071c4506</x:v>
      </x:c>
      <x:c r="H1124" s="2" t="str">
        <x:v>風俗</x:v>
      </x:c>
      <x:c r="I1124" s="2" t="str">
        <x:v>ふうぞく</x:v>
      </x:c>
      <x:c r="J1124" s="8" t="str">
        <x:v>풍속</x:v>
      </x:c>
      <x:c r="K1124" s="2" t="str">
        <x:v>noun</x:v>
      </x:c>
      <x:c r="L1124" s="9" t="n">
        <x:v>4.41</x:v>
      </x:c>
      <x:c r="M1124" s="2" t="str">
        <x:v>없음</x:v>
      </x:c>
      <x:c r="N1124" s="11" t="n">
        <x:v>-4</x:v>
      </x:c>
      <x:c r="O1124" s="8" t="str">
        <x:v>기존 한국어 뜻 품질 감사 대상; 검증된 예문 없음; 기존 데이터의 한국어 콘텐츠 보강 필요 태그</x:v>
      </x:c>
      <x:c r="P1124" s="8" t="str">
        <x:v>legacy_gloss_audit:senses_5_6,no_example,weak_legacy_content</x:v>
      </x:c>
      <x:c r="Q1124" s="2" t="str"/>
      <x:c r="R1124" s="2" t="str"/>
      <x:c r="S1124" s="2" t="str"/>
      <x:c r="T1124" s="2" t="str"/>
      <x:c r="U1124" s="2" t="str"/>
      <x:c r="V1124" s="2" t="str">
        <x:v>아니오</x:v>
      </x:c>
      <x:c r="W1124" s="2" t="str">
        <x:v>예</x:v>
      </x:c>
      <x:c r="X1124" s="2" t="str">
        <x:v>ichi1,news1,nf10</x:v>
      </x:c>
      <x:c r="Y1124" s="2" t="n">
        <x:v>100</x:v>
      </x:c>
      <x:c r="Z1124" s="2" t="str">
        <x:v>ichi1,news1,nf10</x:v>
      </x:c>
      <x:c r="AA1124" s="2" t="n">
        <x:v>100</x:v>
      </x:c>
      <x:c r="AB1124" s="8" t="str"/>
      <x:c r="AC1124" s="8" t="str">
        <x:v>senses_5_6</x:v>
      </x:c>
      <x:c r="AD1124" s="8" t="str">
        <x:v>["draft-ko-missing"]</x:v>
      </x:c>
      <x:c r="AE1124" s="8" t="str">
        <x:v>검토 필요</x:v>
      </x:c>
      <x:c r="AF1124" s="8" t="str"/>
    </x:row>
    <x:row r="1125">
      <x:c r="A1125" s="10" t="n">
        <x:v>1124</x:v>
      </x:c>
      <x:c r="B1125" s="2" t="str">
        <x:v>2차 보류</x:v>
      </x:c>
      <x:c r="C1125" s="2" t="str">
        <x:v>2차 보류</x:v>
      </x:c>
      <x:c r="D1125" s="2" t="str">
        <x:v>낮음</x:v>
      </x:c>
      <x:c r="E1125" s="2" t="str">
        <x:v>N3</x:v>
      </x:c>
      <x:c r="F1125" s="10" t="n">
        <x:v>138</x:v>
      </x:c>
      <x:c r="G1125" s="2" t="str">
        <x:v>w_9c014cb5652a4679</x:v>
      </x:c>
      <x:c r="H1125" s="2" t="str">
        <x:v>請求</x:v>
      </x:c>
      <x:c r="I1125" s="2" t="str">
        <x:v>せいきゅう</x:v>
      </x:c>
      <x:c r="J1125" s="8" t="str">
        <x:v>청구, 요구</x:v>
      </x:c>
      <x:c r="K1125" s="2" t="str">
        <x:v>noun</x:v>
      </x:c>
      <x:c r="L1125" s="9" t="n">
        <x:v>4.43</x:v>
      </x:c>
      <x:c r="M1125" s="2" t="str">
        <x:v>없음</x:v>
      </x:c>
      <x:c r="N1125" s="11" t="n">
        <x:v>-4</x:v>
      </x:c>
      <x:c r="O1125" s="8" t="str">
        <x:v>기존 한국어 뜻 품질 감사 대상; 검증된 예문 없음; 기존 데이터의 한국어 콘텐츠 보강 필요 태그</x:v>
      </x:c>
      <x:c r="P1125" s="8" t="str">
        <x:v>legacy_gloss_audit:senses_5_6,no_example,weak_legacy_content</x:v>
      </x:c>
      <x:c r="Q1125" s="2" t="str"/>
      <x:c r="R1125" s="2" t="str"/>
      <x:c r="S1125" s="2" t="str"/>
      <x:c r="T1125" s="2" t="str"/>
      <x:c r="U1125" s="2" t="str"/>
      <x:c r="V1125" s="2" t="str">
        <x:v>아니오</x:v>
      </x:c>
      <x:c r="W1125" s="2" t="str">
        <x:v>예</x:v>
      </x:c>
      <x:c r="X1125" s="2" t="str">
        <x:v>ichi1,news1,nf03</x:v>
      </x:c>
      <x:c r="Y1125" s="2" t="n">
        <x:v>100</x:v>
      </x:c>
      <x:c r="Z1125" s="2" t="str">
        <x:v>ichi1,news1,nf03</x:v>
      </x:c>
      <x:c r="AA1125" s="2" t="n">
        <x:v>100</x:v>
      </x:c>
      <x:c r="AB1125" s="8" t="str"/>
      <x:c r="AC1125" s="8" t="str">
        <x:v>senses_5_6</x:v>
      </x:c>
      <x:c r="AD1125" s="8" t="str">
        <x:v>["draft-ko-missing"]</x:v>
      </x:c>
      <x:c r="AE1125" s="8" t="str">
        <x:v>검토 필요</x:v>
      </x:c>
      <x:c r="AF1125" s="8" t="str"/>
    </x:row>
    <x:row r="1126">
      <x:c r="A1126" s="10" t="n">
        <x:v>1125</x:v>
      </x:c>
      <x:c r="B1126" s="2" t="str">
        <x:v>2차 보류</x:v>
      </x:c>
      <x:c r="C1126" s="2" t="str">
        <x:v>2차 보류</x:v>
      </x:c>
      <x:c r="D1126" s="2" t="str">
        <x:v>낮음</x:v>
      </x:c>
      <x:c r="E1126" s="2" t="str">
        <x:v>N3</x:v>
      </x:c>
      <x:c r="F1126" s="10" t="n">
        <x:v>139</x:v>
      </x:c>
      <x:c r="G1126" s="2" t="str">
        <x:v>w_ae7c649b01299fea</x:v>
      </x:c>
      <x:c r="H1126" s="2" t="str">
        <x:v>競技</x:v>
      </x:c>
      <x:c r="I1126" s="2" t="str">
        <x:v>きょうぎ</x:v>
      </x:c>
      <x:c r="J1126" s="8" t="str">
        <x:v>경기, 시합</x:v>
      </x:c>
      <x:c r="K1126" s="2" t="str">
        <x:v>noun</x:v>
      </x:c>
      <x:c r="L1126" s="9" t="n">
        <x:v>4.44</x:v>
      </x:c>
      <x:c r="M1126" s="2" t="str">
        <x:v>없음</x:v>
      </x:c>
      <x:c r="N1126" s="11" t="n">
        <x:v>-4</x:v>
      </x:c>
      <x:c r="O1126" s="8" t="str">
        <x:v>기존 한국어 뜻 품질 감사 대상; 검증된 예문 없음; 기존 데이터의 한국어 콘텐츠 보강 필요 태그</x:v>
      </x:c>
      <x:c r="P1126" s="8" t="str">
        <x:v>legacy_gloss_audit:senses_5_6,no_example,weak_legacy_content</x:v>
      </x:c>
      <x:c r="Q1126" s="2" t="str"/>
      <x:c r="R1126" s="2" t="str"/>
      <x:c r="S1126" s="2" t="str"/>
      <x:c r="T1126" s="2" t="str"/>
      <x:c r="U1126" s="2" t="str"/>
      <x:c r="V1126" s="2" t="str">
        <x:v>아니오</x:v>
      </x:c>
      <x:c r="W1126" s="2" t="str">
        <x:v>예</x:v>
      </x:c>
      <x:c r="X1126" s="2" t="str">
        <x:v>ichi1,news1,nf02</x:v>
      </x:c>
      <x:c r="Y1126" s="2" t="n">
        <x:v>100</x:v>
      </x:c>
      <x:c r="Z1126" s="2" t="str">
        <x:v>ichi1,news1,nf02</x:v>
      </x:c>
      <x:c r="AA1126" s="2" t="n">
        <x:v>100</x:v>
      </x:c>
      <x:c r="AB1126" s="8" t="str"/>
      <x:c r="AC1126" s="8" t="str">
        <x:v>senses_5_6</x:v>
      </x:c>
      <x:c r="AD1126" s="8" t="str">
        <x:v>["draft-ko-missing"]</x:v>
      </x:c>
      <x:c r="AE1126" s="8" t="str">
        <x:v>검토 필요</x:v>
      </x:c>
      <x:c r="AF1126" s="8" t="str"/>
    </x:row>
    <x:row r="1127">
      <x:c r="A1127" s="10" t="n">
        <x:v>1126</x:v>
      </x:c>
      <x:c r="B1127" s="2" t="str">
        <x:v>2차 보류</x:v>
      </x:c>
      <x:c r="C1127" s="2" t="str">
        <x:v>2차 보류</x:v>
      </x:c>
      <x:c r="D1127" s="2" t="str">
        <x:v>낮음</x:v>
      </x:c>
      <x:c r="E1127" s="2" t="str">
        <x:v>N2</x:v>
      </x:c>
      <x:c r="F1127" s="10" t="n">
        <x:v>400</x:v>
      </x:c>
      <x:c r="G1127" s="2" t="str">
        <x:v>w_73a4105d9b3edf00</x:v>
      </x:c>
      <x:c r="H1127" s="2" t="str">
        <x:v>受験</x:v>
      </x:c>
      <x:c r="I1127" s="2" t="str">
        <x:v>じゅけん</x:v>
      </x:c>
      <x:c r="J1127" s="8" t="str">
        <x:v>수험, 시험 응시</x:v>
      </x:c>
      <x:c r="K1127" s="2" t="str">
        <x:v>noun</x:v>
      </x:c>
      <x:c r="L1127" s="9" t="n">
        <x:v>4.44</x:v>
      </x:c>
      <x:c r="M1127" s="2" t="str">
        <x:v>없음</x:v>
      </x:c>
      <x:c r="N1127" s="11" t="n">
        <x:v>-4</x:v>
      </x:c>
      <x:c r="O1127" s="8" t="str">
        <x:v>기존 한국어 뜻 품질 감사 대상; 검증된 예문 없음; 기존 데이터의 한국어 콘텐츠 보강 필요 태그</x:v>
      </x:c>
      <x:c r="P1127" s="8" t="str">
        <x:v>legacy_gloss_audit:mt_noise_token,no_example,weak_legacy_content</x:v>
      </x:c>
      <x:c r="Q1127" s="2" t="str"/>
      <x:c r="R1127" s="2" t="str"/>
      <x:c r="S1127" s="2" t="str"/>
      <x:c r="T1127" s="2" t="str"/>
      <x:c r="U1127" s="2" t="str"/>
      <x:c r="V1127" s="2" t="str">
        <x:v>아니오</x:v>
      </x:c>
      <x:c r="W1127" s="2" t="str">
        <x:v>예</x:v>
      </x:c>
      <x:c r="X1127" s="2" t="str">
        <x:v>ichi1,news1,nf02</x:v>
      </x:c>
      <x:c r="Y1127" s="2" t="n">
        <x:v>100</x:v>
      </x:c>
      <x:c r="Z1127" s="2" t="str">
        <x:v>ichi1,news1,nf02</x:v>
      </x:c>
      <x:c r="AA1127" s="2" t="n">
        <x:v>100</x:v>
      </x:c>
      <x:c r="AB1127" s="8" t="str"/>
      <x:c r="AC1127" s="8" t="str">
        <x:v>mt_noise_token</x:v>
      </x:c>
      <x:c r="AD1127" s="8" t="str">
        <x:v>["draft-ko-missing"]</x:v>
      </x:c>
      <x:c r="AE1127" s="8" t="str">
        <x:v>검토 필요</x:v>
      </x:c>
      <x:c r="AF1127" s="8" t="str"/>
    </x:row>
    <x:row r="1128">
      <x:c r="A1128" s="10" t="n">
        <x:v>1127</x:v>
      </x:c>
      <x:c r="B1128" s="2" t="str">
        <x:v>2차 보류</x:v>
      </x:c>
      <x:c r="C1128" s="2" t="str">
        <x:v>2차 보류</x:v>
      </x:c>
      <x:c r="D1128" s="2" t="str">
        <x:v>낮음</x:v>
      </x:c>
      <x:c r="E1128" s="2" t="str">
        <x:v>N3</x:v>
      </x:c>
      <x:c r="F1128" s="10" t="n">
        <x:v>140</x:v>
      </x:c>
      <x:c r="G1128" s="2" t="str">
        <x:v>w_6fb96ccf6fde1b64</x:v>
      </x:c>
      <x:c r="H1128" s="2" t="str">
        <x:v>順</x:v>
      </x:c>
      <x:c r="I1128" s="2" t="str">
        <x:v>じゅん</x:v>
      </x:c>
      <x:c r="J1128" s="8" t="str">
        <x:v>순서, 차례</x:v>
      </x:c>
      <x:c r="K1128" s="2" t="str">
        <x:v>noun</x:v>
      </x:c>
      <x:c r="L1128" s="9" t="n">
        <x:v>4.45</x:v>
      </x:c>
      <x:c r="M1128" s="2" t="str">
        <x:v>없음</x:v>
      </x:c>
      <x:c r="N1128" s="11" t="n">
        <x:v>-4</x:v>
      </x:c>
      <x:c r="O1128" s="8" t="str">
        <x:v>기존 한국어 뜻 품질 감사 대상; 검증된 예문 없음; 기존 데이터의 한국어 콘텐츠 보강 필요 태그</x:v>
      </x:c>
      <x:c r="P1128" s="8" t="str">
        <x:v>legacy_gloss_audit:mt_noise_token,no_example,weak_legacy_content</x:v>
      </x:c>
      <x:c r="Q1128" s="2" t="str"/>
      <x:c r="R1128" s="2" t="str"/>
      <x:c r="S1128" s="2" t="str"/>
      <x:c r="T1128" s="2" t="str"/>
      <x:c r="U1128" s="2" t="str"/>
      <x:c r="V1128" s="2" t="str">
        <x:v>아니오</x:v>
      </x:c>
      <x:c r="W1128" s="2" t="str">
        <x:v>예</x:v>
      </x:c>
      <x:c r="X1128" s="2" t="str">
        <x:v>ichi1,news1,nf06</x:v>
      </x:c>
      <x:c r="Y1128" s="2" t="n">
        <x:v>100</x:v>
      </x:c>
      <x:c r="Z1128" s="2" t="str">
        <x:v>ichi1,news1,nf06</x:v>
      </x:c>
      <x:c r="AA1128" s="2" t="n">
        <x:v>100</x:v>
      </x:c>
      <x:c r="AB1128" s="8" t="str"/>
      <x:c r="AC1128" s="8" t="str">
        <x:v>mt_noise_token</x:v>
      </x:c>
      <x:c r="AD1128" s="8" t="str">
        <x:v>["draft-ko-missing"]</x:v>
      </x:c>
      <x:c r="AE1128" s="8" t="str">
        <x:v>검토 필요</x:v>
      </x:c>
      <x:c r="AF1128" s="8" t="str"/>
    </x:row>
    <x:row r="1129">
      <x:c r="A1129" s="10" t="n">
        <x:v>1128</x:v>
      </x:c>
      <x:c r="B1129" s="2" t="str">
        <x:v>2차 보류</x:v>
      </x:c>
      <x:c r="C1129" s="2" t="str">
        <x:v>2차 보류</x:v>
      </x:c>
      <x:c r="D1129" s="2" t="str">
        <x:v>낮음</x:v>
      </x:c>
      <x:c r="E1129" s="2" t="str">
        <x:v>N2</x:v>
      </x:c>
      <x:c r="F1129" s="10" t="n">
        <x:v>401</x:v>
      </x:c>
      <x:c r="G1129" s="2" t="str">
        <x:v>w_59ed2c6736f0b5bb</x:v>
      </x:c>
      <x:c r="H1129" s="2" t="str">
        <x:v>創作</x:v>
      </x:c>
      <x:c r="I1129" s="2" t="str">
        <x:v>そうさく</x:v>
      </x:c>
      <x:c r="J1129" s="8" t="str">
        <x:v>창작</x:v>
      </x:c>
      <x:c r="K1129" s="2" t="str">
        <x:v>noun</x:v>
      </x:c>
      <x:c r="L1129" s="9" t="n">
        <x:v>4.45</x:v>
      </x:c>
      <x:c r="M1129" s="2" t="str">
        <x:v>없음</x:v>
      </x:c>
      <x:c r="N1129" s="11" t="n">
        <x:v>-4</x:v>
      </x:c>
      <x:c r="O1129" s="8" t="str">
        <x:v>기존 한국어 뜻 품질 감사 대상; 검증된 예문 없음; 기존 데이터의 한국어 콘텐츠 보강 필요 태그</x:v>
      </x:c>
      <x:c r="P1129" s="8" t="str">
        <x:v>legacy_gloss_audit:senses_5_6,no_example,weak_legacy_content</x:v>
      </x:c>
      <x:c r="Q1129" s="2" t="str"/>
      <x:c r="R1129" s="2" t="str"/>
      <x:c r="S1129" s="2" t="str"/>
      <x:c r="T1129" s="2" t="str"/>
      <x:c r="U1129" s="2" t="str"/>
      <x:c r="V1129" s="2" t="str">
        <x:v>아니오</x:v>
      </x:c>
      <x:c r="W1129" s="2" t="str">
        <x:v>예</x:v>
      </x:c>
      <x:c r="X1129" s="2" t="str">
        <x:v>ichi1,news1,nf08</x:v>
      </x:c>
      <x:c r="Y1129" s="2" t="n">
        <x:v>100</x:v>
      </x:c>
      <x:c r="Z1129" s="2" t="str">
        <x:v>ichi1,news1,nf08</x:v>
      </x:c>
      <x:c r="AA1129" s="2" t="n">
        <x:v>100</x:v>
      </x:c>
      <x:c r="AB1129" s="8" t="str"/>
      <x:c r="AC1129" s="8" t="str">
        <x:v>senses_5_6</x:v>
      </x:c>
      <x:c r="AD1129" s="8" t="str">
        <x:v>["draft-ko-missing"]</x:v>
      </x:c>
      <x:c r="AE1129" s="8" t="str">
        <x:v>검토 필요</x:v>
      </x:c>
      <x:c r="AF1129" s="8" t="str"/>
    </x:row>
    <x:row r="1130">
      <x:c r="A1130" s="10" t="n">
        <x:v>1129</x:v>
      </x:c>
      <x:c r="B1130" s="2" t="str">
        <x:v>2차 보류</x:v>
      </x:c>
      <x:c r="C1130" s="2" t="str">
        <x:v>2차 보류</x:v>
      </x:c>
      <x:c r="D1130" s="2" t="str">
        <x:v>낮음</x:v>
      </x:c>
      <x:c r="E1130" s="2" t="str">
        <x:v>N2</x:v>
      </x:c>
      <x:c r="F1130" s="10" t="n">
        <x:v>402</x:v>
      </x:c>
      <x:c r="G1130" s="2" t="str">
        <x:v>w_e4247da1f9fb515e</x:v>
      </x:c>
      <x:c r="H1130" s="2" t="str">
        <x:v>一定</x:v>
      </x:c>
      <x:c r="I1130" s="2" t="str">
        <x:v>いってい</x:v>
      </x:c>
      <x:c r="J1130" s="8" t="str">
        <x:v>일정함, 고정됨</x:v>
      </x:c>
      <x:c r="K1130" s="2" t="str">
        <x:v>verb</x:v>
      </x:c>
      <x:c r="L1130" s="9" t="n">
        <x:v>4.49</x:v>
      </x:c>
      <x:c r="M1130" s="2" t="str">
        <x:v>없음</x:v>
      </x:c>
      <x:c r="N1130" s="11" t="n">
        <x:v>-4</x:v>
      </x:c>
      <x:c r="O1130" s="8" t="str">
        <x:v>기존 한국어 뜻 품질 감사 대상; 검증된 예문 없음; 기존 데이터의 한국어 콘텐츠 보강 필요 태그</x:v>
      </x:c>
      <x:c r="P1130" s="8" t="str">
        <x:v>legacy_gloss_audit:senses_5_6,no_example,weak_legacy_content</x:v>
      </x:c>
      <x:c r="Q1130" s="2" t="str"/>
      <x:c r="R1130" s="2" t="str"/>
      <x:c r="S1130" s="2" t="str"/>
      <x:c r="T1130" s="2" t="str"/>
      <x:c r="U1130" s="2" t="str"/>
      <x:c r="V1130" s="2" t="str">
        <x:v>아니오</x:v>
      </x:c>
      <x:c r="W1130" s="2" t="str">
        <x:v>예</x:v>
      </x:c>
      <x:c r="X1130" s="2" t="str">
        <x:v>ichi1,news1,nf03</x:v>
      </x:c>
      <x:c r="Y1130" s="2" t="n">
        <x:v>100</x:v>
      </x:c>
      <x:c r="Z1130" s="2" t="str">
        <x:v>ichi1,news1,nf03</x:v>
      </x:c>
      <x:c r="AA1130" s="2" t="n">
        <x:v>100</x:v>
      </x:c>
      <x:c r="AB1130" s="8" t="str"/>
      <x:c r="AC1130" s="8" t="str">
        <x:v>senses_5_6</x:v>
      </x:c>
      <x:c r="AD1130" s="8" t="str">
        <x:v>["draft-ko-missing"]</x:v>
      </x:c>
      <x:c r="AE1130" s="8" t="str">
        <x:v>검토 필요</x:v>
      </x:c>
      <x:c r="AF1130" s="8" t="str"/>
    </x:row>
    <x:row r="1131">
      <x:c r="A1131" s="10" t="n">
        <x:v>1130</x:v>
      </x:c>
      <x:c r="B1131" s="2" t="str">
        <x:v>2차 보류</x:v>
      </x:c>
      <x:c r="C1131" s="2" t="str">
        <x:v>2차 보류</x:v>
      </x:c>
      <x:c r="D1131" s="2" t="str">
        <x:v>낮음</x:v>
      </x:c>
      <x:c r="E1131" s="2" t="str">
        <x:v>N1</x:v>
      </x:c>
      <x:c r="F1131" s="10" t="n">
        <x:v>493</x:v>
      </x:c>
      <x:c r="G1131" s="2" t="str">
        <x:v>w_bb08904f23e2f634</x:v>
      </x:c>
      <x:c r="H1131" s="2" t="str">
        <x:v>情深い</x:v>
      </x:c>
      <x:c r="I1131" s="2" t="str">
        <x:v>なさけぶかい</x:v>
      </x:c>
      <x:c r="J1131" s="8" t="str">
        <x:v>인정이 많다, 자비롭다</x:v>
      </x:c>
      <x:c r="K1131" s="2" t="str">
        <x:v>adjective</x:v>
      </x:c>
      <x:c r="L1131" s="9" t="n">
        <x:v>0</x:v>
      </x:c>
      <x:c r="M1131" s="2" t="str">
        <x:v>있음</x:v>
      </x:c>
      <x:c r="N1131" s="11" t="n">
        <x:v>-5</x:v>
      </x:c>
      <x:c r="O1131" s="8" t="str">
        <x:v>일반 사용 빈도가 없거나 0; 기존 데이터의 한국어 콘텐츠 보강 필요 태그</x:v>
      </x:c>
      <x:c r="P1131" s="8" t="str">
        <x:v>frequency_missing_or_zero,weak_legacy_content</x:v>
      </x:c>
      <x:c r="Q1131" s="2" t="str"/>
      <x:c r="R1131" s="2" t="str"/>
      <x:c r="S1131" s="2" t="str"/>
      <x:c r="T1131" s="2" t="str"/>
      <x:c r="U1131" s="2" t="str"/>
      <x:c r="V1131" s="2" t="str">
        <x:v>아니오</x:v>
      </x:c>
      <x:c r="W1131" s="2" t="str">
        <x:v>예</x:v>
      </x:c>
      <x:c r="X1131" s="2" t="str">
        <x:v>ichi1</x:v>
      </x:c>
      <x:c r="Y1131" s="2" t="n">
        <x:v>100</x:v>
      </x:c>
      <x:c r="Z1131" s="2" t="str"/>
      <x:c r="AA1131" s="2" t="n">
        <x:v>0</x:v>
      </x:c>
      <x:c r="AB1131" s="8" t="str"/>
      <x:c r="AC1131" s="8" t="str"/>
      <x:c r="AD1131" s="8" t="str">
        <x:v>["draft-ko-missing"]</x:v>
      </x:c>
      <x:c r="AE1131" s="8" t="str">
        <x:v>검토 필요</x:v>
      </x:c>
      <x:c r="AF1131" s="8" t="str"/>
    </x:row>
    <x:row r="1132">
      <x:c r="A1132" s="10" t="n">
        <x:v>1131</x:v>
      </x:c>
      <x:c r="B1132" s="2" t="str">
        <x:v>2차 보류</x:v>
      </x:c>
      <x:c r="C1132" s="2" t="str">
        <x:v>2차 보류</x:v>
      </x:c>
      <x:c r="D1132" s="2" t="str">
        <x:v>낮음</x:v>
      </x:c>
      <x:c r="E1132" s="2" t="str">
        <x:v>N1</x:v>
      </x:c>
      <x:c r="F1132" s="10" t="n">
        <x:v>494</x:v>
      </x:c>
      <x:c r="G1132" s="2" t="str">
        <x:v>w_48a942088c2a3c4f</x:v>
      </x:c>
      <x:c r="H1132" s="2" t="str">
        <x:v>度忘れ</x:v>
      </x:c>
      <x:c r="I1132" s="2" t="str">
        <x:v>どわすれ</x:v>
      </x:c>
      <x:c r="J1132" s="8" t="str">
        <x:v>깜빡 잊음</x:v>
      </x:c>
      <x:c r="K1132" s="2" t="str">
        <x:v>noun</x:v>
      </x:c>
      <x:c r="L1132" s="9" t="n">
        <x:v>1.33</x:v>
      </x:c>
      <x:c r="M1132" s="2" t="str">
        <x:v>있음</x:v>
      </x:c>
      <x:c r="N1132" s="11" t="n">
        <x:v>-5</x:v>
      </x:c>
      <x:c r="O1132" s="8" t="str">
        <x:v>일반 사용 빈도 매우 낮음(Zipf ≤ 1.5)</x:v>
      </x:c>
      <x:c r="P1132" s="8" t="str">
        <x:v>frequency_le_1_5</x:v>
      </x:c>
      <x:c r="Q1132" s="2" t="str"/>
      <x:c r="R1132" s="2" t="str"/>
      <x:c r="S1132" s="2" t="str"/>
      <x:c r="T1132" s="2" t="str"/>
      <x:c r="U1132" s="2" t="str"/>
      <x:c r="V1132" s="2" t="str">
        <x:v>아니오</x:v>
      </x:c>
      <x:c r="W1132" s="2" t="str">
        <x:v>예</x:v>
      </x:c>
      <x:c r="X1132" s="2" t="str">
        <x:v>ichi2</x:v>
      </x:c>
      <x:c r="Y1132" s="2" t="n">
        <x:v>70</x:v>
      </x:c>
      <x:c r="Z1132" s="2" t="str">
        <x:v>ichi2</x:v>
      </x:c>
      <x:c r="AA1132" s="2" t="n">
        <x:v>70</x:v>
      </x:c>
      <x:c r="AB1132" s="8" t="str"/>
      <x:c r="AC1132" s="8" t="str"/>
      <x:c r="AD1132" s="8" t="str">
        <x:v>["ko-reviewed"]</x:v>
      </x:c>
      <x:c r="AE1132" s="8" t="str">
        <x:v>검토 필요</x:v>
      </x:c>
      <x:c r="AF1132" s="8" t="str"/>
    </x:row>
    <x:row r="1133">
      <x:c r="A1133" s="10" t="n">
        <x:v>1132</x:v>
      </x:c>
      <x:c r="B1133" s="2" t="str">
        <x:v>1차 검토 후보</x:v>
      </x:c>
      <x:c r="C1133" s="2" t="str">
        <x:v>중복 변형 제거 검토</x:v>
      </x:c>
      <x:c r="D1133" s="2" t="str">
        <x:v>중간</x:v>
      </x:c>
      <x:c r="E1133" s="2" t="str">
        <x:v>N1</x:v>
      </x:c>
      <x:c r="F1133" s="10" t="n">
        <x:v>495</x:v>
      </x:c>
      <x:c r="G1133" s="2" t="str">
        <x:v>w_7c846856a25ae36a</x:v>
      </x:c>
      <x:c r="H1133" s="2" t="str">
        <x:v>獣</x:v>
      </x:c>
      <x:c r="I1133" s="2" t="str">
        <x:v>けもの</x:v>
      </x:c>
      <x:c r="J1133" s="8" t="str">
        <x:v>짐승, 야수</x:v>
      </x:c>
      <x:c r="K1133" s="2" t="str">
        <x:v>noun</x:v>
      </x:c>
      <x:c r="L1133" s="9" t="n">
        <x:v>4.73</x:v>
      </x:c>
      <x:c r="M1133" s="2" t="str">
        <x:v>있음</x:v>
      </x:c>
      <x:c r="N1133" s="11" t="n">
        <x:v>-5</x:v>
      </x:c>
      <x:c r="O1133" s="8" t="str">
        <x:v>동일 JMdict 표제어의 표기·읽기 변형; 기존 데이터의 한국어 콘텐츠 보강 필요 태그</x:v>
      </x:c>
      <x:c r="P1133" s="8" t="str">
        <x:v>same_jmdict_entry,weak_legacy_content</x:v>
      </x:c>
      <x:c r="Q1133" s="2" t="str">
        <x:v>vg_082</x:v>
      </x:c>
      <x:c r="R1133" s="2" t="str">
        <x:v>same_jmdict_entry</x:v>
      </x:c>
      <x:c r="S1133" s="2" t="str">
        <x:v>w_df20da25c79e74b0</x:v>
      </x:c>
      <x:c r="T1133" s="2" t="str">
        <x:v>獣</x:v>
      </x:c>
      <x:c r="U1133" s="2" t="str">
        <x:v>けだもの</x:v>
      </x:c>
      <x:c r="V1133" s="2" t="str">
        <x:v>아니오</x:v>
      </x:c>
      <x:c r="W1133" s="2" t="str">
        <x:v>예</x:v>
      </x:c>
      <x:c r="X1133" s="2" t="str">
        <x:v>ichi1,news1,nf14</x:v>
      </x:c>
      <x:c r="Y1133" s="2" t="n">
        <x:v>100</x:v>
      </x:c>
      <x:c r="Z1133" s="2" t="str">
        <x:v>ichi1,news1,nf14</x:v>
      </x:c>
      <x:c r="AA1133" s="2" t="n">
        <x:v>100</x:v>
      </x:c>
      <x:c r="AB1133" s="8" t="str">
        <x:v>slang | term used by members of the furry subculture</x:v>
      </x:c>
      <x:c r="AC1133" s="8" t="str"/>
      <x:c r="AD1133" s="8" t="str">
        <x:v>["draft-ko-missing"]</x:v>
      </x:c>
      <x:c r="AE1133" s="8" t="str">
        <x:v>검토 필요</x:v>
      </x:c>
      <x:c r="AF1133" s="8" t="str"/>
    </x:row>
    <x:row r="1134">
      <x:c r="A1134" s="10" t="n">
        <x:v>1133</x:v>
      </x:c>
      <x:c r="B1134" s="2" t="str">
        <x:v>2차 보류</x:v>
      </x:c>
      <x:c r="C1134" s="2" t="str">
        <x:v>2차 보류</x:v>
      </x:c>
      <x:c r="D1134" s="2" t="str">
        <x:v>낮음</x:v>
      </x:c>
      <x:c r="E1134" s="2" t="str">
        <x:v>N1</x:v>
      </x:c>
      <x:c r="F1134" s="10" t="n">
        <x:v>496</x:v>
      </x:c>
      <x:c r="G1134" s="2" t="str">
        <x:v>w_6eb5db28959e8997</x:v>
      </x:c>
      <x:c r="H1134" s="2" t="str">
        <x:v>取り調べる</x:v>
      </x:c>
      <x:c r="I1134" s="2" t="str">
        <x:v>とりしらべる</x:v>
      </x:c>
      <x:c r="J1134" s="8" t="str">
        <x:v>조사하다, 검사하다</x:v>
      </x:c>
      <x:c r="K1134" s="2" t="str">
        <x:v>verb</x:v>
      </x:c>
      <x:c r="L1134" s="9" t="n">
        <x:v>1.95</x:v>
      </x:c>
      <x:c r="M1134" s="2" t="str">
        <x:v>있음</x:v>
      </x:c>
      <x:c r="N1134" s="11" t="n">
        <x:v>-6</x:v>
      </x:c>
      <x:c r="O1134" s="8" t="str">
        <x:v>일반 사용 빈도 매우 낮음(Zipf ≤ 2.0); 기존 데이터의 한국어 콘텐츠 보강 필요 태그</x:v>
      </x:c>
      <x:c r="P1134" s="8" t="str">
        <x:v>frequency_le_2_0,weak_legacy_content</x:v>
      </x:c>
      <x:c r="Q1134" s="2" t="str"/>
      <x:c r="R1134" s="2" t="str"/>
      <x:c r="S1134" s="2" t="str"/>
      <x:c r="T1134" s="2" t="str"/>
      <x:c r="U1134" s="2" t="str"/>
      <x:c r="V1134" s="2" t="str">
        <x:v>아니오</x:v>
      </x:c>
      <x:c r="W1134" s="2" t="str">
        <x:v>예</x:v>
      </x:c>
      <x:c r="X1134" s="2" t="str">
        <x:v>news2,nf37</x:v>
      </x:c>
      <x:c r="Y1134" s="2" t="n">
        <x:v>70</x:v>
      </x:c>
      <x:c r="Z1134" s="2" t="str">
        <x:v>news2,nf37</x:v>
      </x:c>
      <x:c r="AA1134" s="2" t="n">
        <x:v>70</x:v>
      </x:c>
      <x:c r="AB1134" s="8" t="str"/>
      <x:c r="AC1134" s="8" t="str"/>
      <x:c r="AD1134" s="8" t="str">
        <x:v>["draft-ko-missing"]</x:v>
      </x:c>
      <x:c r="AE1134" s="8" t="str">
        <x:v>검토 필요</x:v>
      </x:c>
      <x:c r="AF1134" s="8" t="str"/>
    </x:row>
    <x:row r="1135">
      <x:c r="A1135" s="10" t="n">
        <x:v>1134</x:v>
      </x:c>
      <x:c r="B1135" s="2" t="str">
        <x:v>2차 보류</x:v>
      </x:c>
      <x:c r="C1135" s="2" t="str">
        <x:v>2차 보류</x:v>
      </x:c>
      <x:c r="D1135" s="2" t="str">
        <x:v>낮음</x:v>
      </x:c>
      <x:c r="E1135" s="2" t="str">
        <x:v>N1</x:v>
      </x:c>
      <x:c r="F1135" s="10" t="n">
        <x:v>497</x:v>
      </x:c>
      <x:c r="G1135" s="2" t="str">
        <x:v>w_c1db72f774e3728e</x:v>
      </x:c>
      <x:c r="H1135" s="2" t="str">
        <x:v>失調</x:v>
      </x:c>
      <x:c r="I1135" s="2" t="str">
        <x:v>しっちょう</x:v>
      </x:c>
      <x:c r="J1135" s="8" t="str">
        <x:v>실조, 불균형</x:v>
      </x:c>
      <x:c r="K1135" s="2" t="str">
        <x:v>noun</x:v>
      </x:c>
      <x:c r="L1135" s="9" t="n">
        <x:v>3.52</x:v>
      </x:c>
      <x:c r="M1135" s="2" t="str">
        <x:v>없음</x:v>
      </x:c>
      <x:c r="N1135" s="11" t="n">
        <x:v>-6</x:v>
      </x:c>
      <x:c r="O1135" s="8" t="str">
        <x:v>검증된 예문 없음</x:v>
      </x:c>
      <x:c r="P1135" s="8" t="str">
        <x:v>no_example</x:v>
      </x:c>
      <x:c r="Q1135" s="2" t="str"/>
      <x:c r="R1135" s="2" t="str"/>
      <x:c r="S1135" s="2" t="str"/>
      <x:c r="T1135" s="2" t="str"/>
      <x:c r="U1135" s="2" t="str"/>
      <x:c r="V1135" s="2" t="str">
        <x:v>아니오</x:v>
      </x:c>
      <x:c r="W1135" s="2" t="str">
        <x:v>예</x:v>
      </x:c>
      <x:c r="X1135" s="2" t="str">
        <x:v>news2,nf46</x:v>
      </x:c>
      <x:c r="Y1135" s="2" t="n">
        <x:v>70</x:v>
      </x:c>
      <x:c r="Z1135" s="2" t="str">
        <x:v>news2,nf46</x:v>
      </x:c>
      <x:c r="AA1135" s="2" t="n">
        <x:v>70</x:v>
      </x:c>
      <x:c r="AB1135" s="8" t="str"/>
      <x:c r="AC1135" s="8" t="str"/>
      <x:c r="AD1135" s="8" t="str">
        <x:v>["ko-reviewed"]</x:v>
      </x:c>
      <x:c r="AE1135" s="8" t="str">
        <x:v>검토 필요</x:v>
      </x:c>
      <x:c r="AF1135" s="8" t="str"/>
    </x:row>
    <x:row r="1136">
      <x:c r="A1136" s="10" t="n">
        <x:v>1135</x:v>
      </x:c>
      <x:c r="B1136" s="2" t="str">
        <x:v>2차 보류</x:v>
      </x:c>
      <x:c r="C1136" s="2" t="str">
        <x:v>2차 보류</x:v>
      </x:c>
      <x:c r="D1136" s="2" t="str">
        <x:v>낮음</x:v>
      </x:c>
      <x:c r="E1136" s="2" t="str">
        <x:v>N2</x:v>
      </x:c>
      <x:c r="F1136" s="10" t="n">
        <x:v>403</x:v>
      </x:c>
      <x:c r="G1136" s="2" t="str">
        <x:v>w_ce285518225afb6d</x:v>
      </x:c>
      <x:c r="H1136" s="2" t="str">
        <x:v>構いません</x:v>
      </x:c>
      <x:c r="I1136" s="2" t="str">
        <x:v>かまいません</x:v>
      </x:c>
      <x:c r="J1136" s="8" t="str">
        <x:v>괜찮습니다</x:v>
      </x:c>
      <x:c r="K1136" s="2" t="str">
        <x:v>expression</x:v>
      </x:c>
      <x:c r="L1136" s="9" t="n">
        <x:v>3.85</x:v>
      </x:c>
      <x:c r="M1136" s="2" t="str">
        <x:v>없음</x:v>
      </x:c>
      <x:c r="N1136" s="11" t="n">
        <x:v>-6</x:v>
      </x:c>
      <x:c r="O1136" s="8" t="str">
        <x:v>검증된 예문 없음</x:v>
      </x:c>
      <x:c r="P1136" s="8" t="str">
        <x:v>no_example</x:v>
      </x:c>
      <x:c r="Q1136" s="2" t="str"/>
      <x:c r="R1136" s="2" t="str"/>
      <x:c r="S1136" s="2" t="str"/>
      <x:c r="T1136" s="2" t="str"/>
      <x:c r="U1136" s="2" t="str"/>
      <x:c r="V1136" s="2" t="str">
        <x:v>아니오</x:v>
      </x:c>
      <x:c r="W1136" s="2" t="str">
        <x:v>예</x:v>
      </x:c>
      <x:c r="X1136" s="2" t="str">
        <x:v>news2,nf40</x:v>
      </x:c>
      <x:c r="Y1136" s="2" t="n">
        <x:v>70</x:v>
      </x:c>
      <x:c r="Z1136" s="2" t="str">
        <x:v>news2,nf40</x:v>
      </x:c>
      <x:c r="AA1136" s="2" t="n">
        <x:v>70</x:v>
      </x:c>
      <x:c r="AB1136" s="8" t="str"/>
      <x:c r="AC1136" s="8" t="str"/>
      <x:c r="AD1136" s="8" t="str">
        <x:v>["ko-reviewed"]</x:v>
      </x:c>
      <x:c r="AE1136" s="8" t="str">
        <x:v>검토 필요</x:v>
      </x:c>
      <x:c r="AF1136" s="8" t="str"/>
    </x:row>
    <x:row r="1137">
      <x:c r="A1137" s="10" t="n">
        <x:v>1136</x:v>
      </x:c>
      <x:c r="B1137" s="2" t="str">
        <x:v>2차 보류</x:v>
      </x:c>
      <x:c r="C1137" s="2" t="str">
        <x:v>2차 보류</x:v>
      </x:c>
      <x:c r="D1137" s="2" t="str">
        <x:v>낮음</x:v>
      </x:c>
      <x:c r="E1137" s="2" t="str">
        <x:v>N1</x:v>
      </x:c>
      <x:c r="F1137" s="10" t="n">
        <x:v>498</x:v>
      </x:c>
      <x:c r="G1137" s="2" t="str">
        <x:v>w_07b3929512d229c4</x:v>
      </x:c>
      <x:c r="H1137" s="2" t="str">
        <x:v>来場</x:v>
      </x:c>
      <x:c r="I1137" s="2" t="str">
        <x:v>らいじょう</x:v>
      </x:c>
      <x:c r="J1137" s="8" t="str">
        <x:v>(행사장에) 옴, 참석</x:v>
      </x:c>
      <x:c r="K1137" s="2" t="str">
        <x:v>noun</x:v>
      </x:c>
      <x:c r="L1137" s="9" t="n">
        <x:v>3.96</x:v>
      </x:c>
      <x:c r="M1137" s="2" t="str">
        <x:v>없음</x:v>
      </x:c>
      <x:c r="N1137" s="11" t="n">
        <x:v>-6</x:v>
      </x:c>
      <x:c r="O1137" s="8" t="str">
        <x:v>검증된 예문 없음</x:v>
      </x:c>
      <x:c r="P1137" s="8" t="str">
        <x:v>no_example</x:v>
      </x:c>
      <x:c r="Q1137" s="2" t="str"/>
      <x:c r="R1137" s="2" t="str"/>
      <x:c r="S1137" s="2" t="str"/>
      <x:c r="T1137" s="2" t="str"/>
      <x:c r="U1137" s="2" t="str"/>
      <x:c r="V1137" s="2" t="str">
        <x:v>아니오</x:v>
      </x:c>
      <x:c r="W1137" s="2" t="str">
        <x:v>예</x:v>
      </x:c>
      <x:c r="X1137" s="2" t="str">
        <x:v>news2,nf28</x:v>
      </x:c>
      <x:c r="Y1137" s="2" t="n">
        <x:v>70</x:v>
      </x:c>
      <x:c r="Z1137" s="2" t="str">
        <x:v>news2,nf28</x:v>
      </x:c>
      <x:c r="AA1137" s="2" t="n">
        <x:v>70</x:v>
      </x:c>
      <x:c r="AB1137" s="8" t="str"/>
      <x:c r="AC1137" s="8" t="str"/>
      <x:c r="AD1137" s="8" t="str">
        <x:v>["backfill-replacement","assistant-ko-reviewed"]</x:v>
      </x:c>
      <x:c r="AE1137" s="8" t="str">
        <x:v>검토 필요</x:v>
      </x:c>
      <x:c r="AF1137" s="8" t="str"/>
    </x:row>
    <x:row r="1138">
      <x:c r="A1138" s="10" t="n">
        <x:v>1137</x:v>
      </x:c>
      <x:c r="B1138" s="2" t="str">
        <x:v>2차 보류</x:v>
      </x:c>
      <x:c r="C1138" s="2" t="str">
        <x:v>2차 보류</x:v>
      </x:c>
      <x:c r="D1138" s="2" t="str">
        <x:v>낮음</x:v>
      </x:c>
      <x:c r="E1138" s="2" t="str">
        <x:v>N1</x:v>
      </x:c>
      <x:c r="F1138" s="10" t="n">
        <x:v>499</x:v>
      </x:c>
      <x:c r="G1138" s="2" t="str">
        <x:v>w_bdc8ea0e85d8bb6b</x:v>
      </x:c>
      <x:c r="H1138" s="2" t="str">
        <x:v>潜入</x:v>
      </x:c>
      <x:c r="I1138" s="2" t="str">
        <x:v>せんにゅう</x:v>
      </x:c>
      <x:c r="J1138" s="8" t="str">
        <x:v>잠입</x:v>
      </x:c>
      <x:c r="K1138" s="2" t="str">
        <x:v>noun</x:v>
      </x:c>
      <x:c r="L1138" s="9" t="n">
        <x:v>3.97</x:v>
      </x:c>
      <x:c r="M1138" s="2" t="str">
        <x:v>없음</x:v>
      </x:c>
      <x:c r="N1138" s="11" t="n">
        <x:v>-6</x:v>
      </x:c>
      <x:c r="O1138" s="8" t="str">
        <x:v>검증된 예문 없음</x:v>
      </x:c>
      <x:c r="P1138" s="8" t="str">
        <x:v>no_example</x:v>
      </x:c>
      <x:c r="Q1138" s="2" t="str"/>
      <x:c r="R1138" s="2" t="str"/>
      <x:c r="S1138" s="2" t="str"/>
      <x:c r="T1138" s="2" t="str"/>
      <x:c r="U1138" s="2" t="str"/>
      <x:c r="V1138" s="2" t="str">
        <x:v>아니오</x:v>
      </x:c>
      <x:c r="W1138" s="2" t="str">
        <x:v>예</x:v>
      </x:c>
      <x:c r="X1138" s="2" t="str">
        <x:v>news2,nf46,spec2</x:v>
      </x:c>
      <x:c r="Y1138" s="2" t="n">
        <x:v>70</x:v>
      </x:c>
      <x:c r="Z1138" s="2" t="str">
        <x:v>news2,nf46,spec2</x:v>
      </x:c>
      <x:c r="AA1138" s="2" t="n">
        <x:v>70</x:v>
      </x:c>
      <x:c r="AB1138" s="8" t="str"/>
      <x:c r="AC1138" s="8" t="str"/>
      <x:c r="AD1138" s="8" t="str">
        <x:v>["ko-reviewed"]</x:v>
      </x:c>
      <x:c r="AE1138" s="8" t="str">
        <x:v>검토 필요</x:v>
      </x:c>
      <x:c r="AF1138" s="8" t="str"/>
    </x:row>
    <x:row r="1139">
      <x:c r="A1139" s="10" t="n">
        <x:v>1138</x:v>
      </x:c>
      <x:c r="B1139" s="2" t="str">
        <x:v>2차 보류</x:v>
      </x:c>
      <x:c r="C1139" s="2" t="str">
        <x:v>2차 보류</x:v>
      </x:c>
      <x:c r="D1139" s="2" t="str">
        <x:v>낮음</x:v>
      </x:c>
      <x:c r="E1139" s="2" t="str">
        <x:v>N2</x:v>
      </x:c>
      <x:c r="F1139" s="10" t="n">
        <x:v>404</x:v>
      </x:c>
      <x:c r="G1139" s="2" t="str">
        <x:v>w_093d87812a264ceb</x:v>
      </x:c>
      <x:c r="H1139" s="2" t="str">
        <x:v>零点</x:v>
      </x:c>
      <x:c r="I1139" s="2" t="str">
        <x:v>れいてん</x:v>
      </x:c>
      <x:c r="J1139" s="8" t="str">
        <x:v>영점, 0점</x:v>
      </x:c>
      <x:c r="K1139" s="2" t="str">
        <x:v>noun</x:v>
      </x:c>
      <x:c r="L1139" s="9" t="n">
        <x:v>4.11</x:v>
      </x:c>
      <x:c r="M1139" s="2" t="str">
        <x:v>없음</x:v>
      </x:c>
      <x:c r="N1139" s="11" t="n">
        <x:v>-6</x:v>
      </x:c>
      <x:c r="O1139" s="8" t="str">
        <x:v>검증된 예문 없음</x:v>
      </x:c>
      <x:c r="P1139" s="8" t="str">
        <x:v>no_example</x:v>
      </x:c>
      <x:c r="Q1139" s="2" t="str"/>
      <x:c r="R1139" s="2" t="str"/>
      <x:c r="S1139" s="2" t="str"/>
      <x:c r="T1139" s="2" t="str"/>
      <x:c r="U1139" s="2" t="str"/>
      <x:c r="V1139" s="2" t="str">
        <x:v>아니오</x:v>
      </x:c>
      <x:c r="W1139" s="2" t="str">
        <x:v>예</x:v>
      </x:c>
      <x:c r="X1139" s="2" t="str">
        <x:v>news2,nf46,spec2</x:v>
      </x:c>
      <x:c r="Y1139" s="2" t="n">
        <x:v>70</x:v>
      </x:c>
      <x:c r="Z1139" s="2" t="str">
        <x:v>news2,nf46,spec2</x:v>
      </x:c>
      <x:c r="AA1139" s="2" t="n">
        <x:v>70</x:v>
      </x:c>
      <x:c r="AB1139" s="8" t="str"/>
      <x:c r="AC1139" s="8" t="str"/>
      <x:c r="AD1139" s="8" t="str">
        <x:v>["backfill-replacement","assistant-ko-reviewed"]</x:v>
      </x:c>
      <x:c r="AE1139" s="8" t="str">
        <x:v>검토 필요</x:v>
      </x:c>
      <x:c r="AF1139" s="8" t="str"/>
    </x:row>
    <x:row r="1140">
      <x:c r="A1140" s="10" t="n">
        <x:v>1139</x:v>
      </x:c>
      <x:c r="B1140" s="2" t="str">
        <x:v>2차 보류</x:v>
      </x:c>
      <x:c r="C1140" s="2" t="str">
        <x:v>2차 보류</x:v>
      </x:c>
      <x:c r="D1140" s="2" t="str">
        <x:v>낮음</x:v>
      </x:c>
      <x:c r="E1140" s="2" t="str">
        <x:v>N1</x:v>
      </x:c>
      <x:c r="F1140" s="10" t="n">
        <x:v>500</x:v>
      </x:c>
      <x:c r="G1140" s="2" t="str">
        <x:v>w_25d79c8180503b46</x:v>
      </x:c>
      <x:c r="H1140" s="2" t="str">
        <x:v>淑やか</x:v>
      </x:c>
      <x:c r="I1140" s="2" t="str">
        <x:v>しとやか</x:v>
      </x:c>
      <x:c r="J1140" s="8" t="str">
        <x:v>얌전함, 정숙함</x:v>
      </x:c>
      <x:c r="K1140" s="2" t="str">
        <x:v>adjective</x:v>
      </x:c>
      <x:c r="L1140" s="9" t="n">
        <x:v>2.51</x:v>
      </x:c>
      <x:c r="M1140" s="2" t="str">
        <x:v>없음</x:v>
      </x:c>
      <x:c r="N1140" s="11" t="n">
        <x:v>-7</x:v>
      </x:c>
      <x:c r="O1140" s="8" t="str">
        <x:v>일반 사용 빈도 낮은 편(Zipf ≤ 3.0); 검증된 예문 없음</x:v>
      </x:c>
      <x:c r="P1140" s="8" t="str">
        <x:v>frequency_le_3_0,no_example</x:v>
      </x:c>
      <x:c r="Q1140" s="2" t="str"/>
      <x:c r="R1140" s="2" t="str"/>
      <x:c r="S1140" s="2" t="str"/>
      <x:c r="T1140" s="2" t="str"/>
      <x:c r="U1140" s="2" t="str"/>
      <x:c r="V1140" s="2" t="str">
        <x:v>아니오</x:v>
      </x:c>
      <x:c r="W1140" s="2" t="str">
        <x:v>예</x:v>
      </x:c>
      <x:c r="X1140" s="2" t="str">
        <x:v>ichi1</x:v>
      </x:c>
      <x:c r="Y1140" s="2" t="n">
        <x:v>100</x:v>
      </x:c>
      <x:c r="Z1140" s="2" t="str">
        <x:v>ichi1</x:v>
      </x:c>
      <x:c r="AA1140" s="2" t="n">
        <x:v>100</x:v>
      </x:c>
      <x:c r="AB1140" s="8" t="str">
        <x:v>word usually written using kana alone</x:v>
      </x:c>
      <x:c r="AC1140" s="8" t="str"/>
      <x:c r="AD1140" s="8" t="str">
        <x:v>["ko-reviewed"]</x:v>
      </x:c>
      <x:c r="AE1140" s="8" t="str">
        <x:v>검토 필요</x:v>
      </x:c>
      <x:c r="AF1140" s="8" t="str"/>
    </x:row>
    <x:row r="1141">
      <x:c r="A1141" s="10" t="n">
        <x:v>1140</x:v>
      </x:c>
      <x:c r="B1141" s="2" t="str">
        <x:v>2차 보류</x:v>
      </x:c>
      <x:c r="C1141" s="2" t="str">
        <x:v>2차 보류</x:v>
      </x:c>
      <x:c r="D1141" s="2" t="str">
        <x:v>낮음</x:v>
      </x:c>
      <x:c r="E1141" s="2" t="str">
        <x:v>N1</x:v>
      </x:c>
      <x:c r="F1141" s="10" t="n">
        <x:v>501</x:v>
      </x:c>
      <x:c r="G1141" s="2" t="str">
        <x:v>w_4231572eea930be1</x:v>
      </x:c>
      <x:c r="H1141" s="2" t="str">
        <x:v>紡績</x:v>
      </x:c>
      <x:c r="I1141" s="2" t="str">
        <x:v>ぼうせき</x:v>
      </x:c>
      <x:c r="J1141" s="8" t="str">
        <x:v>방적</x:v>
      </x:c>
      <x:c r="K1141" s="2" t="str">
        <x:v>noun</x:v>
      </x:c>
      <x:c r="L1141" s="9" t="n">
        <x:v>2.51</x:v>
      </x:c>
      <x:c r="M1141" s="2" t="str">
        <x:v>없음</x:v>
      </x:c>
      <x:c r="N1141" s="11" t="n">
        <x:v>-7</x:v>
      </x:c>
      <x:c r="O1141" s="8" t="str">
        <x:v>일반 사용 빈도 낮은 편(Zipf ≤ 3.0); 검증된 예문 없음</x:v>
      </x:c>
      <x:c r="P1141" s="8" t="str">
        <x:v>frequency_le_3_0,no_example</x:v>
      </x:c>
      <x:c r="Q1141" s="2" t="str"/>
      <x:c r="R1141" s="2" t="str"/>
      <x:c r="S1141" s="2" t="str"/>
      <x:c r="T1141" s="2" t="str"/>
      <x:c r="U1141" s="2" t="str"/>
      <x:c r="V1141" s="2" t="str">
        <x:v>아니오</x:v>
      </x:c>
      <x:c r="W1141" s="2" t="str">
        <x:v>예</x:v>
      </x:c>
      <x:c r="X1141" s="2" t="str">
        <x:v>ichi1,news1,nf23</x:v>
      </x:c>
      <x:c r="Y1141" s="2" t="n">
        <x:v>100</x:v>
      </x:c>
      <x:c r="Z1141" s="2" t="str">
        <x:v>ichi1,news1,nf23</x:v>
      </x:c>
      <x:c r="AA1141" s="2" t="n">
        <x:v>100</x:v>
      </x:c>
      <x:c r="AB1141" s="8" t="str">
        <x:v>abbreviation</x:v>
      </x:c>
      <x:c r="AC1141" s="8" t="str"/>
      <x:c r="AD1141" s="8" t="str">
        <x:v>["ko-reviewed"]</x:v>
      </x:c>
      <x:c r="AE1141" s="8" t="str">
        <x:v>검토 필요</x:v>
      </x:c>
      <x:c r="AF1141" s="8" t="str"/>
    </x:row>
    <x:row r="1142">
      <x:c r="A1142" s="10" t="n">
        <x:v>1141</x:v>
      </x:c>
      <x:c r="B1142" s="2" t="str">
        <x:v>2차 보류</x:v>
      </x:c>
      <x:c r="C1142" s="2" t="str">
        <x:v>2차 보류</x:v>
      </x:c>
      <x:c r="D1142" s="2" t="str">
        <x:v>낮음</x:v>
      </x:c>
      <x:c r="E1142" s="2" t="str">
        <x:v>N3</x:v>
      </x:c>
      <x:c r="F1142" s="10" t="n">
        <x:v>141</x:v>
      </x:c>
      <x:c r="G1142" s="2" t="str">
        <x:v>w_073adca1c5d13d71</x:v>
      </x:c>
      <x:c r="H1142" s="2" t="str">
        <x:v>渇く</x:v>
      </x:c>
      <x:c r="I1142" s="2" t="str">
        <x:v>かわく</x:v>
      </x:c>
      <x:c r="J1142" s="8" t="str">
        <x:v>목마르다</x:v>
      </x:c>
      <x:c r="K1142" s="2" t="str">
        <x:v>verb</x:v>
      </x:c>
      <x:c r="L1142" s="9" t="n">
        <x:v>2.53</x:v>
      </x:c>
      <x:c r="M1142" s="2" t="str">
        <x:v>없음</x:v>
      </x:c>
      <x:c r="N1142" s="11" t="n">
        <x:v>-7</x:v>
      </x:c>
      <x:c r="O1142" s="8" t="str">
        <x:v>일반 사용 빈도 낮은 편(Zipf ≤ 3.0); 검증된 예문 없음</x:v>
      </x:c>
      <x:c r="P1142" s="8" t="str">
        <x:v>frequency_le_3_0,no_example</x:v>
      </x:c>
      <x:c r="Q1142" s="2" t="str"/>
      <x:c r="R1142" s="2" t="str"/>
      <x:c r="S1142" s="2" t="str"/>
      <x:c r="T1142" s="2" t="str"/>
      <x:c r="U1142" s="2" t="str"/>
      <x:c r="V1142" s="2" t="str">
        <x:v>아니오</x:v>
      </x:c>
      <x:c r="W1142" s="2" t="str">
        <x:v>예</x:v>
      </x:c>
      <x:c r="X1142" s="2" t="str">
        <x:v>ichi1</x:v>
      </x:c>
      <x:c r="Y1142" s="2" t="n">
        <x:v>100</x:v>
      </x:c>
      <x:c r="Z1142" s="2" t="str">
        <x:v>ichi1</x:v>
      </x:c>
      <x:c r="AA1142" s="2" t="n">
        <x:v>100</x:v>
      </x:c>
      <x:c r="AB1142" s="8" t="str">
        <x:v>often as 〜に渇いた</x:v>
      </x:c>
      <x:c r="AC1142" s="8" t="str"/>
      <x:c r="AD1142" s="8" t="str">
        <x:v>["ko-reviewed"]</x:v>
      </x:c>
      <x:c r="AE1142" s="8" t="str">
        <x:v>검토 필요</x:v>
      </x:c>
      <x:c r="AF1142" s="8" t="str"/>
    </x:row>
    <x:row r="1143">
      <x:c r="A1143" s="10" t="n">
        <x:v>1142</x:v>
      </x:c>
      <x:c r="B1143" s="2" t="str">
        <x:v>2차 보류</x:v>
      </x:c>
      <x:c r="C1143" s="2" t="str">
        <x:v>2차 보류</x:v>
      </x:c>
      <x:c r="D1143" s="2" t="str">
        <x:v>낮음</x:v>
      </x:c>
      <x:c r="E1143" s="2" t="str">
        <x:v>N2</x:v>
      </x:c>
      <x:c r="F1143" s="10" t="n">
        <x:v>405</x:v>
      </x:c>
      <x:c r="G1143" s="2" t="str">
        <x:v>w_3fdb71882ab12ba8</x:v>
      </x:c>
      <x:c r="H1143" s="2" t="str">
        <x:v>釣り合う</x:v>
      </x:c>
      <x:c r="I1143" s="2" t="str">
        <x:v>つりあう</x:v>
      </x:c>
      <x:c r="J1143" s="8" t="str">
        <x:v>균형이 맞다, 어울리다</x:v>
      </x:c>
      <x:c r="K1143" s="2" t="str">
        <x:v>verb</x:v>
      </x:c>
      <x:c r="L1143" s="9" t="n">
        <x:v>2.54</x:v>
      </x:c>
      <x:c r="M1143" s="2" t="str">
        <x:v>없음</x:v>
      </x:c>
      <x:c r="N1143" s="11" t="n">
        <x:v>-7</x:v>
      </x:c>
      <x:c r="O1143" s="8" t="str">
        <x:v>일반 사용 빈도 낮은 편(Zipf ≤ 3.0); 검증된 예문 없음</x:v>
      </x:c>
      <x:c r="P1143" s="8" t="str">
        <x:v>frequency_le_3_0,no_example</x:v>
      </x:c>
      <x:c r="Q1143" s="2" t="str"/>
      <x:c r="R1143" s="2" t="str"/>
      <x:c r="S1143" s="2" t="str"/>
      <x:c r="T1143" s="2" t="str"/>
      <x:c r="U1143" s="2" t="str"/>
      <x:c r="V1143" s="2" t="str">
        <x:v>아니오</x:v>
      </x:c>
      <x:c r="W1143" s="2" t="str">
        <x:v>예</x:v>
      </x:c>
      <x:c r="X1143" s="2" t="str">
        <x:v>ichi1</x:v>
      </x:c>
      <x:c r="Y1143" s="2" t="n">
        <x:v>100</x:v>
      </x:c>
      <x:c r="Z1143" s="2" t="str">
        <x:v>ichi1</x:v>
      </x:c>
      <x:c r="AA1143" s="2" t="n">
        <x:v>100</x:v>
      </x:c>
      <x:c r="AB1143" s="8" t="str"/>
      <x:c r="AC1143" s="8" t="str"/>
      <x:c r="AD1143" s="8" t="str">
        <x:v>["ko-reviewed"]</x:v>
      </x:c>
      <x:c r="AE1143" s="8" t="str">
        <x:v>검토 필요</x:v>
      </x:c>
      <x:c r="AF1143" s="8" t="str"/>
    </x:row>
    <x:row r="1144">
      <x:c r="A1144" s="10" t="n">
        <x:v>1143</x:v>
      </x:c>
      <x:c r="B1144" s="2" t="str">
        <x:v>2차 보류</x:v>
      </x:c>
      <x:c r="C1144" s="2" t="str">
        <x:v>2차 보류</x:v>
      </x:c>
      <x:c r="D1144" s="2" t="str">
        <x:v>낮음</x:v>
      </x:c>
      <x:c r="E1144" s="2" t="str">
        <x:v>N2</x:v>
      </x:c>
      <x:c r="F1144" s="10" t="n">
        <x:v>406</x:v>
      </x:c>
      <x:c r="G1144" s="2" t="str">
        <x:v>w_a3bc697a0cbfade0</x:v>
      </x:c>
      <x:c r="H1144" s="2" t="str">
        <x:v>御中</x:v>
      </x:c>
      <x:c r="I1144" s="2" t="str">
        <x:v>おんちゅう</x:v>
      </x:c>
      <x:c r="J1144" s="8" t="str">
        <x:v>귀중</x:v>
      </x:c>
      <x:c r="K1144" s="2" t="str">
        <x:v>suffix</x:v>
      </x:c>
      <x:c r="L1144" s="9" t="n">
        <x:v>2.54</x:v>
      </x:c>
      <x:c r="M1144" s="2" t="str">
        <x:v>없음</x:v>
      </x:c>
      <x:c r="N1144" s="11" t="n">
        <x:v>-7</x:v>
      </x:c>
      <x:c r="O1144" s="8" t="str">
        <x:v>일반 사용 빈도 낮은 편(Zipf ≤ 3.0); 검증된 예문 없음</x:v>
      </x:c>
      <x:c r="P1144" s="8" t="str">
        <x:v>frequency_le_3_0,no_example</x:v>
      </x:c>
      <x:c r="Q1144" s="2" t="str"/>
      <x:c r="R1144" s="2" t="str"/>
      <x:c r="S1144" s="2" t="str"/>
      <x:c r="T1144" s="2" t="str"/>
      <x:c r="U1144" s="2" t="str"/>
      <x:c r="V1144" s="2" t="str">
        <x:v>아니오</x:v>
      </x:c>
      <x:c r="W1144" s="2" t="str">
        <x:v>예</x:v>
      </x:c>
      <x:c r="X1144" s="2" t="str">
        <x:v>ichi1</x:v>
      </x:c>
      <x:c r="Y1144" s="2" t="n">
        <x:v>100</x:v>
      </x:c>
      <x:c r="Z1144" s="2" t="str">
        <x:v>ichi1</x:v>
      </x:c>
      <x:c r="AA1144" s="2" t="n">
        <x:v>100</x:v>
      </x:c>
      <x:c r="AB1144" s="8" t="str">
        <x:v>after addressee in letters, etc.</x:v>
      </x:c>
      <x:c r="AC1144" s="8" t="str"/>
      <x:c r="AD1144" s="8" t="str">
        <x:v>["ko-reviewed"]</x:v>
      </x:c>
      <x:c r="AE1144" s="8" t="str">
        <x:v>검토 필요</x:v>
      </x:c>
      <x:c r="AF1144" s="8" t="str"/>
    </x:row>
    <x:row r="1145">
      <x:c r="A1145" s="10" t="n">
        <x:v>1144</x:v>
      </x:c>
      <x:c r="B1145" s="2" t="str">
        <x:v>2차 보류</x:v>
      </x:c>
      <x:c r="C1145" s="2" t="str">
        <x:v>2차 보류</x:v>
      </x:c>
      <x:c r="D1145" s="2" t="str">
        <x:v>낮음</x:v>
      </x:c>
      <x:c r="E1145" s="2" t="str">
        <x:v>N1</x:v>
      </x:c>
      <x:c r="F1145" s="10" t="n">
        <x:v>502</x:v>
      </x:c>
      <x:c r="G1145" s="2" t="str">
        <x:v>w_6558fe7dbc059f61</x:v>
      </x:c>
      <x:c r="H1145" s="2" t="str">
        <x:v>善し悪し</x:v>
      </x:c>
      <x:c r="I1145" s="2" t="str">
        <x:v>よしあし</x:v>
      </x:c>
      <x:c r="J1145" s="8" t="str">
        <x:v>좋고 나쁨, 장단점</x:v>
      </x:c>
      <x:c r="K1145" s="2" t="str">
        <x:v>noun</x:v>
      </x:c>
      <x:c r="L1145" s="9" t="n">
        <x:v>2.54</x:v>
      </x:c>
      <x:c r="M1145" s="2" t="str">
        <x:v>없음</x:v>
      </x:c>
      <x:c r="N1145" s="11" t="n">
        <x:v>-7</x:v>
      </x:c>
      <x:c r="O1145" s="8" t="str">
        <x:v>일반 사용 빈도 낮은 편(Zipf ≤ 3.0); 검증된 예문 없음</x:v>
      </x:c>
      <x:c r="P1145" s="8" t="str">
        <x:v>frequency_le_3_0,no_example</x:v>
      </x:c>
      <x:c r="Q1145" s="2" t="str"/>
      <x:c r="R1145" s="2" t="str"/>
      <x:c r="S1145" s="2" t="str"/>
      <x:c r="T1145" s="2" t="str"/>
      <x:c r="U1145" s="2" t="str"/>
      <x:c r="V1145" s="2" t="str">
        <x:v>아니오</x:v>
      </x:c>
      <x:c r="W1145" s="2" t="str">
        <x:v>예</x:v>
      </x:c>
      <x:c r="X1145" s="2" t="str">
        <x:v>ichi1,spec1</x:v>
      </x:c>
      <x:c r="Y1145" s="2" t="n">
        <x:v>100</x:v>
      </x:c>
      <x:c r="Z1145" s="2" t="str">
        <x:v>ichi1</x:v>
      </x:c>
      <x:c r="AA1145" s="2" t="n">
        <x:v>100</x:v>
      </x:c>
      <x:c r="AB1145" s="8" t="str"/>
      <x:c r="AC1145" s="8" t="str"/>
      <x:c r="AD1145" s="8" t="str">
        <x:v>["backfill-replacement","assistant-ko-reviewed"]</x:v>
      </x:c>
      <x:c r="AE1145" s="8" t="str">
        <x:v>검토 필요</x:v>
      </x:c>
      <x:c r="AF1145" s="8" t="str"/>
    </x:row>
    <x:row r="1146">
      <x:c r="A1146" s="10" t="n">
        <x:v>1145</x:v>
      </x:c>
      <x:c r="B1146" s="2" t="str">
        <x:v>2차 보류</x:v>
      </x:c>
      <x:c r="C1146" s="2" t="str">
        <x:v>2차 보류</x:v>
      </x:c>
      <x:c r="D1146" s="2" t="str">
        <x:v>낮음</x:v>
      </x:c>
      <x:c r="E1146" s="2" t="str">
        <x:v>N3</x:v>
      </x:c>
      <x:c r="F1146" s="10" t="n">
        <x:v>142</x:v>
      </x:c>
      <x:c r="G1146" s="2" t="str">
        <x:v>w_bdc0a5d733d22e0e</x:v>
      </x:c>
      <x:c r="H1146" s="2" t="str">
        <x:v>刈る</x:v>
      </x:c>
      <x:c r="I1146" s="2" t="str">
        <x:v>かる</x:v>
      </x:c>
      <x:c r="J1146" s="8" t="str">
        <x:v>베다, 깎다, 수확하다</x:v>
      </x:c>
      <x:c r="K1146" s="2" t="str">
        <x:v>verb</x:v>
      </x:c>
      <x:c r="L1146" s="9" t="n">
        <x:v>2.56</x:v>
      </x:c>
      <x:c r="M1146" s="2" t="str">
        <x:v>없음</x:v>
      </x:c>
      <x:c r="N1146" s="11" t="n">
        <x:v>-7</x:v>
      </x:c>
      <x:c r="O1146" s="8" t="str">
        <x:v>일반 사용 빈도 낮은 편(Zipf ≤ 3.0); 검증된 예문 없음</x:v>
      </x:c>
      <x:c r="P1146" s="8" t="str">
        <x:v>frequency_le_3_0,no_example</x:v>
      </x:c>
      <x:c r="Q1146" s="2" t="str"/>
      <x:c r="R1146" s="2" t="str"/>
      <x:c r="S1146" s="2" t="str"/>
      <x:c r="T1146" s="2" t="str"/>
      <x:c r="U1146" s="2" t="str"/>
      <x:c r="V1146" s="2" t="str">
        <x:v>아니오</x:v>
      </x:c>
      <x:c r="W1146" s="2" t="str">
        <x:v>예</x:v>
      </x:c>
      <x:c r="X1146" s="2" t="str">
        <x:v>ichi1,news1,nf18</x:v>
      </x:c>
      <x:c r="Y1146" s="2" t="n">
        <x:v>100</x:v>
      </x:c>
      <x:c r="Z1146" s="2" t="str">
        <x:v>ichi1,news1,nf18</x:v>
      </x:c>
      <x:c r="AA1146" s="2" t="n">
        <x:v>100</x:v>
      </x:c>
      <x:c r="AB1146" s="8" t="str"/>
      <x:c r="AC1146" s="8" t="str"/>
      <x:c r="AD1146" s="8" t="str">
        <x:v>["ko-reviewed"]</x:v>
      </x:c>
      <x:c r="AE1146" s="8" t="str">
        <x:v>검토 필요</x:v>
      </x:c>
      <x:c r="AF1146" s="8" t="str"/>
    </x:row>
    <x:row r="1147">
      <x:c r="A1147" s="10" t="n">
        <x:v>1146</x:v>
      </x:c>
      <x:c r="B1147" s="2" t="str">
        <x:v>2차 보류</x:v>
      </x:c>
      <x:c r="C1147" s="2" t="str">
        <x:v>2차 보류</x:v>
      </x:c>
      <x:c r="D1147" s="2" t="str">
        <x:v>낮음</x:v>
      </x:c>
      <x:c r="E1147" s="2" t="str">
        <x:v>N2</x:v>
      </x:c>
      <x:c r="F1147" s="10" t="n">
        <x:v>407</x:v>
      </x:c>
      <x:c r="G1147" s="2" t="str">
        <x:v>w_e81883cba896b19f</x:v>
      </x:c>
      <x:c r="H1147" s="2" t="str">
        <x:v>小数</x:v>
      </x:c>
      <x:c r="I1147" s="2" t="str">
        <x:v>しょうすう</x:v>
      </x:c>
      <x:c r="J1147" s="8" t="str">
        <x:v>소수</x:v>
      </x:c>
      <x:c r="K1147" s="2" t="str">
        <x:v>noun</x:v>
      </x:c>
      <x:c r="L1147" s="9" t="n">
        <x:v>2.57</x:v>
      </x:c>
      <x:c r="M1147" s="2" t="str">
        <x:v>없음</x:v>
      </x:c>
      <x:c r="N1147" s="11" t="n">
        <x:v>-7</x:v>
      </x:c>
      <x:c r="O1147" s="8" t="str">
        <x:v>일반 사용 빈도 낮은 편(Zipf ≤ 3.0); 검증된 예문 없음</x:v>
      </x:c>
      <x:c r="P1147" s="8" t="str">
        <x:v>frequency_le_3_0,no_example</x:v>
      </x:c>
      <x:c r="Q1147" s="2" t="str"/>
      <x:c r="R1147" s="2" t="str"/>
      <x:c r="S1147" s="2" t="str"/>
      <x:c r="T1147" s="2" t="str"/>
      <x:c r="U1147" s="2" t="str"/>
      <x:c r="V1147" s="2" t="str">
        <x:v>아니오</x:v>
      </x:c>
      <x:c r="W1147" s="2" t="str">
        <x:v>예</x:v>
      </x:c>
      <x:c r="X1147" s="2" t="str">
        <x:v>ichi1</x:v>
      </x:c>
      <x:c r="Y1147" s="2" t="n">
        <x:v>100</x:v>
      </x:c>
      <x:c r="Z1147" s="2" t="str">
        <x:v>ichi1</x:v>
      </x:c>
      <x:c r="AA1147" s="2" t="n">
        <x:v>100</x:v>
      </x:c>
      <x:c r="AB1147" s="8" t="str"/>
      <x:c r="AC1147" s="8" t="str"/>
      <x:c r="AD1147" s="8" t="str">
        <x:v>["ko-reviewed"]</x:v>
      </x:c>
      <x:c r="AE1147" s="8" t="str">
        <x:v>검토 필요</x:v>
      </x:c>
      <x:c r="AF1147" s="8" t="str"/>
    </x:row>
    <x:row r="1148">
      <x:c r="A1148" s="10" t="n">
        <x:v>1147</x:v>
      </x:c>
      <x:c r="B1148" s="2" t="str">
        <x:v>2차 보류</x:v>
      </x:c>
      <x:c r="C1148" s="2" t="str">
        <x:v>2차 보류</x:v>
      </x:c>
      <x:c r="D1148" s="2" t="str">
        <x:v>낮음</x:v>
      </x:c>
      <x:c r="E1148" s="2" t="str">
        <x:v>N2</x:v>
      </x:c>
      <x:c r="F1148" s="10" t="n">
        <x:v>408</x:v>
      </x:c>
      <x:c r="G1148" s="2" t="str">
        <x:v>w_41f80514da34307e</x:v>
      </x:c>
      <x:c r="H1148" s="2" t="str">
        <x:v>呼び掛ける</x:v>
      </x:c>
      <x:c r="I1148" s="2" t="str">
        <x:v>よびかける</x:v>
      </x:c>
      <x:c r="J1148" s="8" t="str">
        <x:v>호소하다, 말을 걸다</x:v>
      </x:c>
      <x:c r="K1148" s="2" t="str">
        <x:v>verb</x:v>
      </x:c>
      <x:c r="L1148" s="9" t="n">
        <x:v>2.58</x:v>
      </x:c>
      <x:c r="M1148" s="2" t="str">
        <x:v>없음</x:v>
      </x:c>
      <x:c r="N1148" s="11" t="n">
        <x:v>-7</x:v>
      </x:c>
      <x:c r="O1148" s="8" t="str">
        <x:v>일반 사용 빈도 낮은 편(Zipf ≤ 3.0); 검증된 예문 없음</x:v>
      </x:c>
      <x:c r="P1148" s="8" t="str">
        <x:v>frequency_le_3_0,no_example</x:v>
      </x:c>
      <x:c r="Q1148" s="2" t="str"/>
      <x:c r="R1148" s="2" t="str"/>
      <x:c r="S1148" s="2" t="str"/>
      <x:c r="T1148" s="2" t="str"/>
      <x:c r="U1148" s="2" t="str"/>
      <x:c r="V1148" s="2" t="str">
        <x:v>아니오</x:v>
      </x:c>
      <x:c r="W1148" s="2" t="str">
        <x:v>예</x:v>
      </x:c>
      <x:c r="X1148" s="2" t="str">
        <x:v>ichi1,news1,nf16,spec1</x:v>
      </x:c>
      <x:c r="Y1148" s="2" t="n">
        <x:v>100</x:v>
      </x:c>
      <x:c r="Z1148" s="2" t="str">
        <x:v>ichi1,news1,nf16</x:v>
      </x:c>
      <x:c r="AA1148" s="2" t="n">
        <x:v>100</x:v>
      </x:c>
      <x:c r="AB1148" s="8" t="str"/>
      <x:c r="AC1148" s="8" t="str"/>
      <x:c r="AD1148" s="8" t="str">
        <x:v>["backfill-replacement","assistant-ko-reviewed"]</x:v>
      </x:c>
      <x:c r="AE1148" s="8" t="str">
        <x:v>검토 필요</x:v>
      </x:c>
      <x:c r="AF1148" s="8" t="str"/>
    </x:row>
    <x:row r="1149">
      <x:c r="A1149" s="10" t="n">
        <x:v>1148</x:v>
      </x:c>
      <x:c r="B1149" s="2" t="str">
        <x:v>2차 보류</x:v>
      </x:c>
      <x:c r="C1149" s="2" t="str">
        <x:v>2차 보류</x:v>
      </x:c>
      <x:c r="D1149" s="2" t="str">
        <x:v>낮음</x:v>
      </x:c>
      <x:c r="E1149" s="2" t="str">
        <x:v>N1</x:v>
      </x:c>
      <x:c r="F1149" s="10" t="n">
        <x:v>503</x:v>
      </x:c>
      <x:c r="G1149" s="2" t="str">
        <x:v>w_0fee8560d7ab9cc3</x:v>
      </x:c>
      <x:c r="H1149" s="2" t="str">
        <x:v>弱る</x:v>
      </x:c>
      <x:c r="I1149" s="2" t="str">
        <x:v>よわる</x:v>
      </x:c>
      <x:c r="J1149" s="8" t="str">
        <x:v>약해지다, 곤란해지다</x:v>
      </x:c>
      <x:c r="K1149" s="2" t="str">
        <x:v>verb</x:v>
      </x:c>
      <x:c r="L1149" s="9" t="n">
        <x:v>2.58</x:v>
      </x:c>
      <x:c r="M1149" s="2" t="str">
        <x:v>없음</x:v>
      </x:c>
      <x:c r="N1149" s="11" t="n">
        <x:v>-7</x:v>
      </x:c>
      <x:c r="O1149" s="8" t="str">
        <x:v>일반 사용 빈도 낮은 편(Zipf ≤ 3.0); 검증된 예문 없음</x:v>
      </x:c>
      <x:c r="P1149" s="8" t="str">
        <x:v>frequency_le_3_0,no_example</x:v>
      </x:c>
      <x:c r="Q1149" s="2" t="str"/>
      <x:c r="R1149" s="2" t="str"/>
      <x:c r="S1149" s="2" t="str"/>
      <x:c r="T1149" s="2" t="str"/>
      <x:c r="U1149" s="2" t="str"/>
      <x:c r="V1149" s="2" t="str">
        <x:v>아니오</x:v>
      </x:c>
      <x:c r="W1149" s="2" t="str">
        <x:v>예</x:v>
      </x:c>
      <x:c r="X1149" s="2" t="str">
        <x:v>ichi1,news2,nf43</x:v>
      </x:c>
      <x:c r="Y1149" s="2" t="n">
        <x:v>100</x:v>
      </x:c>
      <x:c r="Z1149" s="2" t="str">
        <x:v>ichi1,news2,nf43</x:v>
      </x:c>
      <x:c r="AA1149" s="2" t="n">
        <x:v>100</x:v>
      </x:c>
      <x:c r="AB1149" s="8" t="str"/>
      <x:c r="AC1149" s="8" t="str"/>
      <x:c r="AD1149" s="8" t="str">
        <x:v>["backfill-replacement","assistant-ko-reviewed"]</x:v>
      </x:c>
      <x:c r="AE1149" s="8" t="str">
        <x:v>검토 필요</x:v>
      </x:c>
      <x:c r="AF1149" s="8" t="str"/>
    </x:row>
    <x:row r="1150">
      <x:c r="A1150" s="10" t="n">
        <x:v>1149</x:v>
      </x:c>
      <x:c r="B1150" s="2" t="str">
        <x:v>2차 보류</x:v>
      </x:c>
      <x:c r="C1150" s="2" t="str">
        <x:v>2차 보류</x:v>
      </x:c>
      <x:c r="D1150" s="2" t="str">
        <x:v>낮음</x:v>
      </x:c>
      <x:c r="E1150" s="2" t="str">
        <x:v>N2</x:v>
      </x:c>
      <x:c r="F1150" s="10" t="n">
        <x:v>409</x:v>
      </x:c>
      <x:c r="G1150" s="2" t="str">
        <x:v>w_6b524de26331e5d1</x:v>
      </x:c>
      <x:c r="H1150" s="2" t="str">
        <x:v>副詞</x:v>
      </x:c>
      <x:c r="I1150" s="2" t="str">
        <x:v>ふくし</x:v>
      </x:c>
      <x:c r="J1150" s="8" t="str">
        <x:v>부사</x:v>
      </x:c>
      <x:c r="K1150" s="2" t="str">
        <x:v>noun</x:v>
      </x:c>
      <x:c r="L1150" s="9" t="n">
        <x:v>2.61</x:v>
      </x:c>
      <x:c r="M1150" s="2" t="str">
        <x:v>없음</x:v>
      </x:c>
      <x:c r="N1150" s="11" t="n">
        <x:v>-7</x:v>
      </x:c>
      <x:c r="O1150" s="8" t="str">
        <x:v>일반 사용 빈도 낮은 편(Zipf ≤ 3.0); 검증된 예문 없음</x:v>
      </x:c>
      <x:c r="P1150" s="8" t="str">
        <x:v>frequency_le_3_0,no_example</x:v>
      </x:c>
      <x:c r="Q1150" s="2" t="str"/>
      <x:c r="R1150" s="2" t="str"/>
      <x:c r="S1150" s="2" t="str"/>
      <x:c r="T1150" s="2" t="str"/>
      <x:c r="U1150" s="2" t="str"/>
      <x:c r="V1150" s="2" t="str">
        <x:v>아니오</x:v>
      </x:c>
      <x:c r="W1150" s="2" t="str">
        <x:v>예</x:v>
      </x:c>
      <x:c r="X1150" s="2" t="str">
        <x:v>ichi1</x:v>
      </x:c>
      <x:c r="Y1150" s="2" t="n">
        <x:v>100</x:v>
      </x:c>
      <x:c r="Z1150" s="2" t="str">
        <x:v>ichi1</x:v>
      </x:c>
      <x:c r="AA1150" s="2" t="n">
        <x:v>100</x:v>
      </x:c>
      <x:c r="AB1150" s="8" t="str"/>
      <x:c r="AC1150" s="8" t="str"/>
      <x:c r="AD1150" s="8" t="str">
        <x:v>["ko-reviewed"]</x:v>
      </x:c>
      <x:c r="AE1150" s="8" t="str">
        <x:v>검토 필요</x:v>
      </x:c>
      <x:c r="AF1150" s="8" t="str"/>
    </x:row>
    <x:row r="1151">
      <x:c r="A1151" s="10" t="n">
        <x:v>1150</x:v>
      </x:c>
      <x:c r="B1151" s="2" t="str">
        <x:v>2차 보류</x:v>
      </x:c>
      <x:c r="C1151" s="2" t="str">
        <x:v>2차 보류</x:v>
      </x:c>
      <x:c r="D1151" s="2" t="str">
        <x:v>낮음</x:v>
      </x:c>
      <x:c r="E1151" s="2" t="str">
        <x:v>N2</x:v>
      </x:c>
      <x:c r="F1151" s="10" t="n">
        <x:v>410</x:v>
      </x:c>
      <x:c r="G1151" s="2" t="str">
        <x:v>w_2a580f196c7e6bfc</x:v>
      </x:c>
      <x:c r="H1151" s="2" t="str">
        <x:v>和英</x:v>
      </x:c>
      <x:c r="I1151" s="2" t="str">
        <x:v>わえい</x:v>
      </x:c>
      <x:c r="J1151" s="8" t="str">
        <x:v>일영, 일본어-영어</x:v>
      </x:c>
      <x:c r="K1151" s="2" t="str">
        <x:v>noun</x:v>
      </x:c>
      <x:c r="L1151" s="9" t="n">
        <x:v>2.62</x:v>
      </x:c>
      <x:c r="M1151" s="2" t="str">
        <x:v>없음</x:v>
      </x:c>
      <x:c r="N1151" s="11" t="n">
        <x:v>-7</x:v>
      </x:c>
      <x:c r="O1151" s="8" t="str">
        <x:v>일반 사용 빈도 낮은 편(Zipf ≤ 3.0); 검증된 예문 없음</x:v>
      </x:c>
      <x:c r="P1151" s="8" t="str">
        <x:v>frequency_le_3_0,no_example</x:v>
      </x:c>
      <x:c r="Q1151" s="2" t="str"/>
      <x:c r="R1151" s="2" t="str"/>
      <x:c r="S1151" s="2" t="str"/>
      <x:c r="T1151" s="2" t="str"/>
      <x:c r="U1151" s="2" t="str"/>
      <x:c r="V1151" s="2" t="str">
        <x:v>아니오</x:v>
      </x:c>
      <x:c r="W1151" s="2" t="str">
        <x:v>예</x:v>
      </x:c>
      <x:c r="X1151" s="2" t="str">
        <x:v>ichi1,news2,nf31</x:v>
      </x:c>
      <x:c r="Y1151" s="2" t="n">
        <x:v>100</x:v>
      </x:c>
      <x:c r="Z1151" s="2" t="str">
        <x:v>ichi1,news2,nf31</x:v>
      </x:c>
      <x:c r="AA1151" s="2" t="n">
        <x:v>100</x:v>
      </x:c>
      <x:c r="AB1151" s="8" t="str">
        <x:v>abbreviation</x:v>
      </x:c>
      <x:c r="AC1151" s="8" t="str"/>
      <x:c r="AD1151" s="8" t="str">
        <x:v>["backfill-replacement","assistant-ko-reviewed"]</x:v>
      </x:c>
      <x:c r="AE1151" s="8" t="str">
        <x:v>검토 필요</x:v>
      </x:c>
      <x:c r="AF1151" s="8" t="str"/>
    </x:row>
    <x:row r="1152">
      <x:c r="A1152" s="10" t="n">
        <x:v>1151</x:v>
      </x:c>
      <x:c r="B1152" s="2" t="str">
        <x:v>2차 보류</x:v>
      </x:c>
      <x:c r="C1152" s="2" t="str">
        <x:v>2차 보류</x:v>
      </x:c>
      <x:c r="D1152" s="2" t="str">
        <x:v>낮음</x:v>
      </x:c>
      <x:c r="E1152" s="2" t="str">
        <x:v>N2</x:v>
      </x:c>
      <x:c r="F1152" s="10" t="n">
        <x:v>411</x:v>
      </x:c>
      <x:c r="G1152" s="2" t="str">
        <x:v>w_5f2f5825e2a1cc04</x:v>
      </x:c>
      <x:c r="H1152" s="2" t="str">
        <x:v>耕す</x:v>
      </x:c>
      <x:c r="I1152" s="2" t="str">
        <x:v>たがやす</x:v>
      </x:c>
      <x:c r="J1152" s="8" t="str">
        <x:v>갈다, 경작하다</x:v>
      </x:c>
      <x:c r="K1152" s="2" t="str">
        <x:v>verb</x:v>
      </x:c>
      <x:c r="L1152" s="9" t="n">
        <x:v>2.62</x:v>
      </x:c>
      <x:c r="M1152" s="2" t="str">
        <x:v>없음</x:v>
      </x:c>
      <x:c r="N1152" s="11" t="n">
        <x:v>-7</x:v>
      </x:c>
      <x:c r="O1152" s="8" t="str">
        <x:v>일반 사용 빈도 낮은 편(Zipf ≤ 3.0); 검증된 예문 없음</x:v>
      </x:c>
      <x:c r="P1152" s="8" t="str">
        <x:v>frequency_le_3_0,no_example</x:v>
      </x:c>
      <x:c r="Q1152" s="2" t="str"/>
      <x:c r="R1152" s="2" t="str"/>
      <x:c r="S1152" s="2" t="str"/>
      <x:c r="T1152" s="2" t="str"/>
      <x:c r="U1152" s="2" t="str"/>
      <x:c r="V1152" s="2" t="str">
        <x:v>아니오</x:v>
      </x:c>
      <x:c r="W1152" s="2" t="str">
        <x:v>예</x:v>
      </x:c>
      <x:c r="X1152" s="2" t="str">
        <x:v>ichi1,news2,nf33</x:v>
      </x:c>
      <x:c r="Y1152" s="2" t="n">
        <x:v>100</x:v>
      </x:c>
      <x:c r="Z1152" s="2" t="str">
        <x:v>ichi1,news2,nf33</x:v>
      </x:c>
      <x:c r="AA1152" s="2" t="n">
        <x:v>100</x:v>
      </x:c>
      <x:c r="AB1152" s="8" t="str"/>
      <x:c r="AC1152" s="8" t="str"/>
      <x:c r="AD1152" s="8" t="str">
        <x:v>["ko-reviewed"]</x:v>
      </x:c>
      <x:c r="AE1152" s="8" t="str">
        <x:v>검토 필요</x:v>
      </x:c>
      <x:c r="AF1152" s="8" t="str"/>
    </x:row>
    <x:row r="1153">
      <x:c r="A1153" s="10" t="n">
        <x:v>1152</x:v>
      </x:c>
      <x:c r="B1153" s="2" t="str">
        <x:v>2차 보류</x:v>
      </x:c>
      <x:c r="C1153" s="2" t="str">
        <x:v>2차 보류</x:v>
      </x:c>
      <x:c r="D1153" s="2" t="str">
        <x:v>낮음</x:v>
      </x:c>
      <x:c r="E1153" s="2" t="str">
        <x:v>N1</x:v>
      </x:c>
      <x:c r="F1153" s="10" t="n">
        <x:v>504</x:v>
      </x:c>
      <x:c r="G1153" s="2" t="str">
        <x:v>w_14d8d8e3463811d9</x:v>
      </x:c>
      <x:c r="H1153" s="2" t="str">
        <x:v>夜更け</x:v>
      </x:c>
      <x:c r="I1153" s="2" t="str">
        <x:v>よふけ</x:v>
      </x:c>
      <x:c r="J1153" s="8" t="str">
        <x:v>깊은 밤, 한밤중</x:v>
      </x:c>
      <x:c r="K1153" s="2" t="str">
        <x:v>noun</x:v>
      </x:c>
      <x:c r="L1153" s="9" t="n">
        <x:v>2.62</x:v>
      </x:c>
      <x:c r="M1153" s="2" t="str">
        <x:v>없음</x:v>
      </x:c>
      <x:c r="N1153" s="11" t="n">
        <x:v>-7</x:v>
      </x:c>
      <x:c r="O1153" s="8" t="str">
        <x:v>일반 사용 빈도 낮은 편(Zipf ≤ 3.0); 검증된 예문 없음</x:v>
      </x:c>
      <x:c r="P1153" s="8" t="str">
        <x:v>frequency_le_3_0,no_example</x:v>
      </x:c>
      <x:c r="Q1153" s="2" t="str"/>
      <x:c r="R1153" s="2" t="str"/>
      <x:c r="S1153" s="2" t="str"/>
      <x:c r="T1153" s="2" t="str"/>
      <x:c r="U1153" s="2" t="str"/>
      <x:c r="V1153" s="2" t="str">
        <x:v>아니오</x:v>
      </x:c>
      <x:c r="W1153" s="2" t="str">
        <x:v>예</x:v>
      </x:c>
      <x:c r="X1153" s="2" t="str">
        <x:v>ichi1</x:v>
      </x:c>
      <x:c r="Y1153" s="2" t="n">
        <x:v>100</x:v>
      </x:c>
      <x:c r="Z1153" s="2" t="str">
        <x:v>ichi1</x:v>
      </x:c>
      <x:c r="AA1153" s="2" t="n">
        <x:v>100</x:v>
      </x:c>
      <x:c r="AB1153" s="8" t="str"/>
      <x:c r="AC1153" s="8" t="str"/>
      <x:c r="AD1153" s="8" t="str">
        <x:v>["backfill-replacement","assistant-ko-reviewed"]</x:v>
      </x:c>
      <x:c r="AE1153" s="8" t="str">
        <x:v>검토 필요</x:v>
      </x:c>
      <x:c r="AF1153" s="8" t="str"/>
    </x:row>
    <x:row r="1154">
      <x:c r="A1154" s="10" t="n">
        <x:v>1153</x:v>
      </x:c>
      <x:c r="B1154" s="2" t="str">
        <x:v>2차 보류</x:v>
      </x:c>
      <x:c r="C1154" s="2" t="str">
        <x:v>2차 보류</x:v>
      </x:c>
      <x:c r="D1154" s="2" t="str">
        <x:v>낮음</x:v>
      </x:c>
      <x:c r="E1154" s="2" t="str">
        <x:v>N2</x:v>
      </x:c>
      <x:c r="F1154" s="10" t="n">
        <x:v>412</x:v>
      </x:c>
      <x:c r="G1154" s="2" t="str">
        <x:v>w_80c14bcf71e6f42d</x:v>
      </x:c>
      <x:c r="H1154" s="2" t="str">
        <x:v>図表</x:v>
      </x:c>
      <x:c r="I1154" s="2" t="str">
        <x:v>ずひょう</x:v>
      </x:c>
      <x:c r="J1154" s="8" t="str">
        <x:v>도표, 그래프</x:v>
      </x:c>
      <x:c r="K1154" s="2" t="str">
        <x:v>noun</x:v>
      </x:c>
      <x:c r="L1154" s="9" t="n">
        <x:v>2.64</x:v>
      </x:c>
      <x:c r="M1154" s="2" t="str">
        <x:v>없음</x:v>
      </x:c>
      <x:c r="N1154" s="11" t="n">
        <x:v>-7</x:v>
      </x:c>
      <x:c r="O1154" s="8" t="str">
        <x:v>일반 사용 빈도 낮은 편(Zipf ≤ 3.0); 검증된 예문 없음</x:v>
      </x:c>
      <x:c r="P1154" s="8" t="str">
        <x:v>frequency_le_3_0,no_example</x:v>
      </x:c>
      <x:c r="Q1154" s="2" t="str"/>
      <x:c r="R1154" s="2" t="str"/>
      <x:c r="S1154" s="2" t="str"/>
      <x:c r="T1154" s="2" t="str"/>
      <x:c r="U1154" s="2" t="str"/>
      <x:c r="V1154" s="2" t="str">
        <x:v>아니오</x:v>
      </x:c>
      <x:c r="W1154" s="2" t="str">
        <x:v>예</x:v>
      </x:c>
      <x:c r="X1154" s="2" t="str">
        <x:v>ichi1,news2,nf26</x:v>
      </x:c>
      <x:c r="Y1154" s="2" t="n">
        <x:v>100</x:v>
      </x:c>
      <x:c r="Z1154" s="2" t="str">
        <x:v>ichi1,news2,nf26</x:v>
      </x:c>
      <x:c r="AA1154" s="2" t="n">
        <x:v>100</x:v>
      </x:c>
      <x:c r="AB1154" s="8" t="str"/>
      <x:c r="AC1154" s="8" t="str"/>
      <x:c r="AD1154" s="8" t="str">
        <x:v>["ko-reviewed"]</x:v>
      </x:c>
      <x:c r="AE1154" s="8" t="str">
        <x:v>검토 필요</x:v>
      </x:c>
      <x:c r="AF1154" s="8" t="str"/>
    </x:row>
    <x:row r="1155">
      <x:c r="A1155" s="10" t="n">
        <x:v>1154</x:v>
      </x:c>
      <x:c r="B1155" s="2" t="str">
        <x:v>2차 보류</x:v>
      </x:c>
      <x:c r="C1155" s="2" t="str">
        <x:v>2차 보류</x:v>
      </x:c>
      <x:c r="D1155" s="2" t="str">
        <x:v>낮음</x:v>
      </x:c>
      <x:c r="E1155" s="2" t="str">
        <x:v>N2</x:v>
      </x:c>
      <x:c r="F1155" s="10" t="n">
        <x:v>413</x:v>
      </x:c>
      <x:c r="G1155" s="2" t="str">
        <x:v>w_b7e605e82426b997</x:v>
      </x:c>
      <x:c r="H1155" s="2" t="str">
        <x:v>回り道</x:v>
      </x:c>
      <x:c r="I1155" s="2" t="str">
        <x:v>まわりみち</x:v>
      </x:c>
      <x:c r="J1155" s="8" t="str">
        <x:v>우회, 돌아가는 길</x:v>
      </x:c>
      <x:c r="K1155" s="2" t="str">
        <x:v>noun</x:v>
      </x:c>
      <x:c r="L1155" s="9" t="n">
        <x:v>2.64</x:v>
      </x:c>
      <x:c r="M1155" s="2" t="str">
        <x:v>없음</x:v>
      </x:c>
      <x:c r="N1155" s="11" t="n">
        <x:v>-7</x:v>
      </x:c>
      <x:c r="O1155" s="8" t="str">
        <x:v>일반 사용 빈도 낮은 편(Zipf ≤ 3.0); 검증된 예문 없음</x:v>
      </x:c>
      <x:c r="P1155" s="8" t="str">
        <x:v>frequency_le_3_0,no_example</x:v>
      </x:c>
      <x:c r="Q1155" s="2" t="str"/>
      <x:c r="R1155" s="2" t="str"/>
      <x:c r="S1155" s="2" t="str"/>
      <x:c r="T1155" s="2" t="str"/>
      <x:c r="U1155" s="2" t="str"/>
      <x:c r="V1155" s="2" t="str">
        <x:v>아니오</x:v>
      </x:c>
      <x:c r="W1155" s="2" t="str">
        <x:v>예</x:v>
      </x:c>
      <x:c r="X1155" s="2" t="str">
        <x:v>ichi1,news2,nf35</x:v>
      </x:c>
      <x:c r="Y1155" s="2" t="n">
        <x:v>100</x:v>
      </x:c>
      <x:c r="Z1155" s="2" t="str">
        <x:v>ichi1,news2,nf35</x:v>
      </x:c>
      <x:c r="AA1155" s="2" t="n">
        <x:v>100</x:v>
      </x:c>
      <x:c r="AB1155" s="8" t="str"/>
      <x:c r="AC1155" s="8" t="str"/>
      <x:c r="AD1155" s="8" t="str">
        <x:v>["ko-reviewed"]</x:v>
      </x:c>
      <x:c r="AE1155" s="8" t="str">
        <x:v>검토 필요</x:v>
      </x:c>
      <x:c r="AF1155" s="8" t="str"/>
    </x:row>
    <x:row r="1156">
      <x:c r="A1156" s="10" t="n">
        <x:v>1155</x:v>
      </x:c>
      <x:c r="B1156" s="2" t="str">
        <x:v>2차 보류</x:v>
      </x:c>
      <x:c r="C1156" s="2" t="str">
        <x:v>2차 보류</x:v>
      </x:c>
      <x:c r="D1156" s="2" t="str">
        <x:v>낮음</x:v>
      </x:c>
      <x:c r="E1156" s="2" t="str">
        <x:v>N1</x:v>
      </x:c>
      <x:c r="F1156" s="10" t="n">
        <x:v>505</x:v>
      </x:c>
      <x:c r="G1156" s="2" t="str">
        <x:v>w_17f0f7e5b8a97bb2</x:v>
      </x:c>
      <x:c r="H1156" s="2" t="str">
        <x:v>縮まる</x:v>
      </x:c>
      <x:c r="I1156" s="2" t="str">
        <x:v>ちぢまる</x:v>
      </x:c>
      <x:c r="J1156" s="8" t="str">
        <x:v>줄어들다, 수축되다</x:v>
      </x:c>
      <x:c r="K1156" s="2" t="str">
        <x:v>verb</x:v>
      </x:c>
      <x:c r="L1156" s="9" t="n">
        <x:v>2.64</x:v>
      </x:c>
      <x:c r="M1156" s="2" t="str">
        <x:v>없음</x:v>
      </x:c>
      <x:c r="N1156" s="11" t="n">
        <x:v>-7</x:v>
      </x:c>
      <x:c r="O1156" s="8" t="str">
        <x:v>일반 사용 빈도 낮은 편(Zipf ≤ 3.0); 검증된 예문 없음</x:v>
      </x:c>
      <x:c r="P1156" s="8" t="str">
        <x:v>frequency_le_3_0,no_example</x:v>
      </x:c>
      <x:c r="Q1156" s="2" t="str"/>
      <x:c r="R1156" s="2" t="str"/>
      <x:c r="S1156" s="2" t="str"/>
      <x:c r="T1156" s="2" t="str"/>
      <x:c r="U1156" s="2" t="str"/>
      <x:c r="V1156" s="2" t="str">
        <x:v>아니오</x:v>
      </x:c>
      <x:c r="W1156" s="2" t="str">
        <x:v>예</x:v>
      </x:c>
      <x:c r="X1156" s="2" t="str">
        <x:v>ichi1,news2,nf46</x:v>
      </x:c>
      <x:c r="Y1156" s="2" t="n">
        <x:v>100</x:v>
      </x:c>
      <x:c r="Z1156" s="2" t="str">
        <x:v>ichi1,news2,nf46</x:v>
      </x:c>
      <x:c r="AA1156" s="2" t="n">
        <x:v>100</x:v>
      </x:c>
      <x:c r="AB1156" s="8" t="str"/>
      <x:c r="AC1156" s="8" t="str"/>
      <x:c r="AD1156" s="8" t="str">
        <x:v>["ko-reviewed"]</x:v>
      </x:c>
      <x:c r="AE1156" s="8" t="str">
        <x:v>검토 필요</x:v>
      </x:c>
      <x:c r="AF1156" s="8" t="str"/>
    </x:row>
    <x:row r="1157">
      <x:c r="A1157" s="10" t="n">
        <x:v>1156</x:v>
      </x:c>
      <x:c r="B1157" s="2" t="str">
        <x:v>2차 보류</x:v>
      </x:c>
      <x:c r="C1157" s="2" t="str">
        <x:v>2차 보류</x:v>
      </x:c>
      <x:c r="D1157" s="2" t="str">
        <x:v>낮음</x:v>
      </x:c>
      <x:c r="E1157" s="2" t="str">
        <x:v>N2</x:v>
      </x:c>
      <x:c r="F1157" s="10" t="n">
        <x:v>414</x:v>
      </x:c>
      <x:c r="G1157" s="2" t="str">
        <x:v>w_99375e60fdeb18f4</x:v>
      </x:c>
      <x:c r="H1157" s="2" t="str">
        <x:v>オートメーション</x:v>
      </x:c>
      <x:c r="I1157" s="2" t="str">
        <x:v>オートメーション</x:v>
      </x:c>
      <x:c r="J1157" s="8" t="str">
        <x:v>자동화</x:v>
      </x:c>
      <x:c r="K1157" s="2" t="str">
        <x:v>noun</x:v>
      </x:c>
      <x:c r="L1157" s="9" t="n">
        <x:v>2.65</x:v>
      </x:c>
      <x:c r="M1157" s="2" t="str">
        <x:v>없음</x:v>
      </x:c>
      <x:c r="N1157" s="11" t="n">
        <x:v>-7</x:v>
      </x:c>
      <x:c r="O1157" s="8" t="str">
        <x:v>일반 사용 빈도 낮은 편(Zipf ≤ 3.0); 검증된 예문 없음</x:v>
      </x:c>
      <x:c r="P1157" s="8" t="str">
        <x:v>frequency_le_3_0,no_example</x:v>
      </x:c>
      <x:c r="Q1157" s="2" t="str"/>
      <x:c r="R1157" s="2" t="str"/>
      <x:c r="S1157" s="2" t="str"/>
      <x:c r="T1157" s="2" t="str"/>
      <x:c r="U1157" s="2" t="str"/>
      <x:c r="V1157" s="2" t="str">
        <x:v>아니오</x:v>
      </x:c>
      <x:c r="W1157" s="2" t="str">
        <x:v>예</x:v>
      </x:c>
      <x:c r="X1157" s="2" t="str">
        <x:v>gai1,ichi1</x:v>
      </x:c>
      <x:c r="Y1157" s="2" t="n">
        <x:v>100</x:v>
      </x:c>
      <x:c r="Z1157" s="2" t="str">
        <x:v>gai1,ichi1</x:v>
      </x:c>
      <x:c r="AA1157" s="2" t="n">
        <x:v>100</x:v>
      </x:c>
      <x:c r="AB1157" s="8" t="str"/>
      <x:c r="AC1157" s="8" t="str"/>
      <x:c r="AD1157" s="8" t="str">
        <x:v>["ko-reviewed"]</x:v>
      </x:c>
      <x:c r="AE1157" s="8" t="str">
        <x:v>검토 필요</x:v>
      </x:c>
      <x:c r="AF1157" s="8" t="str"/>
    </x:row>
    <x:row r="1158">
      <x:c r="A1158" s="10" t="n">
        <x:v>1157</x:v>
      </x:c>
      <x:c r="B1158" s="2" t="str">
        <x:v>2차 보류</x:v>
      </x:c>
      <x:c r="C1158" s="2" t="str">
        <x:v>2차 보류</x:v>
      </x:c>
      <x:c r="D1158" s="2" t="str">
        <x:v>낮음</x:v>
      </x:c>
      <x:c r="E1158" s="2" t="str">
        <x:v>N2</x:v>
      </x:c>
      <x:c r="F1158" s="10" t="n">
        <x:v>415</x:v>
      </x:c>
      <x:c r="G1158" s="2" t="str">
        <x:v>w_451818ecc889c81e</x:v>
      </x:c>
      <x:c r="H1158" s="2" t="str">
        <x:v>日の入り</x:v>
      </x:c>
      <x:c r="I1158" s="2" t="str">
        <x:v>ひのいり</x:v>
      </x:c>
      <x:c r="J1158" s="8" t="str">
        <x:v>일몰</x:v>
      </x:c>
      <x:c r="K1158" s="2" t="str">
        <x:v>noun</x:v>
      </x:c>
      <x:c r="L1158" s="9" t="n">
        <x:v>2.66</x:v>
      </x:c>
      <x:c r="M1158" s="2" t="str">
        <x:v>없음</x:v>
      </x:c>
      <x:c r="N1158" s="11" t="n">
        <x:v>-7</x:v>
      </x:c>
      <x:c r="O1158" s="8" t="str">
        <x:v>일반 사용 빈도 낮은 편(Zipf ≤ 3.0); 검증된 예문 없음</x:v>
      </x:c>
      <x:c r="P1158" s="8" t="str">
        <x:v>frequency_le_3_0,no_example</x:v>
      </x:c>
      <x:c r="Q1158" s="2" t="str"/>
      <x:c r="R1158" s="2" t="str"/>
      <x:c r="S1158" s="2" t="str"/>
      <x:c r="T1158" s="2" t="str"/>
      <x:c r="U1158" s="2" t="str"/>
      <x:c r="V1158" s="2" t="str">
        <x:v>아니오</x:v>
      </x:c>
      <x:c r="W1158" s="2" t="str">
        <x:v>예</x:v>
      </x:c>
      <x:c r="X1158" s="2" t="str">
        <x:v>ichi1</x:v>
      </x:c>
      <x:c r="Y1158" s="2" t="n">
        <x:v>100</x:v>
      </x:c>
      <x:c r="Z1158" s="2" t="str">
        <x:v>ichi1</x:v>
      </x:c>
      <x:c r="AA1158" s="2" t="n">
        <x:v>100</x:v>
      </x:c>
      <x:c r="AB1158" s="8" t="str"/>
      <x:c r="AC1158" s="8" t="str"/>
      <x:c r="AD1158" s="8" t="str">
        <x:v>["ko-reviewed"]</x:v>
      </x:c>
      <x:c r="AE1158" s="8" t="str">
        <x:v>검토 필요</x:v>
      </x:c>
      <x:c r="AF1158" s="8" t="str"/>
    </x:row>
    <x:row r="1159">
      <x:c r="A1159" s="10" t="n">
        <x:v>1158</x:v>
      </x:c>
      <x:c r="B1159" s="2" t="str">
        <x:v>2차 보류</x:v>
      </x:c>
      <x:c r="C1159" s="2" t="str">
        <x:v>2차 보류</x:v>
      </x:c>
      <x:c r="D1159" s="2" t="str">
        <x:v>낮음</x:v>
      </x:c>
      <x:c r="E1159" s="2" t="str">
        <x:v>N2</x:v>
      </x:c>
      <x:c r="F1159" s="10" t="n">
        <x:v>416</x:v>
      </x:c>
      <x:c r="G1159" s="2" t="str">
        <x:v>w_80d723159dbb281d</x:v>
      </x:c>
      <x:c r="H1159" s="2" t="str">
        <x:v>論ずる</x:v>
      </x:c>
      <x:c r="I1159" s="2" t="str">
        <x:v>ろんずる</x:v>
      </x:c>
      <x:c r="J1159" s="8" t="str">
        <x:v>논하다, 토론하다</x:v>
      </x:c>
      <x:c r="K1159" s="2" t="str">
        <x:v>verb</x:v>
      </x:c>
      <x:c r="L1159" s="9" t="n">
        <x:v>2.66</x:v>
      </x:c>
      <x:c r="M1159" s="2" t="str">
        <x:v>없음</x:v>
      </x:c>
      <x:c r="N1159" s="11" t="n">
        <x:v>-7</x:v>
      </x:c>
      <x:c r="O1159" s="8" t="str">
        <x:v>일반 사용 빈도 낮은 편(Zipf ≤ 3.0); 검증된 예문 없음</x:v>
      </x:c>
      <x:c r="P1159" s="8" t="str">
        <x:v>frequency_le_3_0,no_example</x:v>
      </x:c>
      <x:c r="Q1159" s="2" t="str"/>
      <x:c r="R1159" s="2" t="str"/>
      <x:c r="S1159" s="2" t="str"/>
      <x:c r="T1159" s="2" t="str"/>
      <x:c r="U1159" s="2" t="str"/>
      <x:c r="V1159" s="2" t="str">
        <x:v>아니오</x:v>
      </x:c>
      <x:c r="W1159" s="2" t="str">
        <x:v>예</x:v>
      </x:c>
      <x:c r="X1159" s="2" t="str">
        <x:v>ichi1,news2,nf27</x:v>
      </x:c>
      <x:c r="Y1159" s="2" t="n">
        <x:v>100</x:v>
      </x:c>
      <x:c r="Z1159" s="2" t="str">
        <x:v>ichi1,news2,nf27</x:v>
      </x:c>
      <x:c r="AA1159" s="2" t="n">
        <x:v>100</x:v>
      </x:c>
      <x:c r="AB1159" s="8" t="str">
        <x:v>usu. in negative sentences</x:v>
      </x:c>
      <x:c r="AC1159" s="8" t="str"/>
      <x:c r="AD1159" s="8" t="str">
        <x:v>["backfill-replacement","assistant-ko-reviewed"]</x:v>
      </x:c>
      <x:c r="AE1159" s="8" t="str">
        <x:v>검토 필요</x:v>
      </x:c>
      <x:c r="AF1159" s="8" t="str"/>
    </x:row>
    <x:row r="1160">
      <x:c r="A1160" s="10" t="n">
        <x:v>1159</x:v>
      </x:c>
      <x:c r="B1160" s="2" t="str">
        <x:v>2차 보류</x:v>
      </x:c>
      <x:c r="C1160" s="2" t="str">
        <x:v>2차 보류</x:v>
      </x:c>
      <x:c r="D1160" s="2" t="str">
        <x:v>낮음</x:v>
      </x:c>
      <x:c r="E1160" s="2" t="str">
        <x:v>N2</x:v>
      </x:c>
      <x:c r="F1160" s="10" t="n">
        <x:v>417</x:v>
      </x:c>
      <x:c r="G1160" s="2" t="str">
        <x:v>w_acb5911b27094bb4</x:v>
      </x:c>
      <x:c r="H1160" s="2" t="str">
        <x:v>凍える</x:v>
      </x:c>
      <x:c r="I1160" s="2" t="str">
        <x:v>こごえる</x:v>
      </x:c>
      <x:c r="J1160" s="8" t="str">
        <x:v>얼어붙다, 몹시 춥다</x:v>
      </x:c>
      <x:c r="K1160" s="2" t="str">
        <x:v>verb</x:v>
      </x:c>
      <x:c r="L1160" s="9" t="n">
        <x:v>2.66</x:v>
      </x:c>
      <x:c r="M1160" s="2" t="str">
        <x:v>없음</x:v>
      </x:c>
      <x:c r="N1160" s="11" t="n">
        <x:v>-7</x:v>
      </x:c>
      <x:c r="O1160" s="8" t="str">
        <x:v>일반 사용 빈도 낮은 편(Zipf ≤ 3.0); 검증된 예문 없음</x:v>
      </x:c>
      <x:c r="P1160" s="8" t="str">
        <x:v>frequency_le_3_0,no_example</x:v>
      </x:c>
      <x:c r="Q1160" s="2" t="str"/>
      <x:c r="R1160" s="2" t="str"/>
      <x:c r="S1160" s="2" t="str"/>
      <x:c r="T1160" s="2" t="str"/>
      <x:c r="U1160" s="2" t="str"/>
      <x:c r="V1160" s="2" t="str">
        <x:v>아니오</x:v>
      </x:c>
      <x:c r="W1160" s="2" t="str">
        <x:v>예</x:v>
      </x:c>
      <x:c r="X1160" s="2" t="str">
        <x:v>ichi1</x:v>
      </x:c>
      <x:c r="Y1160" s="2" t="n">
        <x:v>100</x:v>
      </x:c>
      <x:c r="Z1160" s="2" t="str">
        <x:v>ichi1</x:v>
      </x:c>
      <x:c r="AA1160" s="2" t="n">
        <x:v>100</x:v>
      </x:c>
      <x:c r="AB1160" s="8" t="str"/>
      <x:c r="AC1160" s="8" t="str"/>
      <x:c r="AD1160" s="8" t="str">
        <x:v>["ko-reviewed"]</x:v>
      </x:c>
      <x:c r="AE1160" s="8" t="str">
        <x:v>검토 필요</x:v>
      </x:c>
      <x:c r="AF1160" s="8" t="str"/>
    </x:row>
    <x:row r="1161">
      <x:c r="A1161" s="10" t="n">
        <x:v>1160</x:v>
      </x:c>
      <x:c r="B1161" s="2" t="str">
        <x:v>2차 보류</x:v>
      </x:c>
      <x:c r="C1161" s="2" t="str">
        <x:v>2차 보류</x:v>
      </x:c>
      <x:c r="D1161" s="2" t="str">
        <x:v>낮음</x:v>
      </x:c>
      <x:c r="E1161" s="2" t="str">
        <x:v>N1</x:v>
      </x:c>
      <x:c r="F1161" s="10" t="n">
        <x:v>506</x:v>
      </x:c>
      <x:c r="G1161" s="2" t="str">
        <x:v>w_801a4ef078453053</x:v>
      </x:c>
      <x:c r="H1161" s="2" t="str">
        <x:v>無闇に</x:v>
      </x:c>
      <x:c r="I1161" s="2" t="str">
        <x:v>むやみに</x:v>
      </x:c>
      <x:c r="J1161" s="8" t="str">
        <x:v>함부로, 마구</x:v>
      </x:c>
      <x:c r="K1161" s="2" t="str">
        <x:v>adverb</x:v>
      </x:c>
      <x:c r="L1161" s="9" t="n">
        <x:v>2.66</x:v>
      </x:c>
      <x:c r="M1161" s="2" t="str">
        <x:v>없음</x:v>
      </x:c>
      <x:c r="N1161" s="11" t="n">
        <x:v>-7</x:v>
      </x:c>
      <x:c r="O1161" s="8" t="str">
        <x:v>일반 사용 빈도 낮은 편(Zipf ≤ 3.0); 검증된 예문 없음</x:v>
      </x:c>
      <x:c r="P1161" s="8" t="str">
        <x:v>frequency_le_3_0,no_example</x:v>
      </x:c>
      <x:c r="Q1161" s="2" t="str"/>
      <x:c r="R1161" s="2" t="str"/>
      <x:c r="S1161" s="2" t="str"/>
      <x:c r="T1161" s="2" t="str"/>
      <x:c r="U1161" s="2" t="str"/>
      <x:c r="V1161" s="2" t="str">
        <x:v>아니오</x:v>
      </x:c>
      <x:c r="W1161" s="2" t="str">
        <x:v>예</x:v>
      </x:c>
      <x:c r="X1161" s="2" t="str">
        <x:v>ichi1</x:v>
      </x:c>
      <x:c r="Y1161" s="2" t="n">
        <x:v>100</x:v>
      </x:c>
      <x:c r="Z1161" s="2" t="str">
        <x:v>ichi1</x:v>
      </x:c>
      <x:c r="AA1161" s="2" t="n">
        <x:v>100</x:v>
      </x:c>
      <x:c r="AB1161" s="8" t="str">
        <x:v>ateji (phonetic) reading | word usually written using kana alone</x:v>
      </x:c>
      <x:c r="AC1161" s="8" t="str"/>
      <x:c r="AD1161" s="8" t="str">
        <x:v>["ko-reviewed"]</x:v>
      </x:c>
      <x:c r="AE1161" s="8" t="str">
        <x:v>검토 필요</x:v>
      </x:c>
      <x:c r="AF1161" s="8" t="str"/>
    </x:row>
    <x:row r="1162">
      <x:c r="A1162" s="10" t="n">
        <x:v>1161</x:v>
      </x:c>
      <x:c r="B1162" s="2" t="str">
        <x:v>2차 보류</x:v>
      </x:c>
      <x:c r="C1162" s="2" t="str">
        <x:v>2차 보류</x:v>
      </x:c>
      <x:c r="D1162" s="2" t="str">
        <x:v>낮음</x:v>
      </x:c>
      <x:c r="E1162" s="2" t="str">
        <x:v>N2</x:v>
      </x:c>
      <x:c r="F1162" s="10" t="n">
        <x:v>418</x:v>
      </x:c>
      <x:c r="G1162" s="2" t="str">
        <x:v>w_7b196f5e46445331</x:v>
      </x:c>
      <x:c r="H1162" s="2" t="str">
        <x:v>散らかす</x:v>
      </x:c>
      <x:c r="I1162" s="2" t="str">
        <x:v>ちらかす</x:v>
      </x:c>
      <x:c r="J1162" s="8" t="str">
        <x:v>어지르다</x:v>
      </x:c>
      <x:c r="K1162" s="2" t="str">
        <x:v>verb</x:v>
      </x:c>
      <x:c r="L1162" s="9" t="n">
        <x:v>2.67</x:v>
      </x:c>
      <x:c r="M1162" s="2" t="str">
        <x:v>없음</x:v>
      </x:c>
      <x:c r="N1162" s="11" t="n">
        <x:v>-7</x:v>
      </x:c>
      <x:c r="O1162" s="8" t="str">
        <x:v>일반 사용 빈도 낮은 편(Zipf ≤ 3.0); 검증된 예문 없음</x:v>
      </x:c>
      <x:c r="P1162" s="8" t="str">
        <x:v>frequency_le_3_0,no_example</x:v>
      </x:c>
      <x:c r="Q1162" s="2" t="str"/>
      <x:c r="R1162" s="2" t="str"/>
      <x:c r="S1162" s="2" t="str"/>
      <x:c r="T1162" s="2" t="str"/>
      <x:c r="U1162" s="2" t="str"/>
      <x:c r="V1162" s="2" t="str">
        <x:v>아니오</x:v>
      </x:c>
      <x:c r="W1162" s="2" t="str">
        <x:v>예</x:v>
      </x:c>
      <x:c r="X1162" s="2" t="str">
        <x:v>ichi1</x:v>
      </x:c>
      <x:c r="Y1162" s="2" t="n">
        <x:v>100</x:v>
      </x:c>
      <x:c r="Z1162" s="2" t="str">
        <x:v>ichi1</x:v>
      </x:c>
      <x:c r="AA1162" s="2" t="n">
        <x:v>100</x:v>
      </x:c>
      <x:c r="AB1162" s="8" t="str"/>
      <x:c r="AC1162" s="8" t="str"/>
      <x:c r="AD1162" s="8" t="str">
        <x:v>["ko-reviewed"]</x:v>
      </x:c>
      <x:c r="AE1162" s="8" t="str">
        <x:v>검토 필요</x:v>
      </x:c>
      <x:c r="AF1162" s="8" t="str"/>
    </x:row>
    <x:row r="1163">
      <x:c r="A1163" s="10" t="n">
        <x:v>1162</x:v>
      </x:c>
      <x:c r="B1163" s="2" t="str">
        <x:v>2차 보류</x:v>
      </x:c>
      <x:c r="C1163" s="2" t="str">
        <x:v>2차 보류</x:v>
      </x:c>
      <x:c r="D1163" s="2" t="str">
        <x:v>낮음</x:v>
      </x:c>
      <x:c r="E1163" s="2" t="str">
        <x:v>N2</x:v>
      </x:c>
      <x:c r="F1163" s="10" t="n">
        <x:v>419</x:v>
      </x:c>
      <x:c r="G1163" s="2" t="str">
        <x:v>w_e00dbe6126a8bcff</x:v>
      </x:c>
      <x:c r="H1163" s="2" t="str">
        <x:v>物差し</x:v>
      </x:c>
      <x:c r="I1163" s="2" t="str">
        <x:v>ものさし</x:v>
      </x:c>
      <x:c r="J1163" s="8" t="str">
        <x:v>자, 기준</x:v>
      </x:c>
      <x:c r="K1163" s="2" t="str">
        <x:v>noun</x:v>
      </x:c>
      <x:c r="L1163" s="9" t="n">
        <x:v>2.67</x:v>
      </x:c>
      <x:c r="M1163" s="2" t="str">
        <x:v>없음</x:v>
      </x:c>
      <x:c r="N1163" s="11" t="n">
        <x:v>-7</x:v>
      </x:c>
      <x:c r="O1163" s="8" t="str">
        <x:v>일반 사용 빈도 낮은 편(Zipf ≤ 3.0); 검증된 예문 없음</x:v>
      </x:c>
      <x:c r="P1163" s="8" t="str">
        <x:v>frequency_le_3_0,no_example</x:v>
      </x:c>
      <x:c r="Q1163" s="2" t="str"/>
      <x:c r="R1163" s="2" t="str"/>
      <x:c r="S1163" s="2" t="str"/>
      <x:c r="T1163" s="2" t="str"/>
      <x:c r="U1163" s="2" t="str"/>
      <x:c r="V1163" s="2" t="str">
        <x:v>아니오</x:v>
      </x:c>
      <x:c r="W1163" s="2" t="str">
        <x:v>예</x:v>
      </x:c>
      <x:c r="X1163" s="2" t="str">
        <x:v>ichi1,news1,nf20</x:v>
      </x:c>
      <x:c r="Y1163" s="2" t="n">
        <x:v>100</x:v>
      </x:c>
      <x:c r="Z1163" s="2" t="str">
        <x:v>ichi1,news1,nf20</x:v>
      </x:c>
      <x:c r="AA1163" s="2" t="n">
        <x:v>100</x:v>
      </x:c>
      <x:c r="AB1163" s="8" t="str"/>
      <x:c r="AC1163" s="8" t="str"/>
      <x:c r="AD1163" s="8" t="str">
        <x:v>["backfill-replacement","assistant-ko-reviewed"]</x:v>
      </x:c>
      <x:c r="AE1163" s="8" t="str">
        <x:v>검토 필요</x:v>
      </x:c>
      <x:c r="AF1163" s="8" t="str"/>
    </x:row>
    <x:row r="1164">
      <x:c r="A1164" s="10" t="n">
        <x:v>1163</x:v>
      </x:c>
      <x:c r="B1164" s="2" t="str">
        <x:v>2차 보류</x:v>
      </x:c>
      <x:c r="C1164" s="2" t="str">
        <x:v>2차 보류</x:v>
      </x:c>
      <x:c r="D1164" s="2" t="str">
        <x:v>낮음</x:v>
      </x:c>
      <x:c r="E1164" s="2" t="str">
        <x:v>N1</x:v>
      </x:c>
      <x:c r="F1164" s="10" t="n">
        <x:v>507</x:v>
      </x:c>
      <x:c r="G1164" s="2" t="str">
        <x:v>w_1fc993a9b8776402</x:v>
      </x:c>
      <x:c r="H1164" s="2" t="str">
        <x:v>利潤</x:v>
      </x:c>
      <x:c r="I1164" s="2" t="str">
        <x:v>りじゅん</x:v>
      </x:c>
      <x:c r="J1164" s="8" t="str">
        <x:v>이윤, 이익</x:v>
      </x:c>
      <x:c r="K1164" s="2" t="str">
        <x:v>noun</x:v>
      </x:c>
      <x:c r="L1164" s="9" t="n">
        <x:v>2.67</x:v>
      </x:c>
      <x:c r="M1164" s="2" t="str">
        <x:v>없음</x:v>
      </x:c>
      <x:c r="N1164" s="11" t="n">
        <x:v>-7</x:v>
      </x:c>
      <x:c r="O1164" s="8" t="str">
        <x:v>일반 사용 빈도 낮은 편(Zipf ≤ 3.0); 검증된 예문 없음</x:v>
      </x:c>
      <x:c r="P1164" s="8" t="str">
        <x:v>frequency_le_3_0,no_example</x:v>
      </x:c>
      <x:c r="Q1164" s="2" t="str"/>
      <x:c r="R1164" s="2" t="str"/>
      <x:c r="S1164" s="2" t="str"/>
      <x:c r="T1164" s="2" t="str"/>
      <x:c r="U1164" s="2" t="str"/>
      <x:c r="V1164" s="2" t="str">
        <x:v>아니오</x:v>
      </x:c>
      <x:c r="W1164" s="2" t="str">
        <x:v>예</x:v>
      </x:c>
      <x:c r="X1164" s="2" t="str">
        <x:v>news1,nf24</x:v>
      </x:c>
      <x:c r="Y1164" s="2" t="n">
        <x:v>100</x:v>
      </x:c>
      <x:c r="Z1164" s="2" t="str">
        <x:v>news1,nf24</x:v>
      </x:c>
      <x:c r="AA1164" s="2" t="n">
        <x:v>100</x:v>
      </x:c>
      <x:c r="AB1164" s="8" t="str"/>
      <x:c r="AC1164" s="8" t="str"/>
      <x:c r="AD1164" s="8" t="str">
        <x:v>["backfill-replacement","assistant-ko-reviewed"]</x:v>
      </x:c>
      <x:c r="AE1164" s="8" t="str">
        <x:v>검토 필요</x:v>
      </x:c>
      <x:c r="AF1164" s="8" t="str"/>
    </x:row>
    <x:row r="1165">
      <x:c r="A1165" s="10" t="n">
        <x:v>1164</x:v>
      </x:c>
      <x:c r="B1165" s="2" t="str">
        <x:v>2차 보류</x:v>
      </x:c>
      <x:c r="C1165" s="2" t="str">
        <x:v>2차 보류</x:v>
      </x:c>
      <x:c r="D1165" s="2" t="str">
        <x:v>낮음</x:v>
      </x:c>
      <x:c r="E1165" s="2" t="str">
        <x:v>N2</x:v>
      </x:c>
      <x:c r="F1165" s="10" t="n">
        <x:v>420</x:v>
      </x:c>
      <x:c r="G1165" s="2" t="str">
        <x:v>w_7bd70840a87aa407</x:v>
      </x:c>
      <x:c r="H1165" s="2" t="str">
        <x:v>単数</x:v>
      </x:c>
      <x:c r="I1165" s="2" t="str">
        <x:v>たんすう</x:v>
      </x:c>
      <x:c r="J1165" s="8" t="str">
        <x:v>단수</x:v>
      </x:c>
      <x:c r="K1165" s="2" t="str">
        <x:v>adjective</x:v>
      </x:c>
      <x:c r="L1165" s="9" t="n">
        <x:v>2.69</x:v>
      </x:c>
      <x:c r="M1165" s="2" t="str">
        <x:v>없음</x:v>
      </x:c>
      <x:c r="N1165" s="11" t="n">
        <x:v>-7</x:v>
      </x:c>
      <x:c r="O1165" s="8" t="str">
        <x:v>일반 사용 빈도 낮은 편(Zipf ≤ 3.0); 검증된 예문 없음</x:v>
      </x:c>
      <x:c r="P1165" s="8" t="str">
        <x:v>frequency_le_3_0,no_example</x:v>
      </x:c>
      <x:c r="Q1165" s="2" t="str"/>
      <x:c r="R1165" s="2" t="str"/>
      <x:c r="S1165" s="2" t="str"/>
      <x:c r="T1165" s="2" t="str"/>
      <x:c r="U1165" s="2" t="str"/>
      <x:c r="V1165" s="2" t="str">
        <x:v>아니오</x:v>
      </x:c>
      <x:c r="W1165" s="2" t="str">
        <x:v>예</x:v>
      </x:c>
      <x:c r="X1165" s="2" t="str">
        <x:v>ichi1</x:v>
      </x:c>
      <x:c r="Y1165" s="2" t="n">
        <x:v>100</x:v>
      </x:c>
      <x:c r="Z1165" s="2" t="str">
        <x:v>ichi1</x:v>
      </x:c>
      <x:c r="AA1165" s="2" t="n">
        <x:v>100</x:v>
      </x:c>
      <x:c r="AB1165" s="8" t="str"/>
      <x:c r="AC1165" s="8" t="str"/>
      <x:c r="AD1165" s="8" t="str">
        <x:v>["ko-reviewed"]</x:v>
      </x:c>
      <x:c r="AE1165" s="8" t="str">
        <x:v>검토 필요</x:v>
      </x:c>
      <x:c r="AF1165" s="8" t="str"/>
    </x:row>
    <x:row r="1166">
      <x:c r="A1166" s="10" t="n">
        <x:v>1165</x:v>
      </x:c>
      <x:c r="B1166" s="2" t="str">
        <x:v>2차 보류</x:v>
      </x:c>
      <x:c r="C1166" s="2" t="str">
        <x:v>2차 보류</x:v>
      </x:c>
      <x:c r="D1166" s="2" t="str">
        <x:v>낮음</x:v>
      </x:c>
      <x:c r="E1166" s="2" t="str">
        <x:v>N2</x:v>
      </x:c>
      <x:c r="F1166" s="10" t="n">
        <x:v>421</x:v>
      </x:c>
      <x:c r="G1166" s="2" t="str">
        <x:v>w_b34cf940738e2be9</x:v>
      </x:c>
      <x:c r="H1166" s="2" t="str">
        <x:v>道順</x:v>
      </x:c>
      <x:c r="I1166" s="2" t="str">
        <x:v>みちじゅん</x:v>
      </x:c>
      <x:c r="J1166" s="8" t="str">
        <x:v>길 순서, 노정</x:v>
      </x:c>
      <x:c r="K1166" s="2" t="str">
        <x:v>noun</x:v>
      </x:c>
      <x:c r="L1166" s="9" t="n">
        <x:v>2.69</x:v>
      </x:c>
      <x:c r="M1166" s="2" t="str">
        <x:v>없음</x:v>
      </x:c>
      <x:c r="N1166" s="11" t="n">
        <x:v>-7</x:v>
      </x:c>
      <x:c r="O1166" s="8" t="str">
        <x:v>일반 사용 빈도 낮은 편(Zipf ≤ 3.0); 검증된 예문 없음</x:v>
      </x:c>
      <x:c r="P1166" s="8" t="str">
        <x:v>frequency_le_3_0,no_example</x:v>
      </x:c>
      <x:c r="Q1166" s="2" t="str"/>
      <x:c r="R1166" s="2" t="str"/>
      <x:c r="S1166" s="2" t="str"/>
      <x:c r="T1166" s="2" t="str"/>
      <x:c r="U1166" s="2" t="str"/>
      <x:c r="V1166" s="2" t="str">
        <x:v>아니오</x:v>
      </x:c>
      <x:c r="W1166" s="2" t="str">
        <x:v>예</x:v>
      </x:c>
      <x:c r="X1166" s="2" t="str">
        <x:v>ichi1,news2,nf43</x:v>
      </x:c>
      <x:c r="Y1166" s="2" t="n">
        <x:v>100</x:v>
      </x:c>
      <x:c r="Z1166" s="2" t="str">
        <x:v>ichi1,news2,nf43</x:v>
      </x:c>
      <x:c r="AA1166" s="2" t="n">
        <x:v>100</x:v>
      </x:c>
      <x:c r="AB1166" s="8" t="str"/>
      <x:c r="AC1166" s="8" t="str"/>
      <x:c r="AD1166" s="8" t="str">
        <x:v>["backfill-replacement","assistant-ko-reviewed"]</x:v>
      </x:c>
      <x:c r="AE1166" s="8" t="str">
        <x:v>검토 필요</x:v>
      </x:c>
      <x:c r="AF1166" s="8" t="str"/>
    </x:row>
    <x:row r="1167">
      <x:c r="A1167" s="10" t="n">
        <x:v>1166</x:v>
      </x:c>
      <x:c r="B1167" s="2" t="str">
        <x:v>2차 보류</x:v>
      </x:c>
      <x:c r="C1167" s="2" t="str">
        <x:v>2차 보류</x:v>
      </x:c>
      <x:c r="D1167" s="2" t="str">
        <x:v>낮음</x:v>
      </x:c>
      <x:c r="E1167" s="2" t="str">
        <x:v>N1</x:v>
      </x:c>
      <x:c r="F1167" s="10" t="n">
        <x:v>508</x:v>
      </x:c>
      <x:c r="G1167" s="2" t="str">
        <x:v>w_6e71f536abfacdec</x:v>
      </x:c>
      <x:c r="H1167" s="2" t="str">
        <x:v>親しむ</x:v>
      </x:c>
      <x:c r="I1167" s="2" t="str">
        <x:v>したしむ</x:v>
      </x:c>
      <x:c r="J1167" s="8" t="str">
        <x:v>친숙해지다, 가까이하다</x:v>
      </x:c>
      <x:c r="K1167" s="2" t="str">
        <x:v>verb</x:v>
      </x:c>
      <x:c r="L1167" s="9" t="n">
        <x:v>2.69</x:v>
      </x:c>
      <x:c r="M1167" s="2" t="str">
        <x:v>없음</x:v>
      </x:c>
      <x:c r="N1167" s="11" t="n">
        <x:v>-7</x:v>
      </x:c>
      <x:c r="O1167" s="8" t="str">
        <x:v>일반 사용 빈도 낮은 편(Zipf ≤ 3.0); 검증된 예문 없음</x:v>
      </x:c>
      <x:c r="P1167" s="8" t="str">
        <x:v>frequency_le_3_0,no_example</x:v>
      </x:c>
      <x:c r="Q1167" s="2" t="str"/>
      <x:c r="R1167" s="2" t="str"/>
      <x:c r="S1167" s="2" t="str"/>
      <x:c r="T1167" s="2" t="str"/>
      <x:c r="U1167" s="2" t="str"/>
      <x:c r="V1167" s="2" t="str">
        <x:v>아니오</x:v>
      </x:c>
      <x:c r="W1167" s="2" t="str">
        <x:v>예</x:v>
      </x:c>
      <x:c r="X1167" s="2" t="str">
        <x:v>ichi1,news1,nf12</x:v>
      </x:c>
      <x:c r="Y1167" s="2" t="n">
        <x:v>100</x:v>
      </x:c>
      <x:c r="Z1167" s="2" t="str">
        <x:v>ichi1,news1,nf12</x:v>
      </x:c>
      <x:c r="AA1167" s="2" t="n">
        <x:v>100</x:v>
      </x:c>
      <x:c r="AB1167" s="8" t="str"/>
      <x:c r="AC1167" s="8" t="str"/>
      <x:c r="AD1167" s="8" t="str">
        <x:v>["ko-reviewed"]</x:v>
      </x:c>
      <x:c r="AE1167" s="8" t="str">
        <x:v>검토 필요</x:v>
      </x:c>
      <x:c r="AF1167" s="8" t="str"/>
    </x:row>
    <x:row r="1168">
      <x:c r="A1168" s="10" t="n">
        <x:v>1167</x:v>
      </x:c>
      <x:c r="B1168" s="2" t="str">
        <x:v>2차 보류</x:v>
      </x:c>
      <x:c r="C1168" s="2" t="str">
        <x:v>2차 보류</x:v>
      </x:c>
      <x:c r="D1168" s="2" t="str">
        <x:v>낮음</x:v>
      </x:c>
      <x:c r="E1168" s="2" t="str">
        <x:v>N1</x:v>
      </x:c>
      <x:c r="F1168" s="10" t="n">
        <x:v>509</x:v>
      </x:c>
      <x:c r="G1168" s="2" t="str">
        <x:v>w_d71a8c96af7a8cb2</x:v>
      </x:c>
      <x:c r="H1168" s="2" t="str">
        <x:v>灌漑</x:v>
      </x:c>
      <x:c r="I1168" s="2" t="str">
        <x:v>かんがい</x:v>
      </x:c>
      <x:c r="J1168" s="8" t="str">
        <x:v>관개</x:v>
      </x:c>
      <x:c r="K1168" s="2" t="str">
        <x:v>noun</x:v>
      </x:c>
      <x:c r="L1168" s="9" t="n">
        <x:v>2.7</x:v>
      </x:c>
      <x:c r="M1168" s="2" t="str">
        <x:v>없음</x:v>
      </x:c>
      <x:c r="N1168" s="11" t="n">
        <x:v>-7</x:v>
      </x:c>
      <x:c r="O1168" s="8" t="str">
        <x:v>일반 사용 빈도 낮은 편(Zipf ≤ 3.0); 검증된 예문 없음</x:v>
      </x:c>
      <x:c r="P1168" s="8" t="str">
        <x:v>frequency_le_3_0,no_example</x:v>
      </x:c>
      <x:c r="Q1168" s="2" t="str"/>
      <x:c r="R1168" s="2" t="str"/>
      <x:c r="S1168" s="2" t="str"/>
      <x:c r="T1168" s="2" t="str"/>
      <x:c r="U1168" s="2" t="str"/>
      <x:c r="V1168" s="2" t="str">
        <x:v>아니오</x:v>
      </x:c>
      <x:c r="W1168" s="2" t="str">
        <x:v>예</x:v>
      </x:c>
      <x:c r="X1168" s="2" t="str">
        <x:v>ichi1,news2,nf42</x:v>
      </x:c>
      <x:c r="Y1168" s="2" t="n">
        <x:v>100</x:v>
      </x:c>
      <x:c r="Z1168" s="2" t="str">
        <x:v>ichi1</x:v>
      </x:c>
      <x:c r="AA1168" s="2" t="n">
        <x:v>100</x:v>
      </x:c>
      <x:c r="AB1168" s="8" t="str"/>
      <x:c r="AC1168" s="8" t="str"/>
      <x:c r="AD1168" s="8" t="str">
        <x:v>["ko-reviewed"]</x:v>
      </x:c>
      <x:c r="AE1168" s="8" t="str">
        <x:v>검토 필요</x:v>
      </x:c>
      <x:c r="AF1168" s="8" t="str"/>
    </x:row>
    <x:row r="1169">
      <x:c r="A1169" s="10" t="n">
        <x:v>1168</x:v>
      </x:c>
      <x:c r="B1169" s="2" t="str">
        <x:v>2차 보류</x:v>
      </x:c>
      <x:c r="C1169" s="2" t="str">
        <x:v>2차 보류</x:v>
      </x:c>
      <x:c r="D1169" s="2" t="str">
        <x:v>낮음</x:v>
      </x:c>
      <x:c r="E1169" s="2" t="str">
        <x:v>N3</x:v>
      </x:c>
      <x:c r="F1169" s="10" t="n">
        <x:v>143</x:v>
      </x:c>
      <x:c r="G1169" s="2" t="str">
        <x:v>w_c8bb7abc970431b9</x:v>
      </x:c>
      <x:c r="H1169" s="2" t="str">
        <x:v>満ちる</x:v>
      </x:c>
      <x:c r="I1169" s="2" t="str">
        <x:v>みちる</x:v>
      </x:c>
      <x:c r="J1169" s="8" t="str">
        <x:v>가득 차다, 성숙하다</x:v>
      </x:c>
      <x:c r="K1169" s="2" t="str">
        <x:v>verb</x:v>
      </x:c>
      <x:c r="L1169" s="9" t="n">
        <x:v>2.71</x:v>
      </x:c>
      <x:c r="M1169" s="2" t="str">
        <x:v>없음</x:v>
      </x:c>
      <x:c r="N1169" s="11" t="n">
        <x:v>-7</x:v>
      </x:c>
      <x:c r="O1169" s="8" t="str">
        <x:v>일반 사용 빈도 낮은 편(Zipf ≤ 3.0); 검증된 예문 없음</x:v>
      </x:c>
      <x:c r="P1169" s="8" t="str">
        <x:v>frequency_le_3_0,no_example</x:v>
      </x:c>
      <x:c r="Q1169" s="2" t="str"/>
      <x:c r="R1169" s="2" t="str"/>
      <x:c r="S1169" s="2" t="str"/>
      <x:c r="T1169" s="2" t="str"/>
      <x:c r="U1169" s="2" t="str"/>
      <x:c r="V1169" s="2" t="str">
        <x:v>아니오</x:v>
      </x:c>
      <x:c r="W1169" s="2" t="str">
        <x:v>예</x:v>
      </x:c>
      <x:c r="X1169" s="2" t="str">
        <x:v>ichi1,news2,nf26</x:v>
      </x:c>
      <x:c r="Y1169" s="2" t="n">
        <x:v>100</x:v>
      </x:c>
      <x:c r="Z1169" s="2" t="str">
        <x:v>ichi1,news2,nf26</x:v>
      </x:c>
      <x:c r="AA1169" s="2" t="n">
        <x:v>100</x:v>
      </x:c>
      <x:c r="AB1169" s="8" t="str"/>
      <x:c r="AC1169" s="8" t="str"/>
      <x:c r="AD1169" s="8" t="str">
        <x:v>["ko-reviewed"]</x:v>
      </x:c>
      <x:c r="AE1169" s="8" t="str">
        <x:v>검토 필요</x:v>
      </x:c>
      <x:c r="AF1169" s="8" t="str"/>
    </x:row>
    <x:row r="1170">
      <x:c r="A1170" s="10" t="n">
        <x:v>1169</x:v>
      </x:c>
      <x:c r="B1170" s="2" t="str">
        <x:v>2차 보류</x:v>
      </x:c>
      <x:c r="C1170" s="2" t="str">
        <x:v>2차 보류</x:v>
      </x:c>
      <x:c r="D1170" s="2" t="str">
        <x:v>낮음</x:v>
      </x:c>
      <x:c r="E1170" s="2" t="str">
        <x:v>N3</x:v>
      </x:c>
      <x:c r="F1170" s="10" t="n">
        <x:v>144</x:v>
      </x:c>
      <x:c r="G1170" s="2" t="str">
        <x:v>w_e5ec8b55574e3beb</x:v>
      </x:c>
      <x:c r="H1170" s="2" t="str">
        <x:v>蒸す</x:v>
      </x:c>
      <x:c r="I1170" s="2" t="str">
        <x:v>むす</x:v>
      </x:c>
      <x:c r="J1170" s="8" t="str">
        <x:v>찌다, 무덥다</x:v>
      </x:c>
      <x:c r="K1170" s="2" t="str">
        <x:v>verb</x:v>
      </x:c>
      <x:c r="L1170" s="9" t="n">
        <x:v>2.71</x:v>
      </x:c>
      <x:c r="M1170" s="2" t="str">
        <x:v>없음</x:v>
      </x:c>
      <x:c r="N1170" s="11" t="n">
        <x:v>-7</x:v>
      </x:c>
      <x:c r="O1170" s="8" t="str">
        <x:v>일반 사용 빈도 낮은 편(Zipf ≤ 3.0); 검증된 예문 없음</x:v>
      </x:c>
      <x:c r="P1170" s="8" t="str">
        <x:v>frequency_le_3_0,no_example</x:v>
      </x:c>
      <x:c r="Q1170" s="2" t="str"/>
      <x:c r="R1170" s="2" t="str"/>
      <x:c r="S1170" s="2" t="str"/>
      <x:c r="T1170" s="2" t="str"/>
      <x:c r="U1170" s="2" t="str"/>
      <x:c r="V1170" s="2" t="str">
        <x:v>아니오</x:v>
      </x:c>
      <x:c r="W1170" s="2" t="str">
        <x:v>예</x:v>
      </x:c>
      <x:c r="X1170" s="2" t="str">
        <x:v>ichi1,news1,nf22</x:v>
      </x:c>
      <x:c r="Y1170" s="2" t="n">
        <x:v>100</x:v>
      </x:c>
      <x:c r="Z1170" s="2" t="str">
        <x:v>ichi1,news1,nf22</x:v>
      </x:c>
      <x:c r="AA1170" s="2" t="n">
        <x:v>100</x:v>
      </x:c>
      <x:c r="AB1170" s="8" t="str"/>
      <x:c r="AC1170" s="8" t="str"/>
      <x:c r="AD1170" s="8" t="str">
        <x:v>["ko-reviewed"]</x:v>
      </x:c>
      <x:c r="AE1170" s="8" t="str">
        <x:v>검토 필요</x:v>
      </x:c>
      <x:c r="AF1170" s="8" t="str"/>
    </x:row>
    <x:row r="1171">
      <x:c r="A1171" s="10" t="n">
        <x:v>1170</x:v>
      </x:c>
      <x:c r="B1171" s="2" t="str">
        <x:v>2차 보류</x:v>
      </x:c>
      <x:c r="C1171" s="2" t="str">
        <x:v>2차 보류</x:v>
      </x:c>
      <x:c r="D1171" s="2" t="str">
        <x:v>낮음</x:v>
      </x:c>
      <x:c r="E1171" s="2" t="str">
        <x:v>N2</x:v>
      </x:c>
      <x:c r="F1171" s="10" t="n">
        <x:v>422</x:v>
      </x:c>
      <x:c r="G1171" s="2" t="str">
        <x:v>w_992a6e9147e43979</x:v>
      </x:c>
      <x:c r="H1171" s="2" t="str">
        <x:v>随筆</x:v>
      </x:c>
      <x:c r="I1171" s="2" t="str">
        <x:v>ずいひつ</x:v>
      </x:c>
      <x:c r="J1171" s="8" t="str">
        <x:v>수필, 에세이</x:v>
      </x:c>
      <x:c r="K1171" s="2" t="str">
        <x:v>noun</x:v>
      </x:c>
      <x:c r="L1171" s="9" t="n">
        <x:v>2.71</x:v>
      </x:c>
      <x:c r="M1171" s="2" t="str">
        <x:v>없음</x:v>
      </x:c>
      <x:c r="N1171" s="11" t="n">
        <x:v>-7</x:v>
      </x:c>
      <x:c r="O1171" s="8" t="str">
        <x:v>일반 사용 빈도 낮은 편(Zipf ≤ 3.0); 검증된 예문 없음</x:v>
      </x:c>
      <x:c r="P1171" s="8" t="str">
        <x:v>frequency_le_3_0,no_example</x:v>
      </x:c>
      <x:c r="Q1171" s="2" t="str"/>
      <x:c r="R1171" s="2" t="str"/>
      <x:c r="S1171" s="2" t="str"/>
      <x:c r="T1171" s="2" t="str"/>
      <x:c r="U1171" s="2" t="str"/>
      <x:c r="V1171" s="2" t="str">
        <x:v>아니오</x:v>
      </x:c>
      <x:c r="W1171" s="2" t="str">
        <x:v>예</x:v>
      </x:c>
      <x:c r="X1171" s="2" t="str">
        <x:v>ichi1,news1,nf18</x:v>
      </x:c>
      <x:c r="Y1171" s="2" t="n">
        <x:v>100</x:v>
      </x:c>
      <x:c r="Z1171" s="2" t="str">
        <x:v>ichi1,news1,nf18</x:v>
      </x:c>
      <x:c r="AA1171" s="2" t="n">
        <x:v>100</x:v>
      </x:c>
      <x:c r="AB1171" s="8" t="str"/>
      <x:c r="AC1171" s="8" t="str"/>
      <x:c r="AD1171" s="8" t="str">
        <x:v>["ko-reviewed"]</x:v>
      </x:c>
      <x:c r="AE1171" s="8" t="str">
        <x:v>검토 필요</x:v>
      </x:c>
      <x:c r="AF1171" s="8" t="str"/>
    </x:row>
    <x:row r="1172">
      <x:c r="A1172" s="10" t="n">
        <x:v>1171</x:v>
      </x:c>
      <x:c r="B1172" s="2" t="str">
        <x:v>2차 보류</x:v>
      </x:c>
      <x:c r="C1172" s="2" t="str">
        <x:v>2차 보류</x:v>
      </x:c>
      <x:c r="D1172" s="2" t="str">
        <x:v>낮음</x:v>
      </x:c>
      <x:c r="E1172" s="2" t="str">
        <x:v>N2</x:v>
      </x:c>
      <x:c r="F1172" s="10" t="n">
        <x:v>423</x:v>
      </x:c>
      <x:c r="G1172" s="2" t="str">
        <x:v>w_c4d45c1153b13074</x:v>
      </x:c>
      <x:c r="H1172" s="2" t="str">
        <x:v>真似る</x:v>
      </x:c>
      <x:c r="I1172" s="2" t="str">
        <x:v>まねる</x:v>
      </x:c>
      <x:c r="J1172" s="8" t="str">
        <x:v>흉내 내다, 모방하다</x:v>
      </x:c>
      <x:c r="K1172" s="2" t="str">
        <x:v>verb</x:v>
      </x:c>
      <x:c r="L1172" s="9" t="n">
        <x:v>2.71</x:v>
      </x:c>
      <x:c r="M1172" s="2" t="str">
        <x:v>없음</x:v>
      </x:c>
      <x:c r="N1172" s="11" t="n">
        <x:v>-7</x:v>
      </x:c>
      <x:c r="O1172" s="8" t="str">
        <x:v>일반 사용 빈도 낮은 편(Zipf ≤ 3.0); 검증된 예문 없음</x:v>
      </x:c>
      <x:c r="P1172" s="8" t="str">
        <x:v>frequency_le_3_0,no_example</x:v>
      </x:c>
      <x:c r="Q1172" s="2" t="str"/>
      <x:c r="R1172" s="2" t="str"/>
      <x:c r="S1172" s="2" t="str"/>
      <x:c r="T1172" s="2" t="str"/>
      <x:c r="U1172" s="2" t="str"/>
      <x:c r="V1172" s="2" t="str">
        <x:v>아니오</x:v>
      </x:c>
      <x:c r="W1172" s="2" t="str">
        <x:v>예</x:v>
      </x:c>
      <x:c r="X1172" s="2" t="str">
        <x:v>ichi1</x:v>
      </x:c>
      <x:c r="Y1172" s="2" t="n">
        <x:v>100</x:v>
      </x:c>
      <x:c r="Z1172" s="2" t="str">
        <x:v>ichi1</x:v>
      </x:c>
      <x:c r="AA1172" s="2" t="n">
        <x:v>100</x:v>
      </x:c>
      <x:c r="AB1172" s="8" t="str"/>
      <x:c r="AC1172" s="8" t="str"/>
      <x:c r="AD1172" s="8" t="str">
        <x:v>["ko-reviewed"]</x:v>
      </x:c>
      <x:c r="AE1172" s="8" t="str">
        <x:v>검토 필요</x:v>
      </x:c>
      <x:c r="AF1172" s="8" t="str"/>
    </x:row>
    <x:row r="1173">
      <x:c r="A1173" s="10" t="n">
        <x:v>1172</x:v>
      </x:c>
      <x:c r="B1173" s="2" t="str">
        <x:v>2차 보류</x:v>
      </x:c>
      <x:c r="C1173" s="2" t="str">
        <x:v>2차 보류</x:v>
      </x:c>
      <x:c r="D1173" s="2" t="str">
        <x:v>낮음</x:v>
      </x:c>
      <x:c r="E1173" s="2" t="str">
        <x:v>N1</x:v>
      </x:c>
      <x:c r="F1173" s="10" t="n">
        <x:v>510</x:v>
      </x:c>
      <x:c r="G1173" s="2" t="str">
        <x:v>w_44df893bc2c36040</x:v>
      </x:c>
      <x:c r="H1173" s="2" t="str">
        <x:v>踏まえる</x:v>
      </x:c>
      <x:c r="I1173" s="2" t="str">
        <x:v>ふまえる</x:v>
      </x:c>
      <x:c r="J1173" s="8" t="str">
        <x:v>근거로 하다, 바탕으로 삼다</x:v>
      </x:c>
      <x:c r="K1173" s="2" t="str">
        <x:v>verb</x:v>
      </x:c>
      <x:c r="L1173" s="9" t="n">
        <x:v>2.72</x:v>
      </x:c>
      <x:c r="M1173" s="2" t="str">
        <x:v>없음</x:v>
      </x:c>
      <x:c r="N1173" s="11" t="n">
        <x:v>-7</x:v>
      </x:c>
      <x:c r="O1173" s="8" t="str">
        <x:v>일반 사용 빈도 낮은 편(Zipf ≤ 3.0); 검증된 예문 없음</x:v>
      </x:c>
      <x:c r="P1173" s="8" t="str">
        <x:v>frequency_le_3_0,no_example</x:v>
      </x:c>
      <x:c r="Q1173" s="2" t="str"/>
      <x:c r="R1173" s="2" t="str"/>
      <x:c r="S1173" s="2" t="str"/>
      <x:c r="T1173" s="2" t="str"/>
      <x:c r="U1173" s="2" t="str"/>
      <x:c r="V1173" s="2" t="str">
        <x:v>아니오</x:v>
      </x:c>
      <x:c r="W1173" s="2" t="str">
        <x:v>예</x:v>
      </x:c>
      <x:c r="X1173" s="2" t="str">
        <x:v>news1,nf05</x:v>
      </x:c>
      <x:c r="Y1173" s="2" t="n">
        <x:v>100</x:v>
      </x:c>
      <x:c r="Z1173" s="2" t="str">
        <x:v>news1,nf05</x:v>
      </x:c>
      <x:c r="AA1173" s="2" t="n">
        <x:v>100</x:v>
      </x:c>
      <x:c r="AB1173" s="8" t="str"/>
      <x:c r="AC1173" s="8" t="str"/>
      <x:c r="AD1173" s="8" t="str">
        <x:v>["ko-reviewed"]</x:v>
      </x:c>
      <x:c r="AE1173" s="8" t="str">
        <x:v>검토 필요</x:v>
      </x:c>
      <x:c r="AF1173" s="8" t="str"/>
    </x:row>
    <x:row r="1174">
      <x:c r="A1174" s="10" t="n">
        <x:v>1173</x:v>
      </x:c>
      <x:c r="B1174" s="2" t="str">
        <x:v>2차 보류</x:v>
      </x:c>
      <x:c r="C1174" s="2" t="str">
        <x:v>2차 보류</x:v>
      </x:c>
      <x:c r="D1174" s="2" t="str">
        <x:v>낮음</x:v>
      </x:c>
      <x:c r="E1174" s="2" t="str">
        <x:v>N2</x:v>
      </x:c>
      <x:c r="F1174" s="10" t="n">
        <x:v>424</x:v>
      </x:c>
      <x:c r="G1174" s="2" t="str">
        <x:v>w_504086cd552f2336</x:v>
      </x:c>
      <x:c r="H1174" s="2" t="str">
        <x:v>透き通る</x:v>
      </x:c>
      <x:c r="I1174" s="2" t="str">
        <x:v>すきとおる</x:v>
      </x:c>
      <x:c r="J1174" s="8" t="str">
        <x:v>투명하게 비치다, 맑게 통하다</x:v>
      </x:c>
      <x:c r="K1174" s="2" t="str">
        <x:v>verb</x:v>
      </x:c>
      <x:c r="L1174" s="9" t="n">
        <x:v>2.73</x:v>
      </x:c>
      <x:c r="M1174" s="2" t="str">
        <x:v>없음</x:v>
      </x:c>
      <x:c r="N1174" s="11" t="n">
        <x:v>-7</x:v>
      </x:c>
      <x:c r="O1174" s="8" t="str">
        <x:v>일반 사용 빈도 낮은 편(Zipf ≤ 3.0); 검증된 예문 없음</x:v>
      </x:c>
      <x:c r="P1174" s="8" t="str">
        <x:v>frequency_le_3_0,no_example</x:v>
      </x:c>
      <x:c r="Q1174" s="2" t="str"/>
      <x:c r="R1174" s="2" t="str"/>
      <x:c r="S1174" s="2" t="str"/>
      <x:c r="T1174" s="2" t="str"/>
      <x:c r="U1174" s="2" t="str"/>
      <x:c r="V1174" s="2" t="str">
        <x:v>아니오</x:v>
      </x:c>
      <x:c r="W1174" s="2" t="str">
        <x:v>예</x:v>
      </x:c>
      <x:c r="X1174" s="2" t="str">
        <x:v>ichi1,news2,nf37</x:v>
      </x:c>
      <x:c r="Y1174" s="2" t="n">
        <x:v>100</x:v>
      </x:c>
      <x:c r="Z1174" s="2" t="str">
        <x:v>ichi1,news2,nf37</x:v>
      </x:c>
      <x:c r="AA1174" s="2" t="n">
        <x:v>100</x:v>
      </x:c>
      <x:c r="AB1174" s="8" t="str"/>
      <x:c r="AC1174" s="8" t="str"/>
      <x:c r="AD1174" s="8" t="str">
        <x:v>["ko-reviewed"]</x:v>
      </x:c>
      <x:c r="AE1174" s="8" t="str">
        <x:v>검토 필요</x:v>
      </x:c>
      <x:c r="AF1174" s="8" t="str"/>
    </x:row>
    <x:row r="1175">
      <x:c r="A1175" s="10" t="n">
        <x:v>1174</x:v>
      </x:c>
      <x:c r="B1175" s="2" t="str">
        <x:v>2차 보류</x:v>
      </x:c>
      <x:c r="C1175" s="2" t="str">
        <x:v>2차 보류</x:v>
      </x:c>
      <x:c r="D1175" s="2" t="str">
        <x:v>낮음</x:v>
      </x:c>
      <x:c r="E1175" s="2" t="str">
        <x:v>N2</x:v>
      </x:c>
      <x:c r="F1175" s="10" t="n">
        <x:v>425</x:v>
      </x:c>
      <x:c r="G1175" s="2" t="str">
        <x:v>w_98523ca68bd0aba1</x:v>
      </x:c>
      <x:c r="H1175" s="2" t="str">
        <x:v>秤</x:v>
      </x:c>
      <x:c r="I1175" s="2" t="str">
        <x:v>はかり</x:v>
      </x:c>
      <x:c r="J1175" s="8" t="str">
        <x:v>저울</x:v>
      </x:c>
      <x:c r="K1175" s="2" t="str">
        <x:v>noun</x:v>
      </x:c>
      <x:c r="L1175" s="9" t="n">
        <x:v>2.73</x:v>
      </x:c>
      <x:c r="M1175" s="2" t="str">
        <x:v>없음</x:v>
      </x:c>
      <x:c r="N1175" s="11" t="n">
        <x:v>-7</x:v>
      </x:c>
      <x:c r="O1175" s="8" t="str">
        <x:v>일반 사용 빈도 낮은 편(Zipf ≤ 3.0); 검증된 예문 없음</x:v>
      </x:c>
      <x:c r="P1175" s="8" t="str">
        <x:v>frequency_le_3_0,no_example</x:v>
      </x:c>
      <x:c r="Q1175" s="2" t="str"/>
      <x:c r="R1175" s="2" t="str"/>
      <x:c r="S1175" s="2" t="str"/>
      <x:c r="T1175" s="2" t="str"/>
      <x:c r="U1175" s="2" t="str"/>
      <x:c r="V1175" s="2" t="str">
        <x:v>아니오</x:v>
      </x:c>
      <x:c r="W1175" s="2" t="str">
        <x:v>예</x:v>
      </x:c>
      <x:c r="X1175" s="2" t="str">
        <x:v>ichi1</x:v>
      </x:c>
      <x:c r="Y1175" s="2" t="n">
        <x:v>100</x:v>
      </x:c>
      <x:c r="Z1175" s="2" t="str">
        <x:v>ichi1</x:v>
      </x:c>
      <x:c r="AA1175" s="2" t="n">
        <x:v>100</x:v>
      </x:c>
      <x:c r="AB1175" s="8" t="str"/>
      <x:c r="AC1175" s="8" t="str"/>
      <x:c r="AD1175" s="8" t="str">
        <x:v>["ko-reviewed"]</x:v>
      </x:c>
      <x:c r="AE1175" s="8" t="str">
        <x:v>검토 필요</x:v>
      </x:c>
      <x:c r="AF1175" s="8" t="str"/>
    </x:row>
    <x:row r="1176">
      <x:c r="A1176" s="10" t="n">
        <x:v>1175</x:v>
      </x:c>
      <x:c r="B1176" s="2" t="str">
        <x:v>2차 보류</x:v>
      </x:c>
      <x:c r="C1176" s="2" t="str">
        <x:v>2차 보류</x:v>
      </x:c>
      <x:c r="D1176" s="2" t="str">
        <x:v>낮음</x:v>
      </x:c>
      <x:c r="E1176" s="2" t="str">
        <x:v>N2</x:v>
      </x:c>
      <x:c r="F1176" s="10" t="n">
        <x:v>426</x:v>
      </x:c>
      <x:c r="G1176" s="2" t="str">
        <x:v>w_efea8d64c87236ab</x:v>
      </x:c>
      <x:c r="H1176" s="2" t="str">
        <x:v>ラッシュアワー</x:v>
      </x:c>
      <x:c r="I1176" s="2" t="str">
        <x:v>ラッシュアワー</x:v>
      </x:c>
      <x:c r="J1176" s="8" t="str">
        <x:v>러시아워, 혼잡 시간대</x:v>
      </x:c>
      <x:c r="K1176" s="2" t="str">
        <x:v>noun</x:v>
      </x:c>
      <x:c r="L1176" s="9" t="n">
        <x:v>2.73</x:v>
      </x:c>
      <x:c r="M1176" s="2" t="str">
        <x:v>없음</x:v>
      </x:c>
      <x:c r="N1176" s="11" t="n">
        <x:v>-7</x:v>
      </x:c>
      <x:c r="O1176" s="8" t="str">
        <x:v>일반 사용 빈도 낮은 편(Zipf ≤ 3.0); 검증된 예문 없음</x:v>
      </x:c>
      <x:c r="P1176" s="8" t="str">
        <x:v>frequency_le_3_0,no_example</x:v>
      </x:c>
      <x:c r="Q1176" s="2" t="str"/>
      <x:c r="R1176" s="2" t="str"/>
      <x:c r="S1176" s="2" t="str"/>
      <x:c r="T1176" s="2" t="str"/>
      <x:c r="U1176" s="2" t="str"/>
      <x:c r="V1176" s="2" t="str">
        <x:v>아니오</x:v>
      </x:c>
      <x:c r="W1176" s="2" t="str">
        <x:v>예</x:v>
      </x:c>
      <x:c r="X1176" s="2" t="str">
        <x:v>gai1,ichi1</x:v>
      </x:c>
      <x:c r="Y1176" s="2" t="n">
        <x:v>100</x:v>
      </x:c>
      <x:c r="Z1176" s="2" t="str">
        <x:v>gai1,ichi1</x:v>
      </x:c>
      <x:c r="AA1176" s="2" t="n">
        <x:v>100</x:v>
      </x:c>
      <x:c r="AB1176" s="8" t="str"/>
      <x:c r="AC1176" s="8" t="str"/>
      <x:c r="AD1176" s="8" t="str">
        <x:v>["backfill-replacement","assistant-ko-reviewed"]</x:v>
      </x:c>
      <x:c r="AE1176" s="8" t="str">
        <x:v>검토 필요</x:v>
      </x:c>
      <x:c r="AF1176" s="8" t="str"/>
    </x:row>
    <x:row r="1177">
      <x:c r="A1177" s="10" t="n">
        <x:v>1176</x:v>
      </x:c>
      <x:c r="B1177" s="2" t="str">
        <x:v>2차 보류</x:v>
      </x:c>
      <x:c r="C1177" s="2" t="str">
        <x:v>2차 보류</x:v>
      </x:c>
      <x:c r="D1177" s="2" t="str">
        <x:v>낮음</x:v>
      </x:c>
      <x:c r="E1177" s="2" t="str">
        <x:v>N2</x:v>
      </x:c>
      <x:c r="F1177" s="10" t="n">
        <x:v>427</x:v>
      </x:c>
      <x:c r="G1177" s="2" t="str">
        <x:v>w_648739b0fd54b279</x:v>
      </x:c>
      <x:c r="H1177" s="2" t="str">
        <x:v>四捨五入</x:v>
      </x:c>
      <x:c r="I1177" s="2" t="str">
        <x:v>ししゃごにゅう</x:v>
      </x:c>
      <x:c r="J1177" s="8" t="str">
        <x:v>반올림</x:v>
      </x:c>
      <x:c r="K1177" s="2" t="str">
        <x:v>noun</x:v>
      </x:c>
      <x:c r="L1177" s="9" t="n">
        <x:v>2.74</x:v>
      </x:c>
      <x:c r="M1177" s="2" t="str">
        <x:v>없음</x:v>
      </x:c>
      <x:c r="N1177" s="11" t="n">
        <x:v>-7</x:v>
      </x:c>
      <x:c r="O1177" s="8" t="str">
        <x:v>일반 사용 빈도 낮은 편(Zipf ≤ 3.0); 검증된 예문 없음</x:v>
      </x:c>
      <x:c r="P1177" s="8" t="str">
        <x:v>frequency_le_3_0,no_example</x:v>
      </x:c>
      <x:c r="Q1177" s="2" t="str"/>
      <x:c r="R1177" s="2" t="str"/>
      <x:c r="S1177" s="2" t="str"/>
      <x:c r="T1177" s="2" t="str"/>
      <x:c r="U1177" s="2" t="str"/>
      <x:c r="V1177" s="2" t="str">
        <x:v>아니오</x:v>
      </x:c>
      <x:c r="W1177" s="2" t="str">
        <x:v>예</x:v>
      </x:c>
      <x:c r="X1177" s="2" t="str">
        <x:v>ichi1,news2,nf45</x:v>
      </x:c>
      <x:c r="Y1177" s="2" t="n">
        <x:v>100</x:v>
      </x:c>
      <x:c r="Z1177" s="2" t="str">
        <x:v>ichi1,news2,nf45</x:v>
      </x:c>
      <x:c r="AA1177" s="2" t="n">
        <x:v>100</x:v>
      </x:c>
      <x:c r="AB1177" s="8" t="str"/>
      <x:c r="AC1177" s="8" t="str"/>
      <x:c r="AD1177" s="8" t="str">
        <x:v>["ko-reviewed"]</x:v>
      </x:c>
      <x:c r="AE1177" s="8" t="str">
        <x:v>검토 필요</x:v>
      </x:c>
      <x:c r="AF1177" s="8" t="str"/>
    </x:row>
    <x:row r="1178">
      <x:c r="A1178" s="10" t="n">
        <x:v>1177</x:v>
      </x:c>
      <x:c r="B1178" s="2" t="str">
        <x:v>2차 보류</x:v>
      </x:c>
      <x:c r="C1178" s="2" t="str">
        <x:v>2차 보류</x:v>
      </x:c>
      <x:c r="D1178" s="2" t="str">
        <x:v>낮음</x:v>
      </x:c>
      <x:c r="E1178" s="2" t="str">
        <x:v>N2</x:v>
      </x:c>
      <x:c r="F1178" s="10" t="n">
        <x:v>428</x:v>
      </x:c>
      <x:c r="G1178" s="2" t="str">
        <x:v>w_70d444f0b75ce53c</x:v>
      </x:c>
      <x:c r="H1178" s="2" t="str">
        <x:v>受け持つ</x:v>
      </x:c>
      <x:c r="I1178" s="2" t="str">
        <x:v>うけもつ</x:v>
      </x:c>
      <x:c r="J1178" s="8" t="str">
        <x:v>맡다, 담당하다</x:v>
      </x:c>
      <x:c r="K1178" s="2" t="str">
        <x:v>verb</x:v>
      </x:c>
      <x:c r="L1178" s="9" t="n">
        <x:v>2.74</x:v>
      </x:c>
      <x:c r="M1178" s="2" t="str">
        <x:v>없음</x:v>
      </x:c>
      <x:c r="N1178" s="11" t="n">
        <x:v>-7</x:v>
      </x:c>
      <x:c r="O1178" s="8" t="str">
        <x:v>일반 사용 빈도 낮은 편(Zipf ≤ 3.0); 검증된 예문 없음</x:v>
      </x:c>
      <x:c r="P1178" s="8" t="str">
        <x:v>frequency_le_3_0,no_example</x:v>
      </x:c>
      <x:c r="Q1178" s="2" t="str"/>
      <x:c r="R1178" s="2" t="str"/>
      <x:c r="S1178" s="2" t="str"/>
      <x:c r="T1178" s="2" t="str"/>
      <x:c r="U1178" s="2" t="str"/>
      <x:c r="V1178" s="2" t="str">
        <x:v>아니오</x:v>
      </x:c>
      <x:c r="W1178" s="2" t="str">
        <x:v>예</x:v>
      </x:c>
      <x:c r="X1178" s="2" t="str">
        <x:v>ichi1,news2,nf40</x:v>
      </x:c>
      <x:c r="Y1178" s="2" t="n">
        <x:v>100</x:v>
      </x:c>
      <x:c r="Z1178" s="2" t="str">
        <x:v>ichi1,news2,nf40</x:v>
      </x:c>
      <x:c r="AA1178" s="2" t="n">
        <x:v>100</x:v>
      </x:c>
      <x:c r="AB1178" s="8" t="str"/>
      <x:c r="AC1178" s="8" t="str"/>
      <x:c r="AD1178" s="8" t="str">
        <x:v>["ko-reviewed"]</x:v>
      </x:c>
      <x:c r="AE1178" s="8" t="str">
        <x:v>검토 필요</x:v>
      </x:c>
      <x:c r="AF1178" s="8" t="str"/>
    </x:row>
    <x:row r="1179">
      <x:c r="A1179" s="10" t="n">
        <x:v>1178</x:v>
      </x:c>
      <x:c r="B1179" s="2" t="str">
        <x:v>2차 보류</x:v>
      </x:c>
      <x:c r="C1179" s="2" t="str">
        <x:v>2차 보류</x:v>
      </x:c>
      <x:c r="D1179" s="2" t="str">
        <x:v>낮음</x:v>
      </x:c>
      <x:c r="E1179" s="2" t="str">
        <x:v>N1</x:v>
      </x:c>
      <x:c r="F1179" s="10" t="n">
        <x:v>511</x:v>
      </x:c>
      <x:c r="G1179" s="2" t="str">
        <x:v>w_18d02f0b4996faee</x:v>
      </x:c>
      <x:c r="H1179" s="2" t="str">
        <x:v>準急</x:v>
      </x:c>
      <x:c r="I1179" s="2" t="str">
        <x:v>じゅんきゅう</x:v>
      </x:c>
      <x:c r="J1179" s="8" t="str">
        <x:v>준급행</x:v>
      </x:c>
      <x:c r="K1179" s="2" t="str">
        <x:v>noun</x:v>
      </x:c>
      <x:c r="L1179" s="9" t="n">
        <x:v>2.74</x:v>
      </x:c>
      <x:c r="M1179" s="2" t="str">
        <x:v>없음</x:v>
      </x:c>
      <x:c r="N1179" s="11" t="n">
        <x:v>-7</x:v>
      </x:c>
      <x:c r="O1179" s="8" t="str">
        <x:v>일반 사용 빈도 낮은 편(Zipf ≤ 3.0); 검증된 예문 없음</x:v>
      </x:c>
      <x:c r="P1179" s="8" t="str">
        <x:v>frequency_le_3_0,no_example</x:v>
      </x:c>
      <x:c r="Q1179" s="2" t="str"/>
      <x:c r="R1179" s="2" t="str"/>
      <x:c r="S1179" s="2" t="str"/>
      <x:c r="T1179" s="2" t="str"/>
      <x:c r="U1179" s="2" t="str"/>
      <x:c r="V1179" s="2" t="str">
        <x:v>아니오</x:v>
      </x:c>
      <x:c r="W1179" s="2" t="str">
        <x:v>예</x:v>
      </x:c>
      <x:c r="X1179" s="2" t="str">
        <x:v>ichi1</x:v>
      </x:c>
      <x:c r="Y1179" s="2" t="n">
        <x:v>100</x:v>
      </x:c>
      <x:c r="Z1179" s="2" t="str">
        <x:v>ichi1</x:v>
      </x:c>
      <x:c r="AA1179" s="2" t="n">
        <x:v>100</x:v>
      </x:c>
      <x:c r="AB1179" s="8" t="str">
        <x:v>abbreviation | from 準急行列車, etc.</x:v>
      </x:c>
      <x:c r="AC1179" s="8" t="str"/>
      <x:c r="AD1179" s="8" t="str">
        <x:v>["ko-reviewed"]</x:v>
      </x:c>
      <x:c r="AE1179" s="8" t="str">
        <x:v>검토 필요</x:v>
      </x:c>
      <x:c r="AF1179" s="8" t="str"/>
    </x:row>
    <x:row r="1180">
      <x:c r="A1180" s="10" t="n">
        <x:v>1179</x:v>
      </x:c>
      <x:c r="B1180" s="2" t="str">
        <x:v>2차 보류</x:v>
      </x:c>
      <x:c r="C1180" s="2" t="str">
        <x:v>2차 보류</x:v>
      </x:c>
      <x:c r="D1180" s="2" t="str">
        <x:v>낮음</x:v>
      </x:c>
      <x:c r="E1180" s="2" t="str">
        <x:v>N1</x:v>
      </x:c>
      <x:c r="F1180" s="10" t="n">
        <x:v>512</x:v>
      </x:c>
      <x:c r="G1180" s="2" t="str">
        <x:v>w_27c43d84f52c14e7</x:v>
      </x:c>
      <x:c r="H1180" s="2" t="str">
        <x:v>郷愁</x:v>
      </x:c>
      <x:c r="I1180" s="2" t="str">
        <x:v>きょうしゅう</x:v>
      </x:c>
      <x:c r="J1180" s="8" t="str">
        <x:v>향수, 그리움</x:v>
      </x:c>
      <x:c r="K1180" s="2" t="str">
        <x:v>noun</x:v>
      </x:c>
      <x:c r="L1180" s="9" t="n">
        <x:v>2.74</x:v>
      </x:c>
      <x:c r="M1180" s="2" t="str">
        <x:v>없음</x:v>
      </x:c>
      <x:c r="N1180" s="11" t="n">
        <x:v>-7</x:v>
      </x:c>
      <x:c r="O1180" s="8" t="str">
        <x:v>일반 사용 빈도 낮은 편(Zipf ≤ 3.0); 검증된 예문 없음</x:v>
      </x:c>
      <x:c r="P1180" s="8" t="str">
        <x:v>frequency_le_3_0,no_example</x:v>
      </x:c>
      <x:c r="Q1180" s="2" t="str"/>
      <x:c r="R1180" s="2" t="str"/>
      <x:c r="S1180" s="2" t="str"/>
      <x:c r="T1180" s="2" t="str"/>
      <x:c r="U1180" s="2" t="str"/>
      <x:c r="V1180" s="2" t="str">
        <x:v>아니오</x:v>
      </x:c>
      <x:c r="W1180" s="2" t="str">
        <x:v>예</x:v>
      </x:c>
      <x:c r="X1180" s="2" t="str">
        <x:v>ichi1,news1,nf21</x:v>
      </x:c>
      <x:c r="Y1180" s="2" t="n">
        <x:v>100</x:v>
      </x:c>
      <x:c r="Z1180" s="2" t="str">
        <x:v>ichi1,news1,nf21</x:v>
      </x:c>
      <x:c r="AA1180" s="2" t="n">
        <x:v>100</x:v>
      </x:c>
      <x:c r="AB1180" s="8" t="str"/>
      <x:c r="AC1180" s="8" t="str"/>
      <x:c r="AD1180" s="8" t="str">
        <x:v>["ko-reviewed"]</x:v>
      </x:c>
      <x:c r="AE1180" s="8" t="str">
        <x:v>검토 필요</x:v>
      </x:c>
      <x:c r="AF1180" s="8" t="str"/>
    </x:row>
    <x:row r="1181">
      <x:c r="A1181" s="10" t="n">
        <x:v>1180</x:v>
      </x:c>
      <x:c r="B1181" s="2" t="str">
        <x:v>2차 보류</x:v>
      </x:c>
      <x:c r="C1181" s="2" t="str">
        <x:v>2차 보류</x:v>
      </x:c>
      <x:c r="D1181" s="2" t="str">
        <x:v>낮음</x:v>
      </x:c>
      <x:c r="E1181" s="2" t="str">
        <x:v>N1</x:v>
      </x:c>
      <x:c r="F1181" s="10" t="n">
        <x:v>513</x:v>
      </x:c>
      <x:c r="G1181" s="2" t="str">
        <x:v>w_ae9f0fe4cacdf332</x:v>
      </x:c>
      <x:c r="H1181" s="2" t="str">
        <x:v>漢語</x:v>
      </x:c>
      <x:c r="I1181" s="2" t="str">
        <x:v>かんご</x:v>
      </x:c>
      <x:c r="J1181" s="8" t="str">
        <x:v>한어, 한자어</x:v>
      </x:c>
      <x:c r="K1181" s="2" t="str">
        <x:v>noun</x:v>
      </x:c>
      <x:c r="L1181" s="9" t="n">
        <x:v>2.74</x:v>
      </x:c>
      <x:c r="M1181" s="2" t="str">
        <x:v>없음</x:v>
      </x:c>
      <x:c r="N1181" s="11" t="n">
        <x:v>-7</x:v>
      </x:c>
      <x:c r="O1181" s="8" t="str">
        <x:v>일반 사용 빈도 낮은 편(Zipf ≤ 3.0); 검증된 예문 없음</x:v>
      </x:c>
      <x:c r="P1181" s="8" t="str">
        <x:v>frequency_le_3_0,no_example</x:v>
      </x:c>
      <x:c r="Q1181" s="2" t="str"/>
      <x:c r="R1181" s="2" t="str"/>
      <x:c r="S1181" s="2" t="str"/>
      <x:c r="T1181" s="2" t="str"/>
      <x:c r="U1181" s="2" t="str"/>
      <x:c r="V1181" s="2" t="str">
        <x:v>아니오</x:v>
      </x:c>
      <x:c r="W1181" s="2" t="str">
        <x:v>예</x:v>
      </x:c>
      <x:c r="X1181" s="2" t="str">
        <x:v>ichi1,news2,nf37</x:v>
      </x:c>
      <x:c r="Y1181" s="2" t="n">
        <x:v>100</x:v>
      </x:c>
      <x:c r="Z1181" s="2" t="str">
        <x:v>ichi1,news2,nf37</x:v>
      </x:c>
      <x:c r="AA1181" s="2" t="n">
        <x:v>100</x:v>
      </x:c>
      <x:c r="AB1181" s="8" t="str"/>
      <x:c r="AC1181" s="8" t="str"/>
      <x:c r="AD1181" s="8" t="str">
        <x:v>["ko-reviewed"]</x:v>
      </x:c>
      <x:c r="AE1181" s="8" t="str">
        <x:v>검토 필요</x:v>
      </x:c>
      <x:c r="AF1181" s="8" t="str"/>
    </x:row>
    <x:row r="1182">
      <x:c r="A1182" s="10" t="n">
        <x:v>1181</x:v>
      </x:c>
      <x:c r="B1182" s="2" t="str">
        <x:v>2차 보류</x:v>
      </x:c>
      <x:c r="C1182" s="2" t="str">
        <x:v>2차 보류</x:v>
      </x:c>
      <x:c r="D1182" s="2" t="str">
        <x:v>낮음</x:v>
      </x:c>
      <x:c r="E1182" s="2" t="str">
        <x:v>N1</x:v>
      </x:c>
      <x:c r="F1182" s="10" t="n">
        <x:v>514</x:v>
      </x:c>
      <x:c r="G1182" s="2" t="str">
        <x:v>w_0fc26a137f6ee5f6</x:v>
      </x:c>
      <x:c r="H1182" s="2" t="str">
        <x:v>物好き</x:v>
      </x:c>
      <x:c r="I1182" s="2" t="str">
        <x:v>ものずき</x:v>
      </x:c>
      <x:c r="J1182" s="8" t="str">
        <x:v>호기심, 별난 취미</x:v>
      </x:c>
      <x:c r="K1182" s="2" t="str">
        <x:v>noun</x:v>
      </x:c>
      <x:c r="L1182" s="9" t="n">
        <x:v>2.75</x:v>
      </x:c>
      <x:c r="M1182" s="2" t="str">
        <x:v>없음</x:v>
      </x:c>
      <x:c r="N1182" s="11" t="n">
        <x:v>-7</x:v>
      </x:c>
      <x:c r="O1182" s="8" t="str">
        <x:v>일반 사용 빈도 낮은 편(Zipf ≤ 3.0); 검증된 예문 없음</x:v>
      </x:c>
      <x:c r="P1182" s="8" t="str">
        <x:v>frequency_le_3_0,no_example</x:v>
      </x:c>
      <x:c r="Q1182" s="2" t="str"/>
      <x:c r="R1182" s="2" t="str"/>
      <x:c r="S1182" s="2" t="str"/>
      <x:c r="T1182" s="2" t="str"/>
      <x:c r="U1182" s="2" t="str"/>
      <x:c r="V1182" s="2" t="str">
        <x:v>아니오</x:v>
      </x:c>
      <x:c r="W1182" s="2" t="str">
        <x:v>예</x:v>
      </x:c>
      <x:c r="X1182" s="2" t="str">
        <x:v>ichi1,news2,nf45</x:v>
      </x:c>
      <x:c r="Y1182" s="2" t="n">
        <x:v>100</x:v>
      </x:c>
      <x:c r="Z1182" s="2" t="str">
        <x:v>ichi1,news2,nf45</x:v>
      </x:c>
      <x:c r="AA1182" s="2" t="n">
        <x:v>100</x:v>
      </x:c>
      <x:c r="AB1182" s="8" t="str"/>
      <x:c r="AC1182" s="8" t="str"/>
      <x:c r="AD1182" s="8" t="str">
        <x:v>["ko-reviewed"]</x:v>
      </x:c>
      <x:c r="AE1182" s="8" t="str">
        <x:v>검토 필요</x:v>
      </x:c>
      <x:c r="AF1182" s="8" t="str"/>
    </x:row>
    <x:row r="1183">
      <x:c r="A1183" s="10" t="n">
        <x:v>1182</x:v>
      </x:c>
      <x:c r="B1183" s="2" t="str">
        <x:v>2차 보류</x:v>
      </x:c>
      <x:c r="C1183" s="2" t="str">
        <x:v>2차 보류</x:v>
      </x:c>
      <x:c r="D1183" s="2" t="str">
        <x:v>낮음</x:v>
      </x:c>
      <x:c r="E1183" s="2" t="str">
        <x:v>N1</x:v>
      </x:c>
      <x:c r="F1183" s="10" t="n">
        <x:v>515</x:v>
      </x:c>
      <x:c r="G1183" s="2" t="str">
        <x:v>w_bd75aa731f4df5da</x:v>
      </x:c>
      <x:c r="H1183" s="2" t="str">
        <x:v>題する</x:v>
      </x:c>
      <x:c r="I1183" s="2" t="str">
        <x:v>だいする</x:v>
      </x:c>
      <x:c r="J1183" s="8" t="str">
        <x:v>제목을 붙이다</x:v>
      </x:c>
      <x:c r="K1183" s="2" t="str">
        <x:v>verb</x:v>
      </x:c>
      <x:c r="L1183" s="9" t="n">
        <x:v>2.75</x:v>
      </x:c>
      <x:c r="M1183" s="2" t="str">
        <x:v>없음</x:v>
      </x:c>
      <x:c r="N1183" s="11" t="n">
        <x:v>-7</x:v>
      </x:c>
      <x:c r="O1183" s="8" t="str">
        <x:v>일반 사용 빈도 낮은 편(Zipf ≤ 3.0); 검증된 예문 없음</x:v>
      </x:c>
      <x:c r="P1183" s="8" t="str">
        <x:v>frequency_le_3_0,no_example</x:v>
      </x:c>
      <x:c r="Q1183" s="2" t="str"/>
      <x:c r="R1183" s="2" t="str"/>
      <x:c r="S1183" s="2" t="str"/>
      <x:c r="T1183" s="2" t="str"/>
      <x:c r="U1183" s="2" t="str"/>
      <x:c r="V1183" s="2" t="str">
        <x:v>아니오</x:v>
      </x:c>
      <x:c r="W1183" s="2" t="str">
        <x:v>예</x:v>
      </x:c>
      <x:c r="X1183" s="2" t="str">
        <x:v>news1,nf23</x:v>
      </x:c>
      <x:c r="Y1183" s="2" t="n">
        <x:v>100</x:v>
      </x:c>
      <x:c r="Z1183" s="2" t="str">
        <x:v>news1,nf23</x:v>
      </x:c>
      <x:c r="AA1183" s="2" t="n">
        <x:v>100</x:v>
      </x:c>
      <x:c r="AB1183" s="8" t="str"/>
      <x:c r="AC1183" s="8" t="str"/>
      <x:c r="AD1183" s="8" t="str">
        <x:v>["ko-reviewed"]</x:v>
      </x:c>
      <x:c r="AE1183" s="8" t="str">
        <x:v>검토 필요</x:v>
      </x:c>
      <x:c r="AF1183" s="8" t="str"/>
    </x:row>
    <x:row r="1184">
      <x:c r="A1184" s="10" t="n">
        <x:v>1183</x:v>
      </x:c>
      <x:c r="B1184" s="2" t="str">
        <x:v>2차 보류</x:v>
      </x:c>
      <x:c r="C1184" s="2" t="str">
        <x:v>2차 보류</x:v>
      </x:c>
      <x:c r="D1184" s="2" t="str">
        <x:v>낮음</x:v>
      </x:c>
      <x:c r="E1184" s="2" t="str">
        <x:v>N2</x:v>
      </x:c>
      <x:c r="F1184" s="10" t="n">
        <x:v>429</x:v>
      </x:c>
      <x:c r="G1184" s="2" t="str">
        <x:v>w_773760ee6ecd2202</x:v>
      </x:c>
      <x:c r="H1184" s="2" t="str">
        <x:v>担ぐ</x:v>
      </x:c>
      <x:c r="I1184" s="2" t="str">
        <x:v>かつぐ</x:v>
      </x:c>
      <x:c r="J1184" s="8" t="str">
        <x:v>메다, 짊어지다</x:v>
      </x:c>
      <x:c r="K1184" s="2" t="str">
        <x:v>verb</x:v>
      </x:c>
      <x:c r="L1184" s="9" t="n">
        <x:v>2.76</x:v>
      </x:c>
      <x:c r="M1184" s="2" t="str">
        <x:v>없음</x:v>
      </x:c>
      <x:c r="N1184" s="11" t="n">
        <x:v>-7</x:v>
      </x:c>
      <x:c r="O1184" s="8" t="str">
        <x:v>일반 사용 빈도 낮은 편(Zipf ≤ 3.0); 검증된 예문 없음</x:v>
      </x:c>
      <x:c r="P1184" s="8" t="str">
        <x:v>frequency_le_3_0,no_example</x:v>
      </x:c>
      <x:c r="Q1184" s="2" t="str"/>
      <x:c r="R1184" s="2" t="str"/>
      <x:c r="S1184" s="2" t="str"/>
      <x:c r="T1184" s="2" t="str"/>
      <x:c r="U1184" s="2" t="str"/>
      <x:c r="V1184" s="2" t="str">
        <x:v>아니오</x:v>
      </x:c>
      <x:c r="W1184" s="2" t="str">
        <x:v>예</x:v>
      </x:c>
      <x:c r="X1184" s="2" t="str">
        <x:v>ichi1,news2,nf39</x:v>
      </x:c>
      <x:c r="Y1184" s="2" t="n">
        <x:v>100</x:v>
      </x:c>
      <x:c r="Z1184" s="2" t="str">
        <x:v>ichi1,news2,nf39</x:v>
      </x:c>
      <x:c r="AA1184" s="2" t="n">
        <x:v>100</x:v>
      </x:c>
      <x:c r="AB1184" s="8" t="str"/>
      <x:c r="AC1184" s="8" t="str"/>
      <x:c r="AD1184" s="8" t="str">
        <x:v>["ko-reviewed"]</x:v>
      </x:c>
      <x:c r="AE1184" s="8" t="str">
        <x:v>검토 필요</x:v>
      </x:c>
      <x:c r="AF1184" s="8" t="str"/>
    </x:row>
    <x:row r="1185">
      <x:c r="A1185" s="10" t="n">
        <x:v>1184</x:v>
      </x:c>
      <x:c r="B1185" s="2" t="str">
        <x:v>2차 보류</x:v>
      </x:c>
      <x:c r="C1185" s="2" t="str">
        <x:v>2차 보류</x:v>
      </x:c>
      <x:c r="D1185" s="2" t="str">
        <x:v>낮음</x:v>
      </x:c>
      <x:c r="E1185" s="2" t="str">
        <x:v>N1</x:v>
      </x:c>
      <x:c r="F1185" s="10" t="n">
        <x:v>516</x:v>
      </x:c>
      <x:c r="G1185" s="2" t="str">
        <x:v>w_0a2dbc5713663d21</x:v>
      </x:c>
      <x:c r="H1185" s="2" t="str">
        <x:v>脱する</x:v>
      </x:c>
      <x:c r="I1185" s="2" t="str">
        <x:v>だっする</x:v>
      </x:c>
      <x:c r="J1185" s="8" t="str">
        <x:v>벗어나다, 탈출하다</x:v>
      </x:c>
      <x:c r="K1185" s="2" t="str">
        <x:v>verb</x:v>
      </x:c>
      <x:c r="L1185" s="9" t="n">
        <x:v>2.76</x:v>
      </x:c>
      <x:c r="M1185" s="2" t="str">
        <x:v>없음</x:v>
      </x:c>
      <x:c r="N1185" s="11" t="n">
        <x:v>-7</x:v>
      </x:c>
      <x:c r="O1185" s="8" t="str">
        <x:v>일반 사용 빈도 낮은 편(Zipf ≤ 3.0); 검증된 예문 없음</x:v>
      </x:c>
      <x:c r="P1185" s="8" t="str">
        <x:v>frequency_le_3_0,no_example</x:v>
      </x:c>
      <x:c r="Q1185" s="2" t="str"/>
      <x:c r="R1185" s="2" t="str"/>
      <x:c r="S1185" s="2" t="str"/>
      <x:c r="T1185" s="2" t="str"/>
      <x:c r="U1185" s="2" t="str"/>
      <x:c r="V1185" s="2" t="str">
        <x:v>아니오</x:v>
      </x:c>
      <x:c r="W1185" s="2" t="str">
        <x:v>예</x:v>
      </x:c>
      <x:c r="X1185" s="2" t="str">
        <x:v>news1,nf22</x:v>
      </x:c>
      <x:c r="Y1185" s="2" t="n">
        <x:v>100</x:v>
      </x:c>
      <x:c r="Z1185" s="2" t="str">
        <x:v>news1,nf22</x:v>
      </x:c>
      <x:c r="AA1185" s="2" t="n">
        <x:v>100</x:v>
      </x:c>
      <x:c r="AB1185" s="8" t="str"/>
      <x:c r="AC1185" s="8" t="str"/>
      <x:c r="AD1185" s="8" t="str">
        <x:v>["ko-reviewed"]</x:v>
      </x:c>
      <x:c r="AE1185" s="8" t="str">
        <x:v>검토 필요</x:v>
      </x:c>
      <x:c r="AF1185" s="8" t="str"/>
    </x:row>
    <x:row r="1186">
      <x:c r="A1186" s="10" t="n">
        <x:v>1185</x:v>
      </x:c>
      <x:c r="B1186" s="2" t="str">
        <x:v>2차 보류</x:v>
      </x:c>
      <x:c r="C1186" s="2" t="str">
        <x:v>2차 보류</x:v>
      </x:c>
      <x:c r="D1186" s="2" t="str">
        <x:v>낮음</x:v>
      </x:c>
      <x:c r="E1186" s="2" t="str">
        <x:v>N2</x:v>
      </x:c>
      <x:c r="F1186" s="10" t="n">
        <x:v>430</x:v>
      </x:c>
      <x:c r="G1186" s="2" t="str">
        <x:v>w_e44a8590c21dc06d</x:v>
      </x:c>
      <x:c r="H1186" s="2" t="str">
        <x:v>孝行</x:v>
      </x:c>
      <x:c r="I1186" s="2" t="str">
        <x:v>こうこう</x:v>
      </x:c>
      <x:c r="J1186" s="8" t="str">
        <x:v>효도</x:v>
      </x:c>
      <x:c r="K1186" s="2" t="str">
        <x:v>noun</x:v>
      </x:c>
      <x:c r="L1186" s="9" t="n">
        <x:v>2.77</x:v>
      </x:c>
      <x:c r="M1186" s="2" t="str">
        <x:v>없음</x:v>
      </x:c>
      <x:c r="N1186" s="11" t="n">
        <x:v>-7</x:v>
      </x:c>
      <x:c r="O1186" s="8" t="str">
        <x:v>일반 사용 빈도 낮은 편(Zipf ≤ 3.0); 검증된 예문 없음</x:v>
      </x:c>
      <x:c r="P1186" s="8" t="str">
        <x:v>frequency_le_3_0,no_example</x:v>
      </x:c>
      <x:c r="Q1186" s="2" t="str"/>
      <x:c r="R1186" s="2" t="str"/>
      <x:c r="S1186" s="2" t="str"/>
      <x:c r="T1186" s="2" t="str"/>
      <x:c r="U1186" s="2" t="str"/>
      <x:c r="V1186" s="2" t="str">
        <x:v>아니오</x:v>
      </x:c>
      <x:c r="W1186" s="2" t="str">
        <x:v>예</x:v>
      </x:c>
      <x:c r="X1186" s="2" t="str">
        <x:v>ichi1,news1,nf13</x:v>
      </x:c>
      <x:c r="Y1186" s="2" t="n">
        <x:v>100</x:v>
      </x:c>
      <x:c r="Z1186" s="2" t="str">
        <x:v>ichi1,news1,nf13</x:v>
      </x:c>
      <x:c r="AA1186" s="2" t="n">
        <x:v>100</x:v>
      </x:c>
      <x:c r="AB1186" s="8" t="str"/>
      <x:c r="AC1186" s="8" t="str"/>
      <x:c r="AD1186" s="8" t="str">
        <x:v>["ko-reviewed"]</x:v>
      </x:c>
      <x:c r="AE1186" s="8" t="str">
        <x:v>검토 필요</x:v>
      </x:c>
      <x:c r="AF1186" s="8" t="str"/>
    </x:row>
    <x:row r="1187">
      <x:c r="A1187" s="10" t="n">
        <x:v>1186</x:v>
      </x:c>
      <x:c r="B1187" s="2" t="str">
        <x:v>2차 보류</x:v>
      </x:c>
      <x:c r="C1187" s="2" t="str">
        <x:v>2차 보류</x:v>
      </x:c>
      <x:c r="D1187" s="2" t="str">
        <x:v>낮음</x:v>
      </x:c>
      <x:c r="E1187" s="2" t="str">
        <x:v>N1</x:v>
      </x:c>
      <x:c r="F1187" s="10" t="n">
        <x:v>517</x:v>
      </x:c>
      <x:c r="G1187" s="2" t="str">
        <x:v>w_c453e759b4056a60</x:v>
      </x:c>
      <x:c r="H1187" s="2" t="str">
        <x:v>専修</x:v>
      </x:c>
      <x:c r="I1187" s="2" t="str">
        <x:v>せんしゅう</x:v>
      </x:c>
      <x:c r="J1187" s="8" t="str">
        <x:v>전공, 전수</x:v>
      </x:c>
      <x:c r="K1187" s="2" t="str">
        <x:v>noun</x:v>
      </x:c>
      <x:c r="L1187" s="9" t="n">
        <x:v>2.77</x:v>
      </x:c>
      <x:c r="M1187" s="2" t="str">
        <x:v>없음</x:v>
      </x:c>
      <x:c r="N1187" s="11" t="n">
        <x:v>-7</x:v>
      </x:c>
      <x:c r="O1187" s="8" t="str">
        <x:v>일반 사용 빈도 낮은 편(Zipf ≤ 3.0); 검증된 예문 없음</x:v>
      </x:c>
      <x:c r="P1187" s="8" t="str">
        <x:v>frequency_le_3_0,no_example</x:v>
      </x:c>
      <x:c r="Q1187" s="2" t="str"/>
      <x:c r="R1187" s="2" t="str"/>
      <x:c r="S1187" s="2" t="str"/>
      <x:c r="T1187" s="2" t="str"/>
      <x:c r="U1187" s="2" t="str"/>
      <x:c r="V1187" s="2" t="str">
        <x:v>아니오</x:v>
      </x:c>
      <x:c r="W1187" s="2" t="str">
        <x:v>예</x:v>
      </x:c>
      <x:c r="X1187" s="2" t="str">
        <x:v>news1,nf14</x:v>
      </x:c>
      <x:c r="Y1187" s="2" t="n">
        <x:v>100</x:v>
      </x:c>
      <x:c r="Z1187" s="2" t="str">
        <x:v>news1,nf14</x:v>
      </x:c>
      <x:c r="AA1187" s="2" t="n">
        <x:v>100</x:v>
      </x:c>
      <x:c r="AB1187" s="8" t="str"/>
      <x:c r="AC1187" s="8" t="str"/>
      <x:c r="AD1187" s="8" t="str">
        <x:v>["ko-reviewed"]</x:v>
      </x:c>
      <x:c r="AE1187" s="8" t="str">
        <x:v>검토 필요</x:v>
      </x:c>
      <x:c r="AF1187" s="8" t="str"/>
    </x:row>
    <x:row r="1188">
      <x:c r="A1188" s="10" t="n">
        <x:v>1187</x:v>
      </x:c>
      <x:c r="B1188" s="2" t="str">
        <x:v>2차 보류</x:v>
      </x:c>
      <x:c r="C1188" s="2" t="str">
        <x:v>2차 보류</x:v>
      </x:c>
      <x:c r="D1188" s="2" t="str">
        <x:v>낮음</x:v>
      </x:c>
      <x:c r="E1188" s="2" t="str">
        <x:v>N2</x:v>
      </x:c>
      <x:c r="F1188" s="10" t="n">
        <x:v>431</x:v>
      </x:c>
      <x:c r="G1188" s="2" t="str">
        <x:v>w_8066bc7c46e1fbb1</x:v>
      </x:c>
      <x:c r="H1188" s="2" t="str">
        <x:v>打ち消す</x:v>
      </x:c>
      <x:c r="I1188" s="2" t="str">
        <x:v>うちけす</x:v>
      </x:c>
      <x:c r="J1188" s="8" t="str">
        <x:v>부정하다, 지우다</x:v>
      </x:c>
      <x:c r="K1188" s="2" t="str">
        <x:v>verb</x:v>
      </x:c>
      <x:c r="L1188" s="9" t="n">
        <x:v>2.78</x:v>
      </x:c>
      <x:c r="M1188" s="2" t="str">
        <x:v>없음</x:v>
      </x:c>
      <x:c r="N1188" s="11" t="n">
        <x:v>-7</x:v>
      </x:c>
      <x:c r="O1188" s="8" t="str">
        <x:v>일반 사용 빈도 낮은 편(Zipf ≤ 3.0); 검증된 예문 없음</x:v>
      </x:c>
      <x:c r="P1188" s="8" t="str">
        <x:v>frequency_le_3_0,no_example</x:v>
      </x:c>
      <x:c r="Q1188" s="2" t="str"/>
      <x:c r="R1188" s="2" t="str"/>
      <x:c r="S1188" s="2" t="str"/>
      <x:c r="T1188" s="2" t="str"/>
      <x:c r="U1188" s="2" t="str"/>
      <x:c r="V1188" s="2" t="str">
        <x:v>아니오</x:v>
      </x:c>
      <x:c r="W1188" s="2" t="str">
        <x:v>예</x:v>
      </x:c>
      <x:c r="X1188" s="2" t="str">
        <x:v>ichi1,news2,nf29</x:v>
      </x:c>
      <x:c r="Y1188" s="2" t="n">
        <x:v>100</x:v>
      </x:c>
      <x:c r="Z1188" s="2" t="str">
        <x:v>ichi1,news2,nf29</x:v>
      </x:c>
      <x:c r="AA1188" s="2" t="n">
        <x:v>100</x:v>
      </x:c>
      <x:c r="AB1188" s="8" t="str"/>
      <x:c r="AC1188" s="8" t="str"/>
      <x:c r="AD1188" s="8" t="str">
        <x:v>["ko-reviewed"]</x:v>
      </x:c>
      <x:c r="AE1188" s="8" t="str">
        <x:v>검토 필요</x:v>
      </x:c>
      <x:c r="AF1188" s="8" t="str"/>
    </x:row>
    <x:row r="1189">
      <x:c r="A1189" s="10" t="n">
        <x:v>1188</x:v>
      </x:c>
      <x:c r="B1189" s="2" t="str">
        <x:v>2차 보류</x:v>
      </x:c>
      <x:c r="C1189" s="2" t="str">
        <x:v>2차 보류</x:v>
      </x:c>
      <x:c r="D1189" s="2" t="str">
        <x:v>낮음</x:v>
      </x:c>
      <x:c r="E1189" s="2" t="str">
        <x:v>N2</x:v>
      </x:c>
      <x:c r="F1189" s="10" t="n">
        <x:v>432</x:v>
      </x:c>
      <x:c r="G1189" s="2" t="str">
        <x:v>w_da4147b96383b767</x:v>
      </x:c>
      <x:c r="H1189" s="2" t="str">
        <x:v>概論</x:v>
      </x:c>
      <x:c r="I1189" s="2" t="str">
        <x:v>がいろん</x:v>
      </x:c>
      <x:c r="J1189" s="8" t="str">
        <x:v>개론</x:v>
      </x:c>
      <x:c r="K1189" s="2" t="str">
        <x:v>noun</x:v>
      </x:c>
      <x:c r="L1189" s="9" t="n">
        <x:v>2.78</x:v>
      </x:c>
      <x:c r="M1189" s="2" t="str">
        <x:v>없음</x:v>
      </x:c>
      <x:c r="N1189" s="11" t="n">
        <x:v>-7</x:v>
      </x:c>
      <x:c r="O1189" s="8" t="str">
        <x:v>일반 사용 빈도 낮은 편(Zipf ≤ 3.0); 검증된 예문 없음</x:v>
      </x:c>
      <x:c r="P1189" s="8" t="str">
        <x:v>frequency_le_3_0,no_example</x:v>
      </x:c>
      <x:c r="Q1189" s="2" t="str"/>
      <x:c r="R1189" s="2" t="str"/>
      <x:c r="S1189" s="2" t="str"/>
      <x:c r="T1189" s="2" t="str"/>
      <x:c r="U1189" s="2" t="str"/>
      <x:c r="V1189" s="2" t="str">
        <x:v>아니오</x:v>
      </x:c>
      <x:c r="W1189" s="2" t="str">
        <x:v>예</x:v>
      </x:c>
      <x:c r="X1189" s="2" t="str">
        <x:v>ichi1,news2,nf39</x:v>
      </x:c>
      <x:c r="Y1189" s="2" t="n">
        <x:v>100</x:v>
      </x:c>
      <x:c r="Z1189" s="2" t="str">
        <x:v>ichi1,news2,nf39</x:v>
      </x:c>
      <x:c r="AA1189" s="2" t="n">
        <x:v>100</x:v>
      </x:c>
      <x:c r="AB1189" s="8" t="str"/>
      <x:c r="AC1189" s="8" t="str"/>
      <x:c r="AD1189" s="8" t="str">
        <x:v>["ko-reviewed"]</x:v>
      </x:c>
      <x:c r="AE1189" s="8" t="str">
        <x:v>검토 필요</x:v>
      </x:c>
      <x:c r="AF1189" s="8" t="str"/>
    </x:row>
    <x:row r="1190">
      <x:c r="A1190" s="10" t="n">
        <x:v>1189</x:v>
      </x:c>
      <x:c r="B1190" s="2" t="str">
        <x:v>2차 보류</x:v>
      </x:c>
      <x:c r="C1190" s="2" t="str">
        <x:v>2차 보류</x:v>
      </x:c>
      <x:c r="D1190" s="2" t="str">
        <x:v>낮음</x:v>
      </x:c>
      <x:c r="E1190" s="2" t="str">
        <x:v>N1</x:v>
      </x:c>
      <x:c r="F1190" s="10" t="n">
        <x:v>518</x:v>
      </x:c>
      <x:c r="G1190" s="2" t="str">
        <x:v>w_7693c24a3ae3f600</x:v>
      </x:c>
      <x:c r="H1190" s="2" t="str">
        <x:v>分母</x:v>
      </x:c>
      <x:c r="I1190" s="2" t="str">
        <x:v>ぶんぼ</x:v>
      </x:c>
      <x:c r="J1190" s="8" t="str">
        <x:v>분모</x:v>
      </x:c>
      <x:c r="K1190" s="2" t="str">
        <x:v>noun</x:v>
      </x:c>
      <x:c r="L1190" s="9" t="n">
        <x:v>2.78</x:v>
      </x:c>
      <x:c r="M1190" s="2" t="str">
        <x:v>없음</x:v>
      </x:c>
      <x:c r="N1190" s="11" t="n">
        <x:v>-7</x:v>
      </x:c>
      <x:c r="O1190" s="8" t="str">
        <x:v>일반 사용 빈도 낮은 편(Zipf ≤ 3.0); 검증된 예문 없음</x:v>
      </x:c>
      <x:c r="P1190" s="8" t="str">
        <x:v>frequency_le_3_0,no_example</x:v>
      </x:c>
      <x:c r="Q1190" s="2" t="str"/>
      <x:c r="R1190" s="2" t="str"/>
      <x:c r="S1190" s="2" t="str"/>
      <x:c r="T1190" s="2" t="str"/>
      <x:c r="U1190" s="2" t="str"/>
      <x:c r="V1190" s="2" t="str">
        <x:v>아니오</x:v>
      </x:c>
      <x:c r="W1190" s="2" t="str">
        <x:v>예</x:v>
      </x:c>
      <x:c r="X1190" s="2" t="str">
        <x:v>ichi1,news2,nf40</x:v>
      </x:c>
      <x:c r="Y1190" s="2" t="n">
        <x:v>100</x:v>
      </x:c>
      <x:c r="Z1190" s="2" t="str">
        <x:v>ichi1,news2,nf40</x:v>
      </x:c>
      <x:c r="AA1190" s="2" t="n">
        <x:v>100</x:v>
      </x:c>
      <x:c r="AB1190" s="8" t="str"/>
      <x:c r="AC1190" s="8" t="str"/>
      <x:c r="AD1190" s="8" t="str">
        <x:v>["ko-reviewed"]</x:v>
      </x:c>
      <x:c r="AE1190" s="8" t="str">
        <x:v>검토 필요</x:v>
      </x:c>
      <x:c r="AF1190" s="8" t="str"/>
    </x:row>
    <x:row r="1191">
      <x:c r="A1191" s="10" t="n">
        <x:v>1190</x:v>
      </x:c>
      <x:c r="B1191" s="2" t="str">
        <x:v>2차 보류</x:v>
      </x:c>
      <x:c r="C1191" s="2" t="str">
        <x:v>2차 보류</x:v>
      </x:c>
      <x:c r="D1191" s="2" t="str">
        <x:v>낮음</x:v>
      </x:c>
      <x:c r="E1191" s="2" t="str">
        <x:v>N1</x:v>
      </x:c>
      <x:c r="F1191" s="10" t="n">
        <x:v>519</x:v>
      </x:c>
      <x:c r="G1191" s="2" t="str">
        <x:v>w_78527b9c49a89cb7</x:v>
      </x:c>
      <x:c r="H1191" s="2" t="str">
        <x:v>身振り</x:v>
      </x:c>
      <x:c r="I1191" s="2" t="str">
        <x:v>みぶり</x:v>
      </x:c>
      <x:c r="J1191" s="8" t="str">
        <x:v>몸짓</x:v>
      </x:c>
      <x:c r="K1191" s="2" t="str">
        <x:v>noun</x:v>
      </x:c>
      <x:c r="L1191" s="9" t="n">
        <x:v>2.78</x:v>
      </x:c>
      <x:c r="M1191" s="2" t="str">
        <x:v>없음</x:v>
      </x:c>
      <x:c r="N1191" s="11" t="n">
        <x:v>-7</x:v>
      </x:c>
      <x:c r="O1191" s="8" t="str">
        <x:v>일반 사용 빈도 낮은 편(Zipf ≤ 3.0); 검증된 예문 없음</x:v>
      </x:c>
      <x:c r="P1191" s="8" t="str">
        <x:v>frequency_le_3_0,no_example</x:v>
      </x:c>
      <x:c r="Q1191" s="2" t="str"/>
      <x:c r="R1191" s="2" t="str"/>
      <x:c r="S1191" s="2" t="str"/>
      <x:c r="T1191" s="2" t="str"/>
      <x:c r="U1191" s="2" t="str"/>
      <x:c r="V1191" s="2" t="str">
        <x:v>아니오</x:v>
      </x:c>
      <x:c r="W1191" s="2" t="str">
        <x:v>예</x:v>
      </x:c>
      <x:c r="X1191" s="2" t="str">
        <x:v>ichi1,news2,nf40</x:v>
      </x:c>
      <x:c r="Y1191" s="2" t="n">
        <x:v>100</x:v>
      </x:c>
      <x:c r="Z1191" s="2" t="str">
        <x:v>ichi1,news2,nf40</x:v>
      </x:c>
      <x:c r="AA1191" s="2" t="n">
        <x:v>100</x:v>
      </x:c>
      <x:c r="AB1191" s="8" t="str"/>
      <x:c r="AC1191" s="8" t="str"/>
      <x:c r="AD1191" s="8" t="str">
        <x:v>["ko-reviewed"]</x:v>
      </x:c>
      <x:c r="AE1191" s="8" t="str">
        <x:v>검토 필요</x:v>
      </x:c>
      <x:c r="AF1191" s="8" t="str"/>
    </x:row>
    <x:row r="1192">
      <x:c r="A1192" s="10" t="n">
        <x:v>1191</x:v>
      </x:c>
      <x:c r="B1192" s="2" t="str">
        <x:v>2차 보류</x:v>
      </x:c>
      <x:c r="C1192" s="2" t="str">
        <x:v>2차 보류</x:v>
      </x:c>
      <x:c r="D1192" s="2" t="str">
        <x:v>낮음</x:v>
      </x:c>
      <x:c r="E1192" s="2" t="str">
        <x:v>N2</x:v>
      </x:c>
      <x:c r="F1192" s="10" t="n">
        <x:v>433</x:v>
      </x:c>
      <x:c r="G1192" s="2" t="str">
        <x:v>w_11d04976f3550bcb</x:v>
      </x:c>
      <x:c r="H1192" s="2" t="str">
        <x:v>ペンチ</x:v>
      </x:c>
      <x:c r="I1192" s="2" t="str">
        <x:v>ペンチ</x:v>
      </x:c>
      <x:c r="J1192" s="8" t="str">
        <x:v>펜치</x:v>
      </x:c>
      <x:c r="K1192" s="2" t="str">
        <x:v>noun</x:v>
      </x:c>
      <x:c r="L1192" s="9" t="n">
        <x:v>2.79</x:v>
      </x:c>
      <x:c r="M1192" s="2" t="str">
        <x:v>없음</x:v>
      </x:c>
      <x:c r="N1192" s="11" t="n">
        <x:v>-7</x:v>
      </x:c>
      <x:c r="O1192" s="8" t="str">
        <x:v>일반 사용 빈도 낮은 편(Zipf ≤ 3.0); 검증된 예문 없음</x:v>
      </x:c>
      <x:c r="P1192" s="8" t="str">
        <x:v>frequency_le_3_0,no_example</x:v>
      </x:c>
      <x:c r="Q1192" s="2" t="str"/>
      <x:c r="R1192" s="2" t="str"/>
      <x:c r="S1192" s="2" t="str"/>
      <x:c r="T1192" s="2" t="str"/>
      <x:c r="U1192" s="2" t="str"/>
      <x:c r="V1192" s="2" t="str">
        <x:v>아니오</x:v>
      </x:c>
      <x:c r="W1192" s="2" t="str">
        <x:v>예</x:v>
      </x:c>
      <x:c r="X1192" s="2" t="str">
        <x:v>ichi1</x:v>
      </x:c>
      <x:c r="Y1192" s="2" t="n">
        <x:v>100</x:v>
      </x:c>
      <x:c r="Z1192" s="2" t="str">
        <x:v>ichi1</x:v>
      </x:c>
      <x:c r="AA1192" s="2" t="n">
        <x:v>100</x:v>
      </x:c>
      <x:c r="AB1192" s="8" t="str"/>
      <x:c r="AC1192" s="8" t="str"/>
      <x:c r="AD1192" s="8" t="str">
        <x:v>["ko-reviewed"]</x:v>
      </x:c>
      <x:c r="AE1192" s="8" t="str">
        <x:v>검토 필요</x:v>
      </x:c>
      <x:c r="AF1192" s="8" t="str"/>
    </x:row>
    <x:row r="1193">
      <x:c r="A1193" s="10" t="n">
        <x:v>1192</x:v>
      </x:c>
      <x:c r="B1193" s="2" t="str">
        <x:v>2차 보류</x:v>
      </x:c>
      <x:c r="C1193" s="2" t="str">
        <x:v>2차 보류</x:v>
      </x:c>
      <x:c r="D1193" s="2" t="str">
        <x:v>낮음</x:v>
      </x:c>
      <x:c r="E1193" s="2" t="str">
        <x:v>N2</x:v>
      </x:c>
      <x:c r="F1193" s="10" t="n">
        <x:v>434</x:v>
      </x:c>
      <x:c r="G1193" s="2" t="str">
        <x:v>w_59a3b2aab617c972</x:v>
      </x:c>
      <x:c r="H1193" s="2" t="str">
        <x:v>兼ねる</x:v>
      </x:c>
      <x:c r="I1193" s="2" t="str">
        <x:v>かねる</x:v>
      </x:c>
      <x:c r="J1193" s="8" t="str">
        <x:v>겸하다, 겸임하다</x:v>
      </x:c>
      <x:c r="K1193" s="2" t="str">
        <x:v>suffix</x:v>
      </x:c>
      <x:c r="L1193" s="9" t="n">
        <x:v>2.79</x:v>
      </x:c>
      <x:c r="M1193" s="2" t="str">
        <x:v>없음</x:v>
      </x:c>
      <x:c r="N1193" s="11" t="n">
        <x:v>-7</x:v>
      </x:c>
      <x:c r="O1193" s="8" t="str">
        <x:v>일반 사용 빈도 낮은 편(Zipf ≤ 3.0); 검증된 예문 없음</x:v>
      </x:c>
      <x:c r="P1193" s="8" t="str">
        <x:v>frequency_le_3_0,no_example</x:v>
      </x:c>
      <x:c r="Q1193" s="2" t="str"/>
      <x:c r="R1193" s="2" t="str"/>
      <x:c r="S1193" s="2" t="str"/>
      <x:c r="T1193" s="2" t="str"/>
      <x:c r="U1193" s="2" t="str"/>
      <x:c r="V1193" s="2" t="str">
        <x:v>아니오</x:v>
      </x:c>
      <x:c r="W1193" s="2" t="str">
        <x:v>예</x:v>
      </x:c>
      <x:c r="X1193" s="2" t="str">
        <x:v>ichi1,news1,nf23</x:v>
      </x:c>
      <x:c r="Y1193" s="2" t="n">
        <x:v>100</x:v>
      </x:c>
      <x:c r="Z1193" s="2" t="str">
        <x:v>ichi1,news1,nf23</x:v>
      </x:c>
      <x:c r="AA1193" s="2" t="n">
        <x:v>100</x:v>
      </x:c>
      <x:c r="AB1193" s="8" t="str">
        <x:v>after the -masu stem of verb | word usually written using kana alone</x:v>
      </x:c>
      <x:c r="AC1193" s="8" t="str"/>
      <x:c r="AD1193" s="8" t="str">
        <x:v>["ko-reviewed"]</x:v>
      </x:c>
      <x:c r="AE1193" s="8" t="str">
        <x:v>검토 필요</x:v>
      </x:c>
      <x:c r="AF1193" s="8" t="str"/>
    </x:row>
    <x:row r="1194">
      <x:c r="A1194" s="10" t="n">
        <x:v>1193</x:v>
      </x:c>
      <x:c r="B1194" s="2" t="str">
        <x:v>2차 보류</x:v>
      </x:c>
      <x:c r="C1194" s="2" t="str">
        <x:v>2차 보류</x:v>
      </x:c>
      <x:c r="D1194" s="2" t="str">
        <x:v>낮음</x:v>
      </x:c>
      <x:c r="E1194" s="2" t="str">
        <x:v>N2</x:v>
      </x:c>
      <x:c r="F1194" s="10" t="n">
        <x:v>435</x:v>
      </x:c>
      <x:c r="G1194" s="2" t="str">
        <x:v>w_abc1312fd0f77a2b</x:v>
      </x:c>
      <x:c r="H1194" s="2" t="str">
        <x:v>被せる</x:v>
      </x:c>
      <x:c r="I1194" s="2" t="str">
        <x:v>かぶせる</x:v>
      </x:c>
      <x:c r="J1194" s="8" t="str">
        <x:v>덮다, 씌우다</x:v>
      </x:c>
      <x:c r="K1194" s="2" t="str">
        <x:v>verb</x:v>
      </x:c>
      <x:c r="L1194" s="9" t="n">
        <x:v>2.79</x:v>
      </x:c>
      <x:c r="M1194" s="2" t="str">
        <x:v>없음</x:v>
      </x:c>
      <x:c r="N1194" s="11" t="n">
        <x:v>-7</x:v>
      </x:c>
      <x:c r="O1194" s="8" t="str">
        <x:v>일반 사용 빈도 낮은 편(Zipf ≤ 3.0); 검증된 예문 없음</x:v>
      </x:c>
      <x:c r="P1194" s="8" t="str">
        <x:v>frequency_le_3_0,no_example</x:v>
      </x:c>
      <x:c r="Q1194" s="2" t="str"/>
      <x:c r="R1194" s="2" t="str"/>
      <x:c r="S1194" s="2" t="str"/>
      <x:c r="T1194" s="2" t="str"/>
      <x:c r="U1194" s="2" t="str"/>
      <x:c r="V1194" s="2" t="str">
        <x:v>아니오</x:v>
      </x:c>
      <x:c r="W1194" s="2" t="str">
        <x:v>예</x:v>
      </x:c>
      <x:c r="X1194" s="2" t="str">
        <x:v>ichi1</x:v>
      </x:c>
      <x:c r="Y1194" s="2" t="n">
        <x:v>100</x:v>
      </x:c>
      <x:c r="Z1194" s="2" t="str">
        <x:v>ichi1</x:v>
      </x:c>
      <x:c r="AA1194" s="2" t="n">
        <x:v>100</x:v>
      </x:c>
      <x:c r="AB1194" s="8" t="str">
        <x:v>word usually written using kana alone</x:v>
      </x:c>
      <x:c r="AC1194" s="8" t="str"/>
      <x:c r="AD1194" s="8" t="str">
        <x:v>["ko-reviewed"]</x:v>
      </x:c>
      <x:c r="AE1194" s="8" t="str">
        <x:v>검토 필요</x:v>
      </x:c>
      <x:c r="AF1194" s="8" t="str"/>
    </x:row>
    <x:row r="1195">
      <x:c r="A1195" s="10" t="n">
        <x:v>1194</x:v>
      </x:c>
      <x:c r="B1195" s="2" t="str">
        <x:v>2차 보류</x:v>
      </x:c>
      <x:c r="C1195" s="2" t="str">
        <x:v>2차 보류</x:v>
      </x:c>
      <x:c r="D1195" s="2" t="str">
        <x:v>낮음</x:v>
      </x:c>
      <x:c r="E1195" s="2" t="str">
        <x:v>N2</x:v>
      </x:c>
      <x:c r="F1195" s="10" t="n">
        <x:v>436</x:v>
      </x:c>
      <x:c r="G1195" s="2" t="str">
        <x:v>w_cc99714ece4e3402</x:v>
      </x:c>
      <x:c r="H1195" s="2" t="str">
        <x:v>実る</x:v>
      </x:c>
      <x:c r="I1195" s="2" t="str">
        <x:v>みのる</x:v>
      </x:c>
      <x:c r="J1195" s="8" t="str">
        <x:v>열매를 맺다, 결실하다</x:v>
      </x:c>
      <x:c r="K1195" s="2" t="str">
        <x:v>verb</x:v>
      </x:c>
      <x:c r="L1195" s="9" t="n">
        <x:v>2.79</x:v>
      </x:c>
      <x:c r="M1195" s="2" t="str">
        <x:v>없음</x:v>
      </x:c>
      <x:c r="N1195" s="11" t="n">
        <x:v>-7</x:v>
      </x:c>
      <x:c r="O1195" s="8" t="str">
        <x:v>일반 사용 빈도 낮은 편(Zipf ≤ 3.0); 검증된 예문 없음</x:v>
      </x:c>
      <x:c r="P1195" s="8" t="str">
        <x:v>frequency_le_3_0,no_example</x:v>
      </x:c>
      <x:c r="Q1195" s="2" t="str"/>
      <x:c r="R1195" s="2" t="str"/>
      <x:c r="S1195" s="2" t="str"/>
      <x:c r="T1195" s="2" t="str"/>
      <x:c r="U1195" s="2" t="str"/>
      <x:c r="V1195" s="2" t="str">
        <x:v>아니오</x:v>
      </x:c>
      <x:c r="W1195" s="2" t="str">
        <x:v>예</x:v>
      </x:c>
      <x:c r="X1195" s="2" t="str">
        <x:v>ichi1,news2,nf34</x:v>
      </x:c>
      <x:c r="Y1195" s="2" t="n">
        <x:v>100</x:v>
      </x:c>
      <x:c r="Z1195" s="2" t="str">
        <x:v>ichi1,news2,nf34</x:v>
      </x:c>
      <x:c r="AA1195" s="2" t="n">
        <x:v>100</x:v>
      </x:c>
      <x:c r="AB1195" s="8" t="str"/>
      <x:c r="AC1195" s="8" t="str"/>
      <x:c r="AD1195" s="8" t="str">
        <x:v>["backfill-replacement","assistant-ko-reviewed"]</x:v>
      </x:c>
      <x:c r="AE1195" s="8" t="str">
        <x:v>검토 필요</x:v>
      </x:c>
      <x:c r="AF1195" s="8" t="str"/>
    </x:row>
    <x:row r="1196">
      <x:c r="A1196" s="10" t="n">
        <x:v>1195</x:v>
      </x:c>
      <x:c r="B1196" s="2" t="str">
        <x:v>2차 보류</x:v>
      </x:c>
      <x:c r="C1196" s="2" t="str">
        <x:v>2차 보류</x:v>
      </x:c>
      <x:c r="D1196" s="2" t="str">
        <x:v>낮음</x:v>
      </x:c>
      <x:c r="E1196" s="2" t="str">
        <x:v>N2</x:v>
      </x:c>
      <x:c r="F1196" s="10" t="n">
        <x:v>437</x:v>
      </x:c>
      <x:c r="G1196" s="2" t="str">
        <x:v>w_8e980f9ef22d1661</x:v>
      </x:c>
      <x:c r="H1196" s="2" t="str">
        <x:v>悠々</x:v>
      </x:c>
      <x:c r="I1196" s="2" t="str">
        <x:v>ゆうゆう</x:v>
      </x:c>
      <x:c r="J1196" s="8" t="str">
        <x:v>유유히, 여유롭게</x:v>
      </x:c>
      <x:c r="K1196" s="2" t="str">
        <x:v>adjective</x:v>
      </x:c>
      <x:c r="L1196" s="9" t="n">
        <x:v>2.8</x:v>
      </x:c>
      <x:c r="M1196" s="2" t="str">
        <x:v>없음</x:v>
      </x:c>
      <x:c r="N1196" s="11" t="n">
        <x:v>-7</x:v>
      </x:c>
      <x:c r="O1196" s="8" t="str">
        <x:v>일반 사용 빈도 낮은 편(Zipf ≤ 3.0); 검증된 예문 없음</x:v>
      </x:c>
      <x:c r="P1196" s="8" t="str">
        <x:v>frequency_le_3_0,no_example</x:v>
      </x:c>
      <x:c r="Q1196" s="2" t="str"/>
      <x:c r="R1196" s="2" t="str"/>
      <x:c r="S1196" s="2" t="str"/>
      <x:c r="T1196" s="2" t="str"/>
      <x:c r="U1196" s="2" t="str"/>
      <x:c r="V1196" s="2" t="str">
        <x:v>아니오</x:v>
      </x:c>
      <x:c r="W1196" s="2" t="str">
        <x:v>예</x:v>
      </x:c>
      <x:c r="X1196" s="2" t="str">
        <x:v>ichi1,news2,nf26</x:v>
      </x:c>
      <x:c r="Y1196" s="2" t="n">
        <x:v>100</x:v>
      </x:c>
      <x:c r="Z1196" s="2" t="str">
        <x:v>ichi1,news2,nf26</x:v>
      </x:c>
      <x:c r="AA1196" s="2" t="n">
        <x:v>100</x:v>
      </x:c>
      <x:c r="AB1196" s="8" t="str"/>
      <x:c r="AC1196" s="8" t="str"/>
      <x:c r="AD1196" s="8" t="str">
        <x:v>["backfill-replacement","assistant-ko-reviewed"]</x:v>
      </x:c>
      <x:c r="AE1196" s="8" t="str">
        <x:v>검토 필요</x:v>
      </x:c>
      <x:c r="AF1196" s="8" t="str"/>
    </x:row>
    <x:row r="1197">
      <x:c r="A1197" s="10" t="n">
        <x:v>1196</x:v>
      </x:c>
      <x:c r="B1197" s="2" t="str">
        <x:v>2차 보류</x:v>
      </x:c>
      <x:c r="C1197" s="2" t="str">
        <x:v>2차 보류</x:v>
      </x:c>
      <x:c r="D1197" s="2" t="str">
        <x:v>낮음</x:v>
      </x:c>
      <x:c r="E1197" s="2" t="str">
        <x:v>N2</x:v>
      </x:c>
      <x:c r="F1197" s="10" t="n">
        <x:v>438</x:v>
      </x:c>
      <x:c r="G1197" s="2" t="str">
        <x:v>w_ccb26077b25c6a8a</x:v>
      </x:c>
      <x:c r="H1197" s="2" t="str">
        <x:v>人通り</x:v>
      </x:c>
      <x:c r="I1197" s="2" t="str">
        <x:v>ひとどおり</x:v>
      </x:c>
      <x:c r="J1197" s="8" t="str">
        <x:v>행인 왕래</x:v>
      </x:c>
      <x:c r="K1197" s="2" t="str">
        <x:v>noun</x:v>
      </x:c>
      <x:c r="L1197" s="9" t="n">
        <x:v>2.8</x:v>
      </x:c>
      <x:c r="M1197" s="2" t="str">
        <x:v>없음</x:v>
      </x:c>
      <x:c r="N1197" s="11" t="n">
        <x:v>-7</x:v>
      </x:c>
      <x:c r="O1197" s="8" t="str">
        <x:v>일반 사용 빈도 낮은 편(Zipf ≤ 3.0); 검증된 예문 없음</x:v>
      </x:c>
      <x:c r="P1197" s="8" t="str">
        <x:v>frequency_le_3_0,no_example</x:v>
      </x:c>
      <x:c r="Q1197" s="2" t="str"/>
      <x:c r="R1197" s="2" t="str"/>
      <x:c r="S1197" s="2" t="str"/>
      <x:c r="T1197" s="2" t="str"/>
      <x:c r="U1197" s="2" t="str"/>
      <x:c r="V1197" s="2" t="str">
        <x:v>아니오</x:v>
      </x:c>
      <x:c r="W1197" s="2" t="str">
        <x:v>예</x:v>
      </x:c>
      <x:c r="X1197" s="2" t="str">
        <x:v>ichi1,news2,nf25</x:v>
      </x:c>
      <x:c r="Y1197" s="2" t="n">
        <x:v>100</x:v>
      </x:c>
      <x:c r="Z1197" s="2" t="str">
        <x:v>ichi1,news2,nf25</x:v>
      </x:c>
      <x:c r="AA1197" s="2" t="n">
        <x:v>100</x:v>
      </x:c>
      <x:c r="AB1197" s="8" t="str"/>
      <x:c r="AC1197" s="8" t="str"/>
      <x:c r="AD1197" s="8" t="str">
        <x:v>["ko-reviewed"]</x:v>
      </x:c>
      <x:c r="AE1197" s="8" t="str">
        <x:v>검토 필요</x:v>
      </x:c>
      <x:c r="AF1197" s="8" t="str"/>
    </x:row>
    <x:row r="1198">
      <x:c r="A1198" s="10" t="n">
        <x:v>1197</x:v>
      </x:c>
      <x:c r="B1198" s="2" t="str">
        <x:v>2차 보류</x:v>
      </x:c>
      <x:c r="C1198" s="2" t="str">
        <x:v>2차 보류</x:v>
      </x:c>
      <x:c r="D1198" s="2" t="str">
        <x:v>낮음</x:v>
      </x:c>
      <x:c r="E1198" s="2" t="str">
        <x:v>N2</x:v>
      </x:c>
      <x:c r="F1198" s="10" t="n">
        <x:v>439</x:v>
      </x:c>
      <x:c r="G1198" s="2" t="str">
        <x:v>w_d17d418a98af8754</x:v>
      </x:c>
      <x:c r="H1198" s="2" t="str">
        <x:v>投書</x:v>
      </x:c>
      <x:c r="I1198" s="2" t="str">
        <x:v>とうしょ</x:v>
      </x:c>
      <x:c r="J1198" s="8" t="str">
        <x:v>투서, 독자 투고</x:v>
      </x:c>
      <x:c r="K1198" s="2" t="str">
        <x:v>noun</x:v>
      </x:c>
      <x:c r="L1198" s="9" t="n">
        <x:v>2.8</x:v>
      </x:c>
      <x:c r="M1198" s="2" t="str">
        <x:v>없음</x:v>
      </x:c>
      <x:c r="N1198" s="11" t="n">
        <x:v>-7</x:v>
      </x:c>
      <x:c r="O1198" s="8" t="str">
        <x:v>일반 사용 빈도 낮은 편(Zipf ≤ 3.0); 검증된 예문 없음</x:v>
      </x:c>
      <x:c r="P1198" s="8" t="str">
        <x:v>frequency_le_3_0,no_example</x:v>
      </x:c>
      <x:c r="Q1198" s="2" t="str"/>
      <x:c r="R1198" s="2" t="str"/>
      <x:c r="S1198" s="2" t="str"/>
      <x:c r="T1198" s="2" t="str"/>
      <x:c r="U1198" s="2" t="str"/>
      <x:c r="V1198" s="2" t="str">
        <x:v>아니오</x:v>
      </x:c>
      <x:c r="W1198" s="2" t="str">
        <x:v>예</x:v>
      </x:c>
      <x:c r="X1198" s="2" t="str">
        <x:v>ichi1,news1,nf10</x:v>
      </x:c>
      <x:c r="Y1198" s="2" t="n">
        <x:v>100</x:v>
      </x:c>
      <x:c r="Z1198" s="2" t="str">
        <x:v>ichi1,news1,nf10</x:v>
      </x:c>
      <x:c r="AA1198" s="2" t="n">
        <x:v>100</x:v>
      </x:c>
      <x:c r="AB1198" s="8" t="str"/>
      <x:c r="AC1198" s="8" t="str"/>
      <x:c r="AD1198" s="8" t="str">
        <x:v>["ko-reviewed"]</x:v>
      </x:c>
      <x:c r="AE1198" s="8" t="str">
        <x:v>검토 필요</x:v>
      </x:c>
      <x:c r="AF1198" s="8" t="str"/>
    </x:row>
    <x:row r="1199">
      <x:c r="A1199" s="10" t="n">
        <x:v>1198</x:v>
      </x:c>
      <x:c r="B1199" s="2" t="str">
        <x:v>2차 보류</x:v>
      </x:c>
      <x:c r="C1199" s="2" t="str">
        <x:v>2차 보류</x:v>
      </x:c>
      <x:c r="D1199" s="2" t="str">
        <x:v>낮음</x:v>
      </x:c>
      <x:c r="E1199" s="2" t="str">
        <x:v>N2</x:v>
      </x:c>
      <x:c r="F1199" s="10" t="n">
        <x:v>440</x:v>
      </x:c>
      <x:c r="G1199" s="2" t="str">
        <x:v>w_d9e121c9f74a30b8</x:v>
      </x:c>
      <x:c r="H1199" s="2" t="str">
        <x:v>日当たり</x:v>
      </x:c>
      <x:c r="I1199" s="2" t="str">
        <x:v>ひあたり</x:v>
      </x:c>
      <x:c r="J1199" s="8" t="str">
        <x:v>햇볕이 잘 듦, 양지</x:v>
      </x:c>
      <x:c r="K1199" s="2" t="str">
        <x:v>noun</x:v>
      </x:c>
      <x:c r="L1199" s="9" t="n">
        <x:v>2.8</x:v>
      </x:c>
      <x:c r="M1199" s="2" t="str">
        <x:v>없음</x:v>
      </x:c>
      <x:c r="N1199" s="11" t="n">
        <x:v>-7</x:v>
      </x:c>
      <x:c r="O1199" s="8" t="str">
        <x:v>일반 사용 빈도 낮은 편(Zipf ≤ 3.0); 검증된 예문 없음</x:v>
      </x:c>
      <x:c r="P1199" s="8" t="str">
        <x:v>frequency_le_3_0,no_example</x:v>
      </x:c>
      <x:c r="Q1199" s="2" t="str"/>
      <x:c r="R1199" s="2" t="str"/>
      <x:c r="S1199" s="2" t="str"/>
      <x:c r="T1199" s="2" t="str"/>
      <x:c r="U1199" s="2" t="str"/>
      <x:c r="V1199" s="2" t="str">
        <x:v>아니오</x:v>
      </x:c>
      <x:c r="W1199" s="2" t="str">
        <x:v>예</x:v>
      </x:c>
      <x:c r="X1199" s="2" t="str">
        <x:v>ichi1,news2,nf25</x:v>
      </x:c>
      <x:c r="Y1199" s="2" t="n">
        <x:v>100</x:v>
      </x:c>
      <x:c r="Z1199" s="2" t="str">
        <x:v>ichi1,news2,nf25</x:v>
      </x:c>
      <x:c r="AA1199" s="2" t="n">
        <x:v>100</x:v>
      </x:c>
      <x:c r="AB1199" s="8" t="str"/>
      <x:c r="AC1199" s="8" t="str"/>
      <x:c r="AD1199" s="8" t="str">
        <x:v>["ko-reviewed"]</x:v>
      </x:c>
      <x:c r="AE1199" s="8" t="str">
        <x:v>검토 필요</x:v>
      </x:c>
      <x:c r="AF1199" s="8" t="str"/>
    </x:row>
    <x:row r="1200">
      <x:c r="A1200" s="10" t="n">
        <x:v>1199</x:v>
      </x:c>
      <x:c r="B1200" s="2" t="str">
        <x:v>2차 보류</x:v>
      </x:c>
      <x:c r="C1200" s="2" t="str">
        <x:v>2차 보류</x:v>
      </x:c>
      <x:c r="D1200" s="2" t="str">
        <x:v>낮음</x:v>
      </x:c>
      <x:c r="E1200" s="2" t="str">
        <x:v>N1</x:v>
      </x:c>
      <x:c r="F1200" s="10" t="n">
        <x:v>520</x:v>
      </x:c>
      <x:c r="G1200" s="2" t="str">
        <x:v>w_0968a3e2189db9bd</x:v>
      </x:c>
      <x:c r="H1200" s="2" t="str">
        <x:v>振り出し</x:v>
      </x:c>
      <x:c r="I1200" s="2" t="str">
        <x:v>ふりだし</x:v>
      </x:c>
      <x:c r="J1200" s="8" t="str">
        <x:v>출발점, 처음</x:v>
      </x:c>
      <x:c r="K1200" s="2" t="str">
        <x:v>noun</x:v>
      </x:c>
      <x:c r="L1200" s="9" t="n">
        <x:v>2.8</x:v>
      </x:c>
      <x:c r="M1200" s="2" t="str">
        <x:v>없음</x:v>
      </x:c>
      <x:c r="N1200" s="11" t="n">
        <x:v>-7</x:v>
      </x:c>
      <x:c r="O1200" s="8" t="str">
        <x:v>일반 사용 빈도 낮은 편(Zipf ≤ 3.0); 검증된 예문 없음</x:v>
      </x:c>
      <x:c r="P1200" s="8" t="str">
        <x:v>frequency_le_3_0,no_example</x:v>
      </x:c>
      <x:c r="Q1200" s="2" t="str"/>
      <x:c r="R1200" s="2" t="str"/>
      <x:c r="S1200" s="2" t="str"/>
      <x:c r="T1200" s="2" t="str"/>
      <x:c r="U1200" s="2" t="str"/>
      <x:c r="V1200" s="2" t="str">
        <x:v>아니오</x:v>
      </x:c>
      <x:c r="W1200" s="2" t="str">
        <x:v>예</x:v>
      </x:c>
      <x:c r="X1200" s="2" t="str">
        <x:v>news1,nf16</x:v>
      </x:c>
      <x:c r="Y1200" s="2" t="n">
        <x:v>100</x:v>
      </x:c>
      <x:c r="Z1200" s="2" t="str">
        <x:v>news1,nf16</x:v>
      </x:c>
      <x:c r="AA1200" s="2" t="n">
        <x:v>100</x:v>
      </x:c>
      <x:c r="AB1200" s="8" t="str">
        <x:v>abbreviation</x:v>
      </x:c>
      <x:c r="AC1200" s="8" t="str"/>
      <x:c r="AD1200" s="8" t="str">
        <x:v>["ko-reviewed"]</x:v>
      </x:c>
      <x:c r="AE1200" s="8" t="str">
        <x:v>검토 필요</x:v>
      </x:c>
      <x:c r="AF1200" s="8" t="str"/>
    </x:row>
    <x:row r="1201">
      <x:c r="A1201" s="10" t="n">
        <x:v>1200</x:v>
      </x:c>
      <x:c r="B1201" s="2" t="str">
        <x:v>2차 보류</x:v>
      </x:c>
      <x:c r="C1201" s="2" t="str">
        <x:v>2차 보류</x:v>
      </x:c>
      <x:c r="D1201" s="2" t="str">
        <x:v>낮음</x:v>
      </x:c>
      <x:c r="E1201" s="2" t="str">
        <x:v>N1</x:v>
      </x:c>
      <x:c r="F1201" s="10" t="n">
        <x:v>521</x:v>
      </x:c>
      <x:c r="G1201" s="2" t="str">
        <x:v>w_334c23b7fc181a8b</x:v>
      </x:c>
      <x:c r="H1201" s="2" t="str">
        <x:v>全快</x:v>
      </x:c>
      <x:c r="I1201" s="2" t="str">
        <x:v>ぜんかい</x:v>
      </x:c>
      <x:c r="J1201" s="8" t="str">
        <x:v>완쾌</x:v>
      </x:c>
      <x:c r="K1201" s="2" t="str">
        <x:v>noun</x:v>
      </x:c>
      <x:c r="L1201" s="9" t="n">
        <x:v>2.8</x:v>
      </x:c>
      <x:c r="M1201" s="2" t="str">
        <x:v>없음</x:v>
      </x:c>
      <x:c r="N1201" s="11" t="n">
        <x:v>-7</x:v>
      </x:c>
      <x:c r="O1201" s="8" t="str">
        <x:v>일반 사용 빈도 낮은 편(Zipf ≤ 3.0); 검증된 예문 없음</x:v>
      </x:c>
      <x:c r="P1201" s="8" t="str">
        <x:v>frequency_le_3_0,no_example</x:v>
      </x:c>
      <x:c r="Q1201" s="2" t="str"/>
      <x:c r="R1201" s="2" t="str"/>
      <x:c r="S1201" s="2" t="str"/>
      <x:c r="T1201" s="2" t="str"/>
      <x:c r="U1201" s="2" t="str"/>
      <x:c r="V1201" s="2" t="str">
        <x:v>아니오</x:v>
      </x:c>
      <x:c r="W1201" s="2" t="str">
        <x:v>예</x:v>
      </x:c>
      <x:c r="X1201" s="2" t="str">
        <x:v>ichi1</x:v>
      </x:c>
      <x:c r="Y1201" s="2" t="n">
        <x:v>100</x:v>
      </x:c>
      <x:c r="Z1201" s="2" t="str">
        <x:v>ichi1</x:v>
      </x:c>
      <x:c r="AA1201" s="2" t="n">
        <x:v>100</x:v>
      </x:c>
      <x:c r="AB1201" s="8" t="str"/>
      <x:c r="AC1201" s="8" t="str"/>
      <x:c r="AD1201" s="8" t="str">
        <x:v>["ko-reviewed"]</x:v>
      </x:c>
      <x:c r="AE1201" s="8" t="str">
        <x:v>검토 필요</x:v>
      </x:c>
      <x:c r="AF1201" s="8" t="str"/>
    </x:row>
    <x:row r="1202">
      <x:c r="A1202" s="10" t="n">
        <x:v>1201</x:v>
      </x:c>
      <x:c r="B1202" s="2" t="str">
        <x:v>2차 보류</x:v>
      </x:c>
      <x:c r="C1202" s="2" t="str">
        <x:v>2차 보류</x:v>
      </x:c>
      <x:c r="D1202" s="2" t="str">
        <x:v>낮음</x:v>
      </x:c>
      <x:c r="E1202" s="2" t="str">
        <x:v>N1</x:v>
      </x:c>
      <x:c r="F1202" s="10" t="n">
        <x:v>522</x:v>
      </x:c>
      <x:c r="G1202" s="2" t="str">
        <x:v>w_4ab8fddb51501156</x:v>
      </x:c>
      <x:c r="H1202" s="2" t="str">
        <x:v>鉄棒</x:v>
      </x:c>
      <x:c r="I1202" s="2" t="str">
        <x:v>てつぼう</x:v>
      </x:c>
      <x:c r="J1202" s="8" t="str">
        <x:v>철봉, 쇠막대</x:v>
      </x:c>
      <x:c r="K1202" s="2" t="str">
        <x:v>noun</x:v>
      </x:c>
      <x:c r="L1202" s="9" t="n">
        <x:v>2.8</x:v>
      </x:c>
      <x:c r="M1202" s="2" t="str">
        <x:v>없음</x:v>
      </x:c>
      <x:c r="N1202" s="11" t="n">
        <x:v>-7</x:v>
      </x:c>
      <x:c r="O1202" s="8" t="str">
        <x:v>일반 사용 빈도 낮은 편(Zipf ≤ 3.0); 검증된 예문 없음</x:v>
      </x:c>
      <x:c r="P1202" s="8" t="str">
        <x:v>frequency_le_3_0,no_example</x:v>
      </x:c>
      <x:c r="Q1202" s="2" t="str"/>
      <x:c r="R1202" s="2" t="str"/>
      <x:c r="S1202" s="2" t="str"/>
      <x:c r="T1202" s="2" t="str"/>
      <x:c r="U1202" s="2" t="str"/>
      <x:c r="V1202" s="2" t="str">
        <x:v>아니오</x:v>
      </x:c>
      <x:c r="W1202" s="2" t="str">
        <x:v>예</x:v>
      </x:c>
      <x:c r="X1202" s="2" t="str">
        <x:v>ichi1,news1,nf21</x:v>
      </x:c>
      <x:c r="Y1202" s="2" t="n">
        <x:v>100</x:v>
      </x:c>
      <x:c r="Z1202" s="2" t="str">
        <x:v>ichi1,news1,nf21</x:v>
      </x:c>
      <x:c r="AA1202" s="2" t="n">
        <x:v>100</x:v>
      </x:c>
      <x:c r="AB1202" s="8" t="str"/>
      <x:c r="AC1202" s="8" t="str"/>
      <x:c r="AD1202" s="8" t="str">
        <x:v>["ko-reviewed"]</x:v>
      </x:c>
      <x:c r="AE1202" s="8" t="str">
        <x:v>검토 필요</x:v>
      </x:c>
      <x:c r="AF1202" s="8" t="str"/>
    </x:row>
    <x:row r="1203">
      <x:c r="A1203" s="10" t="n">
        <x:v>1202</x:v>
      </x:c>
      <x:c r="B1203" s="2" t="str">
        <x:v>2차 보류</x:v>
      </x:c>
      <x:c r="C1203" s="2" t="str">
        <x:v>2차 보류</x:v>
      </x:c>
      <x:c r="D1203" s="2" t="str">
        <x:v>낮음</x:v>
      </x:c>
      <x:c r="E1203" s="2" t="str">
        <x:v>N2</x:v>
      </x:c>
      <x:c r="F1203" s="10" t="n">
        <x:v>441</x:v>
      </x:c>
      <x:c r="G1203" s="2" t="str">
        <x:v>w_a718136730aa2c54</x:v>
      </x:c>
      <x:c r="H1203" s="2" t="str">
        <x:v>煉瓦</x:v>
      </x:c>
      <x:c r="I1203" s="2" t="str">
        <x:v>れんが</x:v>
      </x:c>
      <x:c r="J1203" s="8" t="str">
        <x:v>벽돌</x:v>
      </x:c>
      <x:c r="K1203" s="2" t="str">
        <x:v>noun</x:v>
      </x:c>
      <x:c r="L1203" s="9" t="n">
        <x:v>2.81</x:v>
      </x:c>
      <x:c r="M1203" s="2" t="str">
        <x:v>없음</x:v>
      </x:c>
      <x:c r="N1203" s="11" t="n">
        <x:v>-7</x:v>
      </x:c>
      <x:c r="O1203" s="8" t="str">
        <x:v>일반 사용 빈도 낮은 편(Zipf ≤ 3.0); 검증된 예문 없음</x:v>
      </x:c>
      <x:c r="P1203" s="8" t="str">
        <x:v>frequency_le_3_0,no_example</x:v>
      </x:c>
      <x:c r="Q1203" s="2" t="str"/>
      <x:c r="R1203" s="2" t="str"/>
      <x:c r="S1203" s="2" t="str"/>
      <x:c r="T1203" s="2" t="str"/>
      <x:c r="U1203" s="2" t="str"/>
      <x:c r="V1203" s="2" t="str">
        <x:v>아니오</x:v>
      </x:c>
      <x:c r="W1203" s="2" t="str">
        <x:v>예</x:v>
      </x:c>
      <x:c r="X1203" s="2" t="str">
        <x:v>ichi1</x:v>
      </x:c>
      <x:c r="Y1203" s="2" t="n">
        <x:v>100</x:v>
      </x:c>
      <x:c r="Z1203" s="2" t="str">
        <x:v>ichi1</x:v>
      </x:c>
      <x:c r="AA1203" s="2" t="n">
        <x:v>100</x:v>
      </x:c>
      <x:c r="AB1203" s="8" t="str">
        <x:v>word usually written using kana alone</x:v>
      </x:c>
      <x:c r="AC1203" s="8" t="str"/>
      <x:c r="AD1203" s="8" t="str">
        <x:v>["backfill-replacement","assistant-ko-reviewed"]</x:v>
      </x:c>
      <x:c r="AE1203" s="8" t="str">
        <x:v>검토 필요</x:v>
      </x:c>
      <x:c r="AF1203" s="8" t="str"/>
    </x:row>
    <x:row r="1204">
      <x:c r="A1204" s="10" t="n">
        <x:v>1203</x:v>
      </x:c>
      <x:c r="B1204" s="2" t="str">
        <x:v>2차 보류</x:v>
      </x:c>
      <x:c r="C1204" s="2" t="str">
        <x:v>2차 보류</x:v>
      </x:c>
      <x:c r="D1204" s="2" t="str">
        <x:v>낮음</x:v>
      </x:c>
      <x:c r="E1204" s="2" t="str">
        <x:v>N1</x:v>
      </x:c>
      <x:c r="F1204" s="10" t="n">
        <x:v>523</x:v>
      </x:c>
      <x:c r="G1204" s="2" t="str">
        <x:v>w_5101399164b8609d</x:v>
      </x:c>
      <x:c r="H1204" s="2" t="str">
        <x:v>休学</x:v>
      </x:c>
      <x:c r="I1204" s="2" t="str">
        <x:v>きゅうがく</x:v>
      </x:c>
      <x:c r="J1204" s="8" t="str">
        <x:v>휴학</x:v>
      </x:c>
      <x:c r="K1204" s="2" t="str">
        <x:v>noun</x:v>
      </x:c>
      <x:c r="L1204" s="9" t="n">
        <x:v>2.81</x:v>
      </x:c>
      <x:c r="M1204" s="2" t="str">
        <x:v>없음</x:v>
      </x:c>
      <x:c r="N1204" s="11" t="n">
        <x:v>-7</x:v>
      </x:c>
      <x:c r="O1204" s="8" t="str">
        <x:v>일반 사용 빈도 낮은 편(Zipf ≤ 3.0); 검증된 예문 없음</x:v>
      </x:c>
      <x:c r="P1204" s="8" t="str">
        <x:v>frequency_le_3_0,no_example</x:v>
      </x:c>
      <x:c r="Q1204" s="2" t="str"/>
      <x:c r="R1204" s="2" t="str"/>
      <x:c r="S1204" s="2" t="str"/>
      <x:c r="T1204" s="2" t="str"/>
      <x:c r="U1204" s="2" t="str"/>
      <x:c r="V1204" s="2" t="str">
        <x:v>아니오</x:v>
      </x:c>
      <x:c r="W1204" s="2" t="str">
        <x:v>예</x:v>
      </x:c>
      <x:c r="X1204" s="2" t="str">
        <x:v>ichi1,news2,nf36</x:v>
      </x:c>
      <x:c r="Y1204" s="2" t="n">
        <x:v>100</x:v>
      </x:c>
      <x:c r="Z1204" s="2" t="str">
        <x:v>ichi1,news2,nf36</x:v>
      </x:c>
      <x:c r="AA1204" s="2" t="n">
        <x:v>100</x:v>
      </x:c>
      <x:c r="AB1204" s="8" t="str"/>
      <x:c r="AC1204" s="8" t="str"/>
      <x:c r="AD1204" s="8" t="str">
        <x:v>["ko-reviewed"]</x:v>
      </x:c>
      <x:c r="AE1204" s="8" t="str">
        <x:v>검토 필요</x:v>
      </x:c>
      <x:c r="AF1204" s="8" t="str"/>
    </x:row>
    <x:row r="1205">
      <x:c r="A1205" s="10" t="n">
        <x:v>1204</x:v>
      </x:c>
      <x:c r="B1205" s="2" t="str">
        <x:v>2차 보류</x:v>
      </x:c>
      <x:c r="C1205" s="2" t="str">
        <x:v>2차 보류</x:v>
      </x:c>
      <x:c r="D1205" s="2" t="str">
        <x:v>낮음</x:v>
      </x:c>
      <x:c r="E1205" s="2" t="str">
        <x:v>N3</x:v>
      </x:c>
      <x:c r="F1205" s="10" t="n">
        <x:v>145</x:v>
      </x:c>
      <x:c r="G1205" s="2" t="str">
        <x:v>w_1c2ded63174fe839</x:v>
      </x:c>
      <x:c r="H1205" s="2" t="str">
        <x:v>小包</x:v>
      </x:c>
      <x:c r="I1205" s="2" t="str">
        <x:v>こづつみ</x:v>
      </x:c>
      <x:c r="J1205" s="8" t="str">
        <x:v>소포, 꾸러미</x:v>
      </x:c>
      <x:c r="K1205" s="2" t="str">
        <x:v>noun</x:v>
      </x:c>
      <x:c r="L1205" s="9" t="n">
        <x:v>2.82</x:v>
      </x:c>
      <x:c r="M1205" s="2" t="str">
        <x:v>없음</x:v>
      </x:c>
      <x:c r="N1205" s="11" t="n">
        <x:v>-7</x:v>
      </x:c>
      <x:c r="O1205" s="8" t="str">
        <x:v>일반 사용 빈도 낮은 편(Zipf ≤ 3.0); 검증된 예문 없음</x:v>
      </x:c>
      <x:c r="P1205" s="8" t="str">
        <x:v>frequency_le_3_0,no_example</x:v>
      </x:c>
      <x:c r="Q1205" s="2" t="str"/>
      <x:c r="R1205" s="2" t="str"/>
      <x:c r="S1205" s="2" t="str"/>
      <x:c r="T1205" s="2" t="str"/>
      <x:c r="U1205" s="2" t="str"/>
      <x:c r="V1205" s="2" t="str">
        <x:v>아니오</x:v>
      </x:c>
      <x:c r="W1205" s="2" t="str">
        <x:v>예</x:v>
      </x:c>
      <x:c r="X1205" s="2" t="str">
        <x:v>ichi1,news1,nf22</x:v>
      </x:c>
      <x:c r="Y1205" s="2" t="n">
        <x:v>100</x:v>
      </x:c>
      <x:c r="Z1205" s="2" t="str">
        <x:v>ichi1,news1,nf22</x:v>
      </x:c>
      <x:c r="AA1205" s="2" t="n">
        <x:v>100</x:v>
      </x:c>
      <x:c r="AB1205" s="8" t="str"/>
      <x:c r="AC1205" s="8" t="str"/>
      <x:c r="AD1205" s="8" t="str">
        <x:v>["ko-reviewed"]</x:v>
      </x:c>
      <x:c r="AE1205" s="8" t="str">
        <x:v>검토 필요</x:v>
      </x:c>
      <x:c r="AF1205" s="8" t="str"/>
    </x:row>
    <x:row r="1206">
      <x:c r="A1206" s="10" t="n">
        <x:v>1205</x:v>
      </x:c>
      <x:c r="B1206" s="2" t="str">
        <x:v>2차 보류</x:v>
      </x:c>
      <x:c r="C1206" s="2" t="str">
        <x:v>2차 보류</x:v>
      </x:c>
      <x:c r="D1206" s="2" t="str">
        <x:v>낮음</x:v>
      </x:c>
      <x:c r="E1206" s="2" t="str">
        <x:v>N2</x:v>
      </x:c>
      <x:c r="F1206" s="10" t="n">
        <x:v>442</x:v>
      </x:c>
      <x:c r="G1206" s="2" t="str">
        <x:v>w_5d19115e7eb40ded</x:v>
      </x:c>
      <x:c r="H1206" s="2" t="str">
        <x:v>引っ掛かる</x:v>
      </x:c>
      <x:c r="I1206" s="2" t="str">
        <x:v>ひっかかる</x:v>
      </x:c>
      <x:c r="J1206" s="8" t="str">
        <x:v>걸리다, 속다</x:v>
      </x:c>
      <x:c r="K1206" s="2" t="str">
        <x:v>verb</x:v>
      </x:c>
      <x:c r="L1206" s="9" t="n">
        <x:v>2.82</x:v>
      </x:c>
      <x:c r="M1206" s="2" t="str">
        <x:v>없음</x:v>
      </x:c>
      <x:c r="N1206" s="11" t="n">
        <x:v>-7</x:v>
      </x:c>
      <x:c r="O1206" s="8" t="str">
        <x:v>일반 사용 빈도 낮은 편(Zipf ≤ 3.0); 검증된 예문 없음</x:v>
      </x:c>
      <x:c r="P1206" s="8" t="str">
        <x:v>frequency_le_3_0,no_example</x:v>
      </x:c>
      <x:c r="Q1206" s="2" t="str"/>
      <x:c r="R1206" s="2" t="str"/>
      <x:c r="S1206" s="2" t="str"/>
      <x:c r="T1206" s="2" t="str"/>
      <x:c r="U1206" s="2" t="str"/>
      <x:c r="V1206" s="2" t="str">
        <x:v>아니오</x:v>
      </x:c>
      <x:c r="W1206" s="2" t="str">
        <x:v>예</x:v>
      </x:c>
      <x:c r="X1206" s="2" t="str">
        <x:v>ichi1,news2,nf34,spec1</x:v>
      </x:c>
      <x:c r="Y1206" s="2" t="n">
        <x:v>100</x:v>
      </x:c>
      <x:c r="Z1206" s="2" t="str">
        <x:v>ichi1,news2,nf34</x:v>
      </x:c>
      <x:c r="AA1206" s="2" t="n">
        <x:v>100</x:v>
      </x:c>
      <x:c r="AB1206" s="8" t="str"/>
      <x:c r="AC1206" s="8" t="str"/>
      <x:c r="AD1206" s="8" t="str">
        <x:v>["ko-reviewed"]</x:v>
      </x:c>
      <x:c r="AE1206" s="8" t="str">
        <x:v>검토 필요</x:v>
      </x:c>
      <x:c r="AF1206" s="8" t="str"/>
    </x:row>
    <x:row r="1207">
      <x:c r="A1207" s="10" t="n">
        <x:v>1206</x:v>
      </x:c>
      <x:c r="B1207" s="2" t="str">
        <x:v>2차 보류</x:v>
      </x:c>
      <x:c r="C1207" s="2" t="str">
        <x:v>2차 보류</x:v>
      </x:c>
      <x:c r="D1207" s="2" t="str">
        <x:v>낮음</x:v>
      </x:c>
      <x:c r="E1207" s="2" t="str">
        <x:v>N1</x:v>
      </x:c>
      <x:c r="F1207" s="10" t="n">
        <x:v>524</x:v>
      </x:c>
      <x:c r="G1207" s="2" t="str">
        <x:v>w_2d2834f101feaba2</x:v>
      </x:c>
      <x:c r="H1207" s="2" t="str">
        <x:v>老衰</x:v>
      </x:c>
      <x:c r="I1207" s="2" t="str">
        <x:v>ろうすい</x:v>
      </x:c>
      <x:c r="J1207" s="8" t="str">
        <x:v>노쇠</x:v>
      </x:c>
      <x:c r="K1207" s="2" t="str">
        <x:v>noun</x:v>
      </x:c>
      <x:c r="L1207" s="9" t="n">
        <x:v>2.82</x:v>
      </x:c>
      <x:c r="M1207" s="2" t="str">
        <x:v>없음</x:v>
      </x:c>
      <x:c r="N1207" s="11" t="n">
        <x:v>-7</x:v>
      </x:c>
      <x:c r="O1207" s="8" t="str">
        <x:v>일반 사용 빈도 낮은 편(Zipf ≤ 3.0); 검증된 예문 없음</x:v>
      </x:c>
      <x:c r="P1207" s="8" t="str">
        <x:v>frequency_le_3_0,no_example</x:v>
      </x:c>
      <x:c r="Q1207" s="2" t="str"/>
      <x:c r="R1207" s="2" t="str"/>
      <x:c r="S1207" s="2" t="str"/>
      <x:c r="T1207" s="2" t="str"/>
      <x:c r="U1207" s="2" t="str"/>
      <x:c r="V1207" s="2" t="str">
        <x:v>아니오</x:v>
      </x:c>
      <x:c r="W1207" s="2" t="str">
        <x:v>예</x:v>
      </x:c>
      <x:c r="X1207" s="2" t="str">
        <x:v>news1,nf10</x:v>
      </x:c>
      <x:c r="Y1207" s="2" t="n">
        <x:v>100</x:v>
      </x:c>
      <x:c r="Z1207" s="2" t="str">
        <x:v>news1,nf10</x:v>
      </x:c>
      <x:c r="AA1207" s="2" t="n">
        <x:v>100</x:v>
      </x:c>
      <x:c r="AB1207" s="8" t="str"/>
      <x:c r="AC1207" s="8" t="str"/>
      <x:c r="AD1207" s="8" t="str">
        <x:v>["ko-reviewed"]</x:v>
      </x:c>
      <x:c r="AE1207" s="8" t="str">
        <x:v>검토 필요</x:v>
      </x:c>
      <x:c r="AF1207" s="8" t="str"/>
    </x:row>
    <x:row r="1208">
      <x:c r="A1208" s="10" t="n">
        <x:v>1207</x:v>
      </x:c>
      <x:c r="B1208" s="2" t="str">
        <x:v>2차 보류</x:v>
      </x:c>
      <x:c r="C1208" s="2" t="str">
        <x:v>2차 보류</x:v>
      </x:c>
      <x:c r="D1208" s="2" t="str">
        <x:v>낮음</x:v>
      </x:c>
      <x:c r="E1208" s="2" t="str">
        <x:v>N1</x:v>
      </x:c>
      <x:c r="F1208" s="10" t="n">
        <x:v>525</x:v>
      </x:c>
      <x:c r="G1208" s="2" t="str">
        <x:v>w_be035463f7a68af0</x:v>
      </x:c>
      <x:c r="H1208" s="2" t="str">
        <x:v>つかの間</x:v>
      </x:c>
      <x:c r="I1208" s="2" t="str">
        <x:v>つかのま</x:v>
      </x:c>
      <x:c r="J1208" s="8" t="str">
        <x:v>잠깐, 순간</x:v>
      </x:c>
      <x:c r="K1208" s="2" t="str">
        <x:v>noun</x:v>
      </x:c>
      <x:c r="L1208" s="9" t="n">
        <x:v>2.82</x:v>
      </x:c>
      <x:c r="M1208" s="2" t="str">
        <x:v>없음</x:v>
      </x:c>
      <x:c r="N1208" s="11" t="n">
        <x:v>-7</x:v>
      </x:c>
      <x:c r="O1208" s="8" t="str">
        <x:v>일반 사용 빈도 낮은 편(Zipf ≤ 3.0); 검증된 예문 없음</x:v>
      </x:c>
      <x:c r="P1208" s="8" t="str">
        <x:v>frequency_le_3_0,no_example</x:v>
      </x:c>
      <x:c r="Q1208" s="2" t="str"/>
      <x:c r="R1208" s="2" t="str"/>
      <x:c r="S1208" s="2" t="str"/>
      <x:c r="T1208" s="2" t="str"/>
      <x:c r="U1208" s="2" t="str"/>
      <x:c r="V1208" s="2" t="str">
        <x:v>아니오</x:v>
      </x:c>
      <x:c r="W1208" s="2" t="str">
        <x:v>예</x:v>
      </x:c>
      <x:c r="X1208" s="2" t="str">
        <x:v>ichi1,spec1</x:v>
      </x:c>
      <x:c r="Y1208" s="2" t="n">
        <x:v>100</x:v>
      </x:c>
      <x:c r="Z1208" s="2" t="str">
        <x:v>spec1</x:v>
      </x:c>
      <x:c r="AA1208" s="2" t="n">
        <x:v>100</x:v>
      </x:c>
      <x:c r="AB1208" s="8" t="str"/>
      <x:c r="AC1208" s="8" t="str"/>
      <x:c r="AD1208" s="8" t="str">
        <x:v>["ko-reviewed"]</x:v>
      </x:c>
      <x:c r="AE1208" s="8" t="str">
        <x:v>검토 필요</x:v>
      </x:c>
      <x:c r="AF1208" s="8" t="str"/>
    </x:row>
    <x:row r="1209">
      <x:c r="A1209" s="10" t="n">
        <x:v>1208</x:v>
      </x:c>
      <x:c r="B1209" s="2" t="str">
        <x:v>2차 보류</x:v>
      </x:c>
      <x:c r="C1209" s="2" t="str">
        <x:v>2차 보류</x:v>
      </x:c>
      <x:c r="D1209" s="2" t="str">
        <x:v>낮음</x:v>
      </x:c>
      <x:c r="E1209" s="2" t="str">
        <x:v>N1</x:v>
      </x:c>
      <x:c r="F1209" s="10" t="n">
        <x:v>526</x:v>
      </x:c>
      <x:c r="G1209" s="2" t="str">
        <x:v>w_cf6e5403a48aae9c</x:v>
      </x:c>
      <x:c r="H1209" s="2" t="str">
        <x:v>中腹</x:v>
      </x:c>
      <x:c r="I1209" s="2" t="str">
        <x:v>ちゅうふく</x:v>
      </x:c>
      <x:c r="J1209" s="8" t="str">
        <x:v>산중턱</x:v>
      </x:c>
      <x:c r="K1209" s="2" t="str">
        <x:v>noun</x:v>
      </x:c>
      <x:c r="L1209" s="9" t="n">
        <x:v>2.82</x:v>
      </x:c>
      <x:c r="M1209" s="2" t="str">
        <x:v>없음</x:v>
      </x:c>
      <x:c r="N1209" s="11" t="n">
        <x:v>-7</x:v>
      </x:c>
      <x:c r="O1209" s="8" t="str">
        <x:v>일반 사용 빈도 낮은 편(Zipf ≤ 3.0); 검증된 예문 없음</x:v>
      </x:c>
      <x:c r="P1209" s="8" t="str">
        <x:v>frequency_le_3_0,no_example</x:v>
      </x:c>
      <x:c r="Q1209" s="2" t="str"/>
      <x:c r="R1209" s="2" t="str"/>
      <x:c r="S1209" s="2" t="str"/>
      <x:c r="T1209" s="2" t="str"/>
      <x:c r="U1209" s="2" t="str"/>
      <x:c r="V1209" s="2" t="str">
        <x:v>아니오</x:v>
      </x:c>
      <x:c r="W1209" s="2" t="str">
        <x:v>예</x:v>
      </x:c>
      <x:c r="X1209" s="2" t="str">
        <x:v>news1,nf22</x:v>
      </x:c>
      <x:c r="Y1209" s="2" t="n">
        <x:v>100</x:v>
      </x:c>
      <x:c r="Z1209" s="2" t="str">
        <x:v>news1,nf22</x:v>
      </x:c>
      <x:c r="AA1209" s="2" t="n">
        <x:v>100</x:v>
      </x:c>
      <x:c r="AB1209" s="8" t="str"/>
      <x:c r="AC1209" s="8" t="str"/>
      <x:c r="AD1209" s="8" t="str">
        <x:v>["ko-reviewed"]</x:v>
      </x:c>
      <x:c r="AE1209" s="8" t="str">
        <x:v>검토 필요</x:v>
      </x:c>
      <x:c r="AF1209" s="8" t="str"/>
    </x:row>
    <x:row r="1210">
      <x:c r="A1210" s="10" t="n">
        <x:v>1209</x:v>
      </x:c>
      <x:c r="B1210" s="2" t="str">
        <x:v>2차 보류</x:v>
      </x:c>
      <x:c r="C1210" s="2" t="str">
        <x:v>2차 보류</x:v>
      </x:c>
      <x:c r="D1210" s="2" t="str">
        <x:v>낮음</x:v>
      </x:c>
      <x:c r="E1210" s="2" t="str">
        <x:v>N1</x:v>
      </x:c>
      <x:c r="F1210" s="10" t="n">
        <x:v>527</x:v>
      </x:c>
      <x:c r="G1210" s="2" t="str">
        <x:v>w_fe232373db8fd318</x:v>
      </x:c>
      <x:c r="H1210" s="2" t="str">
        <x:v>欺く</x:v>
      </x:c>
      <x:c r="I1210" s="2" t="str">
        <x:v>あざむく</x:v>
      </x:c>
      <x:c r="J1210" s="8" t="str">
        <x:v>속이다</x:v>
      </x:c>
      <x:c r="K1210" s="2" t="str">
        <x:v>verb</x:v>
      </x:c>
      <x:c r="L1210" s="9" t="n">
        <x:v>2.82</x:v>
      </x:c>
      <x:c r="M1210" s="2" t="str">
        <x:v>없음</x:v>
      </x:c>
      <x:c r="N1210" s="11" t="n">
        <x:v>-7</x:v>
      </x:c>
      <x:c r="O1210" s="8" t="str">
        <x:v>일반 사용 빈도 낮은 편(Zipf ≤ 3.0); 검증된 예문 없음</x:v>
      </x:c>
      <x:c r="P1210" s="8" t="str">
        <x:v>frequency_le_3_0,no_example</x:v>
      </x:c>
      <x:c r="Q1210" s="2" t="str"/>
      <x:c r="R1210" s="2" t="str"/>
      <x:c r="S1210" s="2" t="str"/>
      <x:c r="T1210" s="2" t="str"/>
      <x:c r="U1210" s="2" t="str"/>
      <x:c r="V1210" s="2" t="str">
        <x:v>아니오</x:v>
      </x:c>
      <x:c r="W1210" s="2" t="str">
        <x:v>예</x:v>
      </x:c>
      <x:c r="X1210" s="2" t="str">
        <x:v>ichi1</x:v>
      </x:c>
      <x:c r="Y1210" s="2" t="n">
        <x:v>100</x:v>
      </x:c>
      <x:c r="Z1210" s="2" t="str">
        <x:v>ichi1</x:v>
      </x:c>
      <x:c r="AA1210" s="2" t="n">
        <x:v>100</x:v>
      </x:c>
      <x:c r="AB1210" s="8" t="str">
        <x:v>in form Ａを欺くＢ</x:v>
      </x:c>
      <x:c r="AC1210" s="8" t="str"/>
      <x:c r="AD1210" s="8" t="str">
        <x:v>["ko-reviewed"]</x:v>
      </x:c>
      <x:c r="AE1210" s="8" t="str">
        <x:v>검토 필요</x:v>
      </x:c>
      <x:c r="AF1210" s="8" t="str"/>
    </x:row>
    <x:row r="1211">
      <x:c r="A1211" s="10" t="n">
        <x:v>1210</x:v>
      </x:c>
      <x:c r="B1211" s="2" t="str">
        <x:v>2차 보류</x:v>
      </x:c>
      <x:c r="C1211" s="2" t="str">
        <x:v>2차 보류</x:v>
      </x:c>
      <x:c r="D1211" s="2" t="str">
        <x:v>낮음</x:v>
      </x:c>
      <x:c r="E1211" s="2" t="str">
        <x:v>N2</x:v>
      </x:c>
      <x:c r="F1211" s="10" t="n">
        <x:v>443</x:v>
      </x:c>
      <x:c r="G1211" s="2" t="str">
        <x:v>w_5a4260a855090d55</x:v>
      </x:c>
      <x:c r="H1211" s="2" t="str">
        <x:v>係わる</x:v>
      </x:c>
      <x:c r="I1211" s="2" t="str">
        <x:v>かかわる</x:v>
      </x:c>
      <x:c r="J1211" s="8" t="str">
        <x:v>관련되다, 관여하다</x:v>
      </x:c>
      <x:c r="K1211" s="2" t="str">
        <x:v>verb</x:v>
      </x:c>
      <x:c r="L1211" s="9" t="n">
        <x:v>2.83</x:v>
      </x:c>
      <x:c r="M1211" s="2" t="str">
        <x:v>없음</x:v>
      </x:c>
      <x:c r="N1211" s="11" t="n">
        <x:v>-7</x:v>
      </x:c>
      <x:c r="O1211" s="8" t="str">
        <x:v>일반 사용 빈도 낮은 편(Zipf ≤ 3.0); 검증된 예문 없음</x:v>
      </x:c>
      <x:c r="P1211" s="8" t="str">
        <x:v>frequency_le_3_0,no_example</x:v>
      </x:c>
      <x:c r="Q1211" s="2" t="str"/>
      <x:c r="R1211" s="2" t="str"/>
      <x:c r="S1211" s="2" t="str"/>
      <x:c r="T1211" s="2" t="str"/>
      <x:c r="U1211" s="2" t="str"/>
      <x:c r="V1211" s="2" t="str">
        <x:v>아니오</x:v>
      </x:c>
      <x:c r="W1211" s="2" t="str">
        <x:v>예</x:v>
      </x:c>
      <x:c r="X1211" s="2" t="str">
        <x:v>ichi1</x:v>
      </x:c>
      <x:c r="Y1211" s="2" t="n">
        <x:v>100</x:v>
      </x:c>
      <x:c r="Z1211" s="2" t="str">
        <x:v>ichi1</x:v>
      </x:c>
      <x:c r="AA1211" s="2" t="n">
        <x:v>100</x:v>
      </x:c>
      <x:c r="AB1211" s="8" t="str"/>
      <x:c r="AC1211" s="8" t="str"/>
      <x:c r="AD1211" s="8" t="str">
        <x:v>["ko-reviewed"]</x:v>
      </x:c>
      <x:c r="AE1211" s="8" t="str">
        <x:v>검토 필요</x:v>
      </x:c>
      <x:c r="AF1211" s="8" t="str"/>
    </x:row>
    <x:row r="1212">
      <x:c r="A1212" s="10" t="n">
        <x:v>1211</x:v>
      </x:c>
      <x:c r="B1212" s="2" t="str">
        <x:v>2차 보류</x:v>
      </x:c>
      <x:c r="C1212" s="2" t="str">
        <x:v>2차 보류</x:v>
      </x:c>
      <x:c r="D1212" s="2" t="str">
        <x:v>낮음</x:v>
      </x:c>
      <x:c r="E1212" s="2" t="str">
        <x:v>N2</x:v>
      </x:c>
      <x:c r="F1212" s="10" t="n">
        <x:v>444</x:v>
      </x:c>
      <x:c r="G1212" s="2" t="str">
        <x:v>w_b360341e73b3e3dd</x:v>
      </x:c>
      <x:c r="H1212" s="2" t="str">
        <x:v>命ずる</x:v>
      </x:c>
      <x:c r="I1212" s="2" t="str">
        <x:v>めいずる</x:v>
      </x:c>
      <x:c r="J1212" s="8" t="str">
        <x:v>명령하다, 임명하다</x:v>
      </x:c>
      <x:c r="K1212" s="2" t="str">
        <x:v>verb</x:v>
      </x:c>
      <x:c r="L1212" s="9" t="n">
        <x:v>2.83</x:v>
      </x:c>
      <x:c r="M1212" s="2" t="str">
        <x:v>없음</x:v>
      </x:c>
      <x:c r="N1212" s="11" t="n">
        <x:v>-7</x:v>
      </x:c>
      <x:c r="O1212" s="8" t="str">
        <x:v>일반 사용 빈도 낮은 편(Zipf ≤ 3.0); 검증된 예문 없음</x:v>
      </x:c>
      <x:c r="P1212" s="8" t="str">
        <x:v>frequency_le_3_0,no_example</x:v>
      </x:c>
      <x:c r="Q1212" s="2" t="str"/>
      <x:c r="R1212" s="2" t="str"/>
      <x:c r="S1212" s="2" t="str"/>
      <x:c r="T1212" s="2" t="str"/>
      <x:c r="U1212" s="2" t="str"/>
      <x:c r="V1212" s="2" t="str">
        <x:v>아니오</x:v>
      </x:c>
      <x:c r="W1212" s="2" t="str">
        <x:v>예</x:v>
      </x:c>
      <x:c r="X1212" s="2" t="str">
        <x:v>ichi1,news2,nf34</x:v>
      </x:c>
      <x:c r="Y1212" s="2" t="n">
        <x:v>100</x:v>
      </x:c>
      <x:c r="Z1212" s="2" t="str">
        <x:v>ichi1,news2,nf34</x:v>
      </x:c>
      <x:c r="AA1212" s="2" t="n">
        <x:v>100</x:v>
      </x:c>
      <x:c r="AB1212" s="8" t="str"/>
      <x:c r="AC1212" s="8" t="str"/>
      <x:c r="AD1212" s="8" t="str">
        <x:v>["backfill-replacement","assistant-ko-reviewed"]</x:v>
      </x:c>
      <x:c r="AE1212" s="8" t="str">
        <x:v>검토 필요</x:v>
      </x:c>
      <x:c r="AF1212" s="8" t="str"/>
    </x:row>
    <x:row r="1213">
      <x:c r="A1213" s="10" t="n">
        <x:v>1212</x:v>
      </x:c>
      <x:c r="B1213" s="2" t="str">
        <x:v>2차 보류</x:v>
      </x:c>
      <x:c r="C1213" s="2" t="str">
        <x:v>2차 보류</x:v>
      </x:c>
      <x:c r="D1213" s="2" t="str">
        <x:v>낮음</x:v>
      </x:c>
      <x:c r="E1213" s="2" t="str">
        <x:v>N2</x:v>
      </x:c>
      <x:c r="F1213" s="10" t="n">
        <x:v>445</x:v>
      </x:c>
      <x:c r="G1213" s="2" t="str">
        <x:v>w_0d7b1afa50b25dea</x:v>
      </x:c>
      <x:c r="H1213" s="2" t="str">
        <x:v>戸棚</x:v>
      </x:c>
      <x:c r="I1213" s="2" t="str">
        <x:v>とだな</x:v>
      </x:c>
      <x:c r="J1213" s="8" t="str">
        <x:v>찬장, 수납장</x:v>
      </x:c>
      <x:c r="K1213" s="2" t="str">
        <x:v>noun</x:v>
      </x:c>
      <x:c r="L1213" s="9" t="n">
        <x:v>2.84</x:v>
      </x:c>
      <x:c r="M1213" s="2" t="str">
        <x:v>없음</x:v>
      </x:c>
      <x:c r="N1213" s="11" t="n">
        <x:v>-7</x:v>
      </x:c>
      <x:c r="O1213" s="8" t="str">
        <x:v>일반 사용 빈도 낮은 편(Zipf ≤ 3.0); 검증된 예문 없음</x:v>
      </x:c>
      <x:c r="P1213" s="8" t="str">
        <x:v>frequency_le_3_0,no_example</x:v>
      </x:c>
      <x:c r="Q1213" s="2" t="str"/>
      <x:c r="R1213" s="2" t="str"/>
      <x:c r="S1213" s="2" t="str"/>
      <x:c r="T1213" s="2" t="str"/>
      <x:c r="U1213" s="2" t="str"/>
      <x:c r="V1213" s="2" t="str">
        <x:v>아니오</x:v>
      </x:c>
      <x:c r="W1213" s="2" t="str">
        <x:v>예</x:v>
      </x:c>
      <x:c r="X1213" s="2" t="str">
        <x:v>ichi1,news2,nf39</x:v>
      </x:c>
      <x:c r="Y1213" s="2" t="n">
        <x:v>100</x:v>
      </x:c>
      <x:c r="Z1213" s="2" t="str">
        <x:v>ichi1,news2,nf39</x:v>
      </x:c>
      <x:c r="AA1213" s="2" t="n">
        <x:v>100</x:v>
      </x:c>
      <x:c r="AB1213" s="8" t="str"/>
      <x:c r="AC1213" s="8" t="str"/>
      <x:c r="AD1213" s="8" t="str">
        <x:v>["ko-reviewed"]</x:v>
      </x:c>
      <x:c r="AE1213" s="8" t="str">
        <x:v>검토 필요</x:v>
      </x:c>
      <x:c r="AF1213" s="8" t="str"/>
    </x:row>
    <x:row r="1214">
      <x:c r="A1214" s="10" t="n">
        <x:v>1213</x:v>
      </x:c>
      <x:c r="B1214" s="2" t="str">
        <x:v>2차 보류</x:v>
      </x:c>
      <x:c r="C1214" s="2" t="str">
        <x:v>2차 보류</x:v>
      </x:c>
      <x:c r="D1214" s="2" t="str">
        <x:v>낮음</x:v>
      </x:c>
      <x:c r="E1214" s="2" t="str">
        <x:v>N2</x:v>
      </x:c>
      <x:c r="F1214" s="10" t="n">
        <x:v>446</x:v>
      </x:c>
      <x:c r="G1214" s="2" t="str">
        <x:v>w_c7cafafe0b39659f</x:v>
      </x:c>
      <x:c r="H1214" s="2" t="str">
        <x:v>物語る</x:v>
      </x:c>
      <x:c r="I1214" s="2" t="str">
        <x:v>ものがたる</x:v>
      </x:c>
      <x:c r="J1214" s="8" t="str">
        <x:v>이야기하다, 나타내다</x:v>
      </x:c>
      <x:c r="K1214" s="2" t="str">
        <x:v>verb</x:v>
      </x:c>
      <x:c r="L1214" s="9" t="n">
        <x:v>2.84</x:v>
      </x:c>
      <x:c r="M1214" s="2" t="str">
        <x:v>없음</x:v>
      </x:c>
      <x:c r="N1214" s="11" t="n">
        <x:v>-7</x:v>
      </x:c>
      <x:c r="O1214" s="8" t="str">
        <x:v>일반 사용 빈도 낮은 편(Zipf ≤ 3.0); 검증된 예문 없음</x:v>
      </x:c>
      <x:c r="P1214" s="8" t="str">
        <x:v>frequency_le_3_0,no_example</x:v>
      </x:c>
      <x:c r="Q1214" s="2" t="str"/>
      <x:c r="R1214" s="2" t="str"/>
      <x:c r="S1214" s="2" t="str"/>
      <x:c r="T1214" s="2" t="str"/>
      <x:c r="U1214" s="2" t="str"/>
      <x:c r="V1214" s="2" t="str">
        <x:v>아니오</x:v>
      </x:c>
      <x:c r="W1214" s="2" t="str">
        <x:v>예</x:v>
      </x:c>
      <x:c r="X1214" s="2" t="str">
        <x:v>ichi1,news1,nf10</x:v>
      </x:c>
      <x:c r="Y1214" s="2" t="n">
        <x:v>100</x:v>
      </x:c>
      <x:c r="Z1214" s="2" t="str">
        <x:v>ichi1,news1,nf10</x:v>
      </x:c>
      <x:c r="AA1214" s="2" t="n">
        <x:v>100</x:v>
      </x:c>
      <x:c r="AB1214" s="8" t="str"/>
      <x:c r="AC1214" s="8" t="str"/>
      <x:c r="AD1214" s="8" t="str">
        <x:v>["backfill-replacement","assistant-ko-reviewed"]</x:v>
      </x:c>
      <x:c r="AE1214" s="8" t="str">
        <x:v>검토 필요</x:v>
      </x:c>
      <x:c r="AF1214" s="8" t="str"/>
    </x:row>
    <x:row r="1215">
      <x:c r="A1215" s="10" t="n">
        <x:v>1214</x:v>
      </x:c>
      <x:c r="B1215" s="2" t="str">
        <x:v>2차 보류</x:v>
      </x:c>
      <x:c r="C1215" s="2" t="str">
        <x:v>2차 보류</x:v>
      </x:c>
      <x:c r="D1215" s="2" t="str">
        <x:v>낮음</x:v>
      </x:c>
      <x:c r="E1215" s="2" t="str">
        <x:v>N2</x:v>
      </x:c>
      <x:c r="F1215" s="10" t="n">
        <x:v>447</x:v>
      </x:c>
      <x:c r="G1215" s="2" t="str">
        <x:v>w_dc1d334393cc1205</x:v>
      </x:c>
      <x:c r="H1215" s="2" t="str">
        <x:v>炊事</x:v>
      </x:c>
      <x:c r="I1215" s="2" t="str">
        <x:v>すいじ</x:v>
      </x:c>
      <x:c r="J1215" s="8" t="str">
        <x:v>취사, 밥 짓기</x:v>
      </x:c>
      <x:c r="K1215" s="2" t="str">
        <x:v>noun</x:v>
      </x:c>
      <x:c r="L1215" s="9" t="n">
        <x:v>2.85</x:v>
      </x:c>
      <x:c r="M1215" s="2" t="str">
        <x:v>없음</x:v>
      </x:c>
      <x:c r="N1215" s="11" t="n">
        <x:v>-7</x:v>
      </x:c>
      <x:c r="O1215" s="8" t="str">
        <x:v>일반 사용 빈도 낮은 편(Zipf ≤ 3.0); 검증된 예문 없음</x:v>
      </x:c>
      <x:c r="P1215" s="8" t="str">
        <x:v>frequency_le_3_0,no_example</x:v>
      </x:c>
      <x:c r="Q1215" s="2" t="str"/>
      <x:c r="R1215" s="2" t="str"/>
      <x:c r="S1215" s="2" t="str"/>
      <x:c r="T1215" s="2" t="str"/>
      <x:c r="U1215" s="2" t="str"/>
      <x:c r="V1215" s="2" t="str">
        <x:v>아니오</x:v>
      </x:c>
      <x:c r="W1215" s="2" t="str">
        <x:v>예</x:v>
      </x:c>
      <x:c r="X1215" s="2" t="str">
        <x:v>ichi1,news2,nf27</x:v>
      </x:c>
      <x:c r="Y1215" s="2" t="n">
        <x:v>100</x:v>
      </x:c>
      <x:c r="Z1215" s="2" t="str">
        <x:v>ichi1,news2,nf27</x:v>
      </x:c>
      <x:c r="AA1215" s="2" t="n">
        <x:v>100</x:v>
      </x:c>
      <x:c r="AB1215" s="8" t="str"/>
      <x:c r="AC1215" s="8" t="str"/>
      <x:c r="AD1215" s="8" t="str">
        <x:v>["ko-reviewed"]</x:v>
      </x:c>
      <x:c r="AE1215" s="8" t="str">
        <x:v>검토 필요</x:v>
      </x:c>
      <x:c r="AF1215" s="8" t="str"/>
    </x:row>
    <x:row r="1216">
      <x:c r="A1216" s="10" t="n">
        <x:v>1215</x:v>
      </x:c>
      <x:c r="B1216" s="2" t="str">
        <x:v>2차 보류</x:v>
      </x:c>
      <x:c r="C1216" s="2" t="str">
        <x:v>2차 보류</x:v>
      </x:c>
      <x:c r="D1216" s="2" t="str">
        <x:v>낮음</x:v>
      </x:c>
      <x:c r="E1216" s="2" t="str">
        <x:v>N1</x:v>
      </x:c>
      <x:c r="F1216" s="10" t="n">
        <x:v>528</x:v>
      </x:c>
      <x:c r="G1216" s="2" t="str">
        <x:v>w_d0f6e5a0439f46dd</x:v>
      </x:c>
      <x:c r="H1216" s="2" t="str">
        <x:v>束ねる</x:v>
      </x:c>
      <x:c r="I1216" s="2" t="str">
        <x:v>たばねる</x:v>
      </x:c>
      <x:c r="J1216" s="8" t="str">
        <x:v>묶다, 다스리다</x:v>
      </x:c>
      <x:c r="K1216" s="2" t="str">
        <x:v>verb</x:v>
      </x:c>
      <x:c r="L1216" s="9" t="n">
        <x:v>2.85</x:v>
      </x:c>
      <x:c r="M1216" s="2" t="str">
        <x:v>없음</x:v>
      </x:c>
      <x:c r="N1216" s="11" t="n">
        <x:v>-7</x:v>
      </x:c>
      <x:c r="O1216" s="8" t="str">
        <x:v>일반 사용 빈도 낮은 편(Zipf ≤ 3.0); 검증된 예문 없음</x:v>
      </x:c>
      <x:c r="P1216" s="8" t="str">
        <x:v>frequency_le_3_0,no_example</x:v>
      </x:c>
      <x:c r="Q1216" s="2" t="str"/>
      <x:c r="R1216" s="2" t="str"/>
      <x:c r="S1216" s="2" t="str"/>
      <x:c r="T1216" s="2" t="str"/>
      <x:c r="U1216" s="2" t="str"/>
      <x:c r="V1216" s="2" t="str">
        <x:v>아니오</x:v>
      </x:c>
      <x:c r="W1216" s="2" t="str">
        <x:v>예</x:v>
      </x:c>
      <x:c r="X1216" s="2" t="str">
        <x:v>ichi1,news2,nf40</x:v>
      </x:c>
      <x:c r="Y1216" s="2" t="n">
        <x:v>100</x:v>
      </x:c>
      <x:c r="Z1216" s="2" t="str">
        <x:v>ichi1,news2,nf40</x:v>
      </x:c>
      <x:c r="AA1216" s="2" t="n">
        <x:v>100</x:v>
      </x:c>
      <x:c r="AB1216" s="8" t="str"/>
      <x:c r="AC1216" s="8" t="str"/>
      <x:c r="AD1216" s="8" t="str">
        <x:v>["ko-reviewed"]</x:v>
      </x:c>
      <x:c r="AE1216" s="8" t="str">
        <x:v>검토 필요</x:v>
      </x:c>
      <x:c r="AF1216" s="8" t="str"/>
    </x:row>
    <x:row r="1217">
      <x:c r="A1217" s="10" t="n">
        <x:v>1216</x:v>
      </x:c>
      <x:c r="B1217" s="2" t="str">
        <x:v>2차 보류</x:v>
      </x:c>
      <x:c r="C1217" s="2" t="str">
        <x:v>2차 보류</x:v>
      </x:c>
      <x:c r="D1217" s="2" t="str">
        <x:v>낮음</x:v>
      </x:c>
      <x:c r="E1217" s="2" t="str">
        <x:v>N1</x:v>
      </x:c>
      <x:c r="F1217" s="10" t="n">
        <x:v>529</x:v>
      </x:c>
      <x:c r="G1217" s="2" t="str">
        <x:v>w_efe85f3246a13482</x:v>
      </x:c>
      <x:c r="H1217" s="2" t="str">
        <x:v>歪む</x:v>
      </x:c>
      <x:c r="I1217" s="2" t="str">
        <x:v>ゆがむ</x:v>
      </x:c>
      <x:c r="J1217" s="8" t="str">
        <x:v>일그러지다, 뒤틀리다</x:v>
      </x:c>
      <x:c r="K1217" s="2" t="str">
        <x:v>verb</x:v>
      </x:c>
      <x:c r="L1217" s="9" t="n">
        <x:v>2.85</x:v>
      </x:c>
      <x:c r="M1217" s="2" t="str">
        <x:v>없음</x:v>
      </x:c>
      <x:c r="N1217" s="11" t="n">
        <x:v>-7</x:v>
      </x:c>
      <x:c r="O1217" s="8" t="str">
        <x:v>일반 사용 빈도 낮은 편(Zipf ≤ 3.0); 검증된 예문 없음</x:v>
      </x:c>
      <x:c r="P1217" s="8" t="str">
        <x:v>frequency_le_3_0,no_example</x:v>
      </x:c>
      <x:c r="Q1217" s="2" t="str"/>
      <x:c r="R1217" s="2" t="str"/>
      <x:c r="S1217" s="2" t="str"/>
      <x:c r="T1217" s="2" t="str"/>
      <x:c r="U1217" s="2" t="str"/>
      <x:c r="V1217" s="2" t="str">
        <x:v>아니오</x:v>
      </x:c>
      <x:c r="W1217" s="2" t="str">
        <x:v>예</x:v>
      </x:c>
      <x:c r="X1217" s="2" t="str">
        <x:v>ichi1</x:v>
      </x:c>
      <x:c r="Y1217" s="2" t="n">
        <x:v>100</x:v>
      </x:c>
      <x:c r="Z1217" s="2" t="str">
        <x:v>ichi1</x:v>
      </x:c>
      <x:c r="AA1217" s="2" t="n">
        <x:v>100</x:v>
      </x:c>
      <x:c r="AB1217" s="8" t="str"/>
      <x:c r="AC1217" s="8" t="str"/>
      <x:c r="AD1217" s="8" t="str">
        <x:v>["ko-reviewed"]</x:v>
      </x:c>
      <x:c r="AE1217" s="8" t="str">
        <x:v>검토 필요</x:v>
      </x:c>
      <x:c r="AF1217" s="8" t="str"/>
    </x:row>
    <x:row r="1218">
      <x:c r="A1218" s="10" t="n">
        <x:v>1217</x:v>
      </x:c>
      <x:c r="B1218" s="2" t="str">
        <x:v>2차 보류</x:v>
      </x:c>
      <x:c r="C1218" s="2" t="str">
        <x:v>2차 보류</x:v>
      </x:c>
      <x:c r="D1218" s="2" t="str">
        <x:v>낮음</x:v>
      </x:c>
      <x:c r="E1218" s="2" t="str">
        <x:v>N2</x:v>
      </x:c>
      <x:c r="F1218" s="10" t="n">
        <x:v>448</x:v>
      </x:c>
      <x:c r="G1218" s="2" t="str">
        <x:v>w_fbc8cedf156ac455</x:v>
      </x:c>
      <x:c r="H1218" s="2" t="str">
        <x:v>温帯</x:v>
      </x:c>
      <x:c r="I1218" s="2" t="str">
        <x:v>おんたい</x:v>
      </x:c>
      <x:c r="J1218" s="8" t="str">
        <x:v>온대</x:v>
      </x:c>
      <x:c r="K1218" s="2" t="str">
        <x:v>noun</x:v>
      </x:c>
      <x:c r="L1218" s="9" t="n">
        <x:v>2.86</x:v>
      </x:c>
      <x:c r="M1218" s="2" t="str">
        <x:v>없음</x:v>
      </x:c>
      <x:c r="N1218" s="11" t="n">
        <x:v>-7</x:v>
      </x:c>
      <x:c r="O1218" s="8" t="str">
        <x:v>일반 사용 빈도 낮은 편(Zipf ≤ 3.0); 검증된 예문 없음</x:v>
      </x:c>
      <x:c r="P1218" s="8" t="str">
        <x:v>frequency_le_3_0,no_example</x:v>
      </x:c>
      <x:c r="Q1218" s="2" t="str"/>
      <x:c r="R1218" s="2" t="str"/>
      <x:c r="S1218" s="2" t="str"/>
      <x:c r="T1218" s="2" t="str"/>
      <x:c r="U1218" s="2" t="str"/>
      <x:c r="V1218" s="2" t="str">
        <x:v>아니오</x:v>
      </x:c>
      <x:c r="W1218" s="2" t="str">
        <x:v>예</x:v>
      </x:c>
      <x:c r="X1218" s="2" t="str">
        <x:v>ichi1,news2,nf25</x:v>
      </x:c>
      <x:c r="Y1218" s="2" t="n">
        <x:v>100</x:v>
      </x:c>
      <x:c r="Z1218" s="2" t="str">
        <x:v>ichi1,news2,nf25</x:v>
      </x:c>
      <x:c r="AA1218" s="2" t="n">
        <x:v>100</x:v>
      </x:c>
      <x:c r="AB1218" s="8" t="str"/>
      <x:c r="AC1218" s="8" t="str"/>
      <x:c r="AD1218" s="8" t="str">
        <x:v>["ko-reviewed"]</x:v>
      </x:c>
      <x:c r="AE1218" s="8" t="str">
        <x:v>검토 필요</x:v>
      </x:c>
      <x:c r="AF1218" s="8" t="str"/>
    </x:row>
    <x:row r="1219">
      <x:c r="A1219" s="10" t="n">
        <x:v>1218</x:v>
      </x:c>
      <x:c r="B1219" s="2" t="str">
        <x:v>2차 보류</x:v>
      </x:c>
      <x:c r="C1219" s="2" t="str">
        <x:v>2차 보류</x:v>
      </x:c>
      <x:c r="D1219" s="2" t="str">
        <x:v>낮음</x:v>
      </x:c>
      <x:c r="E1219" s="2" t="str">
        <x:v>N2</x:v>
      </x:c>
      <x:c r="F1219" s="10" t="n">
        <x:v>449</x:v>
      </x:c>
      <x:c r="G1219" s="2" t="str">
        <x:v>w_cad45994e67b881d</x:v>
      </x:c>
      <x:c r="H1219" s="2" t="str">
        <x:v>整う</x:v>
      </x:c>
      <x:c r="I1219" s="2" t="str">
        <x:v>ととのう</x:v>
      </x:c>
      <x:c r="J1219" s="8" t="str">
        <x:v>정돈되다, 갖추어지다</x:v>
      </x:c>
      <x:c r="K1219" s="2" t="str">
        <x:v>verb</x:v>
      </x:c>
      <x:c r="L1219" s="9" t="n">
        <x:v>2.87</x:v>
      </x:c>
      <x:c r="M1219" s="2" t="str">
        <x:v>없음</x:v>
      </x:c>
      <x:c r="N1219" s="11" t="n">
        <x:v>-7</x:v>
      </x:c>
      <x:c r="O1219" s="8" t="str">
        <x:v>일반 사용 빈도 낮은 편(Zipf ≤ 3.0); 검증된 예문 없음</x:v>
      </x:c>
      <x:c r="P1219" s="8" t="str">
        <x:v>frequency_le_3_0,no_example</x:v>
      </x:c>
      <x:c r="Q1219" s="2" t="str"/>
      <x:c r="R1219" s="2" t="str"/>
      <x:c r="S1219" s="2" t="str"/>
      <x:c r="T1219" s="2" t="str"/>
      <x:c r="U1219" s="2" t="str"/>
      <x:c r="V1219" s="2" t="str">
        <x:v>아니오</x:v>
      </x:c>
      <x:c r="W1219" s="2" t="str">
        <x:v>예</x:v>
      </x:c>
      <x:c r="X1219" s="2" t="str">
        <x:v>ichi1,news2,nf28</x:v>
      </x:c>
      <x:c r="Y1219" s="2" t="n">
        <x:v>100</x:v>
      </x:c>
      <x:c r="Z1219" s="2" t="str">
        <x:v>ichi1,news2,nf28</x:v>
      </x:c>
      <x:c r="AA1219" s="2" t="n">
        <x:v>100</x:v>
      </x:c>
      <x:c r="AB1219" s="8" t="str"/>
      <x:c r="AC1219" s="8" t="str"/>
      <x:c r="AD1219" s="8" t="str">
        <x:v>["ko-reviewed"]</x:v>
      </x:c>
      <x:c r="AE1219" s="8" t="str">
        <x:v>검토 필요</x:v>
      </x:c>
      <x:c r="AF1219" s="8" t="str"/>
    </x:row>
    <x:row r="1220">
      <x:c r="A1220" s="10" t="n">
        <x:v>1219</x:v>
      </x:c>
      <x:c r="B1220" s="2" t="str">
        <x:v>2차 보류</x:v>
      </x:c>
      <x:c r="C1220" s="2" t="str">
        <x:v>2차 보류</x:v>
      </x:c>
      <x:c r="D1220" s="2" t="str">
        <x:v>낮음</x:v>
      </x:c>
      <x:c r="E1220" s="2" t="str">
        <x:v>N1</x:v>
      </x:c>
      <x:c r="F1220" s="10" t="n">
        <x:v>530</x:v>
      </x:c>
      <x:c r="G1220" s="2" t="str">
        <x:v>w_e4e05a9889537531</x:v>
      </x:c>
      <x:c r="H1220" s="2" t="str">
        <x:v>面する</x:v>
      </x:c>
      <x:c r="I1220" s="2" t="str">
        <x:v>めんする</x:v>
      </x:c>
      <x:c r="J1220" s="8" t="str">
        <x:v>마주하다, 접하다</x:v>
      </x:c>
      <x:c r="K1220" s="2" t="str">
        <x:v>verb</x:v>
      </x:c>
      <x:c r="L1220" s="9" t="n">
        <x:v>2.87</x:v>
      </x:c>
      <x:c r="M1220" s="2" t="str">
        <x:v>없음</x:v>
      </x:c>
      <x:c r="N1220" s="11" t="n">
        <x:v>-7</x:v>
      </x:c>
      <x:c r="O1220" s="8" t="str">
        <x:v>일반 사용 빈도 낮은 편(Zipf ≤ 3.0); 검증된 예문 없음</x:v>
      </x:c>
      <x:c r="P1220" s="8" t="str">
        <x:v>frequency_le_3_0,no_example</x:v>
      </x:c>
      <x:c r="Q1220" s="2" t="str"/>
      <x:c r="R1220" s="2" t="str"/>
      <x:c r="S1220" s="2" t="str"/>
      <x:c r="T1220" s="2" t="str"/>
      <x:c r="U1220" s="2" t="str"/>
      <x:c r="V1220" s="2" t="str">
        <x:v>아니오</x:v>
      </x:c>
      <x:c r="W1220" s="2" t="str">
        <x:v>예</x:v>
      </x:c>
      <x:c r="X1220" s="2" t="str">
        <x:v>ichi1,news2,nf31</x:v>
      </x:c>
      <x:c r="Y1220" s="2" t="n">
        <x:v>100</x:v>
      </x:c>
      <x:c r="Z1220" s="2" t="str">
        <x:v>ichi1,news2,nf31</x:v>
      </x:c>
      <x:c r="AA1220" s="2" t="n">
        <x:v>100</x:v>
      </x:c>
      <x:c r="AB1220" s="8" t="str"/>
      <x:c r="AC1220" s="8" t="str"/>
      <x:c r="AD1220" s="8" t="str">
        <x:v>["ko-reviewed"]</x:v>
      </x:c>
      <x:c r="AE1220" s="8" t="str">
        <x:v>검토 필요</x:v>
      </x:c>
      <x:c r="AF1220" s="8" t="str"/>
    </x:row>
    <x:row r="1221">
      <x:c r="A1221" s="10" t="n">
        <x:v>1220</x:v>
      </x:c>
      <x:c r="B1221" s="2" t="str">
        <x:v>2차 보류</x:v>
      </x:c>
      <x:c r="C1221" s="2" t="str">
        <x:v>2차 보류</x:v>
      </x:c>
      <x:c r="D1221" s="2" t="str">
        <x:v>낮음</x:v>
      </x:c>
      <x:c r="E1221" s="2" t="str">
        <x:v>N2</x:v>
      </x:c>
      <x:c r="F1221" s="10" t="n">
        <x:v>450</x:v>
      </x:c>
      <x:c r="G1221" s="2" t="str">
        <x:v>w_1fae07d91193e34d</x:v>
      </x:c>
      <x:c r="H1221" s="2" t="str">
        <x:v>凹む</x:v>
      </x:c>
      <x:c r="I1221" s="2" t="str">
        <x:v>へこむ</x:v>
      </x:c>
      <x:c r="J1221" s="8" t="str">
        <x:v>움푹 들어가다, 기가 죽다</x:v>
      </x:c>
      <x:c r="K1221" s="2" t="str">
        <x:v>verb</x:v>
      </x:c>
      <x:c r="L1221" s="9" t="n">
        <x:v>2.88</x:v>
      </x:c>
      <x:c r="M1221" s="2" t="str">
        <x:v>없음</x:v>
      </x:c>
      <x:c r="N1221" s="11" t="n">
        <x:v>-7</x:v>
      </x:c>
      <x:c r="O1221" s="8" t="str">
        <x:v>일반 사용 빈도 낮은 편(Zipf ≤ 3.0); 검증된 예문 없음</x:v>
      </x:c>
      <x:c r="P1221" s="8" t="str">
        <x:v>frequency_le_3_0,no_example</x:v>
      </x:c>
      <x:c r="Q1221" s="2" t="str"/>
      <x:c r="R1221" s="2" t="str"/>
      <x:c r="S1221" s="2" t="str"/>
      <x:c r="T1221" s="2" t="str"/>
      <x:c r="U1221" s="2" t="str"/>
      <x:c r="V1221" s="2" t="str">
        <x:v>아니오</x:v>
      </x:c>
      <x:c r="W1221" s="2" t="str">
        <x:v>예</x:v>
      </x:c>
      <x:c r="X1221" s="2" t="str">
        <x:v>ichi1</x:v>
      </x:c>
      <x:c r="Y1221" s="2" t="n">
        <x:v>100</x:v>
      </x:c>
      <x:c r="Z1221" s="2" t="str">
        <x:v>ichi1</x:v>
      </x:c>
      <x:c r="AA1221" s="2" t="n">
        <x:v>100</x:v>
      </x:c>
      <x:c r="AB1221" s="8" t="str">
        <x:v>colloquial</x:v>
      </x:c>
      <x:c r="AC1221" s="8" t="str"/>
      <x:c r="AD1221" s="8" t="str">
        <x:v>["ko-reviewed"]</x:v>
      </x:c>
      <x:c r="AE1221" s="8" t="str">
        <x:v>검토 필요</x:v>
      </x:c>
      <x:c r="AF1221" s="8" t="str"/>
    </x:row>
    <x:row r="1222">
      <x:c r="A1222" s="10" t="n">
        <x:v>1221</x:v>
      </x:c>
      <x:c r="B1222" s="2" t="str">
        <x:v>2차 보류</x:v>
      </x:c>
      <x:c r="C1222" s="2" t="str">
        <x:v>2차 보류</x:v>
      </x:c>
      <x:c r="D1222" s="2" t="str">
        <x:v>낮음</x:v>
      </x:c>
      <x:c r="E1222" s="2" t="str">
        <x:v>N1</x:v>
      </x:c>
      <x:c r="F1222" s="10" t="n">
        <x:v>531</x:v>
      </x:c>
      <x:c r="G1222" s="2" t="str">
        <x:v>w_5dbfbc1d6e28d829</x:v>
      </x:c>
      <x:c r="H1222" s="2" t="str">
        <x:v>身の上</x:v>
      </x:c>
      <x:c r="I1222" s="2" t="str">
        <x:v>みのうえ</x:v>
      </x:c>
      <x:c r="J1222" s="8" t="str">
        <x:v>신상, 처지</x:v>
      </x:c>
      <x:c r="K1222" s="2" t="str">
        <x:v>noun</x:v>
      </x:c>
      <x:c r="L1222" s="9" t="n">
        <x:v>2.88</x:v>
      </x:c>
      <x:c r="M1222" s="2" t="str">
        <x:v>없음</x:v>
      </x:c>
      <x:c r="N1222" s="11" t="n">
        <x:v>-7</x:v>
      </x:c>
      <x:c r="O1222" s="8" t="str">
        <x:v>일반 사용 빈도 낮은 편(Zipf ≤ 3.0); 검증된 예문 없음</x:v>
      </x:c>
      <x:c r="P1222" s="8" t="str">
        <x:v>frequency_le_3_0,no_example</x:v>
      </x:c>
      <x:c r="Q1222" s="2" t="str"/>
      <x:c r="R1222" s="2" t="str"/>
      <x:c r="S1222" s="2" t="str"/>
      <x:c r="T1222" s="2" t="str"/>
      <x:c r="U1222" s="2" t="str"/>
      <x:c r="V1222" s="2" t="str">
        <x:v>아니오</x:v>
      </x:c>
      <x:c r="W1222" s="2" t="str">
        <x:v>예</x:v>
      </x:c>
      <x:c r="X1222" s="2" t="str">
        <x:v>ichi1,news2,nf31</x:v>
      </x:c>
      <x:c r="Y1222" s="2" t="n">
        <x:v>100</x:v>
      </x:c>
      <x:c r="Z1222" s="2" t="str">
        <x:v>ichi1,news2,nf31</x:v>
      </x:c>
      <x:c r="AA1222" s="2" t="n">
        <x:v>100</x:v>
      </x:c>
      <x:c r="AB1222" s="8" t="str"/>
      <x:c r="AC1222" s="8" t="str"/>
      <x:c r="AD1222" s="8" t="str">
        <x:v>["ko-reviewed"]</x:v>
      </x:c>
      <x:c r="AE1222" s="8" t="str">
        <x:v>검토 필요</x:v>
      </x:c>
      <x:c r="AF1222" s="8" t="str"/>
    </x:row>
    <x:row r="1223">
      <x:c r="A1223" s="10" t="n">
        <x:v>1222</x:v>
      </x:c>
      <x:c r="B1223" s="2" t="str">
        <x:v>2차 보류</x:v>
      </x:c>
      <x:c r="C1223" s="2" t="str">
        <x:v>2차 보류</x:v>
      </x:c>
      <x:c r="D1223" s="2" t="str">
        <x:v>낮음</x:v>
      </x:c>
      <x:c r="E1223" s="2" t="str">
        <x:v>N2</x:v>
      </x:c>
      <x:c r="F1223" s="10" t="n">
        <x:v>451</x:v>
      </x:c>
      <x:c r="G1223" s="2" t="str">
        <x:v>w_1550e1c34be164e4</x:v>
      </x:c>
      <x:c r="H1223" s="2" t="str">
        <x:v>判子</x:v>
      </x:c>
      <x:c r="I1223" s="2" t="str">
        <x:v>はんこ</x:v>
      </x:c>
      <x:c r="J1223" s="8" t="str">
        <x:v>도장</x:v>
      </x:c>
      <x:c r="K1223" s="2" t="str">
        <x:v>noun</x:v>
      </x:c>
      <x:c r="L1223" s="9" t="n">
        <x:v>2.89</x:v>
      </x:c>
      <x:c r="M1223" s="2" t="str">
        <x:v>없음</x:v>
      </x:c>
      <x:c r="N1223" s="11" t="n">
        <x:v>-7</x:v>
      </x:c>
      <x:c r="O1223" s="8" t="str">
        <x:v>일반 사용 빈도 낮은 편(Zipf ≤ 3.0); 검증된 예문 없음</x:v>
      </x:c>
      <x:c r="P1223" s="8" t="str">
        <x:v>frequency_le_3_0,no_example</x:v>
      </x:c>
      <x:c r="Q1223" s="2" t="str"/>
      <x:c r="R1223" s="2" t="str"/>
      <x:c r="S1223" s="2" t="str"/>
      <x:c r="T1223" s="2" t="str"/>
      <x:c r="U1223" s="2" t="str"/>
      <x:c r="V1223" s="2" t="str">
        <x:v>아니오</x:v>
      </x:c>
      <x:c r="W1223" s="2" t="str">
        <x:v>예</x:v>
      </x:c>
      <x:c r="X1223" s="2" t="str">
        <x:v>ichi1</x:v>
      </x:c>
      <x:c r="Y1223" s="2" t="n">
        <x:v>100</x:v>
      </x:c>
      <x:c r="Z1223" s="2" t="str">
        <x:v>ichi1</x:v>
      </x:c>
      <x:c r="AA1223" s="2" t="n">
        <x:v>100</x:v>
      </x:c>
      <x:c r="AB1223" s="8" t="str">
        <x:v>ateji (phonetic) reading | word usually written using kana alone</x:v>
      </x:c>
      <x:c r="AC1223" s="8" t="str"/>
      <x:c r="AD1223" s="8" t="str">
        <x:v>["ko-reviewed"]</x:v>
      </x:c>
      <x:c r="AE1223" s="8" t="str">
        <x:v>검토 필요</x:v>
      </x:c>
      <x:c r="AF1223" s="8" t="str"/>
    </x:row>
    <x:row r="1224">
      <x:c r="A1224" s="10" t="n">
        <x:v>1223</x:v>
      </x:c>
      <x:c r="B1224" s="2" t="str">
        <x:v>2차 보류</x:v>
      </x:c>
      <x:c r="C1224" s="2" t="str">
        <x:v>2차 보류</x:v>
      </x:c>
      <x:c r="D1224" s="2" t="str">
        <x:v>낮음</x:v>
      </x:c>
      <x:c r="E1224" s="2" t="str">
        <x:v>N1</x:v>
      </x:c>
      <x:c r="F1224" s="10" t="n">
        <x:v>532</x:v>
      </x:c>
      <x:c r="G1224" s="2" t="str">
        <x:v>w_594aaafa80f4b28a</x:v>
      </x:c>
      <x:c r="H1224" s="2" t="str">
        <x:v>下調べ</x:v>
      </x:c>
      <x:c r="I1224" s="2" t="str">
        <x:v>したしらべ</x:v>
      </x:c>
      <x:c r="J1224" s="8" t="str">
        <x:v>사전 조사</x:v>
      </x:c>
      <x:c r="K1224" s="2" t="str">
        <x:v>noun</x:v>
      </x:c>
      <x:c r="L1224" s="9" t="n">
        <x:v>2.89</x:v>
      </x:c>
      <x:c r="M1224" s="2" t="str">
        <x:v>없음</x:v>
      </x:c>
      <x:c r="N1224" s="11" t="n">
        <x:v>-7</x:v>
      </x:c>
      <x:c r="O1224" s="8" t="str">
        <x:v>일반 사용 빈도 낮은 편(Zipf ≤ 3.0); 검증된 예문 없음</x:v>
      </x:c>
      <x:c r="P1224" s="8" t="str">
        <x:v>frequency_le_3_0,no_example</x:v>
      </x:c>
      <x:c r="Q1224" s="2" t="str"/>
      <x:c r="R1224" s="2" t="str"/>
      <x:c r="S1224" s="2" t="str"/>
      <x:c r="T1224" s="2" t="str"/>
      <x:c r="U1224" s="2" t="str"/>
      <x:c r="V1224" s="2" t="str">
        <x:v>아니오</x:v>
      </x:c>
      <x:c r="W1224" s="2" t="str">
        <x:v>예</x:v>
      </x:c>
      <x:c r="X1224" s="2" t="str">
        <x:v>ichi1,news2,nf46</x:v>
      </x:c>
      <x:c r="Y1224" s="2" t="n">
        <x:v>100</x:v>
      </x:c>
      <x:c r="Z1224" s="2" t="str">
        <x:v>ichi1,news2,nf46</x:v>
      </x:c>
      <x:c r="AA1224" s="2" t="n">
        <x:v>100</x:v>
      </x:c>
      <x:c r="AB1224" s="8" t="str"/>
      <x:c r="AC1224" s="8" t="str"/>
      <x:c r="AD1224" s="8" t="str">
        <x:v>["ko-reviewed"]</x:v>
      </x:c>
      <x:c r="AE1224" s="8" t="str">
        <x:v>검토 필요</x:v>
      </x:c>
      <x:c r="AF1224" s="8" t="str"/>
    </x:row>
    <x:row r="1225">
      <x:c r="A1225" s="10" t="n">
        <x:v>1224</x:v>
      </x:c>
      <x:c r="B1225" s="2" t="str">
        <x:v>2차 보류</x:v>
      </x:c>
      <x:c r="C1225" s="2" t="str">
        <x:v>2차 보류</x:v>
      </x:c>
      <x:c r="D1225" s="2" t="str">
        <x:v>낮음</x:v>
      </x:c>
      <x:c r="E1225" s="2" t="str">
        <x:v>N1</x:v>
      </x:c>
      <x:c r="F1225" s="10" t="n">
        <x:v>533</x:v>
      </x:c>
      <x:c r="G1225" s="2" t="str">
        <x:v>w_e4bdfd0f8c9326a2</x:v>
      </x:c>
      <x:c r="H1225" s="2" t="str">
        <x:v>読み上げる</x:v>
      </x:c>
      <x:c r="I1225" s="2" t="str">
        <x:v>よみあげる</x:v>
      </x:c>
      <x:c r="J1225" s="8" t="str">
        <x:v>소리 내어 읽다, 낭독하다</x:v>
      </x:c>
      <x:c r="K1225" s="2" t="str">
        <x:v>verb</x:v>
      </x:c>
      <x:c r="L1225" s="9" t="n">
        <x:v>2.89</x:v>
      </x:c>
      <x:c r="M1225" s="2" t="str">
        <x:v>없음</x:v>
      </x:c>
      <x:c r="N1225" s="11" t="n">
        <x:v>-7</x:v>
      </x:c>
      <x:c r="O1225" s="8" t="str">
        <x:v>일반 사용 빈도 낮은 편(Zipf ≤ 3.0); 검증된 예문 없음</x:v>
      </x:c>
      <x:c r="P1225" s="8" t="str">
        <x:v>frequency_le_3_0,no_example</x:v>
      </x:c>
      <x:c r="Q1225" s="2" t="str"/>
      <x:c r="R1225" s="2" t="str"/>
      <x:c r="S1225" s="2" t="str"/>
      <x:c r="T1225" s="2" t="str"/>
      <x:c r="U1225" s="2" t="str"/>
      <x:c r="V1225" s="2" t="str">
        <x:v>아니오</x:v>
      </x:c>
      <x:c r="W1225" s="2" t="str">
        <x:v>예</x:v>
      </x:c>
      <x:c r="X1225" s="2" t="str">
        <x:v>news1,nf24</x:v>
      </x:c>
      <x:c r="Y1225" s="2" t="n">
        <x:v>100</x:v>
      </x:c>
      <x:c r="Z1225" s="2" t="str">
        <x:v>news1,nf24</x:v>
      </x:c>
      <x:c r="AA1225" s="2" t="n">
        <x:v>100</x:v>
      </x:c>
      <x:c r="AB1225" s="8" t="str"/>
      <x:c r="AC1225" s="8" t="str"/>
      <x:c r="AD1225" s="8" t="str">
        <x:v>["backfill-replacement","assistant-ko-reviewed"]</x:v>
      </x:c>
      <x:c r="AE1225" s="8" t="str">
        <x:v>검토 필요</x:v>
      </x:c>
      <x:c r="AF1225" s="8" t="str"/>
    </x:row>
    <x:row r="1226">
      <x:c r="A1226" s="10" t="n">
        <x:v>1225</x:v>
      </x:c>
      <x:c r="B1226" s="2" t="str">
        <x:v>2차 보류</x:v>
      </x:c>
      <x:c r="C1226" s="2" t="str">
        <x:v>2차 보류</x:v>
      </x:c>
      <x:c r="D1226" s="2" t="str">
        <x:v>낮음</x:v>
      </x:c>
      <x:c r="E1226" s="2" t="str">
        <x:v>N2</x:v>
      </x:c>
      <x:c r="F1226" s="10" t="n">
        <x:v>452</x:v>
      </x:c>
      <x:c r="G1226" s="2" t="str">
        <x:v>w_1471aa8114e77f9f</x:v>
      </x:c>
      <x:c r="H1226" s="2" t="str">
        <x:v>溜息</x:v>
      </x:c>
      <x:c r="I1226" s="2" t="str">
        <x:v>ためいき</x:v>
      </x:c>
      <x:c r="J1226" s="8" t="str">
        <x:v>한숨</x:v>
      </x:c>
      <x:c r="K1226" s="2" t="str">
        <x:v>noun</x:v>
      </x:c>
      <x:c r="L1226" s="9" t="n">
        <x:v>2.9</x:v>
      </x:c>
      <x:c r="M1226" s="2" t="str">
        <x:v>없음</x:v>
      </x:c>
      <x:c r="N1226" s="11" t="n">
        <x:v>-7</x:v>
      </x:c>
      <x:c r="O1226" s="8" t="str">
        <x:v>일반 사용 빈도 낮은 편(Zipf ≤ 3.0); 검증된 예문 없음</x:v>
      </x:c>
      <x:c r="P1226" s="8" t="str">
        <x:v>frequency_le_3_0,no_example</x:v>
      </x:c>
      <x:c r="Q1226" s="2" t="str"/>
      <x:c r="R1226" s="2" t="str"/>
      <x:c r="S1226" s="2" t="str"/>
      <x:c r="T1226" s="2" t="str"/>
      <x:c r="U1226" s="2" t="str"/>
      <x:c r="V1226" s="2" t="str">
        <x:v>아니오</x:v>
      </x:c>
      <x:c r="W1226" s="2" t="str">
        <x:v>예</x:v>
      </x:c>
      <x:c r="X1226" s="2" t="str">
        <x:v>ichi1,spec1</x:v>
      </x:c>
      <x:c r="Y1226" s="2" t="n">
        <x:v>100</x:v>
      </x:c>
      <x:c r="Z1226" s="2" t="str"/>
      <x:c r="AA1226" s="2" t="n">
        <x:v>0</x:v>
      </x:c>
      <x:c r="AB1226" s="8" t="str"/>
      <x:c r="AC1226" s="8" t="str"/>
      <x:c r="AD1226" s="8" t="str">
        <x:v>["ko-reviewed"]</x:v>
      </x:c>
      <x:c r="AE1226" s="8" t="str">
        <x:v>검토 필요</x:v>
      </x:c>
      <x:c r="AF1226" s="8" t="str"/>
    </x:row>
    <x:row r="1227">
      <x:c r="A1227" s="10" t="n">
        <x:v>1226</x:v>
      </x:c>
      <x:c r="B1227" s="2" t="str">
        <x:v>2차 보류</x:v>
      </x:c>
      <x:c r="C1227" s="2" t="str">
        <x:v>2차 보류</x:v>
      </x:c>
      <x:c r="D1227" s="2" t="str">
        <x:v>낮음</x:v>
      </x:c>
      <x:c r="E1227" s="2" t="str">
        <x:v>N2</x:v>
      </x:c>
      <x:c r="F1227" s="10" t="n">
        <x:v>453</x:v>
      </x:c>
      <x:c r="G1227" s="2" t="str">
        <x:v>w_19bac1234743303b</x:v>
      </x:c>
      <x:c r="H1227" s="2" t="str">
        <x:v>盆地</x:v>
      </x:c>
      <x:c r="I1227" s="2" t="str">
        <x:v>ぼんち</x:v>
      </x:c>
      <x:c r="J1227" s="8" t="str">
        <x:v>분지</x:v>
      </x:c>
      <x:c r="K1227" s="2" t="str">
        <x:v>noun</x:v>
      </x:c>
      <x:c r="L1227" s="9" t="n">
        <x:v>2.9</x:v>
      </x:c>
      <x:c r="M1227" s="2" t="str">
        <x:v>없음</x:v>
      </x:c>
      <x:c r="N1227" s="11" t="n">
        <x:v>-7</x:v>
      </x:c>
      <x:c r="O1227" s="8" t="str">
        <x:v>일반 사용 빈도 낮은 편(Zipf ≤ 3.0); 검증된 예문 없음</x:v>
      </x:c>
      <x:c r="P1227" s="8" t="str">
        <x:v>frequency_le_3_0,no_example</x:v>
      </x:c>
      <x:c r="Q1227" s="2" t="str"/>
      <x:c r="R1227" s="2" t="str"/>
      <x:c r="S1227" s="2" t="str"/>
      <x:c r="T1227" s="2" t="str"/>
      <x:c r="U1227" s="2" t="str"/>
      <x:c r="V1227" s="2" t="str">
        <x:v>아니오</x:v>
      </x:c>
      <x:c r="W1227" s="2" t="str">
        <x:v>예</x:v>
      </x:c>
      <x:c r="X1227" s="2" t="str">
        <x:v>ichi1,news1,nf23</x:v>
      </x:c>
      <x:c r="Y1227" s="2" t="n">
        <x:v>100</x:v>
      </x:c>
      <x:c r="Z1227" s="2" t="str">
        <x:v>ichi1,news1,nf23</x:v>
      </x:c>
      <x:c r="AA1227" s="2" t="n">
        <x:v>100</x:v>
      </x:c>
      <x:c r="AB1227" s="8" t="str"/>
      <x:c r="AC1227" s="8" t="str"/>
      <x:c r="AD1227" s="8" t="str">
        <x:v>["ko-reviewed"]</x:v>
      </x:c>
      <x:c r="AE1227" s="8" t="str">
        <x:v>검토 필요</x:v>
      </x:c>
      <x:c r="AF1227" s="8" t="str"/>
    </x:row>
    <x:row r="1228">
      <x:c r="A1228" s="10" t="n">
        <x:v>1227</x:v>
      </x:c>
      <x:c r="B1228" s="2" t="str">
        <x:v>2차 보류</x:v>
      </x:c>
      <x:c r="C1228" s="2" t="str">
        <x:v>2차 보류</x:v>
      </x:c>
      <x:c r="D1228" s="2" t="str">
        <x:v>낮음</x:v>
      </x:c>
      <x:c r="E1228" s="2" t="str">
        <x:v>N1</x:v>
      </x:c>
      <x:c r="F1228" s="10" t="n">
        <x:v>534</x:v>
      </x:c>
      <x:c r="G1228" s="2" t="str">
        <x:v>w_8e8e619883455076</x:v>
      </x:c>
      <x:c r="H1228" s="2" t="str">
        <x:v>橋渡し</x:v>
      </x:c>
      <x:c r="I1228" s="2" t="str">
        <x:v>はしわたし</x:v>
      </x:c>
      <x:c r="J1228" s="8" t="str">
        <x:v>중개, 가교</x:v>
      </x:c>
      <x:c r="K1228" s="2" t="str">
        <x:v>noun</x:v>
      </x:c>
      <x:c r="L1228" s="9" t="n">
        <x:v>2.9</x:v>
      </x:c>
      <x:c r="M1228" s="2" t="str">
        <x:v>없음</x:v>
      </x:c>
      <x:c r="N1228" s="11" t="n">
        <x:v>-7</x:v>
      </x:c>
      <x:c r="O1228" s="8" t="str">
        <x:v>일반 사용 빈도 낮은 편(Zipf ≤ 3.0); 검증된 예문 없음</x:v>
      </x:c>
      <x:c r="P1228" s="8" t="str">
        <x:v>frequency_le_3_0,no_example</x:v>
      </x:c>
      <x:c r="Q1228" s="2" t="str"/>
      <x:c r="R1228" s="2" t="str"/>
      <x:c r="S1228" s="2" t="str"/>
      <x:c r="T1228" s="2" t="str"/>
      <x:c r="U1228" s="2" t="str"/>
      <x:c r="V1228" s="2" t="str">
        <x:v>아니오</x:v>
      </x:c>
      <x:c r="W1228" s="2" t="str">
        <x:v>예</x:v>
      </x:c>
      <x:c r="X1228" s="2" t="str">
        <x:v>news1,nf16</x:v>
      </x:c>
      <x:c r="Y1228" s="2" t="n">
        <x:v>100</x:v>
      </x:c>
      <x:c r="Z1228" s="2" t="str">
        <x:v>news1,nf16</x:v>
      </x:c>
      <x:c r="AA1228" s="2" t="n">
        <x:v>100</x:v>
      </x:c>
      <x:c r="AB1228" s="8" t="str"/>
      <x:c r="AC1228" s="8" t="str"/>
      <x:c r="AD1228" s="8" t="str">
        <x:v>["ko-reviewed"]</x:v>
      </x:c>
      <x:c r="AE1228" s="8" t="str">
        <x:v>검토 필요</x:v>
      </x:c>
      <x:c r="AF1228" s="8" t="str"/>
    </x:row>
    <x:row r="1229">
      <x:c r="A1229" s="10" t="n">
        <x:v>1228</x:v>
      </x:c>
      <x:c r="B1229" s="2" t="str">
        <x:v>2차 보류</x:v>
      </x:c>
      <x:c r="C1229" s="2" t="str">
        <x:v>2차 보류</x:v>
      </x:c>
      <x:c r="D1229" s="2" t="str">
        <x:v>낮음</x:v>
      </x:c>
      <x:c r="E1229" s="2" t="str">
        <x:v>N2</x:v>
      </x:c>
      <x:c r="F1229" s="10" t="n">
        <x:v>454</x:v>
      </x:c>
      <x:c r="G1229" s="2" t="str">
        <x:v>w_093c9965bf290ed5</x:v>
      </x:c>
      <x:c r="H1229" s="2" t="str">
        <x:v>速達</x:v>
      </x:c>
      <x:c r="I1229" s="2" t="str">
        <x:v>そくたつ</x:v>
      </x:c>
      <x:c r="J1229" s="8" t="str">
        <x:v>속달, 빠른 배송</x:v>
      </x:c>
      <x:c r="K1229" s="2" t="str">
        <x:v>noun</x:v>
      </x:c>
      <x:c r="L1229" s="9" t="n">
        <x:v>2.91</x:v>
      </x:c>
      <x:c r="M1229" s="2" t="str">
        <x:v>없음</x:v>
      </x:c>
      <x:c r="N1229" s="11" t="n">
        <x:v>-7</x:v>
      </x:c>
      <x:c r="O1229" s="8" t="str">
        <x:v>일반 사용 빈도 낮은 편(Zipf ≤ 3.0); 검증된 예문 없음</x:v>
      </x:c>
      <x:c r="P1229" s="8" t="str">
        <x:v>frequency_le_3_0,no_example</x:v>
      </x:c>
      <x:c r="Q1229" s="2" t="str"/>
      <x:c r="R1229" s="2" t="str"/>
      <x:c r="S1229" s="2" t="str"/>
      <x:c r="T1229" s="2" t="str"/>
      <x:c r="U1229" s="2" t="str"/>
      <x:c r="V1229" s="2" t="str">
        <x:v>아니오</x:v>
      </x:c>
      <x:c r="W1229" s="2" t="str">
        <x:v>예</x:v>
      </x:c>
      <x:c r="X1229" s="2" t="str">
        <x:v>ichi1,news2,nf37</x:v>
      </x:c>
      <x:c r="Y1229" s="2" t="n">
        <x:v>100</x:v>
      </x:c>
      <x:c r="Z1229" s="2" t="str">
        <x:v>ichi1,news2,nf37</x:v>
      </x:c>
      <x:c r="AA1229" s="2" t="n">
        <x:v>100</x:v>
      </x:c>
      <x:c r="AB1229" s="8" t="str"/>
      <x:c r="AC1229" s="8" t="str"/>
      <x:c r="AD1229" s="8" t="str">
        <x:v>["ko-reviewed"]</x:v>
      </x:c>
      <x:c r="AE1229" s="8" t="str">
        <x:v>검토 필요</x:v>
      </x:c>
      <x:c r="AF1229" s="8" t="str"/>
    </x:row>
    <x:row r="1230">
      <x:c r="A1230" s="10" t="n">
        <x:v>1229</x:v>
      </x:c>
      <x:c r="B1230" s="2" t="str">
        <x:v>2차 보류</x:v>
      </x:c>
      <x:c r="C1230" s="2" t="str">
        <x:v>2차 보류</x:v>
      </x:c>
      <x:c r="D1230" s="2" t="str">
        <x:v>낮음</x:v>
      </x:c>
      <x:c r="E1230" s="2" t="str">
        <x:v>N2</x:v>
      </x:c>
      <x:c r="F1230" s="10" t="n">
        <x:v>455</x:v>
      </x:c>
      <x:c r="G1230" s="2" t="str">
        <x:v>w_103c9f81122409c7</x:v>
      </x:c>
      <x:c r="H1230" s="2" t="str">
        <x:v>内線</x:v>
      </x:c>
      <x:c r="I1230" s="2" t="str">
        <x:v>ないせん</x:v>
      </x:c>
      <x:c r="J1230" s="8" t="str">
        <x:v>내선</x:v>
      </x:c>
      <x:c r="K1230" s="2" t="str">
        <x:v>noun</x:v>
      </x:c>
      <x:c r="L1230" s="9" t="n">
        <x:v>2.91</x:v>
      </x:c>
      <x:c r="M1230" s="2" t="str">
        <x:v>없음</x:v>
      </x:c>
      <x:c r="N1230" s="11" t="n">
        <x:v>-7</x:v>
      </x:c>
      <x:c r="O1230" s="8" t="str">
        <x:v>일반 사용 빈도 낮은 편(Zipf ≤ 3.0); 검증된 예문 없음</x:v>
      </x:c>
      <x:c r="P1230" s="8" t="str">
        <x:v>frequency_le_3_0,no_example</x:v>
      </x:c>
      <x:c r="Q1230" s="2" t="str"/>
      <x:c r="R1230" s="2" t="str"/>
      <x:c r="S1230" s="2" t="str"/>
      <x:c r="T1230" s="2" t="str"/>
      <x:c r="U1230" s="2" t="str"/>
      <x:c r="V1230" s="2" t="str">
        <x:v>아니오</x:v>
      </x:c>
      <x:c r="W1230" s="2" t="str">
        <x:v>예</x:v>
      </x:c>
      <x:c r="X1230" s="2" t="str">
        <x:v>news1,nf10</x:v>
      </x:c>
      <x:c r="Y1230" s="2" t="n">
        <x:v>100</x:v>
      </x:c>
      <x:c r="Z1230" s="2" t="str">
        <x:v>news1,nf10</x:v>
      </x:c>
      <x:c r="AA1230" s="2" t="n">
        <x:v>100</x:v>
      </x:c>
      <x:c r="AB1230" s="8" t="str"/>
      <x:c r="AC1230" s="8" t="str"/>
      <x:c r="AD1230" s="8" t="str">
        <x:v>["ko-reviewed"]</x:v>
      </x:c>
      <x:c r="AE1230" s="8" t="str">
        <x:v>검토 필요</x:v>
      </x:c>
      <x:c r="AF1230" s="8" t="str"/>
    </x:row>
    <x:row r="1231">
      <x:c r="A1231" s="10" t="n">
        <x:v>1230</x:v>
      </x:c>
      <x:c r="B1231" s="2" t="str">
        <x:v>2차 보류</x:v>
      </x:c>
      <x:c r="C1231" s="2" t="str">
        <x:v>2차 보류</x:v>
      </x:c>
      <x:c r="D1231" s="2" t="str">
        <x:v>낮음</x:v>
      </x:c>
      <x:c r="E1231" s="2" t="str">
        <x:v>N2</x:v>
      </x:c>
      <x:c r="F1231" s="10" t="n">
        <x:v>456</x:v>
      </x:c>
      <x:c r="G1231" s="2" t="str">
        <x:v>w_1d730ec44af3353d</x:v>
      </x:c>
      <x:c r="H1231" s="2" t="str">
        <x:v>撫でる</x:v>
      </x:c>
      <x:c r="I1231" s="2" t="str">
        <x:v>なでる</x:v>
      </x:c>
      <x:c r="J1231" s="8" t="str">
        <x:v>쓰다듬다</x:v>
      </x:c>
      <x:c r="K1231" s="2" t="str">
        <x:v>verb</x:v>
      </x:c>
      <x:c r="L1231" s="9" t="n">
        <x:v>2.91</x:v>
      </x:c>
      <x:c r="M1231" s="2" t="str">
        <x:v>없음</x:v>
      </x:c>
      <x:c r="N1231" s="11" t="n">
        <x:v>-7</x:v>
      </x:c>
      <x:c r="O1231" s="8" t="str">
        <x:v>일반 사용 빈도 낮은 편(Zipf ≤ 3.0); 검증된 예문 없음</x:v>
      </x:c>
      <x:c r="P1231" s="8" t="str">
        <x:v>frequency_le_3_0,no_example</x:v>
      </x:c>
      <x:c r="Q1231" s="2" t="str"/>
      <x:c r="R1231" s="2" t="str"/>
      <x:c r="S1231" s="2" t="str"/>
      <x:c r="T1231" s="2" t="str"/>
      <x:c r="U1231" s="2" t="str"/>
      <x:c r="V1231" s="2" t="str">
        <x:v>아니오</x:v>
      </x:c>
      <x:c r="W1231" s="2" t="str">
        <x:v>예</x:v>
      </x:c>
      <x:c r="X1231" s="2" t="str">
        <x:v>ichi1</x:v>
      </x:c>
      <x:c r="Y1231" s="2" t="n">
        <x:v>100</x:v>
      </x:c>
      <x:c r="Z1231" s="2" t="str">
        <x:v>ichi1</x:v>
      </x:c>
      <x:c r="AA1231" s="2" t="n">
        <x:v>100</x:v>
      </x:c>
      <x:c r="AB1231" s="8" t="str"/>
      <x:c r="AC1231" s="8" t="str"/>
      <x:c r="AD1231" s="8" t="str">
        <x:v>["ko-reviewed"]</x:v>
      </x:c>
      <x:c r="AE1231" s="8" t="str">
        <x:v>검토 필요</x:v>
      </x:c>
      <x:c r="AF1231" s="8" t="str"/>
    </x:row>
    <x:row r="1232">
      <x:c r="A1232" s="10" t="n">
        <x:v>1231</x:v>
      </x:c>
      <x:c r="B1232" s="2" t="str">
        <x:v>2차 보류</x:v>
      </x:c>
      <x:c r="C1232" s="2" t="str">
        <x:v>2차 보류</x:v>
      </x:c>
      <x:c r="D1232" s="2" t="str">
        <x:v>낮음</x:v>
      </x:c>
      <x:c r="E1232" s="2" t="str">
        <x:v>N2</x:v>
      </x:c>
      <x:c r="F1232" s="10" t="n">
        <x:v>457</x:v>
      </x:c>
      <x:c r="G1232" s="2" t="str">
        <x:v>w_b40f9c063be59826</x:v>
      </x:c>
      <x:c r="H1232" s="2" t="str">
        <x:v>レインコート</x:v>
      </x:c>
      <x:c r="I1232" s="2" t="str">
        <x:v>レインコート</x:v>
      </x:c>
      <x:c r="J1232" s="8" t="str">
        <x:v>레인코트, 비옷</x:v>
      </x:c>
      <x:c r="K1232" s="2" t="str">
        <x:v>noun</x:v>
      </x:c>
      <x:c r="L1232" s="9" t="n">
        <x:v>2.91</x:v>
      </x:c>
      <x:c r="M1232" s="2" t="str">
        <x:v>없음</x:v>
      </x:c>
      <x:c r="N1232" s="11" t="n">
        <x:v>-7</x:v>
      </x:c>
      <x:c r="O1232" s="8" t="str">
        <x:v>일반 사용 빈도 낮은 편(Zipf ≤ 3.0); 검증된 예문 없음</x:v>
      </x:c>
      <x:c r="P1232" s="8" t="str">
        <x:v>frequency_le_3_0,no_example</x:v>
      </x:c>
      <x:c r="Q1232" s="2" t="str"/>
      <x:c r="R1232" s="2" t="str"/>
      <x:c r="S1232" s="2" t="str"/>
      <x:c r="T1232" s="2" t="str"/>
      <x:c r="U1232" s="2" t="str"/>
      <x:c r="V1232" s="2" t="str">
        <x:v>아니오</x:v>
      </x:c>
      <x:c r="W1232" s="2" t="str">
        <x:v>예</x:v>
      </x:c>
      <x:c r="X1232" s="2" t="str">
        <x:v>ichi1</x:v>
      </x:c>
      <x:c r="Y1232" s="2" t="n">
        <x:v>100</x:v>
      </x:c>
      <x:c r="Z1232" s="2" t="str">
        <x:v>ichi1</x:v>
      </x:c>
      <x:c r="AA1232" s="2" t="n">
        <x:v>100</x:v>
      </x:c>
      <x:c r="AB1232" s="8" t="str"/>
      <x:c r="AC1232" s="8" t="str"/>
      <x:c r="AD1232" s="8" t="str">
        <x:v>["backfill-replacement","assistant-ko-reviewed"]</x:v>
      </x:c>
      <x:c r="AE1232" s="8" t="str">
        <x:v>검토 필요</x:v>
      </x:c>
      <x:c r="AF1232" s="8" t="str"/>
    </x:row>
    <x:row r="1233">
      <x:c r="A1233" s="10" t="n">
        <x:v>1232</x:v>
      </x:c>
      <x:c r="B1233" s="2" t="str">
        <x:v>2차 보류</x:v>
      </x:c>
      <x:c r="C1233" s="2" t="str">
        <x:v>2차 보류</x:v>
      </x:c>
      <x:c r="D1233" s="2" t="str">
        <x:v>낮음</x:v>
      </x:c>
      <x:c r="E1233" s="2" t="str">
        <x:v>N2</x:v>
      </x:c>
      <x:c r="F1233" s="10" t="n">
        <x:v>458</x:v>
      </x:c>
      <x:c r="G1233" s="2" t="str">
        <x:v>w_f01cca1be0d4385f</x:v>
      </x:c>
      <x:c r="H1233" s="2" t="str">
        <x:v>スチュワーデス</x:v>
      </x:c>
      <x:c r="I1233" s="2" t="str">
        <x:v>スチュワーデス</x:v>
      </x:c>
      <x:c r="J1233" s="8" t="str">
        <x:v>스튜어디스, 승무원</x:v>
      </x:c>
      <x:c r="K1233" s="2" t="str">
        <x:v>noun</x:v>
      </x:c>
      <x:c r="L1233" s="9" t="n">
        <x:v>2.91</x:v>
      </x:c>
      <x:c r="M1233" s="2" t="str">
        <x:v>없음</x:v>
      </x:c>
      <x:c r="N1233" s="11" t="n">
        <x:v>-7</x:v>
      </x:c>
      <x:c r="O1233" s="8" t="str">
        <x:v>일반 사용 빈도 낮은 편(Zipf ≤ 3.0); 검증된 예문 없음</x:v>
      </x:c>
      <x:c r="P1233" s="8" t="str">
        <x:v>frequency_le_3_0,no_example</x:v>
      </x:c>
      <x:c r="Q1233" s="2" t="str"/>
      <x:c r="R1233" s="2" t="str"/>
      <x:c r="S1233" s="2" t="str"/>
      <x:c r="T1233" s="2" t="str"/>
      <x:c r="U1233" s="2" t="str"/>
      <x:c r="V1233" s="2" t="str">
        <x:v>아니오</x:v>
      </x:c>
      <x:c r="W1233" s="2" t="str">
        <x:v>예</x:v>
      </x:c>
      <x:c r="X1233" s="2" t="str">
        <x:v>gai1,ichi1</x:v>
      </x:c>
      <x:c r="Y1233" s="2" t="n">
        <x:v>100</x:v>
      </x:c>
      <x:c r="Z1233" s="2" t="str">
        <x:v>gai1,ichi1</x:v>
      </x:c>
      <x:c r="AA1233" s="2" t="n">
        <x:v>100</x:v>
      </x:c>
      <x:c r="AB1233" s="8" t="str"/>
      <x:c r="AC1233" s="8" t="str"/>
      <x:c r="AD1233" s="8" t="str">
        <x:v>["ko-reviewed"]</x:v>
      </x:c>
      <x:c r="AE1233" s="8" t="str">
        <x:v>검토 필요</x:v>
      </x:c>
      <x:c r="AF1233" s="8" t="str"/>
    </x:row>
    <x:row r="1234">
      <x:c r="A1234" s="10" t="n">
        <x:v>1233</x:v>
      </x:c>
      <x:c r="B1234" s="2" t="str">
        <x:v>2차 보류</x:v>
      </x:c>
      <x:c r="C1234" s="2" t="str">
        <x:v>2차 보류</x:v>
      </x:c>
      <x:c r="D1234" s="2" t="str">
        <x:v>낮음</x:v>
      </x:c>
      <x:c r="E1234" s="2" t="str">
        <x:v>N1</x:v>
      </x:c>
      <x:c r="F1234" s="10" t="n">
        <x:v>535</x:v>
      </x:c>
      <x:c r="G1234" s="2" t="str">
        <x:v>w_3ab509c6a1e02b28</x:v>
      </x:c>
      <x:c r="H1234" s="2" t="str">
        <x:v>渡り鳥</x:v>
      </x:c>
      <x:c r="I1234" s="2" t="str">
        <x:v>わたりどり</x:v>
      </x:c>
      <x:c r="J1234" s="8" t="str">
        <x:v>철새</x:v>
      </x:c>
      <x:c r="K1234" s="2" t="str">
        <x:v>noun</x:v>
      </x:c>
      <x:c r="L1234" s="9" t="n">
        <x:v>2.91</x:v>
      </x:c>
      <x:c r="M1234" s="2" t="str">
        <x:v>없음</x:v>
      </x:c>
      <x:c r="N1234" s="11" t="n">
        <x:v>-7</x:v>
      </x:c>
      <x:c r="O1234" s="8" t="str">
        <x:v>일반 사용 빈도 낮은 편(Zipf ≤ 3.0); 검증된 예문 없음</x:v>
      </x:c>
      <x:c r="P1234" s="8" t="str">
        <x:v>frequency_le_3_0,no_example</x:v>
      </x:c>
      <x:c r="Q1234" s="2" t="str"/>
      <x:c r="R1234" s="2" t="str"/>
      <x:c r="S1234" s="2" t="str"/>
      <x:c r="T1234" s="2" t="str"/>
      <x:c r="U1234" s="2" t="str"/>
      <x:c r="V1234" s="2" t="str">
        <x:v>아니오</x:v>
      </x:c>
      <x:c r="W1234" s="2" t="str">
        <x:v>예</x:v>
      </x:c>
      <x:c r="X1234" s="2" t="str">
        <x:v>news1,nf17</x:v>
      </x:c>
      <x:c r="Y1234" s="2" t="n">
        <x:v>100</x:v>
      </x:c>
      <x:c r="Z1234" s="2" t="str">
        <x:v>news1,nf17</x:v>
      </x:c>
      <x:c r="AA1234" s="2" t="n">
        <x:v>100</x:v>
      </x:c>
      <x:c r="AB1234" s="8" t="str"/>
      <x:c r="AC1234" s="8" t="str"/>
      <x:c r="AD1234" s="8" t="str">
        <x:v>["ko-reviewed"]</x:v>
      </x:c>
      <x:c r="AE1234" s="8" t="str">
        <x:v>검토 필요</x:v>
      </x:c>
      <x:c r="AF1234" s="8" t="str"/>
    </x:row>
    <x:row r="1235">
      <x:c r="A1235" s="10" t="n">
        <x:v>1234</x:v>
      </x:c>
      <x:c r="B1235" s="2" t="str">
        <x:v>2차 보류</x:v>
      </x:c>
      <x:c r="C1235" s="2" t="str">
        <x:v>2차 보류</x:v>
      </x:c>
      <x:c r="D1235" s="2" t="str">
        <x:v>낮음</x:v>
      </x:c>
      <x:c r="E1235" s="2" t="str">
        <x:v>N2</x:v>
      </x:c>
      <x:c r="F1235" s="10" t="n">
        <x:v>459</x:v>
      </x:c>
      <x:c r="G1235" s="2" t="str">
        <x:v>w_91829b4aaab8c4d5</x:v>
      </x:c>
      <x:c r="H1235" s="2" t="str">
        <x:v>剃刀</x:v>
      </x:c>
      <x:c r="I1235" s="2" t="str">
        <x:v>かみそり</x:v>
      </x:c>
      <x:c r="J1235" s="8" t="str">
        <x:v>면도칼</x:v>
      </x:c>
      <x:c r="K1235" s="2" t="str">
        <x:v>noun</x:v>
      </x:c>
      <x:c r="L1235" s="9" t="n">
        <x:v>2.92</x:v>
      </x:c>
      <x:c r="M1235" s="2" t="str">
        <x:v>없음</x:v>
      </x:c>
      <x:c r="N1235" s="11" t="n">
        <x:v>-7</x:v>
      </x:c>
      <x:c r="O1235" s="8" t="str">
        <x:v>일반 사용 빈도 낮은 편(Zipf ≤ 3.0); 검증된 예문 없음</x:v>
      </x:c>
      <x:c r="P1235" s="8" t="str">
        <x:v>frequency_le_3_0,no_example</x:v>
      </x:c>
      <x:c r="Q1235" s="2" t="str"/>
      <x:c r="R1235" s="2" t="str"/>
      <x:c r="S1235" s="2" t="str"/>
      <x:c r="T1235" s="2" t="str"/>
      <x:c r="U1235" s="2" t="str"/>
      <x:c r="V1235" s="2" t="str">
        <x:v>아니오</x:v>
      </x:c>
      <x:c r="W1235" s="2" t="str">
        <x:v>예</x:v>
      </x:c>
      <x:c r="X1235" s="2" t="str">
        <x:v>ichi1</x:v>
      </x:c>
      <x:c r="Y1235" s="2" t="n">
        <x:v>100</x:v>
      </x:c>
      <x:c r="Z1235" s="2" t="str">
        <x:v>ichi1</x:v>
      </x:c>
      <x:c r="AA1235" s="2" t="n">
        <x:v>100</x:v>
      </x:c>
      <x:c r="AB1235" s="8" t="str">
        <x:v>word usually written using kana alone</x:v>
      </x:c>
      <x:c r="AC1235" s="8" t="str"/>
      <x:c r="AD1235" s="8" t="str">
        <x:v>["ko-reviewed"]</x:v>
      </x:c>
      <x:c r="AE1235" s="8" t="str">
        <x:v>검토 필요</x:v>
      </x:c>
      <x:c r="AF1235" s="8" t="str"/>
    </x:row>
    <x:row r="1236">
      <x:c r="A1236" s="10" t="n">
        <x:v>1235</x:v>
      </x:c>
      <x:c r="B1236" s="2" t="str">
        <x:v>2차 보류</x:v>
      </x:c>
      <x:c r="C1236" s="2" t="str">
        <x:v>2차 보류</x:v>
      </x:c>
      <x:c r="D1236" s="2" t="str">
        <x:v>낮음</x:v>
      </x:c>
      <x:c r="E1236" s="2" t="str">
        <x:v>N2</x:v>
      </x:c>
      <x:c r="F1236" s="10" t="n">
        <x:v>460</x:v>
      </x:c>
      <x:c r="G1236" s="2" t="str">
        <x:v>w_db2ab214bf20d6c5</x:v>
      </x:c>
      <x:c r="H1236" s="2" t="str">
        <x:v>這う</x:v>
      </x:c>
      <x:c r="I1236" s="2" t="str">
        <x:v>はう</x:v>
      </x:c>
      <x:c r="J1236" s="8" t="str">
        <x:v>기다, 기어가다</x:v>
      </x:c>
      <x:c r="K1236" s="2" t="str">
        <x:v>verb</x:v>
      </x:c>
      <x:c r="L1236" s="9" t="n">
        <x:v>2.92</x:v>
      </x:c>
      <x:c r="M1236" s="2" t="str">
        <x:v>없음</x:v>
      </x:c>
      <x:c r="N1236" s="11" t="n">
        <x:v>-7</x:v>
      </x:c>
      <x:c r="O1236" s="8" t="str">
        <x:v>일반 사용 빈도 낮은 편(Zipf ≤ 3.0); 검증된 예문 없음</x:v>
      </x:c>
      <x:c r="P1236" s="8" t="str">
        <x:v>frequency_le_3_0,no_example</x:v>
      </x:c>
      <x:c r="Q1236" s="2" t="str"/>
      <x:c r="R1236" s="2" t="str"/>
      <x:c r="S1236" s="2" t="str"/>
      <x:c r="T1236" s="2" t="str"/>
      <x:c r="U1236" s="2" t="str"/>
      <x:c r="V1236" s="2" t="str">
        <x:v>아니오</x:v>
      </x:c>
      <x:c r="W1236" s="2" t="str">
        <x:v>예</x:v>
      </x:c>
      <x:c r="X1236" s="2" t="str">
        <x:v>ichi1</x:v>
      </x:c>
      <x:c r="Y1236" s="2" t="n">
        <x:v>100</x:v>
      </x:c>
      <x:c r="Z1236" s="2" t="str">
        <x:v>ichi1</x:v>
      </x:c>
      <x:c r="AA1236" s="2" t="n">
        <x:v>100</x:v>
      </x:c>
      <x:c r="AB1236" s="8" t="str"/>
      <x:c r="AC1236" s="8" t="str"/>
      <x:c r="AD1236" s="8" t="str">
        <x:v>["ko-reviewed"]</x:v>
      </x:c>
      <x:c r="AE1236" s="8" t="str">
        <x:v>검토 필요</x:v>
      </x:c>
      <x:c r="AF1236" s="8" t="str"/>
    </x:row>
    <x:row r="1237">
      <x:c r="A1237" s="10" t="n">
        <x:v>1236</x:v>
      </x:c>
      <x:c r="B1237" s="2" t="str">
        <x:v>2차 보류</x:v>
      </x:c>
      <x:c r="C1237" s="2" t="str">
        <x:v>2차 보류</x:v>
      </x:c>
      <x:c r="D1237" s="2" t="str">
        <x:v>낮음</x:v>
      </x:c>
      <x:c r="E1237" s="2" t="str">
        <x:v>N1</x:v>
      </x:c>
      <x:c r="F1237" s="10" t="n">
        <x:v>536</x:v>
      </x:c>
      <x:c r="G1237" s="2" t="str">
        <x:v>w_1cb3c24ea6527cfa</x:v>
      </x:c>
      <x:c r="H1237" s="2" t="str">
        <x:v>先天的</x:v>
      </x:c>
      <x:c r="I1237" s="2" t="str">
        <x:v>せんてんてき</x:v>
      </x:c>
      <x:c r="J1237" s="8" t="str">
        <x:v>선천적</x:v>
      </x:c>
      <x:c r="K1237" s="2" t="str">
        <x:v>adjective</x:v>
      </x:c>
      <x:c r="L1237" s="9" t="n">
        <x:v>2.93</x:v>
      </x:c>
      <x:c r="M1237" s="2" t="str">
        <x:v>없음</x:v>
      </x:c>
      <x:c r="N1237" s="11" t="n">
        <x:v>-7</x:v>
      </x:c>
      <x:c r="O1237" s="8" t="str">
        <x:v>일반 사용 빈도 낮은 편(Zipf ≤ 3.0); 검증된 예문 없음</x:v>
      </x:c>
      <x:c r="P1237" s="8" t="str">
        <x:v>frequency_le_3_0,no_example</x:v>
      </x:c>
      <x:c r="Q1237" s="2" t="str"/>
      <x:c r="R1237" s="2" t="str"/>
      <x:c r="S1237" s="2" t="str"/>
      <x:c r="T1237" s="2" t="str"/>
      <x:c r="U1237" s="2" t="str"/>
      <x:c r="V1237" s="2" t="str">
        <x:v>아니오</x:v>
      </x:c>
      <x:c r="W1237" s="2" t="str">
        <x:v>예</x:v>
      </x:c>
      <x:c r="X1237" s="2" t="str">
        <x:v>ichi1,news2,nf39</x:v>
      </x:c>
      <x:c r="Y1237" s="2" t="n">
        <x:v>100</x:v>
      </x:c>
      <x:c r="Z1237" s="2" t="str">
        <x:v>ichi1,news2,nf39</x:v>
      </x:c>
      <x:c r="AA1237" s="2" t="n">
        <x:v>100</x:v>
      </x:c>
      <x:c r="AB1237" s="8" t="str"/>
      <x:c r="AC1237" s="8" t="str"/>
      <x:c r="AD1237" s="8" t="str">
        <x:v>["ko-reviewed"]</x:v>
      </x:c>
      <x:c r="AE1237" s="8" t="str">
        <x:v>검토 필요</x:v>
      </x:c>
      <x:c r="AF1237" s="8" t="str"/>
    </x:row>
    <x:row r="1238">
      <x:c r="A1238" s="10" t="n">
        <x:v>1237</x:v>
      </x:c>
      <x:c r="B1238" s="2" t="str">
        <x:v>2차 보류</x:v>
      </x:c>
      <x:c r="C1238" s="2" t="str">
        <x:v>2차 보류</x:v>
      </x:c>
      <x:c r="D1238" s="2" t="str">
        <x:v>낮음</x:v>
      </x:c>
      <x:c r="E1238" s="2" t="str">
        <x:v>N3</x:v>
      </x:c>
      <x:c r="F1238" s="10" t="n">
        <x:v>146</x:v>
      </x:c>
      <x:c r="G1238" s="2" t="str">
        <x:v>w_cf848447271a0490</x:v>
      </x:c>
      <x:c r="H1238" s="2" t="str">
        <x:v>茹でる</x:v>
      </x:c>
      <x:c r="I1238" s="2" t="str">
        <x:v>ゆでる</x:v>
      </x:c>
      <x:c r="J1238" s="8" t="str">
        <x:v>삶다, 데치다</x:v>
      </x:c>
      <x:c r="K1238" s="2" t="str">
        <x:v>verb</x:v>
      </x:c>
      <x:c r="L1238" s="9" t="n">
        <x:v>2.94</x:v>
      </x:c>
      <x:c r="M1238" s="2" t="str">
        <x:v>없음</x:v>
      </x:c>
      <x:c r="N1238" s="11" t="n">
        <x:v>-7</x:v>
      </x:c>
      <x:c r="O1238" s="8" t="str">
        <x:v>일반 사용 빈도 낮은 편(Zipf ≤ 3.0); 검증된 예문 없음</x:v>
      </x:c>
      <x:c r="P1238" s="8" t="str">
        <x:v>frequency_le_3_0,no_example</x:v>
      </x:c>
      <x:c r="Q1238" s="2" t="str"/>
      <x:c r="R1238" s="2" t="str"/>
      <x:c r="S1238" s="2" t="str"/>
      <x:c r="T1238" s="2" t="str"/>
      <x:c r="U1238" s="2" t="str"/>
      <x:c r="V1238" s="2" t="str">
        <x:v>아니오</x:v>
      </x:c>
      <x:c r="W1238" s="2" t="str">
        <x:v>예</x:v>
      </x:c>
      <x:c r="X1238" s="2" t="str">
        <x:v>ichi1</x:v>
      </x:c>
      <x:c r="Y1238" s="2" t="n">
        <x:v>100</x:v>
      </x:c>
      <x:c r="Z1238" s="2" t="str">
        <x:v>ichi1</x:v>
      </x:c>
      <x:c r="AA1238" s="2" t="n">
        <x:v>100</x:v>
      </x:c>
      <x:c r="AB1238" s="8" t="str"/>
      <x:c r="AC1238" s="8" t="str"/>
      <x:c r="AD1238" s="8" t="str">
        <x:v>["backfill-replacement","assistant-ko-reviewed"]</x:v>
      </x:c>
      <x:c r="AE1238" s="8" t="str">
        <x:v>검토 필요</x:v>
      </x:c>
      <x:c r="AF1238" s="8" t="str"/>
    </x:row>
    <x:row r="1239">
      <x:c r="A1239" s="10" t="n">
        <x:v>1238</x:v>
      </x:c>
      <x:c r="B1239" s="2" t="str">
        <x:v>2차 보류</x:v>
      </x:c>
      <x:c r="C1239" s="2" t="str">
        <x:v>2차 보류</x:v>
      </x:c>
      <x:c r="D1239" s="2" t="str">
        <x:v>낮음</x:v>
      </x:c>
      <x:c r="E1239" s="2" t="str">
        <x:v>N2</x:v>
      </x:c>
      <x:c r="F1239" s="10" t="n">
        <x:v>461</x:v>
      </x:c>
      <x:c r="G1239" s="2" t="str">
        <x:v>w_b097e87be35c53bf</x:v>
      </x:c>
      <x:c r="H1239" s="2" t="str">
        <x:v>思い込む</x:v>
      </x:c>
      <x:c r="I1239" s="2" t="str">
        <x:v>おもいこむ</x:v>
      </x:c>
      <x:c r="J1239" s="8" t="str">
        <x:v>굳게 믿다, 단정하다</x:v>
      </x:c>
      <x:c r="K1239" s="2" t="str">
        <x:v>verb</x:v>
      </x:c>
      <x:c r="L1239" s="9" t="n">
        <x:v>2.94</x:v>
      </x:c>
      <x:c r="M1239" s="2" t="str">
        <x:v>없음</x:v>
      </x:c>
      <x:c r="N1239" s="11" t="n">
        <x:v>-7</x:v>
      </x:c>
      <x:c r="O1239" s="8" t="str">
        <x:v>일반 사용 빈도 낮은 편(Zipf ≤ 3.0); 검증된 예문 없음</x:v>
      </x:c>
      <x:c r="P1239" s="8" t="str">
        <x:v>frequency_le_3_0,no_example</x:v>
      </x:c>
      <x:c r="Q1239" s="2" t="str"/>
      <x:c r="R1239" s="2" t="str"/>
      <x:c r="S1239" s="2" t="str"/>
      <x:c r="T1239" s="2" t="str"/>
      <x:c r="U1239" s="2" t="str"/>
      <x:c r="V1239" s="2" t="str">
        <x:v>아니오</x:v>
      </x:c>
      <x:c r="W1239" s="2" t="str">
        <x:v>예</x:v>
      </x:c>
      <x:c r="X1239" s="2" t="str">
        <x:v>ichi1,news2,nf47</x:v>
      </x:c>
      <x:c r="Y1239" s="2" t="n">
        <x:v>100</x:v>
      </x:c>
      <x:c r="Z1239" s="2" t="str">
        <x:v>ichi1,news2,nf47</x:v>
      </x:c>
      <x:c r="AA1239" s="2" t="n">
        <x:v>100</x:v>
      </x:c>
      <x:c r="AB1239" s="8" t="str"/>
      <x:c r="AC1239" s="8" t="str"/>
      <x:c r="AD1239" s="8" t="str">
        <x:v>["ko-reviewed"]</x:v>
      </x:c>
      <x:c r="AE1239" s="8" t="str">
        <x:v>검토 필요</x:v>
      </x:c>
      <x:c r="AF1239" s="8" t="str"/>
    </x:row>
    <x:row r="1240">
      <x:c r="A1240" s="10" t="n">
        <x:v>1239</x:v>
      </x:c>
      <x:c r="B1240" s="2" t="str">
        <x:v>2차 보류</x:v>
      </x:c>
      <x:c r="C1240" s="2" t="str">
        <x:v>2차 보류</x:v>
      </x:c>
      <x:c r="D1240" s="2" t="str">
        <x:v>낮음</x:v>
      </x:c>
      <x:c r="E1240" s="2" t="str">
        <x:v>N1</x:v>
      </x:c>
      <x:c r="F1240" s="10" t="n">
        <x:v>537</x:v>
      </x:c>
      <x:c r="G1240" s="2" t="str">
        <x:v>w_4a1f83a3a2f69125</x:v>
      </x:c>
      <x:c r="H1240" s="2" t="str">
        <x:v>十字路</x:v>
      </x:c>
      <x:c r="I1240" s="2" t="str">
        <x:v>じゅうじろ</x:v>
      </x:c>
      <x:c r="J1240" s="8" t="str">
        <x:v>십자로, 교차로</x:v>
      </x:c>
      <x:c r="K1240" s="2" t="str">
        <x:v>noun</x:v>
      </x:c>
      <x:c r="L1240" s="9" t="n">
        <x:v>2.94</x:v>
      </x:c>
      <x:c r="M1240" s="2" t="str">
        <x:v>없음</x:v>
      </x:c>
      <x:c r="N1240" s="11" t="n">
        <x:v>-7</x:v>
      </x:c>
      <x:c r="O1240" s="8" t="str">
        <x:v>일반 사용 빈도 낮은 편(Zipf ≤ 3.0); 검증된 예문 없음</x:v>
      </x:c>
      <x:c r="P1240" s="8" t="str">
        <x:v>frequency_le_3_0,no_example</x:v>
      </x:c>
      <x:c r="Q1240" s="2" t="str"/>
      <x:c r="R1240" s="2" t="str"/>
      <x:c r="S1240" s="2" t="str"/>
      <x:c r="T1240" s="2" t="str"/>
      <x:c r="U1240" s="2" t="str"/>
      <x:c r="V1240" s="2" t="str">
        <x:v>아니오</x:v>
      </x:c>
      <x:c r="W1240" s="2" t="str">
        <x:v>예</x:v>
      </x:c>
      <x:c r="X1240" s="2" t="str">
        <x:v>ichi1,news2,nf36</x:v>
      </x:c>
      <x:c r="Y1240" s="2" t="n">
        <x:v>100</x:v>
      </x:c>
      <x:c r="Z1240" s="2" t="str">
        <x:v>ichi1,news2,nf36</x:v>
      </x:c>
      <x:c r="AA1240" s="2" t="n">
        <x:v>100</x:v>
      </x:c>
      <x:c r="AB1240" s="8" t="str"/>
      <x:c r="AC1240" s="8" t="str"/>
      <x:c r="AD1240" s="8" t="str">
        <x:v>["ko-reviewed"]</x:v>
      </x:c>
      <x:c r="AE1240" s="8" t="str">
        <x:v>검토 필요</x:v>
      </x:c>
      <x:c r="AF1240" s="8" t="str"/>
    </x:row>
    <x:row r="1241">
      <x:c r="A1241" s="10" t="n">
        <x:v>1240</x:v>
      </x:c>
      <x:c r="B1241" s="2" t="str">
        <x:v>2차 보류</x:v>
      </x:c>
      <x:c r="C1241" s="2" t="str">
        <x:v>2차 보류</x:v>
      </x:c>
      <x:c r="D1241" s="2" t="str">
        <x:v>낮음</x:v>
      </x:c>
      <x:c r="E1241" s="2" t="str">
        <x:v>N1</x:v>
      </x:c>
      <x:c r="F1241" s="10" t="n">
        <x:v>538</x:v>
      </x:c>
      <x:c r="G1241" s="2" t="str">
        <x:v>w_6f6291c512a7bd9c</x:v>
      </x:c>
      <x:c r="H1241" s="2" t="str">
        <x:v>前途</x:v>
      </x:c>
      <x:c r="I1241" s="2" t="str">
        <x:v>ぜんと</x:v>
      </x:c>
      <x:c r="J1241" s="8" t="str">
        <x:v>앞날, 장래</x:v>
      </x:c>
      <x:c r="K1241" s="2" t="str">
        <x:v>noun</x:v>
      </x:c>
      <x:c r="L1241" s="9" t="n">
        <x:v>2.94</x:v>
      </x:c>
      <x:c r="M1241" s="2" t="str">
        <x:v>없음</x:v>
      </x:c>
      <x:c r="N1241" s="11" t="n">
        <x:v>-7</x:v>
      </x:c>
      <x:c r="O1241" s="8" t="str">
        <x:v>일반 사용 빈도 낮은 편(Zipf ≤ 3.0); 검증된 예문 없음</x:v>
      </x:c>
      <x:c r="P1241" s="8" t="str">
        <x:v>frequency_le_3_0,no_example</x:v>
      </x:c>
      <x:c r="Q1241" s="2" t="str"/>
      <x:c r="R1241" s="2" t="str"/>
      <x:c r="S1241" s="2" t="str"/>
      <x:c r="T1241" s="2" t="str"/>
      <x:c r="U1241" s="2" t="str"/>
      <x:c r="V1241" s="2" t="str">
        <x:v>아니오</x:v>
      </x:c>
      <x:c r="W1241" s="2" t="str">
        <x:v>예</x:v>
      </x:c>
      <x:c r="X1241" s="2" t="str">
        <x:v>ichi1,news1,nf10</x:v>
      </x:c>
      <x:c r="Y1241" s="2" t="n">
        <x:v>100</x:v>
      </x:c>
      <x:c r="Z1241" s="2" t="str">
        <x:v>ichi1,news1,nf10</x:v>
      </x:c>
      <x:c r="AA1241" s="2" t="n">
        <x:v>100</x:v>
      </x:c>
      <x:c r="AB1241" s="8" t="str"/>
      <x:c r="AC1241" s="8" t="str"/>
      <x:c r="AD1241" s="8" t="str">
        <x:v>["ko-reviewed"]</x:v>
      </x:c>
      <x:c r="AE1241" s="8" t="str">
        <x:v>검토 필요</x:v>
      </x:c>
      <x:c r="AF1241" s="8" t="str"/>
    </x:row>
    <x:row r="1242">
      <x:c r="A1242" s="10" t="n">
        <x:v>1241</x:v>
      </x:c>
      <x:c r="B1242" s="2" t="str">
        <x:v>2차 보류</x:v>
      </x:c>
      <x:c r="C1242" s="2" t="str">
        <x:v>2차 보류</x:v>
      </x:c>
      <x:c r="D1242" s="2" t="str">
        <x:v>낮음</x:v>
      </x:c>
      <x:c r="E1242" s="2" t="str">
        <x:v>N2</x:v>
      </x:c>
      <x:c r="F1242" s="10" t="n">
        <x:v>462</x:v>
      </x:c>
      <x:c r="G1242" s="2" t="str">
        <x:v>w_61db47cf355caff0</x:v>
      </x:c>
      <x:c r="H1242" s="2" t="str">
        <x:v>勇ましい</x:v>
      </x:c>
      <x:c r="I1242" s="2" t="str">
        <x:v>いさましい</x:v>
      </x:c>
      <x:c r="J1242" s="8" t="str">
        <x:v>용감하다, 씩씩하다</x:v>
      </x:c>
      <x:c r="K1242" s="2" t="str">
        <x:v>adjective</x:v>
      </x:c>
      <x:c r="L1242" s="9" t="n">
        <x:v>2.96</x:v>
      </x:c>
      <x:c r="M1242" s="2" t="str">
        <x:v>없음</x:v>
      </x:c>
      <x:c r="N1242" s="11" t="n">
        <x:v>-7</x:v>
      </x:c>
      <x:c r="O1242" s="8" t="str">
        <x:v>일반 사용 빈도 낮은 편(Zipf ≤ 3.0); 검증된 예문 없음</x:v>
      </x:c>
      <x:c r="P1242" s="8" t="str">
        <x:v>frequency_le_3_0,no_example</x:v>
      </x:c>
      <x:c r="Q1242" s="2" t="str"/>
      <x:c r="R1242" s="2" t="str"/>
      <x:c r="S1242" s="2" t="str"/>
      <x:c r="T1242" s="2" t="str"/>
      <x:c r="U1242" s="2" t="str"/>
      <x:c r="V1242" s="2" t="str">
        <x:v>아니오</x:v>
      </x:c>
      <x:c r="W1242" s="2" t="str">
        <x:v>예</x:v>
      </x:c>
      <x:c r="X1242" s="2" t="str">
        <x:v>ichi1,news2,nf45</x:v>
      </x:c>
      <x:c r="Y1242" s="2" t="n">
        <x:v>100</x:v>
      </x:c>
      <x:c r="Z1242" s="2" t="str">
        <x:v>ichi1,news2,nf45</x:v>
      </x:c>
      <x:c r="AA1242" s="2" t="n">
        <x:v>100</x:v>
      </x:c>
      <x:c r="AB1242" s="8" t="str"/>
      <x:c r="AC1242" s="8" t="str"/>
      <x:c r="AD1242" s="8" t="str">
        <x:v>["ko-reviewed"]</x:v>
      </x:c>
      <x:c r="AE1242" s="8" t="str">
        <x:v>검토 필요</x:v>
      </x:c>
      <x:c r="AF1242" s="8" t="str"/>
    </x:row>
    <x:row r="1243">
      <x:c r="A1243" s="10" t="n">
        <x:v>1242</x:v>
      </x:c>
      <x:c r="B1243" s="2" t="str">
        <x:v>2차 보류</x:v>
      </x:c>
      <x:c r="C1243" s="2" t="str">
        <x:v>2차 보류</x:v>
      </x:c>
      <x:c r="D1243" s="2" t="str">
        <x:v>낮음</x:v>
      </x:c>
      <x:c r="E1243" s="2" t="str">
        <x:v>N2</x:v>
      </x:c>
      <x:c r="F1243" s="10" t="n">
        <x:v>463</x:v>
      </x:c>
      <x:c r="G1243" s="2" t="str">
        <x:v>w_76888fa930968791</x:v>
      </x:c>
      <x:c r="H1243" s="2" t="str">
        <x:v>ぶつぶつ</x:v>
      </x:c>
      <x:c r="I1243" s="2" t="str">
        <x:v>ぶつぶつ</x:v>
      </x:c>
      <x:c r="J1243" s="8" t="str">
        <x:v>투덜투덜, 중얼중얼</x:v>
      </x:c>
      <x:c r="K1243" s="2" t="str">
        <x:v>noun</x:v>
      </x:c>
      <x:c r="L1243" s="9" t="n">
        <x:v>2.96</x:v>
      </x:c>
      <x:c r="M1243" s="2" t="str">
        <x:v>없음</x:v>
      </x:c>
      <x:c r="N1243" s="11" t="n">
        <x:v>-7</x:v>
      </x:c>
      <x:c r="O1243" s="8" t="str">
        <x:v>일반 사용 빈도 낮은 편(Zipf ≤ 3.0); 검증된 예문 없음</x:v>
      </x:c>
      <x:c r="P1243" s="8" t="str">
        <x:v>frequency_le_3_0,no_example</x:v>
      </x:c>
      <x:c r="Q1243" s="2" t="str"/>
      <x:c r="R1243" s="2" t="str"/>
      <x:c r="S1243" s="2" t="str"/>
      <x:c r="T1243" s="2" t="str"/>
      <x:c r="U1243" s="2" t="str"/>
      <x:c r="V1243" s="2" t="str">
        <x:v>아니오</x:v>
      </x:c>
      <x:c r="W1243" s="2" t="str">
        <x:v>예</x:v>
      </x:c>
      <x:c r="X1243" s="2" t="str">
        <x:v>ichi1</x:v>
      </x:c>
      <x:c r="Y1243" s="2" t="n">
        <x:v>100</x:v>
      </x:c>
      <x:c r="Z1243" s="2" t="str">
        <x:v>ichi1</x:v>
      </x:c>
      <x:c r="AA1243" s="2" t="n">
        <x:v>100</x:v>
      </x:c>
      <x:c r="AB1243" s="8" t="str">
        <x:v>onomatopoeic or mimetic word</x:v>
      </x:c>
      <x:c r="AC1243" s="8" t="str"/>
      <x:c r="AD1243" s="8" t="str">
        <x:v>["ko-reviewed"]</x:v>
      </x:c>
      <x:c r="AE1243" s="8" t="str">
        <x:v>검토 필요</x:v>
      </x:c>
      <x:c r="AF1243" s="8" t="str"/>
    </x:row>
    <x:row r="1244">
      <x:c r="A1244" s="10" t="n">
        <x:v>1243</x:v>
      </x:c>
      <x:c r="B1244" s="2" t="str">
        <x:v>2차 보류</x:v>
      </x:c>
      <x:c r="C1244" s="2" t="str">
        <x:v>2차 보류</x:v>
      </x:c>
      <x:c r="D1244" s="2" t="str">
        <x:v>낮음</x:v>
      </x:c>
      <x:c r="E1244" s="2" t="str">
        <x:v>N2</x:v>
      </x:c>
      <x:c r="F1244" s="10" t="n">
        <x:v>464</x:v>
      </x:c>
      <x:c r="G1244" s="2" t="str">
        <x:v>w_85538e4f730b1fbb</x:v>
      </x:c>
      <x:c r="H1244" s="2" t="str">
        <x:v>櫛</x:v>
      </x:c>
      <x:c r="I1244" s="2" t="str">
        <x:v>くし</x:v>
      </x:c>
      <x:c r="J1244" s="8" t="str">
        <x:v>빗</x:v>
      </x:c>
      <x:c r="K1244" s="2" t="str">
        <x:v>noun</x:v>
      </x:c>
      <x:c r="L1244" s="9" t="n">
        <x:v>2.97</x:v>
      </x:c>
      <x:c r="M1244" s="2" t="str">
        <x:v>없음</x:v>
      </x:c>
      <x:c r="N1244" s="11" t="n">
        <x:v>-7</x:v>
      </x:c>
      <x:c r="O1244" s="8" t="str">
        <x:v>일반 사용 빈도 낮은 편(Zipf ≤ 3.0); 검증된 예문 없음</x:v>
      </x:c>
      <x:c r="P1244" s="8" t="str">
        <x:v>frequency_le_3_0,no_example</x:v>
      </x:c>
      <x:c r="Q1244" s="2" t="str"/>
      <x:c r="R1244" s="2" t="str"/>
      <x:c r="S1244" s="2" t="str"/>
      <x:c r="T1244" s="2" t="str"/>
      <x:c r="U1244" s="2" t="str"/>
      <x:c r="V1244" s="2" t="str">
        <x:v>아니오</x:v>
      </x:c>
      <x:c r="W1244" s="2" t="str">
        <x:v>예</x:v>
      </x:c>
      <x:c r="X1244" s="2" t="str">
        <x:v>ichi1,news2,nf28</x:v>
      </x:c>
      <x:c r="Y1244" s="2" t="n">
        <x:v>100</x:v>
      </x:c>
      <x:c r="Z1244" s="2" t="str">
        <x:v>ichi1,news2,nf28</x:v>
      </x:c>
      <x:c r="AA1244" s="2" t="n">
        <x:v>100</x:v>
      </x:c>
      <x:c r="AB1244" s="8" t="str"/>
      <x:c r="AC1244" s="8" t="str"/>
      <x:c r="AD1244" s="8" t="str">
        <x:v>["ko-reviewed"]</x:v>
      </x:c>
      <x:c r="AE1244" s="8" t="str">
        <x:v>검토 필요</x:v>
      </x:c>
      <x:c r="AF1244" s="8" t="str"/>
    </x:row>
    <x:row r="1245">
      <x:c r="A1245" s="10" t="n">
        <x:v>1244</x:v>
      </x:c>
      <x:c r="B1245" s="2" t="str">
        <x:v>2차 보류</x:v>
      </x:c>
      <x:c r="C1245" s="2" t="str">
        <x:v>2차 보류</x:v>
      </x:c>
      <x:c r="D1245" s="2" t="str">
        <x:v>낮음</x:v>
      </x:c>
      <x:c r="E1245" s="2" t="str">
        <x:v>N2</x:v>
      </x:c>
      <x:c r="F1245" s="10" t="n">
        <x:v>465</x:v>
      </x:c>
      <x:c r="G1245" s="2" t="str">
        <x:v>w_b6c7082ad8b7c751</x:v>
      </x:c>
      <x:c r="H1245" s="2" t="str">
        <x:v>損得</x:v>
      </x:c>
      <x:c r="I1245" s="2" t="str">
        <x:v>そんとく</x:v>
      </x:c>
      <x:c r="J1245" s="8" t="str">
        <x:v>손익, 이해득실</x:v>
      </x:c>
      <x:c r="K1245" s="2" t="str">
        <x:v>noun</x:v>
      </x:c>
      <x:c r="L1245" s="9" t="n">
        <x:v>2.97</x:v>
      </x:c>
      <x:c r="M1245" s="2" t="str">
        <x:v>없음</x:v>
      </x:c>
      <x:c r="N1245" s="11" t="n">
        <x:v>-7</x:v>
      </x:c>
      <x:c r="O1245" s="8" t="str">
        <x:v>일반 사용 빈도 낮은 편(Zipf ≤ 3.0); 검증된 예문 없음</x:v>
      </x:c>
      <x:c r="P1245" s="8" t="str">
        <x:v>frequency_le_3_0,no_example</x:v>
      </x:c>
      <x:c r="Q1245" s="2" t="str"/>
      <x:c r="R1245" s="2" t="str"/>
      <x:c r="S1245" s="2" t="str"/>
      <x:c r="T1245" s="2" t="str"/>
      <x:c r="U1245" s="2" t="str"/>
      <x:c r="V1245" s="2" t="str">
        <x:v>아니오</x:v>
      </x:c>
      <x:c r="W1245" s="2" t="str">
        <x:v>예</x:v>
      </x:c>
      <x:c r="X1245" s="2" t="str">
        <x:v>ichi1,news2,nf27</x:v>
      </x:c>
      <x:c r="Y1245" s="2" t="n">
        <x:v>100</x:v>
      </x:c>
      <x:c r="Z1245" s="2" t="str">
        <x:v>ichi1,news2,nf27</x:v>
      </x:c>
      <x:c r="AA1245" s="2" t="n">
        <x:v>100</x:v>
      </x:c>
      <x:c r="AB1245" s="8" t="str"/>
      <x:c r="AC1245" s="8" t="str"/>
      <x:c r="AD1245" s="8" t="str">
        <x:v>["ko-reviewed"]</x:v>
      </x:c>
      <x:c r="AE1245" s="8" t="str">
        <x:v>검토 필요</x:v>
      </x:c>
      <x:c r="AF1245" s="8" t="str"/>
    </x:row>
    <x:row r="1246">
      <x:c r="A1246" s="10" t="n">
        <x:v>1245</x:v>
      </x:c>
      <x:c r="B1246" s="2" t="str">
        <x:v>2차 보류</x:v>
      </x:c>
      <x:c r="C1246" s="2" t="str">
        <x:v>2차 보류</x:v>
      </x:c>
      <x:c r="D1246" s="2" t="str">
        <x:v>낮음</x:v>
      </x:c>
      <x:c r="E1246" s="2" t="str">
        <x:v>N1</x:v>
      </x:c>
      <x:c r="F1246" s="10" t="n">
        <x:v>539</x:v>
      </x:c>
      <x:c r="G1246" s="2" t="str">
        <x:v>w_38d94ea01ef13ce1</x:v>
      </x:c>
      <x:c r="H1246" s="2" t="str">
        <x:v>賭</x:v>
      </x:c>
      <x:c r="I1246" s="2" t="str">
        <x:v>かけ</x:v>
      </x:c>
      <x:c r="J1246" s="8" t="str">
        <x:v>내기, 도박</x:v>
      </x:c>
      <x:c r="K1246" s="2" t="str">
        <x:v>noun</x:v>
      </x:c>
      <x:c r="L1246" s="9" t="n">
        <x:v>2.97</x:v>
      </x:c>
      <x:c r="M1246" s="2" t="str">
        <x:v>없음</x:v>
      </x:c>
      <x:c r="N1246" s="11" t="n">
        <x:v>-7</x:v>
      </x:c>
      <x:c r="O1246" s="8" t="str">
        <x:v>일반 사용 빈도 낮은 편(Zipf ≤ 3.0); 검증된 예문 없음</x:v>
      </x:c>
      <x:c r="P1246" s="8" t="str">
        <x:v>frequency_le_3_0,no_example</x:v>
      </x:c>
      <x:c r="Q1246" s="2" t="str"/>
      <x:c r="R1246" s="2" t="str"/>
      <x:c r="S1246" s="2" t="str"/>
      <x:c r="T1246" s="2" t="str"/>
      <x:c r="U1246" s="2" t="str"/>
      <x:c r="V1246" s="2" t="str">
        <x:v>아니오</x:v>
      </x:c>
      <x:c r="W1246" s="2" t="str">
        <x:v>예</x:v>
      </x:c>
      <x:c r="X1246" s="2" t="str">
        <x:v>ichi1,news1,nf19</x:v>
      </x:c>
      <x:c r="Y1246" s="2" t="n">
        <x:v>100</x:v>
      </x:c>
      <x:c r="Z1246" s="2" t="str"/>
      <x:c r="AA1246" s="2" t="n">
        <x:v>0</x:v>
      </x:c>
      <x:c r="AB1246" s="8" t="str"/>
      <x:c r="AC1246" s="8" t="str"/>
      <x:c r="AD1246" s="8" t="str">
        <x:v>["ko-reviewed"]</x:v>
      </x:c>
      <x:c r="AE1246" s="8" t="str">
        <x:v>검토 필요</x:v>
      </x:c>
      <x:c r="AF1246" s="8" t="str"/>
    </x:row>
    <x:row r="1247">
      <x:c r="A1247" s="10" t="n">
        <x:v>1246</x:v>
      </x:c>
      <x:c r="B1247" s="2" t="str">
        <x:v>2차 보류</x:v>
      </x:c>
      <x:c r="C1247" s="2" t="str">
        <x:v>2차 보류</x:v>
      </x:c>
      <x:c r="D1247" s="2" t="str">
        <x:v>낮음</x:v>
      </x:c>
      <x:c r="E1247" s="2" t="str">
        <x:v>N2</x:v>
      </x:c>
      <x:c r="F1247" s="10" t="n">
        <x:v>466</x:v>
      </x:c>
      <x:c r="G1247" s="2" t="str">
        <x:v>w_586fd739ed45378a</x:v>
      </x:c>
      <x:c r="H1247" s="2" t="str">
        <x:v>湯気</x:v>
      </x:c>
      <x:c r="I1247" s="2" t="str">
        <x:v>ゆげ</x:v>
      </x:c>
      <x:c r="J1247" s="8" t="str">
        <x:v>김, 수증기</x:v>
      </x:c>
      <x:c r="K1247" s="2" t="str">
        <x:v>noun</x:v>
      </x:c>
      <x:c r="L1247" s="9" t="n">
        <x:v>2.98</x:v>
      </x:c>
      <x:c r="M1247" s="2" t="str">
        <x:v>없음</x:v>
      </x:c>
      <x:c r="N1247" s="11" t="n">
        <x:v>-7</x:v>
      </x:c>
      <x:c r="O1247" s="8" t="str">
        <x:v>일반 사용 빈도 낮은 편(Zipf ≤ 3.0); 검증된 예문 없음</x:v>
      </x:c>
      <x:c r="P1247" s="8" t="str">
        <x:v>frequency_le_3_0,no_example</x:v>
      </x:c>
      <x:c r="Q1247" s="2" t="str"/>
      <x:c r="R1247" s="2" t="str"/>
      <x:c r="S1247" s="2" t="str"/>
      <x:c r="T1247" s="2" t="str"/>
      <x:c r="U1247" s="2" t="str"/>
      <x:c r="V1247" s="2" t="str">
        <x:v>아니오</x:v>
      </x:c>
      <x:c r="W1247" s="2" t="str">
        <x:v>예</x:v>
      </x:c>
      <x:c r="X1247" s="2" t="str">
        <x:v>ichi1,news2,nf33</x:v>
      </x:c>
      <x:c r="Y1247" s="2" t="n">
        <x:v>100</x:v>
      </x:c>
      <x:c r="Z1247" s="2" t="str">
        <x:v>ichi1,news2,nf33</x:v>
      </x:c>
      <x:c r="AA1247" s="2" t="n">
        <x:v>100</x:v>
      </x:c>
      <x:c r="AB1247" s="8" t="str"/>
      <x:c r="AC1247" s="8" t="str"/>
      <x:c r="AD1247" s="8" t="str">
        <x:v>["backfill-replacement","assistant-ko-reviewed"]</x:v>
      </x:c>
      <x:c r="AE1247" s="8" t="str">
        <x:v>검토 필요</x:v>
      </x:c>
      <x:c r="AF1247" s="8" t="str"/>
    </x:row>
    <x:row r="1248">
      <x:c r="A1248" s="10" t="n">
        <x:v>1247</x:v>
      </x:c>
      <x:c r="B1248" s="2" t="str">
        <x:v>2차 보류</x:v>
      </x:c>
      <x:c r="C1248" s="2" t="str">
        <x:v>2차 보류</x:v>
      </x:c>
      <x:c r="D1248" s="2" t="str">
        <x:v>낮음</x:v>
      </x:c>
      <x:c r="E1248" s="2" t="str">
        <x:v>N1</x:v>
      </x:c>
      <x:c r="F1248" s="10" t="n">
        <x:v>540</x:v>
      </x:c>
      <x:c r="G1248" s="2" t="str">
        <x:v>w_74626cb2d678c7da</x:v>
      </x:c>
      <x:c r="H1248" s="2" t="str">
        <x:v>民宿</x:v>
      </x:c>
      <x:c r="I1248" s="2" t="str">
        <x:v>みんしゅく</x:v>
      </x:c>
      <x:c r="J1248" s="8" t="str">
        <x:v>민박</x:v>
      </x:c>
      <x:c r="K1248" s="2" t="str">
        <x:v>noun</x:v>
      </x:c>
      <x:c r="L1248" s="9" t="n">
        <x:v>2.98</x:v>
      </x:c>
      <x:c r="M1248" s="2" t="str">
        <x:v>없음</x:v>
      </x:c>
      <x:c r="N1248" s="11" t="n">
        <x:v>-7</x:v>
      </x:c>
      <x:c r="O1248" s="8" t="str">
        <x:v>일반 사용 빈도 낮은 편(Zipf ≤ 3.0); 검증된 예문 없음</x:v>
      </x:c>
      <x:c r="P1248" s="8" t="str">
        <x:v>frequency_le_3_0,no_example</x:v>
      </x:c>
      <x:c r="Q1248" s="2" t="str"/>
      <x:c r="R1248" s="2" t="str"/>
      <x:c r="S1248" s="2" t="str"/>
      <x:c r="T1248" s="2" t="str"/>
      <x:c r="U1248" s="2" t="str"/>
      <x:c r="V1248" s="2" t="str">
        <x:v>아니오</x:v>
      </x:c>
      <x:c r="W1248" s="2" t="str">
        <x:v>예</x:v>
      </x:c>
      <x:c r="X1248" s="2" t="str">
        <x:v>news1,nf20</x:v>
      </x:c>
      <x:c r="Y1248" s="2" t="n">
        <x:v>100</x:v>
      </x:c>
      <x:c r="Z1248" s="2" t="str">
        <x:v>news1,nf20</x:v>
      </x:c>
      <x:c r="AA1248" s="2" t="n">
        <x:v>100</x:v>
      </x:c>
      <x:c r="AB1248" s="8" t="str"/>
      <x:c r="AC1248" s="8" t="str"/>
      <x:c r="AD1248" s="8" t="str">
        <x:v>["ko-reviewed"]</x:v>
      </x:c>
      <x:c r="AE1248" s="8" t="str">
        <x:v>검토 필요</x:v>
      </x:c>
      <x:c r="AF1248" s="8" t="str"/>
    </x:row>
    <x:row r="1249">
      <x:c r="A1249" s="10" t="n">
        <x:v>1248</x:v>
      </x:c>
      <x:c r="B1249" s="2" t="str">
        <x:v>2차 보류</x:v>
      </x:c>
      <x:c r="C1249" s="2" t="str">
        <x:v>2차 보류</x:v>
      </x:c>
      <x:c r="D1249" s="2" t="str">
        <x:v>낮음</x:v>
      </x:c>
      <x:c r="E1249" s="2" t="str">
        <x:v>N1</x:v>
      </x:c>
      <x:c r="F1249" s="10" t="n">
        <x:v>541</x:v>
      </x:c>
      <x:c r="G1249" s="2" t="str">
        <x:v>w_868dd8f818c0b138</x:v>
      </x:c>
      <x:c r="H1249" s="2" t="str">
        <x:v>共学</x:v>
      </x:c>
      <x:c r="I1249" s="2" t="str">
        <x:v>きょうがく</x:v>
      </x:c>
      <x:c r="J1249" s="8" t="str">
        <x:v>남녀공학</x:v>
      </x:c>
      <x:c r="K1249" s="2" t="str">
        <x:v>noun</x:v>
      </x:c>
      <x:c r="L1249" s="9" t="n">
        <x:v>2.98</x:v>
      </x:c>
      <x:c r="M1249" s="2" t="str">
        <x:v>없음</x:v>
      </x:c>
      <x:c r="N1249" s="11" t="n">
        <x:v>-7</x:v>
      </x:c>
      <x:c r="O1249" s="8" t="str">
        <x:v>일반 사용 빈도 낮은 편(Zipf ≤ 3.0); 검증된 예문 없음</x:v>
      </x:c>
      <x:c r="P1249" s="8" t="str">
        <x:v>frequency_le_3_0,no_example</x:v>
      </x:c>
      <x:c r="Q1249" s="2" t="str"/>
      <x:c r="R1249" s="2" t="str"/>
      <x:c r="S1249" s="2" t="str"/>
      <x:c r="T1249" s="2" t="str"/>
      <x:c r="U1249" s="2" t="str"/>
      <x:c r="V1249" s="2" t="str">
        <x:v>아니오</x:v>
      </x:c>
      <x:c r="W1249" s="2" t="str">
        <x:v>예</x:v>
      </x:c>
      <x:c r="X1249" s="2" t="str">
        <x:v>news1,nf22</x:v>
      </x:c>
      <x:c r="Y1249" s="2" t="n">
        <x:v>100</x:v>
      </x:c>
      <x:c r="Z1249" s="2" t="str">
        <x:v>news1,nf22</x:v>
      </x:c>
      <x:c r="AA1249" s="2" t="n">
        <x:v>100</x:v>
      </x:c>
      <x:c r="AB1249" s="8" t="str"/>
      <x:c r="AC1249" s="8" t="str"/>
      <x:c r="AD1249" s="8" t="str">
        <x:v>["ko-reviewed"]</x:v>
      </x:c>
      <x:c r="AE1249" s="8" t="str">
        <x:v>검토 필요</x:v>
      </x:c>
      <x:c r="AF1249" s="8" t="str"/>
    </x:row>
    <x:row r="1250">
      <x:c r="A1250" s="10" t="n">
        <x:v>1249</x:v>
      </x:c>
      <x:c r="B1250" s="2" t="str">
        <x:v>2차 보류</x:v>
      </x:c>
      <x:c r="C1250" s="2" t="str">
        <x:v>2차 보류</x:v>
      </x:c>
      <x:c r="D1250" s="2" t="str">
        <x:v>낮음</x:v>
      </x:c>
      <x:c r="E1250" s="2" t="str">
        <x:v>N1</x:v>
      </x:c>
      <x:c r="F1250" s="10" t="n">
        <x:v>542</x:v>
      </x:c>
      <x:c r="G1250" s="2" t="str">
        <x:v>w_b39e01ca61885092</x:v>
      </x:c>
      <x:c r="H1250" s="2" t="str">
        <x:v>ずるずる</x:v>
      </x:c>
      <x:c r="I1250" s="2" t="str">
        <x:v>ずるずる</x:v>
      </x:c>
      <x:c r="J1250" s="8" t="str">
        <x:v>질질, 줄줄</x:v>
      </x:c>
      <x:c r="K1250" s="2" t="str">
        <x:v>adverb</x:v>
      </x:c>
      <x:c r="L1250" s="9" t="n">
        <x:v>2.98</x:v>
      </x:c>
      <x:c r="M1250" s="2" t="str">
        <x:v>없음</x:v>
      </x:c>
      <x:c r="N1250" s="11" t="n">
        <x:v>-7</x:v>
      </x:c>
      <x:c r="O1250" s="8" t="str">
        <x:v>일반 사용 빈도 낮은 편(Zipf ≤ 3.0); 검증된 예문 없음</x:v>
      </x:c>
      <x:c r="P1250" s="8" t="str">
        <x:v>frequency_le_3_0,no_example</x:v>
      </x:c>
      <x:c r="Q1250" s="2" t="str"/>
      <x:c r="R1250" s="2" t="str"/>
      <x:c r="S1250" s="2" t="str"/>
      <x:c r="T1250" s="2" t="str"/>
      <x:c r="U1250" s="2" t="str"/>
      <x:c r="V1250" s="2" t="str">
        <x:v>아니오</x:v>
      </x:c>
      <x:c r="W1250" s="2" t="str">
        <x:v>예</x:v>
      </x:c>
      <x:c r="X1250" s="2" t="str">
        <x:v>ichi1</x:v>
      </x:c>
      <x:c r="Y1250" s="2" t="n">
        <x:v>100</x:v>
      </x:c>
      <x:c r="Z1250" s="2" t="str">
        <x:v>ichi1</x:v>
      </x:c>
      <x:c r="AA1250" s="2" t="n">
        <x:v>100</x:v>
      </x:c>
      <x:c r="AB1250" s="8" t="str">
        <x:v>onomatopoeic or mimetic word</x:v>
      </x:c>
      <x:c r="AC1250" s="8" t="str"/>
      <x:c r="AD1250" s="8" t="str">
        <x:v>["ko-reviewed"]</x:v>
      </x:c>
      <x:c r="AE1250" s="8" t="str">
        <x:v>검토 필요</x:v>
      </x:c>
      <x:c r="AF1250" s="8" t="str"/>
    </x:row>
    <x:row r="1251">
      <x:c r="A1251" s="10" t="n">
        <x:v>1250</x:v>
      </x:c>
      <x:c r="B1251" s="2" t="str">
        <x:v>2차 보류</x:v>
      </x:c>
      <x:c r="C1251" s="2" t="str">
        <x:v>2차 보류</x:v>
      </x:c>
      <x:c r="D1251" s="2" t="str">
        <x:v>낮음</x:v>
      </x:c>
      <x:c r="E1251" s="2" t="str">
        <x:v>N3</x:v>
      </x:c>
      <x:c r="F1251" s="10" t="n">
        <x:v>147</x:v>
      </x:c>
      <x:c r="G1251" s="2" t="str">
        <x:v>w_d7332e5b51597d3e</x:v>
      </x:c>
      <x:c r="H1251" s="2" t="str">
        <x:v>目上</x:v>
      </x:c>
      <x:c r="I1251" s="2" t="str">
        <x:v>めうえ</x:v>
      </x:c>
      <x:c r="J1251" s="8" t="str">
        <x:v>윗사람, 손윗사람</x:v>
      </x:c>
      <x:c r="K1251" s="2" t="str">
        <x:v>noun</x:v>
      </x:c>
      <x:c r="L1251" s="9" t="n">
        <x:v>2.99</x:v>
      </x:c>
      <x:c r="M1251" s="2" t="str">
        <x:v>없음</x:v>
      </x:c>
      <x:c r="N1251" s="11" t="n">
        <x:v>-7</x:v>
      </x:c>
      <x:c r="O1251" s="8" t="str">
        <x:v>일반 사용 빈도 낮은 편(Zipf ≤ 3.0); 검증된 예문 없음</x:v>
      </x:c>
      <x:c r="P1251" s="8" t="str">
        <x:v>frequency_le_3_0,no_example</x:v>
      </x:c>
      <x:c r="Q1251" s="2" t="str"/>
      <x:c r="R1251" s="2" t="str"/>
      <x:c r="S1251" s="2" t="str"/>
      <x:c r="T1251" s="2" t="str"/>
      <x:c r="U1251" s="2" t="str"/>
      <x:c r="V1251" s="2" t="str">
        <x:v>아니오</x:v>
      </x:c>
      <x:c r="W1251" s="2" t="str">
        <x:v>예</x:v>
      </x:c>
      <x:c r="X1251" s="2" t="str">
        <x:v>ichi1,news2,nf33</x:v>
      </x:c>
      <x:c r="Y1251" s="2" t="n">
        <x:v>100</x:v>
      </x:c>
      <x:c r="Z1251" s="2" t="str">
        <x:v>ichi1,news2,nf33</x:v>
      </x:c>
      <x:c r="AA1251" s="2" t="n">
        <x:v>100</x:v>
      </x:c>
      <x:c r="AB1251" s="8" t="str"/>
      <x:c r="AC1251" s="8" t="str"/>
      <x:c r="AD1251" s="8" t="str">
        <x:v>["ko-reviewed"]</x:v>
      </x:c>
      <x:c r="AE1251" s="8" t="str">
        <x:v>검토 필요</x:v>
      </x:c>
      <x:c r="AF1251" s="8" t="str"/>
    </x:row>
    <x:row r="1252">
      <x:c r="A1252" s="10" t="n">
        <x:v>1251</x:v>
      </x:c>
      <x:c r="B1252" s="2" t="str">
        <x:v>2차 보류</x:v>
      </x:c>
      <x:c r="C1252" s="2" t="str">
        <x:v>2차 보류</x:v>
      </x:c>
      <x:c r="D1252" s="2" t="str">
        <x:v>낮음</x:v>
      </x:c>
      <x:c r="E1252" s="2" t="str">
        <x:v>N2</x:v>
      </x:c>
      <x:c r="F1252" s="10" t="n">
        <x:v>467</x:v>
      </x:c>
      <x:c r="G1252" s="2" t="str">
        <x:v>w_302957a5eb4aa619</x:v>
      </x:c>
      <x:c r="H1252" s="2" t="str">
        <x:v>経度</x:v>
      </x:c>
      <x:c r="I1252" s="2" t="str">
        <x:v>けいど</x:v>
      </x:c>
      <x:c r="J1252" s="8" t="str">
        <x:v>경도</x:v>
      </x:c>
      <x:c r="K1252" s="2" t="str">
        <x:v>noun</x:v>
      </x:c>
      <x:c r="L1252" s="9" t="n">
        <x:v>2.99</x:v>
      </x:c>
      <x:c r="M1252" s="2" t="str">
        <x:v>없음</x:v>
      </x:c>
      <x:c r="N1252" s="11" t="n">
        <x:v>-7</x:v>
      </x:c>
      <x:c r="O1252" s="8" t="str">
        <x:v>일반 사용 빈도 낮은 편(Zipf ≤ 3.0); 검증된 예문 없음</x:v>
      </x:c>
      <x:c r="P1252" s="8" t="str">
        <x:v>frequency_le_3_0,no_example</x:v>
      </x:c>
      <x:c r="Q1252" s="2" t="str"/>
      <x:c r="R1252" s="2" t="str"/>
      <x:c r="S1252" s="2" t="str"/>
      <x:c r="T1252" s="2" t="str"/>
      <x:c r="U1252" s="2" t="str"/>
      <x:c r="V1252" s="2" t="str">
        <x:v>아니오</x:v>
      </x:c>
      <x:c r="W1252" s="2" t="str">
        <x:v>예</x:v>
      </x:c>
      <x:c r="X1252" s="2" t="str">
        <x:v>ichi1,news2,nf46</x:v>
      </x:c>
      <x:c r="Y1252" s="2" t="n">
        <x:v>100</x:v>
      </x:c>
      <x:c r="Z1252" s="2" t="str">
        <x:v>ichi1,news2,nf46</x:v>
      </x:c>
      <x:c r="AA1252" s="2" t="n">
        <x:v>100</x:v>
      </x:c>
      <x:c r="AB1252" s="8" t="str"/>
      <x:c r="AC1252" s="8" t="str"/>
      <x:c r="AD1252" s="8" t="str">
        <x:v>["ko-reviewed"]</x:v>
      </x:c>
      <x:c r="AE1252" s="8" t="str">
        <x:v>검토 필요</x:v>
      </x:c>
      <x:c r="AF1252" s="8" t="str"/>
    </x:row>
    <x:row r="1253">
      <x:c r="A1253" s="10" t="n">
        <x:v>1252</x:v>
      </x:c>
      <x:c r="B1253" s="2" t="str">
        <x:v>2차 보류</x:v>
      </x:c>
      <x:c r="C1253" s="2" t="str">
        <x:v>2차 보류</x:v>
      </x:c>
      <x:c r="D1253" s="2" t="str">
        <x:v>낮음</x:v>
      </x:c>
      <x:c r="E1253" s="2" t="str">
        <x:v>N1</x:v>
      </x:c>
      <x:c r="F1253" s="10" t="n">
        <x:v>543</x:v>
      </x:c>
      <x:c r="G1253" s="2" t="str">
        <x:v>w_60fdfd50b368a133</x:v>
      </x:c>
      <x:c r="H1253" s="2" t="str">
        <x:v>脚色</x:v>
      </x:c>
      <x:c r="I1253" s="2" t="str">
        <x:v>きゃくしょく</x:v>
      </x:c>
      <x:c r="J1253" s="8" t="str">
        <x:v>각색</x:v>
      </x:c>
      <x:c r="K1253" s="2" t="str">
        <x:v>noun</x:v>
      </x:c>
      <x:c r="L1253" s="9" t="n">
        <x:v>2.99</x:v>
      </x:c>
      <x:c r="M1253" s="2" t="str">
        <x:v>없음</x:v>
      </x:c>
      <x:c r="N1253" s="11" t="n">
        <x:v>-7</x:v>
      </x:c>
      <x:c r="O1253" s="8" t="str">
        <x:v>일반 사용 빈도 낮은 편(Zipf ≤ 3.0); 검증된 예문 없음</x:v>
      </x:c>
      <x:c r="P1253" s="8" t="str">
        <x:v>frequency_le_3_0,no_example</x:v>
      </x:c>
      <x:c r="Q1253" s="2" t="str"/>
      <x:c r="R1253" s="2" t="str"/>
      <x:c r="S1253" s="2" t="str"/>
      <x:c r="T1253" s="2" t="str"/>
      <x:c r="U1253" s="2" t="str"/>
      <x:c r="V1253" s="2" t="str">
        <x:v>아니오</x:v>
      </x:c>
      <x:c r="W1253" s="2" t="str">
        <x:v>예</x:v>
      </x:c>
      <x:c r="X1253" s="2" t="str">
        <x:v>ichi1,news2,nf25</x:v>
      </x:c>
      <x:c r="Y1253" s="2" t="n">
        <x:v>100</x:v>
      </x:c>
      <x:c r="Z1253" s="2" t="str">
        <x:v>ichi1,news2,nf25</x:v>
      </x:c>
      <x:c r="AA1253" s="2" t="n">
        <x:v>100</x:v>
      </x:c>
      <x:c r="AB1253" s="8" t="str"/>
      <x:c r="AC1253" s="8" t="str"/>
      <x:c r="AD1253" s="8" t="str">
        <x:v>["ko-reviewed"]</x:v>
      </x:c>
      <x:c r="AE1253" s="8" t="str">
        <x:v>검토 필요</x:v>
      </x:c>
      <x:c r="AF1253" s="8" t="str"/>
    </x:row>
    <x:row r="1254">
      <x:c r="A1254" s="10" t="n">
        <x:v>1253</x:v>
      </x:c>
      <x:c r="B1254" s="2" t="str">
        <x:v>2차 보류</x:v>
      </x:c>
      <x:c r="C1254" s="2" t="str">
        <x:v>2차 보류</x:v>
      </x:c>
      <x:c r="D1254" s="2" t="str">
        <x:v>낮음</x:v>
      </x:c>
      <x:c r="E1254" s="2" t="str">
        <x:v>N1</x:v>
      </x:c>
      <x:c r="F1254" s="10" t="n">
        <x:v>544</x:v>
      </x:c>
      <x:c r="G1254" s="2" t="str">
        <x:v>w_e8d5d1492c47ef5f</x:v>
      </x:c>
      <x:c r="H1254" s="2" t="str">
        <x:v>社宅</x:v>
      </x:c>
      <x:c r="I1254" s="2" t="str">
        <x:v>しゃたく</x:v>
      </x:c>
      <x:c r="J1254" s="8" t="str">
        <x:v>사택</x:v>
      </x:c>
      <x:c r="K1254" s="2" t="str">
        <x:v>noun</x:v>
      </x:c>
      <x:c r="L1254" s="9" t="n">
        <x:v>2.99</x:v>
      </x:c>
      <x:c r="M1254" s="2" t="str">
        <x:v>없음</x:v>
      </x:c>
      <x:c r="N1254" s="11" t="n">
        <x:v>-7</x:v>
      </x:c>
      <x:c r="O1254" s="8" t="str">
        <x:v>일반 사용 빈도 낮은 편(Zipf ≤ 3.0); 검증된 예문 없음</x:v>
      </x:c>
      <x:c r="P1254" s="8" t="str">
        <x:v>frequency_le_3_0,no_example</x:v>
      </x:c>
      <x:c r="Q1254" s="2" t="str"/>
      <x:c r="R1254" s="2" t="str"/>
      <x:c r="S1254" s="2" t="str"/>
      <x:c r="T1254" s="2" t="str"/>
      <x:c r="U1254" s="2" t="str"/>
      <x:c r="V1254" s="2" t="str">
        <x:v>아니오</x:v>
      </x:c>
      <x:c r="W1254" s="2" t="str">
        <x:v>예</x:v>
      </x:c>
      <x:c r="X1254" s="2" t="str">
        <x:v>news1,nf15</x:v>
      </x:c>
      <x:c r="Y1254" s="2" t="n">
        <x:v>100</x:v>
      </x:c>
      <x:c r="Z1254" s="2" t="str">
        <x:v>news1,nf15</x:v>
      </x:c>
      <x:c r="AA1254" s="2" t="n">
        <x:v>100</x:v>
      </x:c>
      <x:c r="AB1254" s="8" t="str"/>
      <x:c r="AC1254" s="8" t="str"/>
      <x:c r="AD1254" s="8" t="str">
        <x:v>["ko-reviewed"]</x:v>
      </x:c>
      <x:c r="AE1254" s="8" t="str">
        <x:v>검토 필요</x:v>
      </x:c>
      <x:c r="AF1254" s="8" t="str"/>
    </x:row>
    <x:row r="1255">
      <x:c r="A1255" s="10" t="n">
        <x:v>1254</x:v>
      </x:c>
      <x:c r="B1255" s="2" t="str">
        <x:v>2차 보류</x:v>
      </x:c>
      <x:c r="C1255" s="2" t="str">
        <x:v>2차 보류</x:v>
      </x:c>
      <x:c r="D1255" s="2" t="str">
        <x:v>낮음</x:v>
      </x:c>
      <x:c r="E1255" s="2" t="str">
        <x:v>N1</x:v>
      </x:c>
      <x:c r="F1255" s="10" t="n">
        <x:v>545</x:v>
      </x:c>
      <x:c r="G1255" s="2" t="str">
        <x:v>w_f5a20baa3b0a3ea7</x:v>
      </x:c>
      <x:c r="H1255" s="2" t="str">
        <x:v>全盛</x:v>
      </x:c>
      <x:c r="I1255" s="2" t="str">
        <x:v>ぜんせい</x:v>
      </x:c>
      <x:c r="J1255" s="8" t="str">
        <x:v>전성</x:v>
      </x:c>
      <x:c r="K1255" s="2" t="str">
        <x:v>noun</x:v>
      </x:c>
      <x:c r="L1255" s="9" t="n">
        <x:v>2.99</x:v>
      </x:c>
      <x:c r="M1255" s="2" t="str">
        <x:v>없음</x:v>
      </x:c>
      <x:c r="N1255" s="11" t="n">
        <x:v>-7</x:v>
      </x:c>
      <x:c r="O1255" s="8" t="str">
        <x:v>일반 사용 빈도 낮은 편(Zipf ≤ 3.0); 검증된 예문 없음</x:v>
      </x:c>
      <x:c r="P1255" s="8" t="str">
        <x:v>frequency_le_3_0,no_example</x:v>
      </x:c>
      <x:c r="Q1255" s="2" t="str"/>
      <x:c r="R1255" s="2" t="str"/>
      <x:c r="S1255" s="2" t="str"/>
      <x:c r="T1255" s="2" t="str"/>
      <x:c r="U1255" s="2" t="str"/>
      <x:c r="V1255" s="2" t="str">
        <x:v>아니오</x:v>
      </x:c>
      <x:c r="W1255" s="2" t="str">
        <x:v>예</x:v>
      </x:c>
      <x:c r="X1255" s="2" t="str">
        <x:v>news1,nf13</x:v>
      </x:c>
      <x:c r="Y1255" s="2" t="n">
        <x:v>100</x:v>
      </x:c>
      <x:c r="Z1255" s="2" t="str">
        <x:v>news1,nf13</x:v>
      </x:c>
      <x:c r="AA1255" s="2" t="n">
        <x:v>100</x:v>
      </x:c>
      <x:c r="AB1255" s="8" t="str"/>
      <x:c r="AC1255" s="8" t="str"/>
      <x:c r="AD1255" s="8" t="str">
        <x:v>["ko-reviewed"]</x:v>
      </x:c>
      <x:c r="AE1255" s="8" t="str">
        <x:v>검토 필요</x:v>
      </x:c>
      <x:c r="AF1255" s="8" t="str"/>
    </x:row>
    <x:row r="1256">
      <x:c r="A1256" s="10" t="n">
        <x:v>1255</x:v>
      </x:c>
      <x:c r="B1256" s="2" t="str">
        <x:v>2차 보류</x:v>
      </x:c>
      <x:c r="C1256" s="2" t="str">
        <x:v>2차 보류</x:v>
      </x:c>
      <x:c r="D1256" s="2" t="str">
        <x:v>낮음</x:v>
      </x:c>
      <x:c r="E1256" s="2" t="str">
        <x:v>N2</x:v>
      </x:c>
      <x:c r="F1256" s="10" t="n">
        <x:v>468</x:v>
      </x:c>
      <x:c r="G1256" s="2" t="str">
        <x:v>w_249123639c3e4839</x:v>
      </x:c>
      <x:c r="H1256" s="2" t="str">
        <x:v>にこにこ</x:v>
      </x:c>
      <x:c r="I1256" s="2" t="str">
        <x:v>にこにこ</x:v>
      </x:c>
      <x:c r="J1256" s="8" t="str">
        <x:v>싱글벙글, 방긋방긋</x:v>
      </x:c>
      <x:c r="K1256" s="2" t="str">
        <x:v>adverb</x:v>
      </x:c>
      <x:c r="L1256" s="9" t="n">
        <x:v>3</x:v>
      </x:c>
      <x:c r="M1256" s="2" t="str">
        <x:v>없음</x:v>
      </x:c>
      <x:c r="N1256" s="11" t="n">
        <x:v>-7</x:v>
      </x:c>
      <x:c r="O1256" s="8" t="str">
        <x:v>일반 사용 빈도 낮은 편(Zipf ≤ 3.0); 검증된 예문 없음</x:v>
      </x:c>
      <x:c r="P1256" s="8" t="str">
        <x:v>frequency_le_3_0,no_example</x:v>
      </x:c>
      <x:c r="Q1256" s="2" t="str"/>
      <x:c r="R1256" s="2" t="str"/>
      <x:c r="S1256" s="2" t="str"/>
      <x:c r="T1256" s="2" t="str"/>
      <x:c r="U1256" s="2" t="str"/>
      <x:c r="V1256" s="2" t="str">
        <x:v>아니오</x:v>
      </x:c>
      <x:c r="W1256" s="2" t="str">
        <x:v>예</x:v>
      </x:c>
      <x:c r="X1256" s="2" t="str">
        <x:v>spec1</x:v>
      </x:c>
      <x:c r="Y1256" s="2" t="n">
        <x:v>100</x:v>
      </x:c>
      <x:c r="Z1256" s="2" t="str">
        <x:v>spec1</x:v>
      </x:c>
      <x:c r="AA1256" s="2" t="n">
        <x:v>100</x:v>
      </x:c>
      <x:c r="AB1256" s="8" t="str">
        <x:v>onomatopoeic or mimetic word</x:v>
      </x:c>
      <x:c r="AC1256" s="8" t="str"/>
      <x:c r="AD1256" s="8" t="str">
        <x:v>["ko-reviewed"]</x:v>
      </x:c>
      <x:c r="AE1256" s="8" t="str">
        <x:v>검토 필요</x:v>
      </x:c>
      <x:c r="AF1256" s="8" t="str"/>
    </x:row>
    <x:row r="1257">
      <x:c r="A1257" s="10" t="n">
        <x:v>1256</x:v>
      </x:c>
      <x:c r="B1257" s="2" t="str">
        <x:v>2차 보류</x:v>
      </x:c>
      <x:c r="C1257" s="2" t="str">
        <x:v>2차 보류</x:v>
      </x:c>
      <x:c r="D1257" s="2" t="str">
        <x:v>낮음</x:v>
      </x:c>
      <x:c r="E1257" s="2" t="str">
        <x:v>N2</x:v>
      </x:c>
      <x:c r="F1257" s="10" t="n">
        <x:v>469</x:v>
      </x:c>
      <x:c r="G1257" s="2" t="str">
        <x:v>w_45ad1afbb9ff44ff</x:v>
      </x:c>
      <x:c r="H1257" s="2" t="str">
        <x:v>食塩</x:v>
      </x:c>
      <x:c r="I1257" s="2" t="str">
        <x:v>しょくえん</x:v>
      </x:c>
      <x:c r="J1257" s="8" t="str">
        <x:v>식염, 소금</x:v>
      </x:c>
      <x:c r="K1257" s="2" t="str">
        <x:v>noun</x:v>
      </x:c>
      <x:c r="L1257" s="9" t="n">
        <x:v>3</x:v>
      </x:c>
      <x:c r="M1257" s="2" t="str">
        <x:v>없음</x:v>
      </x:c>
      <x:c r="N1257" s="11" t="n">
        <x:v>-7</x:v>
      </x:c>
      <x:c r="O1257" s="8" t="str">
        <x:v>일반 사용 빈도 낮은 편(Zipf ≤ 3.0); 검증된 예문 없음</x:v>
      </x:c>
      <x:c r="P1257" s="8" t="str">
        <x:v>frequency_le_3_0,no_example</x:v>
      </x:c>
      <x:c r="Q1257" s="2" t="str"/>
      <x:c r="R1257" s="2" t="str"/>
      <x:c r="S1257" s="2" t="str"/>
      <x:c r="T1257" s="2" t="str"/>
      <x:c r="U1257" s="2" t="str"/>
      <x:c r="V1257" s="2" t="str">
        <x:v>아니오</x:v>
      </x:c>
      <x:c r="W1257" s="2" t="str">
        <x:v>예</x:v>
      </x:c>
      <x:c r="X1257" s="2" t="str">
        <x:v>news1,nf19</x:v>
      </x:c>
      <x:c r="Y1257" s="2" t="n">
        <x:v>100</x:v>
      </x:c>
      <x:c r="Z1257" s="2" t="str">
        <x:v>news1,nf19</x:v>
      </x:c>
      <x:c r="AA1257" s="2" t="n">
        <x:v>100</x:v>
      </x:c>
      <x:c r="AB1257" s="8" t="str"/>
      <x:c r="AC1257" s="8" t="str"/>
      <x:c r="AD1257" s="8" t="str">
        <x:v>["ko-reviewed"]</x:v>
      </x:c>
      <x:c r="AE1257" s="8" t="str">
        <x:v>검토 필요</x:v>
      </x:c>
      <x:c r="AF1257" s="8" t="str"/>
    </x:row>
    <x:row r="1258">
      <x:c r="A1258" s="10" t="n">
        <x:v>1257</x:v>
      </x:c>
      <x:c r="B1258" s="2" t="str">
        <x:v>2차 보류</x:v>
      </x:c>
      <x:c r="C1258" s="2" t="str">
        <x:v>2차 보류</x:v>
      </x:c>
      <x:c r="D1258" s="2" t="str">
        <x:v>낮음</x:v>
      </x:c>
      <x:c r="E1258" s="2" t="str">
        <x:v>N2</x:v>
      </x:c>
      <x:c r="F1258" s="10" t="n">
        <x:v>470</x:v>
      </x:c>
      <x:c r="G1258" s="2" t="str">
        <x:v>w_6761fa3eddc06dd6</x:v>
      </x:c>
      <x:c r="H1258" s="2" t="str">
        <x:v>一休み</x:v>
      </x:c>
      <x:c r="I1258" s="2" t="str">
        <x:v>ひとやすみ</x:v>
      </x:c>
      <x:c r="J1258" s="8" t="str">
        <x:v>잠깐 쉼, 휴식</x:v>
      </x:c>
      <x:c r="K1258" s="2" t="str">
        <x:v>noun</x:v>
      </x:c>
      <x:c r="L1258" s="9" t="n">
        <x:v>3</x:v>
      </x:c>
      <x:c r="M1258" s="2" t="str">
        <x:v>없음</x:v>
      </x:c>
      <x:c r="N1258" s="11" t="n">
        <x:v>-7</x:v>
      </x:c>
      <x:c r="O1258" s="8" t="str">
        <x:v>일반 사용 빈도 낮은 편(Zipf ≤ 3.0); 검증된 예문 없음</x:v>
      </x:c>
      <x:c r="P1258" s="8" t="str">
        <x:v>frequency_le_3_0,no_example</x:v>
      </x:c>
      <x:c r="Q1258" s="2" t="str"/>
      <x:c r="R1258" s="2" t="str"/>
      <x:c r="S1258" s="2" t="str"/>
      <x:c r="T1258" s="2" t="str"/>
      <x:c r="U1258" s="2" t="str"/>
      <x:c r="V1258" s="2" t="str">
        <x:v>아니오</x:v>
      </x:c>
      <x:c r="W1258" s="2" t="str">
        <x:v>예</x:v>
      </x:c>
      <x:c r="X1258" s="2" t="str">
        <x:v>ichi1</x:v>
      </x:c>
      <x:c r="Y1258" s="2" t="n">
        <x:v>100</x:v>
      </x:c>
      <x:c r="Z1258" s="2" t="str">
        <x:v>ichi1</x:v>
      </x:c>
      <x:c r="AA1258" s="2" t="n">
        <x:v>100</x:v>
      </x:c>
      <x:c r="AB1258" s="8" t="str"/>
      <x:c r="AC1258" s="8" t="str"/>
      <x:c r="AD1258" s="8" t="str">
        <x:v>["ko-reviewed"]</x:v>
      </x:c>
      <x:c r="AE1258" s="8" t="str">
        <x:v>검토 필요</x:v>
      </x:c>
      <x:c r="AF1258" s="8" t="str"/>
    </x:row>
    <x:row r="1259">
      <x:c r="A1259" s="10" t="n">
        <x:v>1258</x:v>
      </x:c>
      <x:c r="B1259" s="2" t="str">
        <x:v>2차 보류</x:v>
      </x:c>
      <x:c r="C1259" s="2" t="str">
        <x:v>2차 보류</x:v>
      </x:c>
      <x:c r="D1259" s="2" t="str">
        <x:v>낮음</x:v>
      </x:c>
      <x:c r="E1259" s="2" t="str">
        <x:v>N2</x:v>
      </x:c>
      <x:c r="F1259" s="10" t="n">
        <x:v>471</x:v>
      </x:c>
      <x:c r="G1259" s="2" t="str">
        <x:v>w_ace40be2c5387210</x:v>
      </x:c>
      <x:c r="H1259" s="2" t="str">
        <x:v>飢饉</x:v>
      </x:c>
      <x:c r="I1259" s="2" t="str">
        <x:v>ききん</x:v>
      </x:c>
      <x:c r="J1259" s="8" t="str">
        <x:v>기근</x:v>
      </x:c>
      <x:c r="K1259" s="2" t="str">
        <x:v>noun</x:v>
      </x:c>
      <x:c r="L1259" s="9" t="n">
        <x:v>3</x:v>
      </x:c>
      <x:c r="M1259" s="2" t="str">
        <x:v>없음</x:v>
      </x:c>
      <x:c r="N1259" s="11" t="n">
        <x:v>-7</x:v>
      </x:c>
      <x:c r="O1259" s="8" t="str">
        <x:v>일반 사용 빈도 낮은 편(Zipf ≤ 3.0); 검증된 예문 없음</x:v>
      </x:c>
      <x:c r="P1259" s="8" t="str">
        <x:v>frequency_le_3_0,no_example</x:v>
      </x:c>
      <x:c r="Q1259" s="2" t="str"/>
      <x:c r="R1259" s="2" t="str"/>
      <x:c r="S1259" s="2" t="str"/>
      <x:c r="T1259" s="2" t="str"/>
      <x:c r="U1259" s="2" t="str"/>
      <x:c r="V1259" s="2" t="str">
        <x:v>아니오</x:v>
      </x:c>
      <x:c r="W1259" s="2" t="str">
        <x:v>예</x:v>
      </x:c>
      <x:c r="X1259" s="2" t="str">
        <x:v>ichi1,news2,nf31</x:v>
      </x:c>
      <x:c r="Y1259" s="2" t="n">
        <x:v>100</x:v>
      </x:c>
      <x:c r="Z1259" s="2" t="str">
        <x:v>ichi1,news2,nf31</x:v>
      </x:c>
      <x:c r="AA1259" s="2" t="n">
        <x:v>100</x:v>
      </x:c>
      <x:c r="AB1259" s="8" t="str"/>
      <x:c r="AC1259" s="8" t="str"/>
      <x:c r="AD1259" s="8" t="str">
        <x:v>["ko-reviewed"]</x:v>
      </x:c>
      <x:c r="AE1259" s="8" t="str">
        <x:v>검토 필요</x:v>
      </x:c>
      <x:c r="AF1259" s="8" t="str"/>
    </x:row>
    <x:row r="1260">
      <x:c r="A1260" s="10" t="n">
        <x:v>1259</x:v>
      </x:c>
      <x:c r="B1260" s="2" t="str">
        <x:v>2차 보류</x:v>
      </x:c>
      <x:c r="C1260" s="2" t="str">
        <x:v>2차 보류</x:v>
      </x:c>
      <x:c r="D1260" s="2" t="str">
        <x:v>낮음</x:v>
      </x:c>
      <x:c r="E1260" s="2" t="str">
        <x:v>N2</x:v>
      </x:c>
      <x:c r="F1260" s="10" t="n">
        <x:v>472</x:v>
      </x:c>
      <x:c r="G1260" s="2" t="str">
        <x:v>w_e99d7474b979eb53</x:v>
      </x:c>
      <x:c r="H1260" s="2" t="str">
        <x:v>生ずる</x:v>
      </x:c>
      <x:c r="I1260" s="2" t="str">
        <x:v>しょうずる</x:v>
      </x:c>
      <x:c r="J1260" s="8" t="str">
        <x:v>생기다, 발생하다</x:v>
      </x:c>
      <x:c r="K1260" s="2" t="str">
        <x:v>verb</x:v>
      </x:c>
      <x:c r="L1260" s="9" t="n">
        <x:v>3</x:v>
      </x:c>
      <x:c r="M1260" s="2" t="str">
        <x:v>없음</x:v>
      </x:c>
      <x:c r="N1260" s="11" t="n">
        <x:v>-7</x:v>
      </x:c>
      <x:c r="O1260" s="8" t="str">
        <x:v>일반 사용 빈도 낮은 편(Zipf ≤ 3.0); 검증된 예문 없음</x:v>
      </x:c>
      <x:c r="P1260" s="8" t="str">
        <x:v>frequency_le_3_0,no_example</x:v>
      </x:c>
      <x:c r="Q1260" s="2" t="str"/>
      <x:c r="R1260" s="2" t="str"/>
      <x:c r="S1260" s="2" t="str"/>
      <x:c r="T1260" s="2" t="str"/>
      <x:c r="U1260" s="2" t="str"/>
      <x:c r="V1260" s="2" t="str">
        <x:v>아니오</x:v>
      </x:c>
      <x:c r="W1260" s="2" t="str">
        <x:v>예</x:v>
      </x:c>
      <x:c r="X1260" s="2" t="str">
        <x:v>ichi1</x:v>
      </x:c>
      <x:c r="Y1260" s="2" t="n">
        <x:v>100</x:v>
      </x:c>
      <x:c r="Z1260" s="2" t="str">
        <x:v>ichi1</x:v>
      </x:c>
      <x:c r="AA1260" s="2" t="n">
        <x:v>100</x:v>
      </x:c>
      <x:c r="AB1260" s="8" t="str">
        <x:v>生ずる is more literary than 生じる</x:v>
      </x:c>
      <x:c r="AC1260" s="8" t="str"/>
      <x:c r="AD1260" s="8" t="str">
        <x:v>["ko-reviewed"]</x:v>
      </x:c>
      <x:c r="AE1260" s="8" t="str">
        <x:v>검토 필요</x:v>
      </x:c>
      <x:c r="AF1260" s="8" t="str"/>
    </x:row>
    <x:row r="1261">
      <x:c r="A1261" s="10" t="n">
        <x:v>1260</x:v>
      </x:c>
      <x:c r="B1261" s="2" t="str">
        <x:v>2차 보류</x:v>
      </x:c>
      <x:c r="C1261" s="2" t="str">
        <x:v>2차 보류</x:v>
      </x:c>
      <x:c r="D1261" s="2" t="str">
        <x:v>낮음</x:v>
      </x:c>
      <x:c r="E1261" s="2" t="str">
        <x:v>N1</x:v>
      </x:c>
      <x:c r="F1261" s="10" t="n">
        <x:v>546</x:v>
      </x:c>
      <x:c r="G1261" s="2" t="str">
        <x:v>w_4ffb857bc8cff280</x:v>
      </x:c>
      <x:c r="H1261" s="2" t="str">
        <x:v>分業</x:v>
      </x:c>
      <x:c r="I1261" s="2" t="str">
        <x:v>ぶんぎょう</x:v>
      </x:c>
      <x:c r="J1261" s="8" t="str">
        <x:v>분업</x:v>
      </x:c>
      <x:c r="K1261" s="2" t="str">
        <x:v>noun</x:v>
      </x:c>
      <x:c r="L1261" s="9" t="n">
        <x:v>3</x:v>
      </x:c>
      <x:c r="M1261" s="2" t="str">
        <x:v>없음</x:v>
      </x:c>
      <x:c r="N1261" s="11" t="n">
        <x:v>-7</x:v>
      </x:c>
      <x:c r="O1261" s="8" t="str">
        <x:v>일반 사용 빈도 낮은 편(Zipf ≤ 3.0); 검증된 예문 없음</x:v>
      </x:c>
      <x:c r="P1261" s="8" t="str">
        <x:v>frequency_le_3_0,no_example</x:v>
      </x:c>
      <x:c r="Q1261" s="2" t="str"/>
      <x:c r="R1261" s="2" t="str"/>
      <x:c r="S1261" s="2" t="str"/>
      <x:c r="T1261" s="2" t="str"/>
      <x:c r="U1261" s="2" t="str"/>
      <x:c r="V1261" s="2" t="str">
        <x:v>아니오</x:v>
      </x:c>
      <x:c r="W1261" s="2" t="str">
        <x:v>예</x:v>
      </x:c>
      <x:c r="X1261" s="2" t="str">
        <x:v>ichi1,news1,nf18</x:v>
      </x:c>
      <x:c r="Y1261" s="2" t="n">
        <x:v>100</x:v>
      </x:c>
      <x:c r="Z1261" s="2" t="str">
        <x:v>ichi1,news1,nf18</x:v>
      </x:c>
      <x:c r="AA1261" s="2" t="n">
        <x:v>100</x:v>
      </x:c>
      <x:c r="AB1261" s="8" t="str"/>
      <x:c r="AC1261" s="8" t="str"/>
      <x:c r="AD1261" s="8" t="str">
        <x:v>["ko-reviewed"]</x:v>
      </x:c>
      <x:c r="AE1261" s="8" t="str">
        <x:v>검토 필요</x:v>
      </x:c>
      <x:c r="AF1261" s="8" t="str"/>
    </x:row>
    <x:row r="1262">
      <x:c r="A1262" s="10" t="n">
        <x:v>1261</x:v>
      </x:c>
      <x:c r="B1262" s="2" t="str">
        <x:v>2차 보류</x:v>
      </x:c>
      <x:c r="C1262" s="2" t="str">
        <x:v>2차 보류</x:v>
      </x:c>
      <x:c r="D1262" s="2" t="str">
        <x:v>낮음</x:v>
      </x:c>
      <x:c r="E1262" s="2" t="str">
        <x:v>N1</x:v>
      </x:c>
      <x:c r="F1262" s="10" t="n">
        <x:v>547</x:v>
      </x:c>
      <x:c r="G1262" s="2" t="str">
        <x:v>w_3129de0be21afd27</x:v>
      </x:c>
      <x:c r="H1262" s="2" t="str">
        <x:v>埋め込む</x:v>
      </x:c>
      <x:c r="I1262" s="2" t="str">
        <x:v>うめこむ</x:v>
      </x:c>
      <x:c r="J1262" s="8" t="str">
        <x:v>묻어 넣다, 삽입하다</x:v>
      </x:c>
      <x:c r="K1262" s="2" t="str">
        <x:v>verb</x:v>
      </x:c>
      <x:c r="L1262" s="9" t="n">
        <x:v>3.05</x:v>
      </x:c>
      <x:c r="M1262" s="2" t="str">
        <x:v>있음</x:v>
      </x:c>
      <x:c r="N1262" s="11" t="n">
        <x:v>-7</x:v>
      </x:c>
      <x:c r="O1262" s="8" t="str">
        <x:v>일반 사용 빈도 보통 이하(Zipf ≤ 3.5); JMdict 우선 어휘 표지 없음</x:v>
      </x:c>
      <x:c r="P1262" s="8" t="str">
        <x:v>frequency_le_3_5,no_jmdict_priority</x:v>
      </x:c>
      <x:c r="Q1262" s="2" t="str"/>
      <x:c r="R1262" s="2" t="str"/>
      <x:c r="S1262" s="2" t="str"/>
      <x:c r="T1262" s="2" t="str"/>
      <x:c r="U1262" s="2" t="str"/>
      <x:c r="V1262" s="2" t="str">
        <x:v>아니오</x:v>
      </x:c>
      <x:c r="W1262" s="2" t="str">
        <x:v>예</x:v>
      </x:c>
      <x:c r="X1262" s="2" t="str"/>
      <x:c r="Y1262" s="2" t="n">
        <x:v>0</x:v>
      </x:c>
      <x:c r="Z1262" s="2" t="str"/>
      <x:c r="AA1262" s="2" t="n">
        <x:v>0</x:v>
      </x:c>
      <x:c r="AB1262" s="8" t="str"/>
      <x:c r="AC1262" s="8" t="str"/>
      <x:c r="AD1262" s="8" t="str">
        <x:v>["ko-reviewed"]</x:v>
      </x:c>
      <x:c r="AE1262" s="8" t="str">
        <x:v>검토 필요</x:v>
      </x:c>
      <x:c r="AF1262" s="8" t="str"/>
    </x:row>
    <x:row r="1263">
      <x:c r="A1263" s="10" t="n">
        <x:v>1262</x:v>
      </x:c>
      <x:c r="B1263" s="2" t="str">
        <x:v>2차 보류</x:v>
      </x:c>
      <x:c r="C1263" s="2" t="str">
        <x:v>2차 보류</x:v>
      </x:c>
      <x:c r="D1263" s="2" t="str">
        <x:v>낮음</x:v>
      </x:c>
      <x:c r="E1263" s="2" t="str">
        <x:v>N1</x:v>
      </x:c>
      <x:c r="F1263" s="10" t="n">
        <x:v>548</x:v>
      </x:c>
      <x:c r="G1263" s="2" t="str">
        <x:v>w_83d7e9a89b603bbb</x:v>
      </x:c>
      <x:c r="H1263" s="2" t="str">
        <x:v>おんぶ</x:v>
      </x:c>
      <x:c r="I1263" s="2" t="str">
        <x:v>おんぶ</x:v>
      </x:c>
      <x:c r="J1263" s="8" t="str">
        <x:v>업기</x:v>
      </x:c>
      <x:c r="K1263" s="2" t="str">
        <x:v>noun</x:v>
      </x:c>
      <x:c r="L1263" s="9" t="n">
        <x:v>3.17</x:v>
      </x:c>
      <x:c r="M1263" s="2" t="str">
        <x:v>있음</x:v>
      </x:c>
      <x:c r="N1263" s="11" t="n">
        <x:v>-7</x:v>
      </x:c>
      <x:c r="O1263" s="8" t="str">
        <x:v>일반 사용 빈도 보통 이하(Zipf ≤ 3.5); JMdict 우선 어휘 표지 없음</x:v>
      </x:c>
      <x:c r="P1263" s="8" t="str">
        <x:v>frequency_le_3_5,no_jmdict_priority</x:v>
      </x:c>
      <x:c r="Q1263" s="2" t="str"/>
      <x:c r="R1263" s="2" t="str"/>
      <x:c r="S1263" s="2" t="str"/>
      <x:c r="T1263" s="2" t="str"/>
      <x:c r="U1263" s="2" t="str"/>
      <x:c r="V1263" s="2" t="str">
        <x:v>아니오</x:v>
      </x:c>
      <x:c r="W1263" s="2" t="str">
        <x:v>아니오</x:v>
      </x:c>
      <x:c r="X1263" s="2" t="str"/>
      <x:c r="Y1263" s="2" t="n">
        <x:v>0</x:v>
      </x:c>
      <x:c r="Z1263" s="2" t="str"/>
      <x:c r="AA1263" s="2" t="n">
        <x:v>0</x:v>
      </x:c>
      <x:c r="AB1263" s="8" t="str"/>
      <x:c r="AC1263" s="8" t="str"/>
      <x:c r="AD1263" s="8" t="str">
        <x:v>["ko-reviewed"]</x:v>
      </x:c>
      <x:c r="AE1263" s="8" t="str">
        <x:v>검토 필요</x:v>
      </x:c>
      <x:c r="AF1263" s="8" t="str"/>
    </x:row>
    <x:row r="1264">
      <x:c r="A1264" s="10" t="n">
        <x:v>1263</x:v>
      </x:c>
      <x:c r="B1264" s="2" t="str">
        <x:v>2차 보류</x:v>
      </x:c>
      <x:c r="C1264" s="2" t="str">
        <x:v>2차 보류</x:v>
      </x:c>
      <x:c r="D1264" s="2" t="str">
        <x:v>낮음</x:v>
      </x:c>
      <x:c r="E1264" s="2" t="str">
        <x:v>N1</x:v>
      </x:c>
      <x:c r="F1264" s="10" t="n">
        <x:v>549</x:v>
      </x:c>
      <x:c r="G1264" s="2" t="str">
        <x:v>w_0694273a3d520ccc</x:v>
      </x:c>
      <x:c r="H1264" s="2" t="str">
        <x:v>ごまかす</x:v>
      </x:c>
      <x:c r="I1264" s="2" t="str">
        <x:v>ごまかす</x:v>
      </x:c>
      <x:c r="J1264" s="8" t="str">
        <x:v>속이다, 얼버무리다</x:v>
      </x:c>
      <x:c r="K1264" s="2" t="str">
        <x:v>verb</x:v>
      </x:c>
      <x:c r="L1264" s="9" t="n">
        <x:v>3.25</x:v>
      </x:c>
      <x:c r="M1264" s="2" t="str">
        <x:v>있음</x:v>
      </x:c>
      <x:c r="N1264" s="11" t="n">
        <x:v>-7</x:v>
      </x:c>
      <x:c r="O1264" s="8" t="str">
        <x:v>일반 사용 빈도 보통 이하(Zipf ≤ 3.5); JMdict 우선 어휘 표지 없음</x:v>
      </x:c>
      <x:c r="P1264" s="8" t="str">
        <x:v>frequency_le_3_5,no_jmdict_priority</x:v>
      </x:c>
      <x:c r="Q1264" s="2" t="str"/>
      <x:c r="R1264" s="2" t="str"/>
      <x:c r="S1264" s="2" t="str"/>
      <x:c r="T1264" s="2" t="str"/>
      <x:c r="U1264" s="2" t="str"/>
      <x:c r="V1264" s="2" t="str">
        <x:v>아니오</x:v>
      </x:c>
      <x:c r="W1264" s="2" t="str">
        <x:v>아니오</x:v>
      </x:c>
      <x:c r="X1264" s="2" t="str"/>
      <x:c r="Y1264" s="2" t="n">
        <x:v>0</x:v>
      </x:c>
      <x:c r="Z1264" s="2" t="str"/>
      <x:c r="AA1264" s="2" t="n">
        <x:v>0</x:v>
      </x:c>
      <x:c r="AB1264" s="8" t="str"/>
      <x:c r="AC1264" s="8" t="str"/>
      <x:c r="AD1264" s="8" t="str">
        <x:v>["ko-reviewed"]</x:v>
      </x:c>
      <x:c r="AE1264" s="8" t="str">
        <x:v>검토 필요</x:v>
      </x:c>
      <x:c r="AF1264" s="8" t="str"/>
    </x:row>
    <x:row r="1265">
      <x:c r="A1265" s="10" t="n">
        <x:v>1264</x:v>
      </x:c>
      <x:c r="B1265" s="2" t="str">
        <x:v>2차 보류</x:v>
      </x:c>
      <x:c r="C1265" s="2" t="str">
        <x:v>2차 보류</x:v>
      </x:c>
      <x:c r="D1265" s="2" t="str">
        <x:v>낮음</x:v>
      </x:c>
      <x:c r="E1265" s="2" t="str">
        <x:v>N1</x:v>
      </x:c>
      <x:c r="F1265" s="10" t="n">
        <x:v>550</x:v>
      </x:c>
      <x:c r="G1265" s="2" t="str">
        <x:v>w_e4ee164283413155</x:v>
      </x:c>
      <x:c r="H1265" s="2" t="str">
        <x:v>とろける</x:v>
      </x:c>
      <x:c r="I1265" s="2" t="str">
        <x:v>とろける</x:v>
      </x:c>
      <x:c r="J1265" s="8" t="str">
        <x:v>녹다, 황홀해지다</x:v>
      </x:c>
      <x:c r="K1265" s="2" t="str">
        <x:v>verb</x:v>
      </x:c>
      <x:c r="L1265" s="9" t="n">
        <x:v>3.28</x:v>
      </x:c>
      <x:c r="M1265" s="2" t="str">
        <x:v>있음</x:v>
      </x:c>
      <x:c r="N1265" s="11" t="n">
        <x:v>-7</x:v>
      </x:c>
      <x:c r="O1265" s="8" t="str">
        <x:v>일반 사용 빈도 보통 이하(Zipf ≤ 3.5); JMdict 우선 어휘 표지 없음</x:v>
      </x:c>
      <x:c r="P1265" s="8" t="str">
        <x:v>frequency_le_3_5,no_jmdict_priority</x:v>
      </x:c>
      <x:c r="Q1265" s="2" t="str"/>
      <x:c r="R1265" s="2" t="str"/>
      <x:c r="S1265" s="2" t="str"/>
      <x:c r="T1265" s="2" t="str"/>
      <x:c r="U1265" s="2" t="str"/>
      <x:c r="V1265" s="2" t="str">
        <x:v>아니오</x:v>
      </x:c>
      <x:c r="W1265" s="2" t="str">
        <x:v>아니오</x:v>
      </x:c>
      <x:c r="X1265" s="2" t="str"/>
      <x:c r="Y1265" s="2" t="n">
        <x:v>0</x:v>
      </x:c>
      <x:c r="Z1265" s="2" t="str"/>
      <x:c r="AA1265" s="2" t="n">
        <x:v>0</x:v>
      </x:c>
      <x:c r="AB1265" s="8" t="str"/>
      <x:c r="AC1265" s="8" t="str"/>
      <x:c r="AD1265" s="8" t="str">
        <x:v>["ko-reviewed"]</x:v>
      </x:c>
      <x:c r="AE1265" s="8" t="str">
        <x:v>검토 필요</x:v>
      </x:c>
      <x:c r="AF1265" s="8" t="str"/>
    </x:row>
    <x:row r="1266">
      <x:c r="A1266" s="10" t="n">
        <x:v>1265</x:v>
      </x:c>
      <x:c r="B1266" s="2" t="str">
        <x:v>2차 보류</x:v>
      </x:c>
      <x:c r="C1266" s="2" t="str">
        <x:v>2차 보류</x:v>
      </x:c>
      <x:c r="D1266" s="2" t="str">
        <x:v>낮음</x:v>
      </x:c>
      <x:c r="E1266" s="2" t="str">
        <x:v>N1</x:v>
      </x:c>
      <x:c r="F1266" s="10" t="n">
        <x:v>551</x:v>
      </x:c>
      <x:c r="G1266" s="2" t="str">
        <x:v>w_329523c22c66774b</x:v>
      </x:c>
      <x:c r="H1266" s="2" t="str">
        <x:v>いびき</x:v>
      </x:c>
      <x:c r="I1266" s="2" t="str">
        <x:v>いびき</x:v>
      </x:c>
      <x:c r="J1266" s="8" t="str">
        <x:v>코골이</x:v>
      </x:c>
      <x:c r="K1266" s="2" t="str">
        <x:v>noun</x:v>
      </x:c>
      <x:c r="L1266" s="9" t="n">
        <x:v>3.29</x:v>
      </x:c>
      <x:c r="M1266" s="2" t="str">
        <x:v>있음</x:v>
      </x:c>
      <x:c r="N1266" s="11" t="n">
        <x:v>-7</x:v>
      </x:c>
      <x:c r="O1266" s="8" t="str">
        <x:v>일반 사용 빈도 보통 이하(Zipf ≤ 3.5); JMdict 우선 어휘 표지 없음</x:v>
      </x:c>
      <x:c r="P1266" s="8" t="str">
        <x:v>frequency_le_3_5,no_jmdict_priority</x:v>
      </x:c>
      <x:c r="Q1266" s="2" t="str"/>
      <x:c r="R1266" s="2" t="str"/>
      <x:c r="S1266" s="2" t="str"/>
      <x:c r="T1266" s="2" t="str"/>
      <x:c r="U1266" s="2" t="str"/>
      <x:c r="V1266" s="2" t="str">
        <x:v>아니오</x:v>
      </x:c>
      <x:c r="W1266" s="2" t="str">
        <x:v>아니오</x:v>
      </x:c>
      <x:c r="X1266" s="2" t="str"/>
      <x:c r="Y1266" s="2" t="n">
        <x:v>0</x:v>
      </x:c>
      <x:c r="Z1266" s="2" t="str"/>
      <x:c r="AA1266" s="2" t="n">
        <x:v>0</x:v>
      </x:c>
      <x:c r="AB1266" s="8" t="str"/>
      <x:c r="AC1266" s="8" t="str"/>
      <x:c r="AD1266" s="8" t="str">
        <x:v>["ko-reviewed"]</x:v>
      </x:c>
      <x:c r="AE1266" s="8" t="str">
        <x:v>검토 필요</x:v>
      </x:c>
      <x:c r="AF1266" s="8" t="str"/>
    </x:row>
    <x:row r="1267">
      <x:c r="A1267" s="10" t="n">
        <x:v>1266</x:v>
      </x:c>
      <x:c r="B1267" s="2" t="str">
        <x:v>2차 보류</x:v>
      </x:c>
      <x:c r="C1267" s="2" t="str">
        <x:v>2차 보류</x:v>
      </x:c>
      <x:c r="D1267" s="2" t="str">
        <x:v>낮음</x:v>
      </x:c>
      <x:c r="E1267" s="2" t="str">
        <x:v>N1</x:v>
      </x:c>
      <x:c r="F1267" s="10" t="n">
        <x:v>552</x:v>
      </x:c>
      <x:c r="G1267" s="2" t="str">
        <x:v>w_2b26724b2b319010</x:v>
      </x:c>
      <x:c r="H1267" s="2" t="str">
        <x:v>お供</x:v>
      </x:c>
      <x:c r="I1267" s="2" t="str">
        <x:v>おとも</x:v>
      </x:c>
      <x:c r="J1267" s="8" t="str">
        <x:v>수행, 동행</x:v>
      </x:c>
      <x:c r="K1267" s="2" t="str">
        <x:v>noun</x:v>
      </x:c>
      <x:c r="L1267" s="9" t="n">
        <x:v>3.38</x:v>
      </x:c>
      <x:c r="M1267" s="2" t="str">
        <x:v>있음</x:v>
      </x:c>
      <x:c r="N1267" s="11" t="n">
        <x:v>-7</x:v>
      </x:c>
      <x:c r="O1267" s="8" t="str">
        <x:v>일반 사용 빈도 보통 이하(Zipf ≤ 3.5); JMdict 우선 어휘 표지 없음</x:v>
      </x:c>
      <x:c r="P1267" s="8" t="str">
        <x:v>frequency_le_3_5,no_jmdict_priority</x:v>
      </x:c>
      <x:c r="Q1267" s="2" t="str"/>
      <x:c r="R1267" s="2" t="str"/>
      <x:c r="S1267" s="2" t="str"/>
      <x:c r="T1267" s="2" t="str"/>
      <x:c r="U1267" s="2" t="str"/>
      <x:c r="V1267" s="2" t="str">
        <x:v>아니오</x:v>
      </x:c>
      <x:c r="W1267" s="2" t="str">
        <x:v>예</x:v>
      </x:c>
      <x:c r="X1267" s="2" t="str"/>
      <x:c r="Y1267" s="2" t="n">
        <x:v>0</x:v>
      </x:c>
      <x:c r="Z1267" s="2" t="str"/>
      <x:c r="AA1267" s="2" t="n">
        <x:v>0</x:v>
      </x:c>
      <x:c r="AB1267" s="8" t="str"/>
      <x:c r="AC1267" s="8" t="str"/>
      <x:c r="AD1267" s="8" t="str">
        <x:v>["ko-reviewed"]</x:v>
      </x:c>
      <x:c r="AE1267" s="8" t="str">
        <x:v>검토 필요</x:v>
      </x:c>
      <x:c r="AF1267" s="8" t="str"/>
    </x:row>
    <x:row r="1268">
      <x:c r="A1268" s="10" t="n">
        <x:v>1267</x:v>
      </x:c>
      <x:c r="B1268" s="2" t="str">
        <x:v>2차 보류</x:v>
      </x:c>
      <x:c r="C1268" s="2" t="str">
        <x:v>2차 보류</x:v>
      </x:c>
      <x:c r="D1268" s="2" t="str">
        <x:v>낮음</x:v>
      </x:c>
      <x:c r="E1268" s="2" t="str">
        <x:v>N1</x:v>
      </x:c>
      <x:c r="F1268" s="10" t="n">
        <x:v>553</x:v>
      </x:c>
      <x:c r="G1268" s="2" t="str">
        <x:v>w_b2f224e6ebd0cbdf</x:v>
      </x:c>
      <x:c r="H1268" s="2" t="str">
        <x:v>おむつ</x:v>
      </x:c>
      <x:c r="I1268" s="2" t="str">
        <x:v>おむつ</x:v>
      </x:c>
      <x:c r="J1268" s="8" t="str">
        <x:v>기저귀</x:v>
      </x:c>
      <x:c r="K1268" s="2" t="str">
        <x:v>noun</x:v>
      </x:c>
      <x:c r="L1268" s="9" t="n">
        <x:v>3.44</x:v>
      </x:c>
      <x:c r="M1268" s="2" t="str">
        <x:v>있음</x:v>
      </x:c>
      <x:c r="N1268" s="11" t="n">
        <x:v>-7</x:v>
      </x:c>
      <x:c r="O1268" s="8" t="str">
        <x:v>일반 사용 빈도 보통 이하(Zipf ≤ 3.5); JMdict 우선 어휘 표지 없음</x:v>
      </x:c>
      <x:c r="P1268" s="8" t="str">
        <x:v>frequency_le_3_5,no_jmdict_priority</x:v>
      </x:c>
      <x:c r="Q1268" s="2" t="str"/>
      <x:c r="R1268" s="2" t="str"/>
      <x:c r="S1268" s="2" t="str"/>
      <x:c r="T1268" s="2" t="str"/>
      <x:c r="U1268" s="2" t="str"/>
      <x:c r="V1268" s="2" t="str">
        <x:v>아니오</x:v>
      </x:c>
      <x:c r="W1268" s="2" t="str">
        <x:v>아니오</x:v>
      </x:c>
      <x:c r="X1268" s="2" t="str"/>
      <x:c r="Y1268" s="2" t="n">
        <x:v>0</x:v>
      </x:c>
      <x:c r="Z1268" s="2" t="str"/>
      <x:c r="AA1268" s="2" t="n">
        <x:v>0</x:v>
      </x:c>
      <x:c r="AB1268" s="8" t="str"/>
      <x:c r="AC1268" s="8" t="str"/>
      <x:c r="AD1268" s="8" t="str">
        <x:v>["ko-reviewed"]</x:v>
      </x:c>
      <x:c r="AE1268" s="8" t="str">
        <x:v>검토 필요</x:v>
      </x:c>
      <x:c r="AF1268" s="8" t="str"/>
    </x:row>
    <x:row r="1269">
      <x:c r="A1269" s="10" t="n">
        <x:v>1268</x:v>
      </x:c>
      <x:c r="B1269" s="2" t="str">
        <x:v>2차 보류</x:v>
      </x:c>
      <x:c r="C1269" s="2" t="str">
        <x:v>2차 보류</x:v>
      </x:c>
      <x:c r="D1269" s="2" t="str">
        <x:v>낮음</x:v>
      </x:c>
      <x:c r="E1269" s="2" t="str">
        <x:v>N1</x:v>
      </x:c>
      <x:c r="F1269" s="10" t="n">
        <x:v>554</x:v>
      </x:c>
      <x:c r="G1269" s="2" t="str">
        <x:v>w_727f7cb99378848b</x:v>
      </x:c>
      <x:c r="H1269" s="2" t="str">
        <x:v>参上</x:v>
      </x:c>
      <x:c r="I1269" s="2" t="str">
        <x:v>さんじょう</x:v>
      </x:c>
      <x:c r="J1269" s="8" t="str">
        <x:v>방문함, 찾아뵘</x:v>
      </x:c>
      <x:c r="K1269" s="2" t="str">
        <x:v>noun</x:v>
      </x:c>
      <x:c r="L1269" s="9" t="n">
        <x:v>3.47</x:v>
      </x:c>
      <x:c r="M1269" s="2" t="str">
        <x:v>있음</x:v>
      </x:c>
      <x:c r="N1269" s="11" t="n">
        <x:v>-7</x:v>
      </x:c>
      <x:c r="O1269" s="8" t="str">
        <x:v>일반 사용 빈도 보통 이하(Zipf ≤ 3.5); JMdict 우선 어휘 표지 없음</x:v>
      </x:c>
      <x:c r="P1269" s="8" t="str">
        <x:v>frequency_le_3_5,no_jmdict_priority</x:v>
      </x:c>
      <x:c r="Q1269" s="2" t="str"/>
      <x:c r="R1269" s="2" t="str"/>
      <x:c r="S1269" s="2" t="str"/>
      <x:c r="T1269" s="2" t="str"/>
      <x:c r="U1269" s="2" t="str"/>
      <x:c r="V1269" s="2" t="str">
        <x:v>아니오</x:v>
      </x:c>
      <x:c r="W1269" s="2" t="str">
        <x:v>예</x:v>
      </x:c>
      <x:c r="X1269" s="2" t="str"/>
      <x:c r="Y1269" s="2" t="n">
        <x:v>0</x:v>
      </x:c>
      <x:c r="Z1269" s="2" t="str"/>
      <x:c r="AA1269" s="2" t="n">
        <x:v>0</x:v>
      </x:c>
      <x:c r="AB1269" s="8" t="str">
        <x:v>humble (kenjougo) language</x:v>
      </x:c>
      <x:c r="AC1269" s="8" t="str"/>
      <x:c r="AD1269" s="8" t="str">
        <x:v>["ko-reviewed"]</x:v>
      </x:c>
      <x:c r="AE1269" s="8" t="str">
        <x:v>검토 필요</x:v>
      </x:c>
      <x:c r="AF1269" s="8" t="str"/>
    </x:row>
    <x:row r="1270">
      <x:c r="A1270" s="10" t="n">
        <x:v>1269</x:v>
      </x:c>
      <x:c r="B1270" s="2" t="str">
        <x:v>2차 보류</x:v>
      </x:c>
      <x:c r="C1270" s="2" t="str">
        <x:v>2차 보류</x:v>
      </x:c>
      <x:c r="D1270" s="2" t="str">
        <x:v>낮음</x:v>
      </x:c>
      <x:c r="E1270" s="2" t="str">
        <x:v>N2</x:v>
      </x:c>
      <x:c r="F1270" s="10" t="n">
        <x:v>473</x:v>
      </x:c>
      <x:c r="G1270" s="2" t="str">
        <x:v>w_49720ac3dabf490f</x:v>
      </x:c>
      <x:c r="H1270" s="2" t="str">
        <x:v>引力</x:v>
      </x:c>
      <x:c r="I1270" s="2" t="str">
        <x:v>いんりょく</x:v>
      </x:c>
      <x:c r="J1270" s="8" t="str">
        <x:v>인력, 중력</x:v>
      </x:c>
      <x:c r="K1270" s="2" t="str">
        <x:v>noun</x:v>
      </x:c>
      <x:c r="L1270" s="9" t="n">
        <x:v>3.01</x:v>
      </x:c>
      <x:c r="M1270" s="2" t="str">
        <x:v>없음</x:v>
      </x:c>
      <x:c r="N1270" s="11" t="n">
        <x:v>-8</x:v>
      </x:c>
      <x:c r="O1270" s="8" t="str">
        <x:v>일반 사용 빈도 보통 이하(Zipf ≤ 3.5); 검증된 예문 없음; 기존 데이터의 한국어 콘텐츠 보강 필요 태그</x:v>
      </x:c>
      <x:c r="P1270" s="8" t="str">
        <x:v>frequency_le_3_5,no_example,weak_legacy_content</x:v>
      </x:c>
      <x:c r="Q1270" s="2" t="str"/>
      <x:c r="R1270" s="2" t="str"/>
      <x:c r="S1270" s="2" t="str"/>
      <x:c r="T1270" s="2" t="str"/>
      <x:c r="U1270" s="2" t="str"/>
      <x:c r="V1270" s="2" t="str">
        <x:v>아니오</x:v>
      </x:c>
      <x:c r="W1270" s="2" t="str">
        <x:v>예</x:v>
      </x:c>
      <x:c r="X1270" s="2" t="str">
        <x:v>ichi1,news2,nf37</x:v>
      </x:c>
      <x:c r="Y1270" s="2" t="n">
        <x:v>100</x:v>
      </x:c>
      <x:c r="Z1270" s="2" t="str">
        <x:v>ichi1,news2,nf37</x:v>
      </x:c>
      <x:c r="AA1270" s="2" t="n">
        <x:v>100</x:v>
      </x:c>
      <x:c r="AB1270" s="8" t="str"/>
      <x:c r="AC1270" s="8" t="str"/>
      <x:c r="AD1270" s="8" t="str">
        <x:v>["draft-ko-missing"]</x:v>
      </x:c>
      <x:c r="AE1270" s="8" t="str">
        <x:v>검토 필요</x:v>
      </x:c>
      <x:c r="AF1270" s="8" t="str"/>
    </x:row>
    <x:row r="1271">
      <x:c r="A1271" s="10" t="n">
        <x:v>1270</x:v>
      </x:c>
      <x:c r="B1271" s="2" t="str">
        <x:v>2차 보류</x:v>
      </x:c>
      <x:c r="C1271" s="2" t="str">
        <x:v>2차 보류</x:v>
      </x:c>
      <x:c r="D1271" s="2" t="str">
        <x:v>낮음</x:v>
      </x:c>
      <x:c r="E1271" s="2" t="str">
        <x:v>N1</x:v>
      </x:c>
      <x:c r="F1271" s="10" t="n">
        <x:v>555</x:v>
      </x:c>
      <x:c r="G1271" s="2" t="str">
        <x:v>w_3198be3ccbf277f9</x:v>
      </x:c>
      <x:c r="H1271" s="2" t="str">
        <x:v>立ち去る</x:v>
      </x:c>
      <x:c r="I1271" s="2" t="str">
        <x:v>たちさる</x:v>
      </x:c>
      <x:c r="J1271" s="8" t="str">
        <x:v>떠나가다, 자리를 뜨다</x:v>
      </x:c>
      <x:c r="K1271" s="2" t="str">
        <x:v>verb</x:v>
      </x:c>
      <x:c r="L1271" s="9" t="n">
        <x:v>3.01</x:v>
      </x:c>
      <x:c r="M1271" s="2" t="str">
        <x:v>없음</x:v>
      </x:c>
      <x:c r="N1271" s="11" t="n">
        <x:v>-8</x:v>
      </x:c>
      <x:c r="O1271" s="8" t="str">
        <x:v>일반 사용 빈도 보통 이하(Zipf ≤ 3.5); 검증된 예문 없음; 기존 데이터의 한국어 콘텐츠 보강 필요 태그</x:v>
      </x:c>
      <x:c r="P1271" s="8" t="str">
        <x:v>frequency_le_3_5,no_example,weak_legacy_content</x:v>
      </x:c>
      <x:c r="Q1271" s="2" t="str"/>
      <x:c r="R1271" s="2" t="str"/>
      <x:c r="S1271" s="2" t="str"/>
      <x:c r="T1271" s="2" t="str"/>
      <x:c r="U1271" s="2" t="str"/>
      <x:c r="V1271" s="2" t="str">
        <x:v>아니오</x:v>
      </x:c>
      <x:c r="W1271" s="2" t="str">
        <x:v>예</x:v>
      </x:c>
      <x:c r="X1271" s="2" t="str">
        <x:v>ichi1,news2,nf47</x:v>
      </x:c>
      <x:c r="Y1271" s="2" t="n">
        <x:v>100</x:v>
      </x:c>
      <x:c r="Z1271" s="2" t="str">
        <x:v>ichi1,news2,nf47</x:v>
      </x:c>
      <x:c r="AA1271" s="2" t="n">
        <x:v>100</x:v>
      </x:c>
      <x:c r="AB1271" s="8" t="str"/>
      <x:c r="AC1271" s="8" t="str"/>
      <x:c r="AD1271" s="8" t="str">
        <x:v>["draft-ko-missing"]</x:v>
      </x:c>
      <x:c r="AE1271" s="8" t="str">
        <x:v>검토 필요</x:v>
      </x:c>
      <x:c r="AF1271" s="8" t="str"/>
    </x:row>
    <x:row r="1272">
      <x:c r="A1272" s="10" t="n">
        <x:v>1271</x:v>
      </x:c>
      <x:c r="B1272" s="2" t="str">
        <x:v>2차 보류</x:v>
      </x:c>
      <x:c r="C1272" s="2" t="str">
        <x:v>2차 보류</x:v>
      </x:c>
      <x:c r="D1272" s="2" t="str">
        <x:v>낮음</x:v>
      </x:c>
      <x:c r="E1272" s="2" t="str">
        <x:v>N1</x:v>
      </x:c>
      <x:c r="F1272" s="10" t="n">
        <x:v>556</x:v>
      </x:c>
      <x:c r="G1272" s="2" t="str">
        <x:v>w_77841c7250d79151</x:v>
      </x:c>
      <x:c r="H1272" s="2" t="str">
        <x:v>生き甲斐</x:v>
      </x:c>
      <x:c r="I1272" s="2" t="str">
        <x:v>いきがい</x:v>
      </x:c>
      <x:c r="J1272" s="8" t="str">
        <x:v>삶의 보람</x:v>
      </x:c>
      <x:c r="K1272" s="2" t="str">
        <x:v>noun</x:v>
      </x:c>
      <x:c r="L1272" s="9" t="n">
        <x:v>3.01</x:v>
      </x:c>
      <x:c r="M1272" s="2" t="str">
        <x:v>없음</x:v>
      </x:c>
      <x:c r="N1272" s="11" t="n">
        <x:v>-8</x:v>
      </x:c>
      <x:c r="O1272" s="8" t="str">
        <x:v>일반 사용 빈도 보통 이하(Zipf ≤ 3.5); 검증된 예문 없음; 기존 데이터의 한국어 콘텐츠 보강 필요 태그</x:v>
      </x:c>
      <x:c r="P1272" s="8" t="str">
        <x:v>frequency_le_3_5,no_example,weak_legacy_content</x:v>
      </x:c>
      <x:c r="Q1272" s="2" t="str"/>
      <x:c r="R1272" s="2" t="str"/>
      <x:c r="S1272" s="2" t="str"/>
      <x:c r="T1272" s="2" t="str"/>
      <x:c r="U1272" s="2" t="str"/>
      <x:c r="V1272" s="2" t="str">
        <x:v>아니오</x:v>
      </x:c>
      <x:c r="W1272" s="2" t="str">
        <x:v>예</x:v>
      </x:c>
      <x:c r="X1272" s="2" t="str">
        <x:v>ichi1,spec1</x:v>
      </x:c>
      <x:c r="Y1272" s="2" t="n">
        <x:v>100</x:v>
      </x:c>
      <x:c r="Z1272" s="2" t="str">
        <x:v>ichi1</x:v>
      </x:c>
      <x:c r="AA1272" s="2" t="n">
        <x:v>100</x:v>
      </x:c>
      <x:c r="AB1272" s="8" t="str"/>
      <x:c r="AC1272" s="8" t="str"/>
      <x:c r="AD1272" s="8" t="str">
        <x:v>["draft-ko-missing"]</x:v>
      </x:c>
      <x:c r="AE1272" s="8" t="str">
        <x:v>검토 필요</x:v>
      </x:c>
      <x:c r="AF1272" s="8" t="str"/>
    </x:row>
    <x:row r="1273">
      <x:c r="A1273" s="10" t="n">
        <x:v>1272</x:v>
      </x:c>
      <x:c r="B1273" s="2" t="str">
        <x:v>2차 보류</x:v>
      </x:c>
      <x:c r="C1273" s="2" t="str">
        <x:v>2차 보류</x:v>
      </x:c>
      <x:c r="D1273" s="2" t="str">
        <x:v>낮음</x:v>
      </x:c>
      <x:c r="E1273" s="2" t="str">
        <x:v>N1</x:v>
      </x:c>
      <x:c r="F1273" s="10" t="n">
        <x:v>557</x:v>
      </x:c>
      <x:c r="G1273" s="2" t="str">
        <x:v>w_862729309324e64d</x:v>
      </x:c>
      <x:c r="H1273" s="2" t="str">
        <x:v>学説</x:v>
      </x:c>
      <x:c r="I1273" s="2" t="str">
        <x:v>がくせつ</x:v>
      </x:c>
      <x:c r="J1273" s="8" t="str">
        <x:v>학설</x:v>
      </x:c>
      <x:c r="K1273" s="2" t="str">
        <x:v>noun</x:v>
      </x:c>
      <x:c r="L1273" s="9" t="n">
        <x:v>3.01</x:v>
      </x:c>
      <x:c r="M1273" s="2" t="str">
        <x:v>없음</x:v>
      </x:c>
      <x:c r="N1273" s="11" t="n">
        <x:v>-8</x:v>
      </x:c>
      <x:c r="O1273" s="8" t="str">
        <x:v>일반 사용 빈도 보통 이하(Zipf ≤ 3.5); 검증된 예문 없음; 기존 데이터의 한국어 콘텐츠 보강 필요 태그</x:v>
      </x:c>
      <x:c r="P1273" s="8" t="str">
        <x:v>frequency_le_3_5,no_example,weak_legacy_content</x:v>
      </x:c>
      <x:c r="Q1273" s="2" t="str"/>
      <x:c r="R1273" s="2" t="str"/>
      <x:c r="S1273" s="2" t="str"/>
      <x:c r="T1273" s="2" t="str"/>
      <x:c r="U1273" s="2" t="str"/>
      <x:c r="V1273" s="2" t="str">
        <x:v>아니오</x:v>
      </x:c>
      <x:c r="W1273" s="2" t="str">
        <x:v>예</x:v>
      </x:c>
      <x:c r="X1273" s="2" t="str">
        <x:v>ichi1,news1,nf20</x:v>
      </x:c>
      <x:c r="Y1273" s="2" t="n">
        <x:v>100</x:v>
      </x:c>
      <x:c r="Z1273" s="2" t="str">
        <x:v>ichi1,news1,nf20</x:v>
      </x:c>
      <x:c r="AA1273" s="2" t="n">
        <x:v>100</x:v>
      </x:c>
      <x:c r="AB1273" s="8" t="str"/>
      <x:c r="AC1273" s="8" t="str"/>
      <x:c r="AD1273" s="8" t="str">
        <x:v>["draft-ko-missing"]</x:v>
      </x:c>
      <x:c r="AE1273" s="8" t="str">
        <x:v>검토 필요</x:v>
      </x:c>
      <x:c r="AF1273" s="8" t="str"/>
    </x:row>
    <x:row r="1274">
      <x:c r="A1274" s="10" t="n">
        <x:v>1273</x:v>
      </x:c>
      <x:c r="B1274" s="2" t="str">
        <x:v>2차 보류</x:v>
      </x:c>
      <x:c r="C1274" s="2" t="str">
        <x:v>2차 보류</x:v>
      </x:c>
      <x:c r="D1274" s="2" t="str">
        <x:v>낮음</x:v>
      </x:c>
      <x:c r="E1274" s="2" t="str">
        <x:v>N1</x:v>
      </x:c>
      <x:c r="F1274" s="10" t="n">
        <x:v>558</x:v>
      </x:c>
      <x:c r="G1274" s="2" t="str">
        <x:v>w_9453ee8c4d367c4e</x:v>
      </x:c>
      <x:c r="H1274" s="2" t="str">
        <x:v>デコレーション</x:v>
      </x:c>
      <x:c r="I1274" s="2" t="str">
        <x:v>デコレーション</x:v>
      </x:c>
      <x:c r="J1274" s="8" t="str">
        <x:v>장식</x:v>
      </x:c>
      <x:c r="K1274" s="2" t="str">
        <x:v>noun</x:v>
      </x:c>
      <x:c r="L1274" s="9" t="n">
        <x:v>3.01</x:v>
      </x:c>
      <x:c r="M1274" s="2" t="str">
        <x:v>없음</x:v>
      </x:c>
      <x:c r="N1274" s="11" t="n">
        <x:v>-8</x:v>
      </x:c>
      <x:c r="O1274" s="8" t="str">
        <x:v>일반 사용 빈도 보통 이하(Zipf ≤ 3.5); 검증된 예문 없음; 기존 데이터의 한국어 콘텐츠 보강 필요 태그</x:v>
      </x:c>
      <x:c r="P1274" s="8" t="str">
        <x:v>frequency_le_3_5,no_example,weak_legacy_content</x:v>
      </x:c>
      <x:c r="Q1274" s="2" t="str"/>
      <x:c r="R1274" s="2" t="str"/>
      <x:c r="S1274" s="2" t="str"/>
      <x:c r="T1274" s="2" t="str"/>
      <x:c r="U1274" s="2" t="str"/>
      <x:c r="V1274" s="2" t="str">
        <x:v>아니오</x:v>
      </x:c>
      <x:c r="W1274" s="2" t="str">
        <x:v>예</x:v>
      </x:c>
      <x:c r="X1274" s="2" t="str">
        <x:v>gai1</x:v>
      </x:c>
      <x:c r="Y1274" s="2" t="n">
        <x:v>100</x:v>
      </x:c>
      <x:c r="Z1274" s="2" t="str">
        <x:v>gai1</x:v>
      </x:c>
      <x:c r="AA1274" s="2" t="n">
        <x:v>100</x:v>
      </x:c>
      <x:c r="AB1274" s="8" t="str"/>
      <x:c r="AC1274" s="8" t="str"/>
      <x:c r="AD1274" s="8" t="str">
        <x:v>["draft-ko-missing"]</x:v>
      </x:c>
      <x:c r="AE1274" s="8" t="str">
        <x:v>검토 필요</x:v>
      </x:c>
      <x:c r="AF1274" s="8" t="str"/>
    </x:row>
    <x:row r="1275">
      <x:c r="A1275" s="10" t="n">
        <x:v>1274</x:v>
      </x:c>
      <x:c r="B1275" s="2" t="str">
        <x:v>2차 보류</x:v>
      </x:c>
      <x:c r="C1275" s="2" t="str">
        <x:v>2차 보류</x:v>
      </x:c>
      <x:c r="D1275" s="2" t="str">
        <x:v>낮음</x:v>
      </x:c>
      <x:c r="E1275" s="2" t="str">
        <x:v>N1</x:v>
      </x:c>
      <x:c r="F1275" s="10" t="n">
        <x:v>559</x:v>
      </x:c>
      <x:c r="G1275" s="2" t="str">
        <x:v>w_a46f2c3f0d8fbd8b</x:v>
      </x:c>
      <x:c r="H1275" s="2" t="str">
        <x:v>恥じる</x:v>
      </x:c>
      <x:c r="I1275" s="2" t="str">
        <x:v>はじる</x:v>
      </x:c>
      <x:c r="J1275" s="8" t="str">
        <x:v>부끄러워하다</x:v>
      </x:c>
      <x:c r="K1275" s="2" t="str">
        <x:v>verb</x:v>
      </x:c>
      <x:c r="L1275" s="9" t="n">
        <x:v>3.01</x:v>
      </x:c>
      <x:c r="M1275" s="2" t="str">
        <x:v>없음</x:v>
      </x:c>
      <x:c r="N1275" s="11" t="n">
        <x:v>-8</x:v>
      </x:c>
      <x:c r="O1275" s="8" t="str">
        <x:v>일반 사용 빈도 보통 이하(Zipf ≤ 3.5); 검증된 예문 없음; 기존 데이터의 한국어 콘텐츠 보강 필요 태그</x:v>
      </x:c>
      <x:c r="P1275" s="8" t="str">
        <x:v>frequency_le_3_5,no_example,weak_legacy_content</x:v>
      </x:c>
      <x:c r="Q1275" s="2" t="str"/>
      <x:c r="R1275" s="2" t="str"/>
      <x:c r="S1275" s="2" t="str"/>
      <x:c r="T1275" s="2" t="str"/>
      <x:c r="U1275" s="2" t="str"/>
      <x:c r="V1275" s="2" t="str">
        <x:v>아니오</x:v>
      </x:c>
      <x:c r="W1275" s="2" t="str">
        <x:v>예</x:v>
      </x:c>
      <x:c r="X1275" s="2" t="str">
        <x:v>ichi1,news2,nf37</x:v>
      </x:c>
      <x:c r="Y1275" s="2" t="n">
        <x:v>100</x:v>
      </x:c>
      <x:c r="Z1275" s="2" t="str">
        <x:v>ichi1,news2,nf37</x:v>
      </x:c>
      <x:c r="AA1275" s="2" t="n">
        <x:v>100</x:v>
      </x:c>
      <x:c r="AB1275" s="8" t="str"/>
      <x:c r="AC1275" s="8" t="str"/>
      <x:c r="AD1275" s="8" t="str">
        <x:v>["draft-ko-missing"]</x:v>
      </x:c>
      <x:c r="AE1275" s="8" t="str">
        <x:v>검토 필요</x:v>
      </x:c>
      <x:c r="AF1275" s="8" t="str"/>
    </x:row>
    <x:row r="1276">
      <x:c r="A1276" s="10" t="n">
        <x:v>1275</x:v>
      </x:c>
      <x:c r="B1276" s="2" t="str">
        <x:v>2차 보류</x:v>
      </x:c>
      <x:c r="C1276" s="2" t="str">
        <x:v>2차 보류</x:v>
      </x:c>
      <x:c r="D1276" s="2" t="str">
        <x:v>낮음</x:v>
      </x:c>
      <x:c r="E1276" s="2" t="str">
        <x:v>N1</x:v>
      </x:c>
      <x:c r="F1276" s="10" t="n">
        <x:v>560</x:v>
      </x:c>
      <x:c r="G1276" s="2" t="str">
        <x:v>w_b383a013718c8d23</x:v>
      </x:c>
      <x:c r="H1276" s="2" t="str">
        <x:v>沈める</x:v>
      </x:c>
      <x:c r="I1276" s="2" t="str">
        <x:v>しずめる</x:v>
      </x:c>
      <x:c r="J1276" s="8" t="str">
        <x:v>가라앉다</x:v>
      </x:c>
      <x:c r="K1276" s="2" t="str">
        <x:v>verb</x:v>
      </x:c>
      <x:c r="L1276" s="9" t="n">
        <x:v>3.01</x:v>
      </x:c>
      <x:c r="M1276" s="2" t="str">
        <x:v>없음</x:v>
      </x:c>
      <x:c r="N1276" s="11" t="n">
        <x:v>-8</x:v>
      </x:c>
      <x:c r="O1276" s="8" t="str">
        <x:v>일반 사용 빈도 보통 이하(Zipf ≤ 3.5); 검증된 예문 없음; 기존 데이터의 한국어 콘텐츠 보강 필요 태그</x:v>
      </x:c>
      <x:c r="P1276" s="8" t="str">
        <x:v>frequency_le_3_5,no_example,weak_legacy_content</x:v>
      </x:c>
      <x:c r="Q1276" s="2" t="str"/>
      <x:c r="R1276" s="2" t="str"/>
      <x:c r="S1276" s="2" t="str"/>
      <x:c r="T1276" s="2" t="str"/>
      <x:c r="U1276" s="2" t="str"/>
      <x:c r="V1276" s="2" t="str">
        <x:v>아니오</x:v>
      </x:c>
      <x:c r="W1276" s="2" t="str">
        <x:v>예</x:v>
      </x:c>
      <x:c r="X1276" s="2" t="str">
        <x:v>ichi1</x:v>
      </x:c>
      <x:c r="Y1276" s="2" t="n">
        <x:v>100</x:v>
      </x:c>
      <x:c r="Z1276" s="2" t="str">
        <x:v>ichi1</x:v>
      </x:c>
      <x:c r="AA1276" s="2" t="n">
        <x:v>100</x:v>
      </x:c>
      <x:c r="AB1276" s="8" t="str"/>
      <x:c r="AC1276" s="8" t="str"/>
      <x:c r="AD1276" s="8" t="str">
        <x:v>["draft-ko-missing"]</x:v>
      </x:c>
      <x:c r="AE1276" s="8" t="str">
        <x:v>검토 필요</x:v>
      </x:c>
      <x:c r="AF1276" s="8" t="str"/>
    </x:row>
    <x:row r="1277">
      <x:c r="A1277" s="10" t="n">
        <x:v>1276</x:v>
      </x:c>
      <x:c r="B1277" s="2" t="str">
        <x:v>2차 보류</x:v>
      </x:c>
      <x:c r="C1277" s="2" t="str">
        <x:v>2차 보류</x:v>
      </x:c>
      <x:c r="D1277" s="2" t="str">
        <x:v>낮음</x:v>
      </x:c>
      <x:c r="E1277" s="2" t="str">
        <x:v>N1</x:v>
      </x:c>
      <x:c r="F1277" s="10" t="n">
        <x:v>561</x:v>
      </x:c>
      <x:c r="G1277" s="2" t="str">
        <x:v>w_bc2091722952b98d</x:v>
      </x:c>
      <x:c r="H1277" s="2" t="str">
        <x:v>凌ぐ</x:v>
      </x:c>
      <x:c r="I1277" s="2" t="str">
        <x:v>しのぐ</x:v>
      </x:c>
      <x:c r="J1277" s="8" t="str">
        <x:v>능가하다, 견디다</x:v>
      </x:c>
      <x:c r="K1277" s="2" t="str">
        <x:v>verb</x:v>
      </x:c>
      <x:c r="L1277" s="9" t="n">
        <x:v>3.01</x:v>
      </x:c>
      <x:c r="M1277" s="2" t="str">
        <x:v>없음</x:v>
      </x:c>
      <x:c r="N1277" s="11" t="n">
        <x:v>-8</x:v>
      </x:c>
      <x:c r="O1277" s="8" t="str">
        <x:v>일반 사용 빈도 보통 이하(Zipf ≤ 3.5); 검증된 예문 없음; 기존 데이터의 한국어 콘텐츠 보강 필요 태그</x:v>
      </x:c>
      <x:c r="P1277" s="8" t="str">
        <x:v>frequency_le_3_5,no_example,weak_legacy_content</x:v>
      </x:c>
      <x:c r="Q1277" s="2" t="str"/>
      <x:c r="R1277" s="2" t="str"/>
      <x:c r="S1277" s="2" t="str"/>
      <x:c r="T1277" s="2" t="str"/>
      <x:c r="U1277" s="2" t="str"/>
      <x:c r="V1277" s="2" t="str">
        <x:v>아니오</x:v>
      </x:c>
      <x:c r="W1277" s="2" t="str">
        <x:v>예</x:v>
      </x:c>
      <x:c r="X1277" s="2" t="str">
        <x:v>ichi1</x:v>
      </x:c>
      <x:c r="Y1277" s="2" t="n">
        <x:v>100</x:v>
      </x:c>
      <x:c r="Z1277" s="2" t="str">
        <x:v>ichi1</x:v>
      </x:c>
      <x:c r="AA1277" s="2" t="n">
        <x:v>100</x:v>
      </x:c>
      <x:c r="AB1277" s="8" t="str"/>
      <x:c r="AC1277" s="8" t="str"/>
      <x:c r="AD1277" s="8" t="str">
        <x:v>["draft-ko-missing"]</x:v>
      </x:c>
      <x:c r="AE1277" s="8" t="str">
        <x:v>검토 필요</x:v>
      </x:c>
      <x:c r="AF1277" s="8" t="str"/>
    </x:row>
    <x:row r="1278">
      <x:c r="A1278" s="10" t="n">
        <x:v>1277</x:v>
      </x:c>
      <x:c r="B1278" s="2" t="str">
        <x:v>2차 보류</x:v>
      </x:c>
      <x:c r="C1278" s="2" t="str">
        <x:v>2차 보류</x:v>
      </x:c>
      <x:c r="D1278" s="2" t="str">
        <x:v>낮음</x:v>
      </x:c>
      <x:c r="E1278" s="2" t="str">
        <x:v>N4</x:v>
      </x:c>
      <x:c r="F1278" s="10" t="n">
        <x:v>77</x:v>
      </x:c>
      <x:c r="G1278" s="2" t="str">
        <x:v>w_671b868a471a9e6f</x:v>
      </x:c>
      <x:c r="H1278" s="2" t="str">
        <x:v>伺う</x:v>
      </x:c>
      <x:c r="I1278" s="2" t="str">
        <x:v>うかがう</x:v>
      </x:c>
      <x:c r="J1278" s="8" t="str">
        <x:v>여쭙다, 찾아뵙다(겸양어)</x:v>
      </x:c>
      <x:c r="K1278" s="2" t="str">
        <x:v>verb</x:v>
      </x:c>
      <x:c r="L1278" s="9" t="n">
        <x:v>3.02</x:v>
      </x:c>
      <x:c r="M1278" s="2" t="str">
        <x:v>없음</x:v>
      </x:c>
      <x:c r="N1278" s="11" t="n">
        <x:v>-8</x:v>
      </x:c>
      <x:c r="O1278" s="8" t="str">
        <x:v>일반 사용 빈도 보통 이하(Zipf ≤ 3.5); 검증된 예문 없음; 기존 데이터의 한국어 콘텐츠 보강 필요 태그</x:v>
      </x:c>
      <x:c r="P1278" s="8" t="str">
        <x:v>frequency_le_3_5,no_example,weak_legacy_content</x:v>
      </x:c>
      <x:c r="Q1278" s="2" t="str"/>
      <x:c r="R1278" s="2" t="str"/>
      <x:c r="S1278" s="2" t="str"/>
      <x:c r="T1278" s="2" t="str"/>
      <x:c r="U1278" s="2" t="str"/>
      <x:c r="V1278" s="2" t="str">
        <x:v>아니오</x:v>
      </x:c>
      <x:c r="W1278" s="2" t="str">
        <x:v>예</x:v>
      </x:c>
      <x:c r="X1278" s="2" t="str">
        <x:v>ichi1,news2,nf45</x:v>
      </x:c>
      <x:c r="Y1278" s="2" t="n">
        <x:v>100</x:v>
      </x:c>
      <x:c r="Z1278" s="2" t="str">
        <x:v>ichi1,news2,nf45</x:v>
      </x:c>
      <x:c r="AA1278" s="2" t="n">
        <x:v>100</x:v>
      </x:c>
      <x:c r="AB1278" s="8" t="str">
        <x:v>from 御機嫌を伺う | humble (kenjougo) language</x:v>
      </x:c>
      <x:c r="AC1278" s="8" t="str"/>
      <x:c r="AD1278" s="8" t="str">
        <x:v>["draft-ko-missing"]</x:v>
      </x:c>
      <x:c r="AE1278" s="8" t="str">
        <x:v>검토 필요</x:v>
      </x:c>
      <x:c r="AF1278" s="8" t="str"/>
    </x:row>
    <x:row r="1279">
      <x:c r="A1279" s="10" t="n">
        <x:v>1278</x:v>
      </x:c>
      <x:c r="B1279" s="2" t="str">
        <x:v>2차 보류</x:v>
      </x:c>
      <x:c r="C1279" s="2" t="str">
        <x:v>2차 보류</x:v>
      </x:c>
      <x:c r="D1279" s="2" t="str">
        <x:v>낮음</x:v>
      </x:c>
      <x:c r="E1279" s="2" t="str">
        <x:v>N2</x:v>
      </x:c>
      <x:c r="F1279" s="10" t="n">
        <x:v>474</x:v>
      </x:c>
      <x:c r="G1279" s="2" t="str">
        <x:v>w_12fc9d92085fbfa0</x:v>
      </x:c>
      <x:c r="H1279" s="2" t="str">
        <x:v>直角</x:v>
      </x:c>
      <x:c r="I1279" s="2" t="str">
        <x:v>ちょっかく</x:v>
      </x:c>
      <x:c r="J1279" s="8" t="str">
        <x:v>직각</x:v>
      </x:c>
      <x:c r="K1279" s="2" t="str">
        <x:v>noun</x:v>
      </x:c>
      <x:c r="L1279" s="9" t="n">
        <x:v>3.02</x:v>
      </x:c>
      <x:c r="M1279" s="2" t="str">
        <x:v>없음</x:v>
      </x:c>
      <x:c r="N1279" s="11" t="n">
        <x:v>-8</x:v>
      </x:c>
      <x:c r="O1279" s="8" t="str">
        <x:v>일반 사용 빈도 보통 이하(Zipf ≤ 3.5); 검증된 예문 없음; 기존 데이터의 한국어 콘텐츠 보강 필요 태그</x:v>
      </x:c>
      <x:c r="P1279" s="8" t="str">
        <x:v>frequency_le_3_5,no_example,weak_legacy_content</x:v>
      </x:c>
      <x:c r="Q1279" s="2" t="str"/>
      <x:c r="R1279" s="2" t="str"/>
      <x:c r="S1279" s="2" t="str"/>
      <x:c r="T1279" s="2" t="str"/>
      <x:c r="U1279" s="2" t="str"/>
      <x:c r="V1279" s="2" t="str">
        <x:v>아니오</x:v>
      </x:c>
      <x:c r="W1279" s="2" t="str">
        <x:v>예</x:v>
      </x:c>
      <x:c r="X1279" s="2" t="str">
        <x:v>ichi1,news2,nf34</x:v>
      </x:c>
      <x:c r="Y1279" s="2" t="n">
        <x:v>100</x:v>
      </x:c>
      <x:c r="Z1279" s="2" t="str">
        <x:v>ichi1,news2,nf34</x:v>
      </x:c>
      <x:c r="AA1279" s="2" t="n">
        <x:v>100</x:v>
      </x:c>
      <x:c r="AB1279" s="8" t="str"/>
      <x:c r="AC1279" s="8" t="str"/>
      <x:c r="AD1279" s="8" t="str">
        <x:v>["draft-ko-missing"]</x:v>
      </x:c>
      <x:c r="AE1279" s="8" t="str">
        <x:v>검토 필요</x:v>
      </x:c>
      <x:c r="AF1279" s="8" t="str"/>
    </x:row>
    <x:row r="1280">
      <x:c r="A1280" s="10" t="n">
        <x:v>1279</x:v>
      </x:c>
      <x:c r="B1280" s="2" t="str">
        <x:v>2차 보류</x:v>
      </x:c>
      <x:c r="C1280" s="2" t="str">
        <x:v>2차 보류</x:v>
      </x:c>
      <x:c r="D1280" s="2" t="str">
        <x:v>낮음</x:v>
      </x:c>
      <x:c r="E1280" s="2" t="str">
        <x:v>N2</x:v>
      </x:c>
      <x:c r="F1280" s="10" t="n">
        <x:v>475</x:v>
      </x:c>
      <x:c r="G1280" s="2" t="str">
        <x:v>w_4c8070831d17211e</x:v>
      </x:c>
      <x:c r="H1280" s="2" t="str">
        <x:v>英和</x:v>
      </x:c>
      <x:c r="I1280" s="2" t="str">
        <x:v>えいわ</x:v>
      </x:c>
      <x:c r="J1280" s="8" t="str">
        <x:v>영일(영어-일본어)</x:v>
      </x:c>
      <x:c r="K1280" s="2" t="str">
        <x:v>noun</x:v>
      </x:c>
      <x:c r="L1280" s="9" t="n">
        <x:v>3.02</x:v>
      </x:c>
      <x:c r="M1280" s="2" t="str">
        <x:v>없음</x:v>
      </x:c>
      <x:c r="N1280" s="11" t="n">
        <x:v>-8</x:v>
      </x:c>
      <x:c r="O1280" s="8" t="str">
        <x:v>일반 사용 빈도 보통 이하(Zipf ≤ 3.5); 검증된 예문 없음; 기존 데이터의 한국어 콘텐츠 보강 필요 태그</x:v>
      </x:c>
      <x:c r="P1280" s="8" t="str">
        <x:v>frequency_le_3_5,no_example,weak_legacy_content</x:v>
      </x:c>
      <x:c r="Q1280" s="2" t="str"/>
      <x:c r="R1280" s="2" t="str"/>
      <x:c r="S1280" s="2" t="str"/>
      <x:c r="T1280" s="2" t="str"/>
      <x:c r="U1280" s="2" t="str"/>
      <x:c r="V1280" s="2" t="str">
        <x:v>아니오</x:v>
      </x:c>
      <x:c r="W1280" s="2" t="str">
        <x:v>예</x:v>
      </x:c>
      <x:c r="X1280" s="2" t="str">
        <x:v>ichi1,news1,nf19</x:v>
      </x:c>
      <x:c r="Y1280" s="2" t="n">
        <x:v>100</x:v>
      </x:c>
      <x:c r="Z1280" s="2" t="str">
        <x:v>ichi1,news1,nf19</x:v>
      </x:c>
      <x:c r="AA1280" s="2" t="n">
        <x:v>100</x:v>
      </x:c>
      <x:c r="AB1280" s="8" t="str">
        <x:v>abbreviation</x:v>
      </x:c>
      <x:c r="AC1280" s="8" t="str"/>
      <x:c r="AD1280" s="8" t="str">
        <x:v>["draft-ko-missing"]</x:v>
      </x:c>
      <x:c r="AE1280" s="8" t="str">
        <x:v>검토 필요</x:v>
      </x:c>
      <x:c r="AF1280" s="8" t="str"/>
    </x:row>
    <x:row r="1281">
      <x:c r="A1281" s="10" t="n">
        <x:v>1280</x:v>
      </x:c>
      <x:c r="B1281" s="2" t="str">
        <x:v>2차 보류</x:v>
      </x:c>
      <x:c r="C1281" s="2" t="str">
        <x:v>2차 보류</x:v>
      </x:c>
      <x:c r="D1281" s="2" t="str">
        <x:v>낮음</x:v>
      </x:c>
      <x:c r="E1281" s="2" t="str">
        <x:v>N2</x:v>
      </x:c>
      <x:c r="F1281" s="10" t="n">
        <x:v>476</x:v>
      </x:c>
      <x:c r="G1281" s="2" t="str">
        <x:v>w_744570ba02723c96</x:v>
      </x:c>
      <x:c r="H1281" s="2" t="str">
        <x:v>偶数</x:v>
      </x:c>
      <x:c r="I1281" s="2" t="str">
        <x:v>ぐうすう</x:v>
      </x:c>
      <x:c r="J1281" s="8" t="str">
        <x:v>짝수</x:v>
      </x:c>
      <x:c r="K1281" s="2" t="str">
        <x:v>noun</x:v>
      </x:c>
      <x:c r="L1281" s="9" t="n">
        <x:v>3.02</x:v>
      </x:c>
      <x:c r="M1281" s="2" t="str">
        <x:v>없음</x:v>
      </x:c>
      <x:c r="N1281" s="11" t="n">
        <x:v>-8</x:v>
      </x:c>
      <x:c r="O1281" s="8" t="str">
        <x:v>일반 사용 빈도 보통 이하(Zipf ≤ 3.5); 검증된 예문 없음; 기존 데이터의 한국어 콘텐츠 보강 필요 태그</x:v>
      </x:c>
      <x:c r="P1281" s="8" t="str">
        <x:v>frequency_le_3_5,no_example,weak_legacy_content</x:v>
      </x:c>
      <x:c r="Q1281" s="2" t="str"/>
      <x:c r="R1281" s="2" t="str"/>
      <x:c r="S1281" s="2" t="str"/>
      <x:c r="T1281" s="2" t="str"/>
      <x:c r="U1281" s="2" t="str"/>
      <x:c r="V1281" s="2" t="str">
        <x:v>아니오</x:v>
      </x:c>
      <x:c r="W1281" s="2" t="str">
        <x:v>예</x:v>
      </x:c>
      <x:c r="X1281" s="2" t="str">
        <x:v>ichi1,news2,nf33</x:v>
      </x:c>
      <x:c r="Y1281" s="2" t="n">
        <x:v>100</x:v>
      </x:c>
      <x:c r="Z1281" s="2" t="str">
        <x:v>ichi1,news2,nf33</x:v>
      </x:c>
      <x:c r="AA1281" s="2" t="n">
        <x:v>100</x:v>
      </x:c>
      <x:c r="AB1281" s="8" t="str"/>
      <x:c r="AC1281" s="8" t="str"/>
      <x:c r="AD1281" s="8" t="str">
        <x:v>["draft-ko-missing"]</x:v>
      </x:c>
      <x:c r="AE1281" s="8" t="str">
        <x:v>검토 필요</x:v>
      </x:c>
      <x:c r="AF1281" s="8" t="str"/>
    </x:row>
    <x:row r="1282">
      <x:c r="A1282" s="10" t="n">
        <x:v>1281</x:v>
      </x:c>
      <x:c r="B1282" s="2" t="str">
        <x:v>2차 보류</x:v>
      </x:c>
      <x:c r="C1282" s="2" t="str">
        <x:v>2차 보류</x:v>
      </x:c>
      <x:c r="D1282" s="2" t="str">
        <x:v>낮음</x:v>
      </x:c>
      <x:c r="E1282" s="2" t="str">
        <x:v>N2</x:v>
      </x:c>
      <x:c r="F1282" s="10" t="n">
        <x:v>477</x:v>
      </x:c>
      <x:c r="G1282" s="2" t="str">
        <x:v>w_f85345aac7591859</x:v>
      </x:c>
      <x:c r="H1282" s="2" t="str">
        <x:v>薬指</x:v>
      </x:c>
      <x:c r="I1282" s="2" t="str">
        <x:v>くすりゆび</x:v>
      </x:c>
      <x:c r="J1282" s="8" t="str">
        <x:v>약지, 약손가락</x:v>
      </x:c>
      <x:c r="K1282" s="2" t="str">
        <x:v>noun</x:v>
      </x:c>
      <x:c r="L1282" s="9" t="n">
        <x:v>3.02</x:v>
      </x:c>
      <x:c r="M1282" s="2" t="str">
        <x:v>없음</x:v>
      </x:c>
      <x:c r="N1282" s="11" t="n">
        <x:v>-8</x:v>
      </x:c>
      <x:c r="O1282" s="8" t="str">
        <x:v>일반 사용 빈도 보통 이하(Zipf ≤ 3.5); 검증된 예문 없음; 기존 데이터의 한국어 콘텐츠 보강 필요 태그</x:v>
      </x:c>
      <x:c r="P1282" s="8" t="str">
        <x:v>frequency_le_3_5,no_example,weak_legacy_content</x:v>
      </x:c>
      <x:c r="Q1282" s="2" t="str"/>
      <x:c r="R1282" s="2" t="str"/>
      <x:c r="S1282" s="2" t="str"/>
      <x:c r="T1282" s="2" t="str"/>
      <x:c r="U1282" s="2" t="str"/>
      <x:c r="V1282" s="2" t="str">
        <x:v>아니오</x:v>
      </x:c>
      <x:c r="W1282" s="2" t="str">
        <x:v>예</x:v>
      </x:c>
      <x:c r="X1282" s="2" t="str">
        <x:v>ichi1,news2,nf38</x:v>
      </x:c>
      <x:c r="Y1282" s="2" t="n">
        <x:v>100</x:v>
      </x:c>
      <x:c r="Z1282" s="2" t="str">
        <x:v>ichi1,news2,nf38</x:v>
      </x:c>
      <x:c r="AA1282" s="2" t="n">
        <x:v>100</x:v>
      </x:c>
      <x:c r="AB1282" s="8" t="str"/>
      <x:c r="AC1282" s="8" t="str"/>
      <x:c r="AD1282" s="8" t="str">
        <x:v>["draft-ko-missing"]</x:v>
      </x:c>
      <x:c r="AE1282" s="8" t="str">
        <x:v>검토 필요</x:v>
      </x:c>
      <x:c r="AF1282" s="8" t="str"/>
    </x:row>
    <x:row r="1283">
      <x:c r="A1283" s="10" t="n">
        <x:v>1282</x:v>
      </x:c>
      <x:c r="B1283" s="2" t="str">
        <x:v>2차 보류</x:v>
      </x:c>
      <x:c r="C1283" s="2" t="str">
        <x:v>2차 보류</x:v>
      </x:c>
      <x:c r="D1283" s="2" t="str">
        <x:v>낮음</x:v>
      </x:c>
      <x:c r="E1283" s="2" t="str">
        <x:v>N3</x:v>
      </x:c>
      <x:c r="F1283" s="10" t="n">
        <x:v>148</x:v>
      </x:c>
      <x:c r="G1283" s="2" t="str">
        <x:v>w_4d4d3e4270ca9679</x:v>
      </x:c>
      <x:c r="H1283" s="2" t="str">
        <x:v>帰す</x:v>
      </x:c>
      <x:c r="I1283" s="2" t="str">
        <x:v>かえす</x:v>
      </x:c>
      <x:c r="J1283" s="8" t="str">
        <x:v>돌려보내다</x:v>
      </x:c>
      <x:c r="K1283" s="2" t="str">
        <x:v>verb</x:v>
      </x:c>
      <x:c r="L1283" s="9" t="n">
        <x:v>3.03</x:v>
      </x:c>
      <x:c r="M1283" s="2" t="str">
        <x:v>없음</x:v>
      </x:c>
      <x:c r="N1283" s="11" t="n">
        <x:v>-8</x:v>
      </x:c>
      <x:c r="O1283" s="8" t="str">
        <x:v>일반 사용 빈도 보통 이하(Zipf ≤ 3.5); 검증된 예문 없음; 기존 데이터의 한국어 콘텐츠 보강 필요 태그</x:v>
      </x:c>
      <x:c r="P1283" s="8" t="str">
        <x:v>frequency_le_3_5,no_example,weak_legacy_content</x:v>
      </x:c>
      <x:c r="Q1283" s="2" t="str"/>
      <x:c r="R1283" s="2" t="str"/>
      <x:c r="S1283" s="2" t="str"/>
      <x:c r="T1283" s="2" t="str"/>
      <x:c r="U1283" s="2" t="str"/>
      <x:c r="V1283" s="2" t="str">
        <x:v>아니오</x:v>
      </x:c>
      <x:c r="W1283" s="2" t="str">
        <x:v>예</x:v>
      </x:c>
      <x:c r="X1283" s="2" t="str">
        <x:v>ichi1,news2,nf45</x:v>
      </x:c>
      <x:c r="Y1283" s="2" t="n">
        <x:v>100</x:v>
      </x:c>
      <x:c r="Z1283" s="2" t="str">
        <x:v>ichi1,news2,nf45</x:v>
      </x:c>
      <x:c r="AA1283" s="2" t="n">
        <x:v>100</x:v>
      </x:c>
      <x:c r="AB1283" s="8" t="str"/>
      <x:c r="AC1283" s="8" t="str"/>
      <x:c r="AD1283" s="8" t="str">
        <x:v>["draft-ko-missing"]</x:v>
      </x:c>
      <x:c r="AE1283" s="8" t="str">
        <x:v>검토 필요</x:v>
      </x:c>
      <x:c r="AF1283" s="8" t="str"/>
    </x:row>
    <x:row r="1284">
      <x:c r="A1284" s="10" t="n">
        <x:v>1283</x:v>
      </x:c>
      <x:c r="B1284" s="2" t="str">
        <x:v>2차 보류</x:v>
      </x:c>
      <x:c r="C1284" s="2" t="str">
        <x:v>2차 보류</x:v>
      </x:c>
      <x:c r="D1284" s="2" t="str">
        <x:v>낮음</x:v>
      </x:c>
      <x:c r="E1284" s="2" t="str">
        <x:v>N2</x:v>
      </x:c>
      <x:c r="F1284" s="10" t="n">
        <x:v>478</x:v>
      </x:c>
      <x:c r="G1284" s="2" t="str">
        <x:v>w_3fb0a2ae1a74d3cc</x:v>
      </x:c>
      <x:c r="H1284" s="2" t="str">
        <x:v>糊</x:v>
      </x:c>
      <x:c r="I1284" s="2" t="str">
        <x:v>のり</x:v>
      </x:c>
      <x:c r="J1284" s="8" t="str">
        <x:v>풀(접착제)</x:v>
      </x:c>
      <x:c r="K1284" s="2" t="str">
        <x:v>noun</x:v>
      </x:c>
      <x:c r="L1284" s="9" t="n">
        <x:v>3.03</x:v>
      </x:c>
      <x:c r="M1284" s="2" t="str">
        <x:v>없음</x:v>
      </x:c>
      <x:c r="N1284" s="11" t="n">
        <x:v>-8</x:v>
      </x:c>
      <x:c r="O1284" s="8" t="str">
        <x:v>일반 사용 빈도 보통 이하(Zipf ≤ 3.5); 검증된 예문 없음; 기존 데이터의 한국어 콘텐츠 보강 필요 태그</x:v>
      </x:c>
      <x:c r="P1284" s="8" t="str">
        <x:v>frequency_le_3_5,no_example,weak_legacy_content</x:v>
      </x:c>
      <x:c r="Q1284" s="2" t="str"/>
      <x:c r="R1284" s="2" t="str"/>
      <x:c r="S1284" s="2" t="str"/>
      <x:c r="T1284" s="2" t="str"/>
      <x:c r="U1284" s="2" t="str"/>
      <x:c r="V1284" s="2" t="str">
        <x:v>아니오</x:v>
      </x:c>
      <x:c r="W1284" s="2" t="str">
        <x:v>예</x:v>
      </x:c>
      <x:c r="X1284" s="2" t="str">
        <x:v>ichi1,news2,nf33</x:v>
      </x:c>
      <x:c r="Y1284" s="2" t="n">
        <x:v>100</x:v>
      </x:c>
      <x:c r="Z1284" s="2" t="str">
        <x:v>ichi1,news2,nf33</x:v>
      </x:c>
      <x:c r="AA1284" s="2" t="n">
        <x:v>100</x:v>
      </x:c>
      <x:c r="AB1284" s="8" t="str"/>
      <x:c r="AC1284" s="8" t="str"/>
      <x:c r="AD1284" s="8" t="str">
        <x:v>["draft-ko-missing"]</x:v>
      </x:c>
      <x:c r="AE1284" s="8" t="str">
        <x:v>검토 필요</x:v>
      </x:c>
      <x:c r="AF1284" s="8" t="str"/>
    </x:row>
    <x:row r="1285">
      <x:c r="A1285" s="10" t="n">
        <x:v>1284</x:v>
      </x:c>
      <x:c r="B1285" s="2" t="str">
        <x:v>2차 보류</x:v>
      </x:c>
      <x:c r="C1285" s="2" t="str">
        <x:v>2차 보류</x:v>
      </x:c>
      <x:c r="D1285" s="2" t="str">
        <x:v>낮음</x:v>
      </x:c>
      <x:c r="E1285" s="2" t="str">
        <x:v>N1</x:v>
      </x:c>
      <x:c r="F1285" s="10" t="n">
        <x:v>562</x:v>
      </x:c>
      <x:c r="G1285" s="2" t="str">
        <x:v>w_0f632adc35d978b1</x:v>
      </x:c>
      <x:c r="H1285" s="2" t="str">
        <x:v>玄人</x:v>
      </x:c>
      <x:c r="I1285" s="2" t="str">
        <x:v>くろうと</x:v>
      </x:c>
      <x:c r="J1285" s="8" t="str">
        <x:v>전문가</x:v>
      </x:c>
      <x:c r="K1285" s="2" t="str">
        <x:v>noun</x:v>
      </x:c>
      <x:c r="L1285" s="9" t="n">
        <x:v>3.03</x:v>
      </x:c>
      <x:c r="M1285" s="2" t="str">
        <x:v>없음</x:v>
      </x:c>
      <x:c r="N1285" s="11" t="n">
        <x:v>-8</x:v>
      </x:c>
      <x:c r="O1285" s="8" t="str">
        <x:v>일반 사용 빈도 보통 이하(Zipf ≤ 3.5); 검증된 예문 없음; 기존 데이터의 한국어 콘텐츠 보강 필요 태그</x:v>
      </x:c>
      <x:c r="P1285" s="8" t="str">
        <x:v>frequency_le_3_5,no_example,weak_legacy_content</x:v>
      </x:c>
      <x:c r="Q1285" s="2" t="str"/>
      <x:c r="R1285" s="2" t="str"/>
      <x:c r="S1285" s="2" t="str"/>
      <x:c r="T1285" s="2" t="str"/>
      <x:c r="U1285" s="2" t="str"/>
      <x:c r="V1285" s="2" t="str">
        <x:v>아니오</x:v>
      </x:c>
      <x:c r="W1285" s="2" t="str">
        <x:v>예</x:v>
      </x:c>
      <x:c r="X1285" s="2" t="str">
        <x:v>ichi1,news2,nf29</x:v>
      </x:c>
      <x:c r="Y1285" s="2" t="n">
        <x:v>100</x:v>
      </x:c>
      <x:c r="Z1285" s="2" t="str">
        <x:v>ichi1,news2,nf29</x:v>
      </x:c>
      <x:c r="AA1285" s="2" t="n">
        <x:v>100</x:v>
      </x:c>
      <x:c r="AB1285" s="8" t="str"/>
      <x:c r="AC1285" s="8" t="str"/>
      <x:c r="AD1285" s="8" t="str">
        <x:v>["draft-ko-missing"]</x:v>
      </x:c>
      <x:c r="AE1285" s="8" t="str">
        <x:v>검토 필요</x:v>
      </x:c>
      <x:c r="AF1285" s="8" t="str"/>
    </x:row>
    <x:row r="1286">
      <x:c r="A1286" s="10" t="n">
        <x:v>1285</x:v>
      </x:c>
      <x:c r="B1286" s="2" t="str">
        <x:v>2차 보류</x:v>
      </x:c>
      <x:c r="C1286" s="2" t="str">
        <x:v>2차 보류</x:v>
      </x:c>
      <x:c r="D1286" s="2" t="str">
        <x:v>낮음</x:v>
      </x:c>
      <x:c r="E1286" s="2" t="str">
        <x:v>N1</x:v>
      </x:c>
      <x:c r="F1286" s="10" t="n">
        <x:v>563</x:v>
      </x:c>
      <x:c r="G1286" s="2" t="str">
        <x:v>w_bafabc8fcb443840</x:v>
      </x:c>
      <x:c r="H1286" s="2" t="str">
        <x:v>手掛かり</x:v>
      </x:c>
      <x:c r="I1286" s="2" t="str">
        <x:v>てがかり</x:v>
      </x:c>
      <x:c r="J1286" s="8" t="str">
        <x:v>단서, 실마리</x:v>
      </x:c>
      <x:c r="K1286" s="2" t="str">
        <x:v>noun</x:v>
      </x:c>
      <x:c r="L1286" s="9" t="n">
        <x:v>3.03</x:v>
      </x:c>
      <x:c r="M1286" s="2" t="str">
        <x:v>없음</x:v>
      </x:c>
      <x:c r="N1286" s="11" t="n">
        <x:v>-8</x:v>
      </x:c>
      <x:c r="O1286" s="8" t="str">
        <x:v>일반 사용 빈도 보통 이하(Zipf ≤ 3.5); 검증된 예문 없음; 기존 데이터의 한국어 콘텐츠 보강 필요 태그</x:v>
      </x:c>
      <x:c r="P1286" s="8" t="str">
        <x:v>frequency_le_3_5,no_example,weak_legacy_content</x:v>
      </x:c>
      <x:c r="Q1286" s="2" t="str"/>
      <x:c r="R1286" s="2" t="str"/>
      <x:c r="S1286" s="2" t="str"/>
      <x:c r="T1286" s="2" t="str"/>
      <x:c r="U1286" s="2" t="str"/>
      <x:c r="V1286" s="2" t="str">
        <x:v>아니오</x:v>
      </x:c>
      <x:c r="W1286" s="2" t="str">
        <x:v>예</x:v>
      </x:c>
      <x:c r="X1286" s="2" t="str">
        <x:v>ichi1,news1,nf12,spec1</x:v>
      </x:c>
      <x:c r="Y1286" s="2" t="n">
        <x:v>100</x:v>
      </x:c>
      <x:c r="Z1286" s="2" t="str">
        <x:v>ichi1,news1,nf12</x:v>
      </x:c>
      <x:c r="AA1286" s="2" t="n">
        <x:v>100</x:v>
      </x:c>
      <x:c r="AB1286" s="8" t="str"/>
      <x:c r="AC1286" s="8" t="str"/>
      <x:c r="AD1286" s="8" t="str">
        <x:v>["draft-ko-missing"]</x:v>
      </x:c>
      <x:c r="AE1286" s="8" t="str">
        <x:v>검토 필요</x:v>
      </x:c>
      <x:c r="AF1286" s="8" t="str"/>
    </x:row>
    <x:row r="1287">
      <x:c r="A1287" s="10" t="n">
        <x:v>1286</x:v>
      </x:c>
      <x:c r="B1287" s="2" t="str">
        <x:v>2차 보류</x:v>
      </x:c>
      <x:c r="C1287" s="2" t="str">
        <x:v>2차 보류</x:v>
      </x:c>
      <x:c r="D1287" s="2" t="str">
        <x:v>낮음</x:v>
      </x:c>
      <x:c r="E1287" s="2" t="str">
        <x:v>N1</x:v>
      </x:c>
      <x:c r="F1287" s="10" t="n">
        <x:v>564</x:v>
      </x:c>
      <x:c r="G1287" s="2" t="str">
        <x:v>w_edbd1d27cab0cd0f</x:v>
      </x:c>
      <x:c r="H1287" s="2" t="str">
        <x:v>割当</x:v>
      </x:c>
      <x:c r="I1287" s="2" t="str">
        <x:v>わりあて</x:v>
      </x:c>
      <x:c r="J1287" s="8" t="str">
        <x:v>할당</x:v>
      </x:c>
      <x:c r="K1287" s="2" t="str">
        <x:v>noun</x:v>
      </x:c>
      <x:c r="L1287" s="9" t="n">
        <x:v>3.03</x:v>
      </x:c>
      <x:c r="M1287" s="2" t="str">
        <x:v>없음</x:v>
      </x:c>
      <x:c r="N1287" s="11" t="n">
        <x:v>-8</x:v>
      </x:c>
      <x:c r="O1287" s="8" t="str">
        <x:v>일반 사용 빈도 보통 이하(Zipf ≤ 3.5); 검증된 예문 없음; 기존 데이터의 한국어 콘텐츠 보강 필요 태그</x:v>
      </x:c>
      <x:c r="P1287" s="8" t="str">
        <x:v>frequency_le_3_5,no_example,weak_legacy_content</x:v>
      </x:c>
      <x:c r="Q1287" s="2" t="str"/>
      <x:c r="R1287" s="2" t="str"/>
      <x:c r="S1287" s="2" t="str"/>
      <x:c r="T1287" s="2" t="str"/>
      <x:c r="U1287" s="2" t="str"/>
      <x:c r="V1287" s="2" t="str">
        <x:v>아니오</x:v>
      </x:c>
      <x:c r="W1287" s="2" t="str">
        <x:v>예</x:v>
      </x:c>
      <x:c r="X1287" s="2" t="str">
        <x:v>ichi1,news1,nf14</x:v>
      </x:c>
      <x:c r="Y1287" s="2" t="n">
        <x:v>100</x:v>
      </x:c>
      <x:c r="Z1287" s="2" t="str"/>
      <x:c r="AA1287" s="2" t="n">
        <x:v>0</x:v>
      </x:c>
      <x:c r="AB1287" s="8" t="str"/>
      <x:c r="AC1287" s="8" t="str"/>
      <x:c r="AD1287" s="8" t="str">
        <x:v>["draft-ko-missing"]</x:v>
      </x:c>
      <x:c r="AE1287" s="8" t="str">
        <x:v>검토 필요</x:v>
      </x:c>
      <x:c r="AF1287" s="8" t="str"/>
    </x:row>
    <x:row r="1288">
      <x:c r="A1288" s="10" t="n">
        <x:v>1287</x:v>
      </x:c>
      <x:c r="B1288" s="2" t="str">
        <x:v>2차 보류</x:v>
      </x:c>
      <x:c r="C1288" s="2" t="str">
        <x:v>2차 보류</x:v>
      </x:c>
      <x:c r="D1288" s="2" t="str">
        <x:v>낮음</x:v>
      </x:c>
      <x:c r="E1288" s="2" t="str">
        <x:v>N1</x:v>
      </x:c>
      <x:c r="F1288" s="10" t="n">
        <x:v>565</x:v>
      </x:c>
      <x:c r="G1288" s="2" t="str">
        <x:v>w_0b28b6215f18ebd1</x:v>
      </x:c>
      <x:c r="H1288" s="2" t="str">
        <x:v>誤る</x:v>
      </x:c>
      <x:c r="I1288" s="2" t="str">
        <x:v>あやまる</x:v>
      </x:c>
      <x:c r="J1288" s="8" t="str">
        <x:v>실수하다</x:v>
      </x:c>
      <x:c r="K1288" s="2" t="str">
        <x:v>verb</x:v>
      </x:c>
      <x:c r="L1288" s="9" t="n">
        <x:v>3.04</x:v>
      </x:c>
      <x:c r="M1288" s="2" t="str">
        <x:v>없음</x:v>
      </x:c>
      <x:c r="N1288" s="11" t="n">
        <x:v>-8</x:v>
      </x:c>
      <x:c r="O1288" s="8" t="str">
        <x:v>일반 사용 빈도 보통 이하(Zipf ≤ 3.5); 검증된 예문 없음; 기존 데이터의 한국어 콘텐츠 보강 필요 태그</x:v>
      </x:c>
      <x:c r="P1288" s="8" t="str">
        <x:v>frequency_le_3_5,no_example,weak_legacy_content</x:v>
      </x:c>
      <x:c r="Q1288" s="2" t="str"/>
      <x:c r="R1288" s="2" t="str"/>
      <x:c r="S1288" s="2" t="str"/>
      <x:c r="T1288" s="2" t="str"/>
      <x:c r="U1288" s="2" t="str"/>
      <x:c r="V1288" s="2" t="str">
        <x:v>아니오</x:v>
      </x:c>
      <x:c r="W1288" s="2" t="str">
        <x:v>예</x:v>
      </x:c>
      <x:c r="X1288" s="2" t="str">
        <x:v>ichi1,news2,nf41</x:v>
      </x:c>
      <x:c r="Y1288" s="2" t="n">
        <x:v>100</x:v>
      </x:c>
      <x:c r="Z1288" s="2" t="str">
        <x:v>ichi1,news2,nf41</x:v>
      </x:c>
      <x:c r="AA1288" s="2" t="n">
        <x:v>100</x:v>
      </x:c>
      <x:c r="AB1288" s="8" t="str">
        <x:v>as 誤った or 誤っている</x:v>
      </x:c>
      <x:c r="AC1288" s="8" t="str"/>
      <x:c r="AD1288" s="8" t="str">
        <x:v>["draft-ko-missing"]</x:v>
      </x:c>
      <x:c r="AE1288" s="8" t="str">
        <x:v>검토 필요</x:v>
      </x:c>
      <x:c r="AF1288" s="8" t="str"/>
    </x:row>
    <x:row r="1289">
      <x:c r="A1289" s="10" t="n">
        <x:v>1288</x:v>
      </x:c>
      <x:c r="B1289" s="2" t="str">
        <x:v>2차 보류</x:v>
      </x:c>
      <x:c r="C1289" s="2" t="str">
        <x:v>2차 보류</x:v>
      </x:c>
      <x:c r="D1289" s="2" t="str">
        <x:v>낮음</x:v>
      </x:c>
      <x:c r="E1289" s="2" t="str">
        <x:v>N1</x:v>
      </x:c>
      <x:c r="F1289" s="10" t="n">
        <x:v>566</x:v>
      </x:c>
      <x:c r="G1289" s="2" t="str">
        <x:v>w_4de61628162f676c</x:v>
      </x:c>
      <x:c r="H1289" s="2" t="str">
        <x:v>呟く</x:v>
      </x:c>
      <x:c r="I1289" s="2" t="str">
        <x:v>つぶやく</x:v>
      </x:c>
      <x:c r="J1289" s="8" t="str">
        <x:v>중얼거리다</x:v>
      </x:c>
      <x:c r="K1289" s="2" t="str">
        <x:v>verb</x:v>
      </x:c>
      <x:c r="L1289" s="9" t="n">
        <x:v>3.04</x:v>
      </x:c>
      <x:c r="M1289" s="2" t="str">
        <x:v>없음</x:v>
      </x:c>
      <x:c r="N1289" s="11" t="n">
        <x:v>-8</x:v>
      </x:c>
      <x:c r="O1289" s="8" t="str">
        <x:v>일반 사용 빈도 보통 이하(Zipf ≤ 3.5); 검증된 예문 없음; 기존 데이터의 한국어 콘텐츠 보강 필요 태그</x:v>
      </x:c>
      <x:c r="P1289" s="8" t="str">
        <x:v>frequency_le_3_5,no_example,weak_legacy_content</x:v>
      </x:c>
      <x:c r="Q1289" s="2" t="str"/>
      <x:c r="R1289" s="2" t="str"/>
      <x:c r="S1289" s="2" t="str"/>
      <x:c r="T1289" s="2" t="str"/>
      <x:c r="U1289" s="2" t="str"/>
      <x:c r="V1289" s="2" t="str">
        <x:v>아니오</x:v>
      </x:c>
      <x:c r="W1289" s="2" t="str">
        <x:v>예</x:v>
      </x:c>
      <x:c r="X1289" s="2" t="str">
        <x:v>ichi1</x:v>
      </x:c>
      <x:c r="Y1289" s="2" t="n">
        <x:v>100</x:v>
      </x:c>
      <x:c r="Z1289" s="2" t="str">
        <x:v>ichi1</x:v>
      </x:c>
      <x:c r="AA1289" s="2" t="n">
        <x:v>100</x:v>
      </x:c>
      <x:c r="AB1289" s="8" t="str">
        <x:v>word usually written using kana alone</x:v>
      </x:c>
      <x:c r="AC1289" s="8" t="str"/>
      <x:c r="AD1289" s="8" t="str">
        <x:v>["draft-ko-missing"]</x:v>
      </x:c>
      <x:c r="AE1289" s="8" t="str">
        <x:v>검토 필요</x:v>
      </x:c>
      <x:c r="AF1289" s="8" t="str"/>
    </x:row>
    <x:row r="1290">
      <x:c r="A1290" s="10" t="n">
        <x:v>1289</x:v>
      </x:c>
      <x:c r="B1290" s="2" t="str">
        <x:v>2차 보류</x:v>
      </x:c>
      <x:c r="C1290" s="2" t="str">
        <x:v>2차 보류</x:v>
      </x:c>
      <x:c r="D1290" s="2" t="str">
        <x:v>낮음</x:v>
      </x:c>
      <x:c r="E1290" s="2" t="str">
        <x:v>N4</x:v>
      </x:c>
      <x:c r="F1290" s="10" t="n">
        <x:v>78</x:v>
      </x:c>
      <x:c r="G1290" s="2" t="str">
        <x:v>w_ede8eb789a9b5611</x:v>
      </x:c>
      <x:c r="H1290" s="2" t="str">
        <x:v>暮れる</x:v>
      </x:c>
      <x:c r="I1290" s="2" t="str">
        <x:v>くれる</x:v>
      </x:c>
      <x:c r="J1290" s="8" t="str">
        <x:v>(날이) 저물다</x:v>
      </x:c>
      <x:c r="K1290" s="2" t="str">
        <x:v>verb</x:v>
      </x:c>
      <x:c r="L1290" s="9" t="n">
        <x:v>3.05</x:v>
      </x:c>
      <x:c r="M1290" s="2" t="str">
        <x:v>없음</x:v>
      </x:c>
      <x:c r="N1290" s="11" t="n">
        <x:v>-8</x:v>
      </x:c>
      <x:c r="O1290" s="8" t="str">
        <x:v>일반 사용 빈도 보통 이하(Zipf ≤ 3.5); 검증된 예문 없음; 기존 데이터의 한국어 콘텐츠 보강 필요 태그</x:v>
      </x:c>
      <x:c r="P1290" s="8" t="str">
        <x:v>frequency_le_3_5,no_example,weak_legacy_content</x:v>
      </x:c>
      <x:c r="Q1290" s="2" t="str"/>
      <x:c r="R1290" s="2" t="str"/>
      <x:c r="S1290" s="2" t="str"/>
      <x:c r="T1290" s="2" t="str"/>
      <x:c r="U1290" s="2" t="str"/>
      <x:c r="V1290" s="2" t="str">
        <x:v>아니오</x:v>
      </x:c>
      <x:c r="W1290" s="2" t="str">
        <x:v>예</x:v>
      </x:c>
      <x:c r="X1290" s="2" t="str">
        <x:v>ichi1,news1,nf12</x:v>
      </x:c>
      <x:c r="Y1290" s="2" t="n">
        <x:v>100</x:v>
      </x:c>
      <x:c r="Z1290" s="2" t="str">
        <x:v>ichi1,news1,nf12</x:v>
      </x:c>
      <x:c r="AA1290" s="2" t="n">
        <x:v>100</x:v>
      </x:c>
      <x:c r="AB1290" s="8" t="str"/>
      <x:c r="AC1290" s="8" t="str"/>
      <x:c r="AD1290" s="8" t="str">
        <x:v>["draft-ko-missing"]</x:v>
      </x:c>
      <x:c r="AE1290" s="8" t="str">
        <x:v>검토 필요</x:v>
      </x:c>
      <x:c r="AF1290" s="8" t="str"/>
    </x:row>
    <x:row r="1291">
      <x:c r="A1291" s="10" t="n">
        <x:v>1290</x:v>
      </x:c>
      <x:c r="B1291" s="2" t="str">
        <x:v>2차 보류</x:v>
      </x:c>
      <x:c r="C1291" s="2" t="str">
        <x:v>2차 보류</x:v>
      </x:c>
      <x:c r="D1291" s="2" t="str">
        <x:v>낮음</x:v>
      </x:c>
      <x:c r="E1291" s="2" t="str">
        <x:v>N4</x:v>
      </x:c>
      <x:c r="F1291" s="10" t="n">
        <x:v>79</x:v>
      </x:c>
      <x:c r="G1291" s="2" t="str">
        <x:v>w_682fc0b629e59c27</x:v>
      </x:c>
      <x:c r="H1291" s="2" t="str">
        <x:v>講堂</x:v>
      </x:c>
      <x:c r="I1291" s="2" t="str">
        <x:v>こうどう</x:v>
      </x:c>
      <x:c r="J1291" s="8" t="str">
        <x:v>강당</x:v>
      </x:c>
      <x:c r="K1291" s="2" t="str">
        <x:v>noun</x:v>
      </x:c>
      <x:c r="L1291" s="9" t="n">
        <x:v>3.06</x:v>
      </x:c>
      <x:c r="M1291" s="2" t="str">
        <x:v>없음</x:v>
      </x:c>
      <x:c r="N1291" s="11" t="n">
        <x:v>-8</x:v>
      </x:c>
      <x:c r="O1291" s="8" t="str">
        <x:v>일반 사용 빈도 보통 이하(Zipf ≤ 3.5); 검증된 예문 없음; 기존 데이터의 한국어 콘텐츠 보강 필요 태그</x:v>
      </x:c>
      <x:c r="P1291" s="8" t="str">
        <x:v>frequency_le_3_5,no_example,weak_legacy_content</x:v>
      </x:c>
      <x:c r="Q1291" s="2" t="str"/>
      <x:c r="R1291" s="2" t="str"/>
      <x:c r="S1291" s="2" t="str"/>
      <x:c r="T1291" s="2" t="str"/>
      <x:c r="U1291" s="2" t="str"/>
      <x:c r="V1291" s="2" t="str">
        <x:v>아니오</x:v>
      </x:c>
      <x:c r="W1291" s="2" t="str">
        <x:v>예</x:v>
      </x:c>
      <x:c r="X1291" s="2" t="str">
        <x:v>ichi1,news1,nf10</x:v>
      </x:c>
      <x:c r="Y1291" s="2" t="n">
        <x:v>100</x:v>
      </x:c>
      <x:c r="Z1291" s="2" t="str">
        <x:v>ichi1,news1,nf10</x:v>
      </x:c>
      <x:c r="AA1291" s="2" t="n">
        <x:v>100</x:v>
      </x:c>
      <x:c r="AB1291" s="8" t="str"/>
      <x:c r="AC1291" s="8" t="str"/>
      <x:c r="AD1291" s="8" t="str">
        <x:v>["draft-ko-missing"]</x:v>
      </x:c>
      <x:c r="AE1291" s="8" t="str">
        <x:v>검토 필요</x:v>
      </x:c>
      <x:c r="AF1291" s="8" t="str"/>
    </x:row>
    <x:row r="1292">
      <x:c r="A1292" s="10" t="n">
        <x:v>1291</x:v>
      </x:c>
      <x:c r="B1292" s="2" t="str">
        <x:v>2차 보류</x:v>
      </x:c>
      <x:c r="C1292" s="2" t="str">
        <x:v>2차 보류</x:v>
      </x:c>
      <x:c r="D1292" s="2" t="str">
        <x:v>낮음</x:v>
      </x:c>
      <x:c r="E1292" s="2" t="str">
        <x:v>N3</x:v>
      </x:c>
      <x:c r="F1292" s="10" t="n">
        <x:v>149</x:v>
      </x:c>
      <x:c r="G1292" s="2" t="str">
        <x:v>w_39b26f179dfbec94</x:v>
      </x:c>
      <x:c r="H1292" s="2" t="str">
        <x:v>蒸し暑い</x:v>
      </x:c>
      <x:c r="I1292" s="2" t="str">
        <x:v>むしあつい</x:v>
      </x:c>
      <x:c r="J1292" s="8" t="str">
        <x:v>습한, 무더운</x:v>
      </x:c>
      <x:c r="K1292" s="2" t="str">
        <x:v>adjective</x:v>
      </x:c>
      <x:c r="L1292" s="9" t="n">
        <x:v>3.06</x:v>
      </x:c>
      <x:c r="M1292" s="2" t="str">
        <x:v>없음</x:v>
      </x:c>
      <x:c r="N1292" s="11" t="n">
        <x:v>-8</x:v>
      </x:c>
      <x:c r="O1292" s="8" t="str">
        <x:v>일반 사용 빈도 보통 이하(Zipf ≤ 3.5); 검증된 예문 없음; 기존 데이터의 한국어 콘텐츠 보강 필요 태그</x:v>
      </x:c>
      <x:c r="P1292" s="8" t="str">
        <x:v>frequency_le_3_5,no_example,weak_legacy_content</x:v>
      </x:c>
      <x:c r="Q1292" s="2" t="str"/>
      <x:c r="R1292" s="2" t="str"/>
      <x:c r="S1292" s="2" t="str"/>
      <x:c r="T1292" s="2" t="str"/>
      <x:c r="U1292" s="2" t="str"/>
      <x:c r="V1292" s="2" t="str">
        <x:v>아니오</x:v>
      </x:c>
      <x:c r="W1292" s="2" t="str">
        <x:v>예</x:v>
      </x:c>
      <x:c r="X1292" s="2" t="str">
        <x:v>ichi1,news2,nf37</x:v>
      </x:c>
      <x:c r="Y1292" s="2" t="n">
        <x:v>100</x:v>
      </x:c>
      <x:c r="Z1292" s="2" t="str">
        <x:v>ichi1,news2,nf37</x:v>
      </x:c>
      <x:c r="AA1292" s="2" t="n">
        <x:v>100</x:v>
      </x:c>
      <x:c r="AB1292" s="8" t="str"/>
      <x:c r="AC1292" s="8" t="str"/>
      <x:c r="AD1292" s="8" t="str">
        <x:v>["draft-ko-missing"]</x:v>
      </x:c>
      <x:c r="AE1292" s="8" t="str">
        <x:v>검토 필요</x:v>
      </x:c>
      <x:c r="AF1292" s="8" t="str"/>
    </x:row>
    <x:row r="1293">
      <x:c r="A1293" s="10" t="n">
        <x:v>1292</x:v>
      </x:c>
      <x:c r="B1293" s="2" t="str">
        <x:v>2차 보류</x:v>
      </x:c>
      <x:c r="C1293" s="2" t="str">
        <x:v>2차 보류</x:v>
      </x:c>
      <x:c r="D1293" s="2" t="str">
        <x:v>낮음</x:v>
      </x:c>
      <x:c r="E1293" s="2" t="str">
        <x:v>N3</x:v>
      </x:c>
      <x:c r="F1293" s="10" t="n">
        <x:v>150</x:v>
      </x:c>
      <x:c r="G1293" s="2" t="str">
        <x:v>w_85903e115c9a3f55</x:v>
      </x:c>
      <x:c r="H1293" s="2" t="str">
        <x:v>嗅ぐ</x:v>
      </x:c>
      <x:c r="I1293" s="2" t="str">
        <x:v>かぐ</x:v>
      </x:c>
      <x:c r="J1293" s="8" t="str">
        <x:v>냄새 맡다</x:v>
      </x:c>
      <x:c r="K1293" s="2" t="str">
        <x:v>verb</x:v>
      </x:c>
      <x:c r="L1293" s="9" t="n">
        <x:v>3.06</x:v>
      </x:c>
      <x:c r="M1293" s="2" t="str">
        <x:v>없음</x:v>
      </x:c>
      <x:c r="N1293" s="11" t="n">
        <x:v>-8</x:v>
      </x:c>
      <x:c r="O1293" s="8" t="str">
        <x:v>일반 사용 빈도 보통 이하(Zipf ≤ 3.5); 검증된 예문 없음; 기존 데이터의 한국어 콘텐츠 보강 필요 태그</x:v>
      </x:c>
      <x:c r="P1293" s="8" t="str">
        <x:v>frequency_le_3_5,no_example,weak_legacy_content</x:v>
      </x:c>
      <x:c r="Q1293" s="2" t="str"/>
      <x:c r="R1293" s="2" t="str"/>
      <x:c r="S1293" s="2" t="str"/>
      <x:c r="T1293" s="2" t="str"/>
      <x:c r="U1293" s="2" t="str"/>
      <x:c r="V1293" s="2" t="str">
        <x:v>아니오</x:v>
      </x:c>
      <x:c r="W1293" s="2" t="str">
        <x:v>예</x:v>
      </x:c>
      <x:c r="X1293" s="2" t="str">
        <x:v>ichi1</x:v>
      </x:c>
      <x:c r="Y1293" s="2" t="n">
        <x:v>100</x:v>
      </x:c>
      <x:c r="Z1293" s="2" t="str">
        <x:v>ichi1</x:v>
      </x:c>
      <x:c r="AA1293" s="2" t="n">
        <x:v>100</x:v>
      </x:c>
      <x:c r="AB1293" s="8" t="str"/>
      <x:c r="AC1293" s="8" t="str"/>
      <x:c r="AD1293" s="8" t="str">
        <x:v>["draft-ko-missing"]</x:v>
      </x:c>
      <x:c r="AE1293" s="8" t="str">
        <x:v>검토 필요</x:v>
      </x:c>
      <x:c r="AF1293" s="8" t="str"/>
    </x:row>
    <x:row r="1294">
      <x:c r="A1294" s="10" t="n">
        <x:v>1293</x:v>
      </x:c>
      <x:c r="B1294" s="2" t="str">
        <x:v>2차 보류</x:v>
      </x:c>
      <x:c r="C1294" s="2" t="str">
        <x:v>2차 보류</x:v>
      </x:c>
      <x:c r="D1294" s="2" t="str">
        <x:v>낮음</x:v>
      </x:c>
      <x:c r="E1294" s="2" t="str">
        <x:v>N1</x:v>
      </x:c>
      <x:c r="F1294" s="10" t="n">
        <x:v>567</x:v>
      </x:c>
      <x:c r="G1294" s="2" t="str">
        <x:v>w_278434588a1720b2</x:v>
      </x:c>
      <x:c r="H1294" s="2" t="str">
        <x:v>荒らす</x:v>
      </x:c>
      <x:c r="I1294" s="2" t="str">
        <x:v>あらす</x:v>
      </x:c>
      <x:c r="J1294" s="8" t="str">
        <x:v>망치다, 휩쓸다</x:v>
      </x:c>
      <x:c r="K1294" s="2" t="str">
        <x:v>verb</x:v>
      </x:c>
      <x:c r="L1294" s="9" t="n">
        <x:v>3.06</x:v>
      </x:c>
      <x:c r="M1294" s="2" t="str">
        <x:v>없음</x:v>
      </x:c>
      <x:c r="N1294" s="11" t="n">
        <x:v>-8</x:v>
      </x:c>
      <x:c r="O1294" s="8" t="str">
        <x:v>일반 사용 빈도 보통 이하(Zipf ≤ 3.5); 검증된 예문 없음; 기존 데이터의 한국어 콘텐츠 보강 필요 태그</x:v>
      </x:c>
      <x:c r="P1294" s="8" t="str">
        <x:v>frequency_le_3_5,no_example,weak_legacy_content</x:v>
      </x:c>
      <x:c r="Q1294" s="2" t="str"/>
      <x:c r="R1294" s="2" t="str"/>
      <x:c r="S1294" s="2" t="str"/>
      <x:c r="T1294" s="2" t="str"/>
      <x:c r="U1294" s="2" t="str"/>
      <x:c r="V1294" s="2" t="str">
        <x:v>아니오</x:v>
      </x:c>
      <x:c r="W1294" s="2" t="str">
        <x:v>예</x:v>
      </x:c>
      <x:c r="X1294" s="2" t="str">
        <x:v>ichi1,news1,nf22</x:v>
      </x:c>
      <x:c r="Y1294" s="2" t="n">
        <x:v>100</x:v>
      </x:c>
      <x:c r="Z1294" s="2" t="str">
        <x:v>ichi1,news1,nf22</x:v>
      </x:c>
      <x:c r="AA1294" s="2" t="n">
        <x:v>100</x:v>
      </x:c>
      <x:c r="AB1294" s="8" t="str">
        <x:v>colloquial</x:v>
      </x:c>
      <x:c r="AC1294" s="8" t="str"/>
      <x:c r="AD1294" s="8" t="str">
        <x:v>["draft-ko-missing"]</x:v>
      </x:c>
      <x:c r="AE1294" s="8" t="str">
        <x:v>검토 필요</x:v>
      </x:c>
      <x:c r="AF1294" s="8" t="str"/>
    </x:row>
    <x:row r="1295">
      <x:c r="A1295" s="10" t="n">
        <x:v>1294</x:v>
      </x:c>
      <x:c r="B1295" s="2" t="str">
        <x:v>2차 보류</x:v>
      </x:c>
      <x:c r="C1295" s="2" t="str">
        <x:v>2차 보류</x:v>
      </x:c>
      <x:c r="D1295" s="2" t="str">
        <x:v>낮음</x:v>
      </x:c>
      <x:c r="E1295" s="2" t="str">
        <x:v>N1</x:v>
      </x:c>
      <x:c r="F1295" s="10" t="n">
        <x:v>568</x:v>
      </x:c>
      <x:c r="G1295" s="2" t="str">
        <x:v>w_e18f80d50d96027c</x:v>
      </x:c>
      <x:c r="H1295" s="2" t="str">
        <x:v>あやふや</x:v>
      </x:c>
      <x:c r="I1295" s="2" t="str">
        <x:v>あやふや</x:v>
      </x:c>
      <x:c r="J1295" s="8" t="str">
        <x:v>애매한</x:v>
      </x:c>
      <x:c r="K1295" s="2" t="str">
        <x:v>adjective</x:v>
      </x:c>
      <x:c r="L1295" s="9" t="n">
        <x:v>3.06</x:v>
      </x:c>
      <x:c r="M1295" s="2" t="str">
        <x:v>없음</x:v>
      </x:c>
      <x:c r="N1295" s="11" t="n">
        <x:v>-8</x:v>
      </x:c>
      <x:c r="O1295" s="8" t="str">
        <x:v>일반 사용 빈도 보통 이하(Zipf ≤ 3.5); 검증된 예문 없음; 기존 데이터의 한국어 콘텐츠 보강 필요 태그</x:v>
      </x:c>
      <x:c r="P1295" s="8" t="str">
        <x:v>frequency_le_3_5,no_example,weak_legacy_content</x:v>
      </x:c>
      <x:c r="Q1295" s="2" t="str"/>
      <x:c r="R1295" s="2" t="str"/>
      <x:c r="S1295" s="2" t="str"/>
      <x:c r="T1295" s="2" t="str"/>
      <x:c r="U1295" s="2" t="str"/>
      <x:c r="V1295" s="2" t="str">
        <x:v>아니오</x:v>
      </x:c>
      <x:c r="W1295" s="2" t="str">
        <x:v>예</x:v>
      </x:c>
      <x:c r="X1295" s="2" t="str">
        <x:v>ichi1</x:v>
      </x:c>
      <x:c r="Y1295" s="2" t="n">
        <x:v>100</x:v>
      </x:c>
      <x:c r="Z1295" s="2" t="str">
        <x:v>ichi1</x:v>
      </x:c>
      <x:c r="AA1295" s="2" t="n">
        <x:v>100</x:v>
      </x:c>
      <x:c r="AB1295" s="8" t="str">
        <x:v>onomatopoeic or mimetic word</x:v>
      </x:c>
      <x:c r="AC1295" s="8" t="str"/>
      <x:c r="AD1295" s="8" t="str">
        <x:v>["draft-ko-missing"]</x:v>
      </x:c>
      <x:c r="AE1295" s="8" t="str">
        <x:v>검토 필요</x:v>
      </x:c>
      <x:c r="AF1295" s="8" t="str"/>
    </x:row>
    <x:row r="1296">
      <x:c r="A1296" s="10" t="n">
        <x:v>1295</x:v>
      </x:c>
      <x:c r="B1296" s="2" t="str">
        <x:v>2차 보류</x:v>
      </x:c>
      <x:c r="C1296" s="2" t="str">
        <x:v>2차 보류</x:v>
      </x:c>
      <x:c r="D1296" s="2" t="str">
        <x:v>낮음</x:v>
      </x:c>
      <x:c r="E1296" s="2" t="str">
        <x:v>N4</x:v>
      </x:c>
      <x:c r="F1296" s="10" t="n">
        <x:v>80</x:v>
      </x:c>
      <x:c r="G1296" s="2" t="str">
        <x:v>w_27f918b6c1f30a9b</x:v>
      </x:c>
      <x:c r="H1296" s="2" t="str">
        <x:v>申す</x:v>
      </x:c>
      <x:c r="I1296" s="2" t="str">
        <x:v>もうす</x:v>
      </x:c>
      <x:c r="J1296" s="8" t="str">
        <x:v>말씀드리다(겸양어)</x:v>
      </x:c>
      <x:c r="K1296" s="2" t="str">
        <x:v>verb</x:v>
      </x:c>
      <x:c r="L1296" s="9" t="n">
        <x:v>3.07</x:v>
      </x:c>
      <x:c r="M1296" s="2" t="str">
        <x:v>없음</x:v>
      </x:c>
      <x:c r="N1296" s="11" t="n">
        <x:v>-8</x:v>
      </x:c>
      <x:c r="O1296" s="8" t="str">
        <x:v>일반 사용 빈도 보통 이하(Zipf ≤ 3.5); 검증된 예문 없음; 기존 데이터의 한국어 콘텐츠 보강 필요 태그</x:v>
      </x:c>
      <x:c r="P1296" s="8" t="str">
        <x:v>frequency_le_3_5,no_example,weak_legacy_content</x:v>
      </x:c>
      <x:c r="Q1296" s="2" t="str"/>
      <x:c r="R1296" s="2" t="str"/>
      <x:c r="S1296" s="2" t="str"/>
      <x:c r="T1296" s="2" t="str"/>
      <x:c r="U1296" s="2" t="str"/>
      <x:c r="V1296" s="2" t="str">
        <x:v>아니오</x:v>
      </x:c>
      <x:c r="W1296" s="2" t="str">
        <x:v>예</x:v>
      </x:c>
      <x:c r="X1296" s="2" t="str">
        <x:v>ichi1,news1,nf21</x:v>
      </x:c>
      <x:c r="Y1296" s="2" t="n">
        <x:v>100</x:v>
      </x:c>
      <x:c r="Z1296" s="2" t="str">
        <x:v>ichi1,news1,nf21</x:v>
      </x:c>
      <x:c r="AA1296" s="2" t="n">
        <x:v>100</x:v>
      </x:c>
      <x:c r="AB1296" s="8" t="str">
        <x:v>after a word beginning with お- or ご- | humble (kenjougo) language</x:v>
      </x:c>
      <x:c r="AC1296" s="8" t="str"/>
      <x:c r="AD1296" s="8" t="str">
        <x:v>["draft-ko-missing"]</x:v>
      </x:c>
      <x:c r="AE1296" s="8" t="str">
        <x:v>검토 필요</x:v>
      </x:c>
      <x:c r="AF1296" s="8" t="str"/>
    </x:row>
    <x:row r="1297">
      <x:c r="A1297" s="10" t="n">
        <x:v>1296</x:v>
      </x:c>
      <x:c r="B1297" s="2" t="str">
        <x:v>2차 보류</x:v>
      </x:c>
      <x:c r="C1297" s="2" t="str">
        <x:v>2차 보류</x:v>
      </x:c>
      <x:c r="D1297" s="2" t="str">
        <x:v>낮음</x:v>
      </x:c>
      <x:c r="E1297" s="2" t="str">
        <x:v>N2</x:v>
      </x:c>
      <x:c r="F1297" s="10" t="n">
        <x:v>479</x:v>
      </x:c>
      <x:c r="G1297" s="2" t="str">
        <x:v>w_3b4756b9ec416347</x:v>
      </x:c>
      <x:c r="H1297" s="2" t="str">
        <x:v>謙遜</x:v>
      </x:c>
      <x:c r="I1297" s="2" t="str">
        <x:v>けんそん</x:v>
      </x:c>
      <x:c r="J1297" s="8" t="str">
        <x:v>겸양, 겸손</x:v>
      </x:c>
      <x:c r="K1297" s="2" t="str">
        <x:v>noun</x:v>
      </x:c>
      <x:c r="L1297" s="9" t="n">
        <x:v>3.07</x:v>
      </x:c>
      <x:c r="M1297" s="2" t="str">
        <x:v>없음</x:v>
      </x:c>
      <x:c r="N1297" s="11" t="n">
        <x:v>-8</x:v>
      </x:c>
      <x:c r="O1297" s="8" t="str">
        <x:v>일반 사용 빈도 보통 이하(Zipf ≤ 3.5); 검증된 예문 없음; 기존 데이터의 한국어 콘텐츠 보강 필요 태그</x:v>
      </x:c>
      <x:c r="P1297" s="8" t="str">
        <x:v>frequency_le_3_5,no_example,weak_legacy_content</x:v>
      </x:c>
      <x:c r="Q1297" s="2" t="str"/>
      <x:c r="R1297" s="2" t="str"/>
      <x:c r="S1297" s="2" t="str"/>
      <x:c r="T1297" s="2" t="str"/>
      <x:c r="U1297" s="2" t="str"/>
      <x:c r="V1297" s="2" t="str">
        <x:v>아니오</x:v>
      </x:c>
      <x:c r="W1297" s="2" t="str">
        <x:v>예</x:v>
      </x:c>
      <x:c r="X1297" s="2" t="str">
        <x:v>ichi1</x:v>
      </x:c>
      <x:c r="Y1297" s="2" t="n">
        <x:v>100</x:v>
      </x:c>
      <x:c r="Z1297" s="2" t="str">
        <x:v>ichi1</x:v>
      </x:c>
      <x:c r="AA1297" s="2" t="n">
        <x:v>100</x:v>
      </x:c>
      <x:c r="AB1297" s="8" t="str"/>
      <x:c r="AC1297" s="8" t="str"/>
      <x:c r="AD1297" s="8" t="str">
        <x:v>["draft-ko-missing"]</x:v>
      </x:c>
      <x:c r="AE1297" s="8" t="str">
        <x:v>검토 필요</x:v>
      </x:c>
      <x:c r="AF1297" s="8" t="str"/>
    </x:row>
    <x:row r="1298">
      <x:c r="A1298" s="10" t="n">
        <x:v>1297</x:v>
      </x:c>
      <x:c r="B1298" s="2" t="str">
        <x:v>2차 보류</x:v>
      </x:c>
      <x:c r="C1298" s="2" t="str">
        <x:v>2차 보류</x:v>
      </x:c>
      <x:c r="D1298" s="2" t="str">
        <x:v>낮음</x:v>
      </x:c>
      <x:c r="E1298" s="2" t="str">
        <x:v>N1</x:v>
      </x:c>
      <x:c r="F1298" s="10" t="n">
        <x:v>569</x:v>
      </x:c>
      <x:c r="G1298" s="2" t="str">
        <x:v>w_468a91e7e038d348</x:v>
      </x:c>
      <x:c r="H1298" s="2" t="str">
        <x:v>油絵</x:v>
      </x:c>
      <x:c r="I1298" s="2" t="str">
        <x:v>あぶらえ</x:v>
      </x:c>
      <x:c r="J1298" s="8" t="str">
        <x:v>유화</x:v>
      </x:c>
      <x:c r="K1298" s="2" t="str">
        <x:v>noun</x:v>
      </x:c>
      <x:c r="L1298" s="9" t="n">
        <x:v>3.07</x:v>
      </x:c>
      <x:c r="M1298" s="2" t="str">
        <x:v>없음</x:v>
      </x:c>
      <x:c r="N1298" s="11" t="n">
        <x:v>-8</x:v>
      </x:c>
      <x:c r="O1298" s="8" t="str">
        <x:v>일반 사용 빈도 보통 이하(Zipf ≤ 3.5); 검증된 예문 없음; 기존 데이터의 한국어 콘텐츠 보강 필요 태그</x:v>
      </x:c>
      <x:c r="P1298" s="8" t="str">
        <x:v>frequency_le_3_5,no_example,weak_legacy_content</x:v>
      </x:c>
      <x:c r="Q1298" s="2" t="str"/>
      <x:c r="R1298" s="2" t="str"/>
      <x:c r="S1298" s="2" t="str"/>
      <x:c r="T1298" s="2" t="str"/>
      <x:c r="U1298" s="2" t="str"/>
      <x:c r="V1298" s="2" t="str">
        <x:v>아니오</x:v>
      </x:c>
      <x:c r="W1298" s="2" t="str">
        <x:v>예</x:v>
      </x:c>
      <x:c r="X1298" s="2" t="str">
        <x:v>ichi1,news1,nf17</x:v>
      </x:c>
      <x:c r="Y1298" s="2" t="n">
        <x:v>100</x:v>
      </x:c>
      <x:c r="Z1298" s="2" t="str">
        <x:v>ichi1,news1,nf17</x:v>
      </x:c>
      <x:c r="AA1298" s="2" t="n">
        <x:v>100</x:v>
      </x:c>
      <x:c r="AB1298" s="8" t="str"/>
      <x:c r="AC1298" s="8" t="str"/>
      <x:c r="AD1298" s="8" t="str">
        <x:v>["draft-ko-missing"]</x:v>
      </x:c>
      <x:c r="AE1298" s="8" t="str">
        <x:v>검토 필요</x:v>
      </x:c>
      <x:c r="AF1298" s="8" t="str"/>
    </x:row>
    <x:row r="1299">
      <x:c r="A1299" s="10" t="n">
        <x:v>1298</x:v>
      </x:c>
      <x:c r="B1299" s="2" t="str">
        <x:v>2차 보류</x:v>
      </x:c>
      <x:c r="C1299" s="2" t="str">
        <x:v>2차 보류</x:v>
      </x:c>
      <x:c r="D1299" s="2" t="str">
        <x:v>낮음</x:v>
      </x:c>
      <x:c r="E1299" s="2" t="str">
        <x:v>N1</x:v>
      </x:c>
      <x:c r="F1299" s="10" t="n">
        <x:v>570</x:v>
      </x:c>
      <x:c r="G1299" s="2" t="str">
        <x:v>w_5d3188766451e65a</x:v>
      </x:c>
      <x:c r="H1299" s="2" t="str">
        <x:v>励ます</x:v>
      </x:c>
      <x:c r="I1299" s="2" t="str">
        <x:v>はげます</x:v>
      </x:c>
      <x:c r="J1299" s="8" t="str">
        <x:v>격려하다, 북돋우다</x:v>
      </x:c>
      <x:c r="K1299" s="2" t="str">
        <x:v>verb</x:v>
      </x:c>
      <x:c r="L1299" s="9" t="n">
        <x:v>3.07</x:v>
      </x:c>
      <x:c r="M1299" s="2" t="str">
        <x:v>없음</x:v>
      </x:c>
      <x:c r="N1299" s="11" t="n">
        <x:v>-8</x:v>
      </x:c>
      <x:c r="O1299" s="8" t="str">
        <x:v>일반 사용 빈도 보통 이하(Zipf ≤ 3.5); 검증된 예문 없음; 기존 데이터의 한국어 콘텐츠 보강 필요 태그</x:v>
      </x:c>
      <x:c r="P1299" s="8" t="str">
        <x:v>frequency_le_3_5,no_example,weak_legacy_content</x:v>
      </x:c>
      <x:c r="Q1299" s="2" t="str"/>
      <x:c r="R1299" s="2" t="str"/>
      <x:c r="S1299" s="2" t="str"/>
      <x:c r="T1299" s="2" t="str"/>
      <x:c r="U1299" s="2" t="str"/>
      <x:c r="V1299" s="2" t="str">
        <x:v>아니오</x:v>
      </x:c>
      <x:c r="W1299" s="2" t="str">
        <x:v>예</x:v>
      </x:c>
      <x:c r="X1299" s="2" t="str">
        <x:v>ichi1,news1,nf18</x:v>
      </x:c>
      <x:c r="Y1299" s="2" t="n">
        <x:v>100</x:v>
      </x:c>
      <x:c r="Z1299" s="2" t="str">
        <x:v>ichi1,news1,nf18</x:v>
      </x:c>
      <x:c r="AA1299" s="2" t="n">
        <x:v>100</x:v>
      </x:c>
      <x:c r="AB1299" s="8" t="str">
        <x:v>dated term</x:v>
      </x:c>
      <x:c r="AC1299" s="8" t="str"/>
      <x:c r="AD1299" s="8" t="str">
        <x:v>["draft-ko-missing"]</x:v>
      </x:c>
      <x:c r="AE1299" s="8" t="str">
        <x:v>검토 필요</x:v>
      </x:c>
      <x:c r="AF1299" s="8" t="str"/>
    </x:row>
    <x:row r="1300">
      <x:c r="A1300" s="10" t="n">
        <x:v>1299</x:v>
      </x:c>
      <x:c r="B1300" s="2" t="str">
        <x:v>2차 보류</x:v>
      </x:c>
      <x:c r="C1300" s="2" t="str">
        <x:v>2차 보류</x:v>
      </x:c>
      <x:c r="D1300" s="2" t="str">
        <x:v>낮음</x:v>
      </x:c>
      <x:c r="E1300" s="2" t="str">
        <x:v>N3</x:v>
      </x:c>
      <x:c r="F1300" s="10" t="n">
        <x:v>151</x:v>
      </x:c>
      <x:c r="G1300" s="2" t="str">
        <x:v>w_572477d855e723cb</x:v>
      </x:c>
      <x:c r="H1300" s="2" t="str">
        <x:v>重体</x:v>
      </x:c>
      <x:c r="I1300" s="2" t="str">
        <x:v>じゅうたい</x:v>
      </x:c>
      <x:c r="J1300" s="8" t="str">
        <x:v>중태</x:v>
      </x:c>
      <x:c r="K1300" s="2" t="str">
        <x:v>noun</x:v>
      </x:c>
      <x:c r="L1300" s="9" t="n">
        <x:v>3.08</x:v>
      </x:c>
      <x:c r="M1300" s="2" t="str">
        <x:v>없음</x:v>
      </x:c>
      <x:c r="N1300" s="11" t="n">
        <x:v>-8</x:v>
      </x:c>
      <x:c r="O1300" s="8" t="str">
        <x:v>일반 사용 빈도 보통 이하(Zipf ≤ 3.5); 검증된 예문 없음; 기존 데이터의 한국어 콘텐츠 보강 필요 태그</x:v>
      </x:c>
      <x:c r="P1300" s="8" t="str">
        <x:v>frequency_le_3_5,no_example,weak_legacy_content</x:v>
      </x:c>
      <x:c r="Q1300" s="2" t="str"/>
      <x:c r="R1300" s="2" t="str"/>
      <x:c r="S1300" s="2" t="str"/>
      <x:c r="T1300" s="2" t="str"/>
      <x:c r="U1300" s="2" t="str"/>
      <x:c r="V1300" s="2" t="str">
        <x:v>아니오</x:v>
      </x:c>
      <x:c r="W1300" s="2" t="str">
        <x:v>예</x:v>
      </x:c>
      <x:c r="X1300" s="2" t="str">
        <x:v>ichi1,news1,nf12</x:v>
      </x:c>
      <x:c r="Y1300" s="2" t="n">
        <x:v>100</x:v>
      </x:c>
      <x:c r="Z1300" s="2" t="str">
        <x:v>ichi1,news1,nf12</x:v>
      </x:c>
      <x:c r="AA1300" s="2" t="n">
        <x:v>100</x:v>
      </x:c>
      <x:c r="AB1300" s="8" t="str"/>
      <x:c r="AC1300" s="8" t="str"/>
      <x:c r="AD1300" s="8" t="str">
        <x:v>["draft-ko-missing"]</x:v>
      </x:c>
      <x:c r="AE1300" s="8" t="str">
        <x:v>검토 필요</x:v>
      </x:c>
      <x:c r="AF1300" s="8" t="str"/>
    </x:row>
    <x:row r="1301">
      <x:c r="A1301" s="10" t="n">
        <x:v>1300</x:v>
      </x:c>
      <x:c r="B1301" s="2" t="str">
        <x:v>2차 보류</x:v>
      </x:c>
      <x:c r="C1301" s="2" t="str">
        <x:v>2차 보류</x:v>
      </x:c>
      <x:c r="D1301" s="2" t="str">
        <x:v>낮음</x:v>
      </x:c>
      <x:c r="E1301" s="2" t="str">
        <x:v>N2</x:v>
      </x:c>
      <x:c r="F1301" s="10" t="n">
        <x:v>480</x:v>
      </x:c>
      <x:c r="G1301" s="2" t="str">
        <x:v>w_781b744ff9b2998d</x:v>
      </x:c>
      <x:c r="H1301" s="2" t="str">
        <x:v>ビルディング</x:v>
      </x:c>
      <x:c r="I1301" s="2" t="str">
        <x:v>ビルディング</x:v>
      </x:c>
      <x:c r="J1301" s="8" t="str">
        <x:v>건물</x:v>
      </x:c>
      <x:c r="K1301" s="2" t="str">
        <x:v>noun</x:v>
      </x:c>
      <x:c r="L1301" s="9" t="n">
        <x:v>3.08</x:v>
      </x:c>
      <x:c r="M1301" s="2" t="str">
        <x:v>없음</x:v>
      </x:c>
      <x:c r="N1301" s="11" t="n">
        <x:v>-8</x:v>
      </x:c>
      <x:c r="O1301" s="8" t="str">
        <x:v>일반 사용 빈도 보통 이하(Zipf ≤ 3.5); 검증된 예문 없음; 기존 데이터의 한국어 콘텐츠 보강 필요 태그</x:v>
      </x:c>
      <x:c r="P1301" s="8" t="str">
        <x:v>frequency_le_3_5,no_example,weak_legacy_content</x:v>
      </x:c>
      <x:c r="Q1301" s="2" t="str"/>
      <x:c r="R1301" s="2" t="str"/>
      <x:c r="S1301" s="2" t="str"/>
      <x:c r="T1301" s="2" t="str"/>
      <x:c r="U1301" s="2" t="str"/>
      <x:c r="V1301" s="2" t="str">
        <x:v>아니오</x:v>
      </x:c>
      <x:c r="W1301" s="2" t="str">
        <x:v>예</x:v>
      </x:c>
      <x:c r="X1301" s="2" t="str">
        <x:v>gai1</x:v>
      </x:c>
      <x:c r="Y1301" s="2" t="n">
        <x:v>100</x:v>
      </x:c>
      <x:c r="Z1301" s="2" t="str">
        <x:v>gai1</x:v>
      </x:c>
      <x:c r="AA1301" s="2" t="n">
        <x:v>100</x:v>
      </x:c>
      <x:c r="AB1301" s="8" t="str"/>
      <x:c r="AC1301" s="8" t="str"/>
      <x:c r="AD1301" s="8" t="str">
        <x:v>["draft-ko-missing"]</x:v>
      </x:c>
      <x:c r="AE1301" s="8" t="str">
        <x:v>검토 필요</x:v>
      </x:c>
      <x:c r="AF1301" s="8" t="str"/>
    </x:row>
    <x:row r="1302">
      <x:c r="A1302" s="10" t="n">
        <x:v>1301</x:v>
      </x:c>
      <x:c r="B1302" s="2" t="str">
        <x:v>2차 보류</x:v>
      </x:c>
      <x:c r="C1302" s="2" t="str">
        <x:v>2차 보류</x:v>
      </x:c>
      <x:c r="D1302" s="2" t="str">
        <x:v>낮음</x:v>
      </x:c>
      <x:c r="E1302" s="2" t="str">
        <x:v>N2</x:v>
      </x:c>
      <x:c r="F1302" s="10" t="n">
        <x:v>481</x:v>
      </x:c>
      <x:c r="G1302" s="2" t="str">
        <x:v>w_cfc4cfdcf88782cb</x:v>
      </x:c>
      <x:c r="H1302" s="2" t="str">
        <x:v>私鉄</x:v>
      </x:c>
      <x:c r="I1302" s="2" t="str">
        <x:v>してつ</x:v>
      </x:c>
      <x:c r="J1302" s="8" t="str">
        <x:v>사적인 철도</x:v>
      </x:c>
      <x:c r="K1302" s="2" t="str">
        <x:v>noun</x:v>
      </x:c>
      <x:c r="L1302" s="9" t="n">
        <x:v>3.08</x:v>
      </x:c>
      <x:c r="M1302" s="2" t="str">
        <x:v>없음</x:v>
      </x:c>
      <x:c r="N1302" s="11" t="n">
        <x:v>-8</x:v>
      </x:c>
      <x:c r="O1302" s="8" t="str">
        <x:v>일반 사용 빈도 보통 이하(Zipf ≤ 3.5); 검증된 예문 없음; 기존 데이터의 한국어 콘텐츠 보강 필요 태그</x:v>
      </x:c>
      <x:c r="P1302" s="8" t="str">
        <x:v>frequency_le_3_5,no_example,weak_legacy_content</x:v>
      </x:c>
      <x:c r="Q1302" s="2" t="str"/>
      <x:c r="R1302" s="2" t="str"/>
      <x:c r="S1302" s="2" t="str"/>
      <x:c r="T1302" s="2" t="str"/>
      <x:c r="U1302" s="2" t="str"/>
      <x:c r="V1302" s="2" t="str">
        <x:v>아니오</x:v>
      </x:c>
      <x:c r="W1302" s="2" t="str">
        <x:v>예</x:v>
      </x:c>
      <x:c r="X1302" s="2" t="str">
        <x:v>ichi1,news1,nf09</x:v>
      </x:c>
      <x:c r="Y1302" s="2" t="n">
        <x:v>100</x:v>
      </x:c>
      <x:c r="Z1302" s="2" t="str">
        <x:v>ichi1,news1,nf09</x:v>
      </x:c>
      <x:c r="AA1302" s="2" t="n">
        <x:v>100</x:v>
      </x:c>
      <x:c r="AB1302" s="8" t="str"/>
      <x:c r="AC1302" s="8" t="str"/>
      <x:c r="AD1302" s="8" t="str">
        <x:v>["draft-ko-missing"]</x:v>
      </x:c>
      <x:c r="AE1302" s="8" t="str">
        <x:v>검토 필요</x:v>
      </x:c>
      <x:c r="AF1302" s="8" t="str"/>
    </x:row>
    <x:row r="1303">
      <x:c r="A1303" s="10" t="n">
        <x:v>1302</x:v>
      </x:c>
      <x:c r="B1303" s="2" t="str">
        <x:v>2차 보류</x:v>
      </x:c>
      <x:c r="C1303" s="2" t="str">
        <x:v>2차 보류</x:v>
      </x:c>
      <x:c r="D1303" s="2" t="str">
        <x:v>낮음</x:v>
      </x:c>
      <x:c r="E1303" s="2" t="str">
        <x:v>N2</x:v>
      </x:c>
      <x:c r="F1303" s="10" t="n">
        <x:v>482</x:v>
      </x:c>
      <x:c r="G1303" s="2" t="str">
        <x:v>w_d2eb49bdaa446761</x:v>
      </x:c>
      <x:c r="H1303" s="2" t="str">
        <x:v>再三</x:v>
      </x:c>
      <x:c r="I1303" s="2" t="str">
        <x:v>さいさん</x:v>
      </x:c>
      <x:c r="J1303" s="8" t="str">
        <x:v>다시 다시, 반복해서</x:v>
      </x:c>
      <x:c r="K1303" s="2" t="str">
        <x:v>adverb</x:v>
      </x:c>
      <x:c r="L1303" s="9" t="n">
        <x:v>3.08</x:v>
      </x:c>
      <x:c r="M1303" s="2" t="str">
        <x:v>없음</x:v>
      </x:c>
      <x:c r="N1303" s="11" t="n">
        <x:v>-8</x:v>
      </x:c>
      <x:c r="O1303" s="8" t="str">
        <x:v>일반 사용 빈도 보통 이하(Zipf ≤ 3.5); 검증된 예문 없음; 기존 데이터의 한국어 콘텐츠 보강 필요 태그</x:v>
      </x:c>
      <x:c r="P1303" s="8" t="str">
        <x:v>frequency_le_3_5,no_example,weak_legacy_content</x:v>
      </x:c>
      <x:c r="Q1303" s="2" t="str"/>
      <x:c r="R1303" s="2" t="str"/>
      <x:c r="S1303" s="2" t="str"/>
      <x:c r="T1303" s="2" t="str"/>
      <x:c r="U1303" s="2" t="str"/>
      <x:c r="V1303" s="2" t="str">
        <x:v>아니오</x:v>
      </x:c>
      <x:c r="W1303" s="2" t="str">
        <x:v>예</x:v>
      </x:c>
      <x:c r="X1303" s="2" t="str">
        <x:v>ichi1,news1,nf07</x:v>
      </x:c>
      <x:c r="Y1303" s="2" t="n">
        <x:v>100</x:v>
      </x:c>
      <x:c r="Z1303" s="2" t="str">
        <x:v>ichi1,news1,nf07</x:v>
      </x:c>
      <x:c r="AA1303" s="2" t="n">
        <x:v>100</x:v>
      </x:c>
      <x:c r="AB1303" s="8" t="str"/>
      <x:c r="AC1303" s="8" t="str"/>
      <x:c r="AD1303" s="8" t="str">
        <x:v>["draft-ko-missing"]</x:v>
      </x:c>
      <x:c r="AE1303" s="8" t="str">
        <x:v>검토 필요</x:v>
      </x:c>
      <x:c r="AF1303" s="8" t="str"/>
    </x:row>
    <x:row r="1304">
      <x:c r="A1304" s="10" t="n">
        <x:v>1303</x:v>
      </x:c>
      <x:c r="B1304" s="2" t="str">
        <x:v>2차 보류</x:v>
      </x:c>
      <x:c r="C1304" s="2" t="str">
        <x:v>2차 보류</x:v>
      </x:c>
      <x:c r="D1304" s="2" t="str">
        <x:v>낮음</x:v>
      </x:c>
      <x:c r="E1304" s="2" t="str">
        <x:v>N2</x:v>
      </x:c>
      <x:c r="F1304" s="10" t="n">
        <x:v>483</x:v>
      </x:c>
      <x:c r="G1304" s="2" t="str">
        <x:v>w_f601b9dac75e255b</x:v>
      </x:c>
      <x:c r="H1304" s="2" t="str">
        <x:v>淡水</x:v>
      </x:c>
      <x:c r="I1304" s="2" t="str">
        <x:v>たんすい</x:v>
      </x:c>
      <x:c r="J1304" s="8" t="str">
        <x:v>담수, 민물</x:v>
      </x:c>
      <x:c r="K1304" s="2" t="str">
        <x:v>noun</x:v>
      </x:c>
      <x:c r="L1304" s="9" t="n">
        <x:v>3.08</x:v>
      </x:c>
      <x:c r="M1304" s="2" t="str">
        <x:v>없음</x:v>
      </x:c>
      <x:c r="N1304" s="11" t="n">
        <x:v>-8</x:v>
      </x:c>
      <x:c r="O1304" s="8" t="str">
        <x:v>일반 사용 빈도 보통 이하(Zipf ≤ 3.5); 검증된 예문 없음; 기존 데이터의 한국어 콘텐츠 보강 필요 태그</x:v>
      </x:c>
      <x:c r="P1304" s="8" t="str">
        <x:v>frequency_le_3_5,no_example,weak_legacy_content</x:v>
      </x:c>
      <x:c r="Q1304" s="2" t="str"/>
      <x:c r="R1304" s="2" t="str"/>
      <x:c r="S1304" s="2" t="str"/>
      <x:c r="T1304" s="2" t="str"/>
      <x:c r="U1304" s="2" t="str"/>
      <x:c r="V1304" s="2" t="str">
        <x:v>아니오</x:v>
      </x:c>
      <x:c r="W1304" s="2" t="str">
        <x:v>예</x:v>
      </x:c>
      <x:c r="X1304" s="2" t="str">
        <x:v>news1,nf16</x:v>
      </x:c>
      <x:c r="Y1304" s="2" t="n">
        <x:v>100</x:v>
      </x:c>
      <x:c r="Z1304" s="2" t="str">
        <x:v>news1,nf16</x:v>
      </x:c>
      <x:c r="AA1304" s="2" t="n">
        <x:v>100</x:v>
      </x:c>
      <x:c r="AB1304" s="8" t="str"/>
      <x:c r="AC1304" s="8" t="str"/>
      <x:c r="AD1304" s="8" t="str">
        <x:v>["draft-ko-missing"]</x:v>
      </x:c>
      <x:c r="AE1304" s="8" t="str">
        <x:v>검토 필요</x:v>
      </x:c>
      <x:c r="AF1304" s="8" t="str"/>
    </x:row>
    <x:row r="1305">
      <x:c r="A1305" s="10" t="n">
        <x:v>1304</x:v>
      </x:c>
      <x:c r="B1305" s="2" t="str">
        <x:v>2차 보류</x:v>
      </x:c>
      <x:c r="C1305" s="2" t="str">
        <x:v>2차 보류</x:v>
      </x:c>
      <x:c r="D1305" s="2" t="str">
        <x:v>낮음</x:v>
      </x:c>
      <x:c r="E1305" s="2" t="str">
        <x:v>N1</x:v>
      </x:c>
      <x:c r="F1305" s="10" t="n">
        <x:v>571</x:v>
      </x:c>
      <x:c r="G1305" s="2" t="str">
        <x:v>w_1ef4f939d961be2f</x:v>
      </x:c>
      <x:c r="H1305" s="2" t="str">
        <x:v>質素</x:v>
      </x:c>
      <x:c r="I1305" s="2" t="str">
        <x:v>しっそ</x:v>
      </x:c>
      <x:c r="J1305" s="8" t="str">
        <x:v>단순함, 겸손</x:v>
      </x:c>
      <x:c r="K1305" s="2" t="str">
        <x:v>adjective</x:v>
      </x:c>
      <x:c r="L1305" s="9" t="n">
        <x:v>3.08</x:v>
      </x:c>
      <x:c r="M1305" s="2" t="str">
        <x:v>없음</x:v>
      </x:c>
      <x:c r="N1305" s="11" t="n">
        <x:v>-8</x:v>
      </x:c>
      <x:c r="O1305" s="8" t="str">
        <x:v>일반 사용 빈도 보통 이하(Zipf ≤ 3.5); 검증된 예문 없음; 기존 데이터의 한국어 콘텐츠 보강 필요 태그</x:v>
      </x:c>
      <x:c r="P1305" s="8" t="str">
        <x:v>frequency_le_3_5,no_example,weak_legacy_content</x:v>
      </x:c>
      <x:c r="Q1305" s="2" t="str"/>
      <x:c r="R1305" s="2" t="str"/>
      <x:c r="S1305" s="2" t="str"/>
      <x:c r="T1305" s="2" t="str"/>
      <x:c r="U1305" s="2" t="str"/>
      <x:c r="V1305" s="2" t="str">
        <x:v>아니오</x:v>
      </x:c>
      <x:c r="W1305" s="2" t="str">
        <x:v>예</x:v>
      </x:c>
      <x:c r="X1305" s="2" t="str">
        <x:v>ichi1,news2,nf42</x:v>
      </x:c>
      <x:c r="Y1305" s="2" t="n">
        <x:v>100</x:v>
      </x:c>
      <x:c r="Z1305" s="2" t="str">
        <x:v>ichi1,news2,nf42</x:v>
      </x:c>
      <x:c r="AA1305" s="2" t="n">
        <x:v>100</x:v>
      </x:c>
      <x:c r="AB1305" s="8" t="str"/>
      <x:c r="AC1305" s="8" t="str"/>
      <x:c r="AD1305" s="8" t="str">
        <x:v>["draft-ko-missing"]</x:v>
      </x:c>
      <x:c r="AE1305" s="8" t="str">
        <x:v>검토 필요</x:v>
      </x:c>
      <x:c r="AF1305" s="8" t="str"/>
    </x:row>
    <x:row r="1306">
      <x:c r="A1306" s="10" t="n">
        <x:v>1305</x:v>
      </x:c>
      <x:c r="B1306" s="2" t="str">
        <x:v>2차 보류</x:v>
      </x:c>
      <x:c r="C1306" s="2" t="str">
        <x:v>2차 보류</x:v>
      </x:c>
      <x:c r="D1306" s="2" t="str">
        <x:v>낮음</x:v>
      </x:c>
      <x:c r="E1306" s="2" t="str">
        <x:v>N1</x:v>
      </x:c>
      <x:c r="F1306" s="10" t="n">
        <x:v>572</x:v>
      </x:c>
      <x:c r="G1306" s="2" t="str">
        <x:v>w_62880e562f646e13</x:v>
      </x:c>
      <x:c r="H1306" s="2" t="str">
        <x:v>几帳面</x:v>
      </x:c>
      <x:c r="I1306" s="2" t="str">
        <x:v>きちょうめん</x:v>
      </x:c>
      <x:c r="J1306" s="8" t="str">
        <x:v>꼼꼼함, 빈틈없음</x:v>
      </x:c>
      <x:c r="K1306" s="2" t="str">
        <x:v>adjective</x:v>
      </x:c>
      <x:c r="L1306" s="9" t="n">
        <x:v>3.08</x:v>
      </x:c>
      <x:c r="M1306" s="2" t="str">
        <x:v>없음</x:v>
      </x:c>
      <x:c r="N1306" s="11" t="n">
        <x:v>-8</x:v>
      </x:c>
      <x:c r="O1306" s="8" t="str">
        <x:v>일반 사용 빈도 보통 이하(Zipf ≤ 3.5); 검증된 예문 없음; 기존 데이터의 한국어 콘텐츠 보강 필요 태그</x:v>
      </x:c>
      <x:c r="P1306" s="8" t="str">
        <x:v>frequency_le_3_5,no_example,weak_legacy_content</x:v>
      </x:c>
      <x:c r="Q1306" s="2" t="str"/>
      <x:c r="R1306" s="2" t="str"/>
      <x:c r="S1306" s="2" t="str"/>
      <x:c r="T1306" s="2" t="str"/>
      <x:c r="U1306" s="2" t="str"/>
      <x:c r="V1306" s="2" t="str">
        <x:v>아니오</x:v>
      </x:c>
      <x:c r="W1306" s="2" t="str">
        <x:v>예</x:v>
      </x:c>
      <x:c r="X1306" s="2" t="str">
        <x:v>ichi1</x:v>
      </x:c>
      <x:c r="Y1306" s="2" t="n">
        <x:v>100</x:v>
      </x:c>
      <x:c r="Z1306" s="2" t="str">
        <x:v>ichi1</x:v>
      </x:c>
      <x:c r="AA1306" s="2" t="n">
        <x:v>100</x:v>
      </x:c>
      <x:c r="AB1306" s="8" t="str"/>
      <x:c r="AC1306" s="8" t="str"/>
      <x:c r="AD1306" s="8" t="str">
        <x:v>["draft-ko-missing"]</x:v>
      </x:c>
      <x:c r="AE1306" s="8" t="str">
        <x:v>검토 필요</x:v>
      </x:c>
      <x:c r="AF1306" s="8" t="str"/>
    </x:row>
    <x:row r="1307">
      <x:c r="A1307" s="10" t="n">
        <x:v>1306</x:v>
      </x:c>
      <x:c r="B1307" s="2" t="str">
        <x:v>2차 보류</x:v>
      </x:c>
      <x:c r="C1307" s="2" t="str">
        <x:v>2차 보류</x:v>
      </x:c>
      <x:c r="D1307" s="2" t="str">
        <x:v>낮음</x:v>
      </x:c>
      <x:c r="E1307" s="2" t="str">
        <x:v>N1</x:v>
      </x:c>
      <x:c r="F1307" s="10" t="n">
        <x:v>573</x:v>
      </x:c>
      <x:c r="G1307" s="2" t="str">
        <x:v>w_e8d74934be15106c</x:v>
      </x:c>
      <x:c r="H1307" s="2" t="str">
        <x:v>きっぱり</x:v>
      </x:c>
      <x:c r="I1307" s="2" t="str">
        <x:v>きっぱり</x:v>
      </x:c>
      <x:c r="J1307" s="8" t="str">
        <x:v>명확히, 뚜렷하게</x:v>
      </x:c>
      <x:c r="K1307" s="2" t="str">
        <x:v>adverb</x:v>
      </x:c>
      <x:c r="L1307" s="9" t="n">
        <x:v>3.08</x:v>
      </x:c>
      <x:c r="M1307" s="2" t="str">
        <x:v>없음</x:v>
      </x:c>
      <x:c r="N1307" s="11" t="n">
        <x:v>-8</x:v>
      </x:c>
      <x:c r="O1307" s="8" t="str">
        <x:v>일반 사용 빈도 보통 이하(Zipf ≤ 3.5); 검증된 예문 없음; 기존 데이터의 한국어 콘텐츠 보강 필요 태그</x:v>
      </x:c>
      <x:c r="P1307" s="8" t="str">
        <x:v>frequency_le_3_5,no_example,weak_legacy_content</x:v>
      </x:c>
      <x:c r="Q1307" s="2" t="str"/>
      <x:c r="R1307" s="2" t="str"/>
      <x:c r="S1307" s="2" t="str"/>
      <x:c r="T1307" s="2" t="str"/>
      <x:c r="U1307" s="2" t="str"/>
      <x:c r="V1307" s="2" t="str">
        <x:v>아니오</x:v>
      </x:c>
      <x:c r="W1307" s="2" t="str">
        <x:v>예</x:v>
      </x:c>
      <x:c r="X1307" s="2" t="str">
        <x:v>ichi1</x:v>
      </x:c>
      <x:c r="Y1307" s="2" t="n">
        <x:v>100</x:v>
      </x:c>
      <x:c r="Z1307" s="2" t="str">
        <x:v>ichi1</x:v>
      </x:c>
      <x:c r="AA1307" s="2" t="n">
        <x:v>100</x:v>
      </x:c>
      <x:c r="AB1307" s="8" t="str">
        <x:v>onomatopoeic or mimetic word</x:v>
      </x:c>
      <x:c r="AC1307" s="8" t="str"/>
      <x:c r="AD1307" s="8" t="str">
        <x:v>["draft-ko-missing"]</x:v>
      </x:c>
      <x:c r="AE1307" s="8" t="str">
        <x:v>검토 필요</x:v>
      </x:c>
      <x:c r="AF1307" s="8" t="str"/>
    </x:row>
    <x:row r="1308">
      <x:c r="A1308" s="10" t="n">
        <x:v>1307</x:v>
      </x:c>
      <x:c r="B1308" s="2" t="str">
        <x:v>2차 보류</x:v>
      </x:c>
      <x:c r="C1308" s="2" t="str">
        <x:v>2차 보류</x:v>
      </x:c>
      <x:c r="D1308" s="2" t="str">
        <x:v>낮음</x:v>
      </x:c>
      <x:c r="E1308" s="2" t="str">
        <x:v>N2</x:v>
      </x:c>
      <x:c r="F1308" s="10" t="n">
        <x:v>484</x:v>
      </x:c>
      <x:c r="G1308" s="2" t="str">
        <x:v>w_45c1cfd938a86ae0</x:v>
      </x:c>
      <x:c r="H1308" s="2" t="str">
        <x:v>針金</x:v>
      </x:c>
      <x:c r="I1308" s="2" t="str">
        <x:v>はりがね</x:v>
      </x:c>
      <x:c r="J1308" s="8" t="str">
        <x:v>철사, 전선</x:v>
      </x:c>
      <x:c r="K1308" s="2" t="str">
        <x:v>noun</x:v>
      </x:c>
      <x:c r="L1308" s="9" t="n">
        <x:v>3.09</x:v>
      </x:c>
      <x:c r="M1308" s="2" t="str">
        <x:v>없음</x:v>
      </x:c>
      <x:c r="N1308" s="11" t="n">
        <x:v>-8</x:v>
      </x:c>
      <x:c r="O1308" s="8" t="str">
        <x:v>일반 사용 빈도 보통 이하(Zipf ≤ 3.5); 검증된 예문 없음; 기존 데이터의 한국어 콘텐츠 보강 필요 태그</x:v>
      </x:c>
      <x:c r="P1308" s="8" t="str">
        <x:v>frequency_le_3_5,no_example,weak_legacy_content</x:v>
      </x:c>
      <x:c r="Q1308" s="2" t="str"/>
      <x:c r="R1308" s="2" t="str"/>
      <x:c r="S1308" s="2" t="str"/>
      <x:c r="T1308" s="2" t="str"/>
      <x:c r="U1308" s="2" t="str"/>
      <x:c r="V1308" s="2" t="str">
        <x:v>아니오</x:v>
      </x:c>
      <x:c r="W1308" s="2" t="str">
        <x:v>예</x:v>
      </x:c>
      <x:c r="X1308" s="2" t="str">
        <x:v>ichi1,news2,nf26</x:v>
      </x:c>
      <x:c r="Y1308" s="2" t="n">
        <x:v>100</x:v>
      </x:c>
      <x:c r="Z1308" s="2" t="str">
        <x:v>ichi1,news2,nf26</x:v>
      </x:c>
      <x:c r="AA1308" s="2" t="n">
        <x:v>100</x:v>
      </x:c>
      <x:c r="AB1308" s="8" t="str"/>
      <x:c r="AC1308" s="8" t="str"/>
      <x:c r="AD1308" s="8" t="str">
        <x:v>["draft-ko-missing"]</x:v>
      </x:c>
      <x:c r="AE1308" s="8" t="str">
        <x:v>검토 필요</x:v>
      </x:c>
      <x:c r="AF1308" s="8" t="str"/>
    </x:row>
    <x:row r="1309">
      <x:c r="A1309" s="10" t="n">
        <x:v>1308</x:v>
      </x:c>
      <x:c r="B1309" s="2" t="str">
        <x:v>2차 보류</x:v>
      </x:c>
      <x:c r="C1309" s="2" t="str">
        <x:v>2차 보류</x:v>
      </x:c>
      <x:c r="D1309" s="2" t="str">
        <x:v>낮음</x:v>
      </x:c>
      <x:c r="E1309" s="2" t="str">
        <x:v>N2</x:v>
      </x:c>
      <x:c r="F1309" s="10" t="n">
        <x:v>485</x:v>
      </x:c>
      <x:c r="G1309" s="2" t="str">
        <x:v>w_7314e7fd53838b7a</x:v>
      </x:c>
      <x:c r="H1309" s="2" t="str">
        <x:v>障子</x:v>
      </x:c>
      <x:c r="I1309" s="2" t="str">
        <x:v>しょうじ</x:v>
      </x:c>
      <x:c r="J1309" s="8" t="str">
        <x:v>장지문</x:v>
      </x:c>
      <x:c r="K1309" s="2" t="str">
        <x:v>noun</x:v>
      </x:c>
      <x:c r="L1309" s="9" t="n">
        <x:v>3.09</x:v>
      </x:c>
      <x:c r="M1309" s="2" t="str">
        <x:v>없음</x:v>
      </x:c>
      <x:c r="N1309" s="11" t="n">
        <x:v>-8</x:v>
      </x:c>
      <x:c r="O1309" s="8" t="str">
        <x:v>일반 사용 빈도 보통 이하(Zipf ≤ 3.5); 검증된 예문 없음; 기존 데이터의 한국어 콘텐츠 보강 필요 태그</x:v>
      </x:c>
      <x:c r="P1309" s="8" t="str">
        <x:v>frequency_le_3_5,no_example,weak_legacy_content</x:v>
      </x:c>
      <x:c r="Q1309" s="2" t="str"/>
      <x:c r="R1309" s="2" t="str"/>
      <x:c r="S1309" s="2" t="str"/>
      <x:c r="T1309" s="2" t="str"/>
      <x:c r="U1309" s="2" t="str"/>
      <x:c r="V1309" s="2" t="str">
        <x:v>아니오</x:v>
      </x:c>
      <x:c r="W1309" s="2" t="str">
        <x:v>예</x:v>
      </x:c>
      <x:c r="X1309" s="2" t="str">
        <x:v>ichi1,news2,nf25</x:v>
      </x:c>
      <x:c r="Y1309" s="2" t="n">
        <x:v>100</x:v>
      </x:c>
      <x:c r="Z1309" s="2" t="str">
        <x:v>ichi1,news2,nf25</x:v>
      </x:c>
      <x:c r="AA1309" s="2" t="n">
        <x:v>100</x:v>
      </x:c>
      <x:c r="AB1309" s="8" t="str"/>
      <x:c r="AC1309" s="8" t="str"/>
      <x:c r="AD1309" s="8" t="str">
        <x:v>["draft-ko-missing"]</x:v>
      </x:c>
      <x:c r="AE1309" s="8" t="str">
        <x:v>검토 필요</x:v>
      </x:c>
      <x:c r="AF1309" s="8" t="str"/>
    </x:row>
    <x:row r="1310">
      <x:c r="A1310" s="10" t="n">
        <x:v>1309</x:v>
      </x:c>
      <x:c r="B1310" s="2" t="str">
        <x:v>2차 보류</x:v>
      </x:c>
      <x:c r="C1310" s="2" t="str">
        <x:v>2차 보류</x:v>
      </x:c>
      <x:c r="D1310" s="2" t="str">
        <x:v>낮음</x:v>
      </x:c>
      <x:c r="E1310" s="2" t="str">
        <x:v>N2</x:v>
      </x:c>
      <x:c r="F1310" s="10" t="n">
        <x:v>486</x:v>
      </x:c>
      <x:c r="G1310" s="2" t="str">
        <x:v>w_b550b37b661afe05</x:v>
      </x:c>
      <x:c r="H1310" s="2" t="str">
        <x:v>吊る</x:v>
      </x:c>
      <x:c r="I1310" s="2" t="str">
        <x:v>つる</x:v>
      </x:c>
      <x:c r="J1310" s="8" t="str">
        <x:v>매달다, 걸다</x:v>
      </x:c>
      <x:c r="K1310" s="2" t="str">
        <x:v>verb</x:v>
      </x:c>
      <x:c r="L1310" s="9" t="n">
        <x:v>3.09</x:v>
      </x:c>
      <x:c r="M1310" s="2" t="str">
        <x:v>없음</x:v>
      </x:c>
      <x:c r="N1310" s="11" t="n">
        <x:v>-8</x:v>
      </x:c>
      <x:c r="O1310" s="8" t="str">
        <x:v>일반 사용 빈도 보통 이하(Zipf ≤ 3.5); 검증된 예문 없음; 기존 데이터의 한국어 콘텐츠 보강 필요 태그</x:v>
      </x:c>
      <x:c r="P1310" s="8" t="str">
        <x:v>frequency_le_3_5,no_example,weak_legacy_content</x:v>
      </x:c>
      <x:c r="Q1310" s="2" t="str"/>
      <x:c r="R1310" s="2" t="str"/>
      <x:c r="S1310" s="2" t="str"/>
      <x:c r="T1310" s="2" t="str"/>
      <x:c r="U1310" s="2" t="str"/>
      <x:c r="V1310" s="2" t="str">
        <x:v>아니오</x:v>
      </x:c>
      <x:c r="W1310" s="2" t="str">
        <x:v>예</x:v>
      </x:c>
      <x:c r="X1310" s="2" t="str">
        <x:v>ichi1</x:v>
      </x:c>
      <x:c r="Y1310" s="2" t="n">
        <x:v>100</x:v>
      </x:c>
      <x:c r="Z1310" s="2" t="str">
        <x:v>ichi1</x:v>
      </x:c>
      <x:c r="AA1310" s="2" t="n">
        <x:v>100</x:v>
      </x:c>
      <x:c r="AB1310" s="8" t="str">
        <x:v>in the form 首を吊る | word usually written using kana alone</x:v>
      </x:c>
      <x:c r="AC1310" s="8" t="str"/>
      <x:c r="AD1310" s="8" t="str">
        <x:v>["draft-ko-missing"]</x:v>
      </x:c>
      <x:c r="AE1310" s="8" t="str">
        <x:v>검토 필요</x:v>
      </x:c>
      <x:c r="AF1310" s="8" t="str"/>
    </x:row>
    <x:row r="1311">
      <x:c r="A1311" s="10" t="n">
        <x:v>1310</x:v>
      </x:c>
      <x:c r="B1311" s="2" t="str">
        <x:v>2차 보류</x:v>
      </x:c>
      <x:c r="C1311" s="2" t="str">
        <x:v>2차 보류</x:v>
      </x:c>
      <x:c r="D1311" s="2" t="str">
        <x:v>낮음</x:v>
      </x:c>
      <x:c r="E1311" s="2" t="str">
        <x:v>N2</x:v>
      </x:c>
      <x:c r="F1311" s="10" t="n">
        <x:v>487</x:v>
      </x:c>
      <x:c r="G1311" s="2" t="str">
        <x:v>w_2b64b6f56ca5eeeb</x:v>
      </x:c>
      <x:c r="H1311" s="2" t="str">
        <x:v>等分</x:v>
      </x:c>
      <x:c r="I1311" s="2" t="str">
        <x:v>とうぶん</x:v>
      </x:c>
      <x:c r="J1311" s="8" t="str">
        <x:v>등분</x:v>
      </x:c>
      <x:c r="K1311" s="2" t="str">
        <x:v>noun</x:v>
      </x:c>
      <x:c r="L1311" s="9" t="n">
        <x:v>3.1</x:v>
      </x:c>
      <x:c r="M1311" s="2" t="str">
        <x:v>없음</x:v>
      </x:c>
      <x:c r="N1311" s="11" t="n">
        <x:v>-8</x:v>
      </x:c>
      <x:c r="O1311" s="8" t="str">
        <x:v>일반 사용 빈도 보통 이하(Zipf ≤ 3.5); 검증된 예문 없음; 기존 데이터의 한국어 콘텐츠 보강 필요 태그</x:v>
      </x:c>
      <x:c r="P1311" s="8" t="str">
        <x:v>frequency_le_3_5,no_example,weak_legacy_content</x:v>
      </x:c>
      <x:c r="Q1311" s="2" t="str"/>
      <x:c r="R1311" s="2" t="str"/>
      <x:c r="S1311" s="2" t="str"/>
      <x:c r="T1311" s="2" t="str"/>
      <x:c r="U1311" s="2" t="str"/>
      <x:c r="V1311" s="2" t="str">
        <x:v>아니오</x:v>
      </x:c>
      <x:c r="W1311" s="2" t="str">
        <x:v>예</x:v>
      </x:c>
      <x:c r="X1311" s="2" t="str">
        <x:v>ichi1,news2,nf33</x:v>
      </x:c>
      <x:c r="Y1311" s="2" t="n">
        <x:v>100</x:v>
      </x:c>
      <x:c r="Z1311" s="2" t="str">
        <x:v>ichi1,news2,nf33</x:v>
      </x:c>
      <x:c r="AA1311" s="2" t="n">
        <x:v>100</x:v>
      </x:c>
      <x:c r="AB1311" s="8" t="str"/>
      <x:c r="AC1311" s="8" t="str"/>
      <x:c r="AD1311" s="8" t="str">
        <x:v>["draft-ko-missing"]</x:v>
      </x:c>
      <x:c r="AE1311" s="8" t="str">
        <x:v>검토 필요</x:v>
      </x:c>
      <x:c r="AF1311" s="8" t="str"/>
    </x:row>
    <x:row r="1312">
      <x:c r="A1312" s="10" t="n">
        <x:v>1311</x:v>
      </x:c>
      <x:c r="B1312" s="2" t="str">
        <x:v>2차 보류</x:v>
      </x:c>
      <x:c r="C1312" s="2" t="str">
        <x:v>2차 보류</x:v>
      </x:c>
      <x:c r="D1312" s="2" t="str">
        <x:v>낮음</x:v>
      </x:c>
      <x:c r="E1312" s="2" t="str">
        <x:v>N2</x:v>
      </x:c>
      <x:c r="F1312" s="10" t="n">
        <x:v>488</x:v>
      </x:c>
      <x:c r="G1312" s="2" t="str">
        <x:v>w_30ece7df38908e34</x:v>
      </x:c>
      <x:c r="H1312" s="2" t="str">
        <x:v>転がる</x:v>
      </x:c>
      <x:c r="I1312" s="2" t="str">
        <x:v>ころがる</x:v>
      </x:c>
      <x:c r="J1312" s="8" t="str">
        <x:v>구르다, 말다</x:v>
      </x:c>
      <x:c r="K1312" s="2" t="str">
        <x:v>verb</x:v>
      </x:c>
      <x:c r="L1312" s="9" t="n">
        <x:v>3.1</x:v>
      </x:c>
      <x:c r="M1312" s="2" t="str">
        <x:v>없음</x:v>
      </x:c>
      <x:c r="N1312" s="11" t="n">
        <x:v>-8</x:v>
      </x:c>
      <x:c r="O1312" s="8" t="str">
        <x:v>일반 사용 빈도 보통 이하(Zipf ≤ 3.5); 검증된 예문 없음; 기존 데이터의 한국어 콘텐츠 보강 필요 태그</x:v>
      </x:c>
      <x:c r="P1312" s="8" t="str">
        <x:v>frequency_le_3_5,no_example,weak_legacy_content</x:v>
      </x:c>
      <x:c r="Q1312" s="2" t="str"/>
      <x:c r="R1312" s="2" t="str"/>
      <x:c r="S1312" s="2" t="str"/>
      <x:c r="T1312" s="2" t="str"/>
      <x:c r="U1312" s="2" t="str"/>
      <x:c r="V1312" s="2" t="str">
        <x:v>아니오</x:v>
      </x:c>
      <x:c r="W1312" s="2" t="str">
        <x:v>예</x:v>
      </x:c>
      <x:c r="X1312" s="2" t="str">
        <x:v>ichi1,news2,nf28</x:v>
      </x:c>
      <x:c r="Y1312" s="2" t="n">
        <x:v>100</x:v>
      </x:c>
      <x:c r="Z1312" s="2" t="str">
        <x:v>ichi1,news2,nf28</x:v>
      </x:c>
      <x:c r="AA1312" s="2" t="n">
        <x:v>100</x:v>
      </x:c>
      <x:c r="AB1312" s="8" t="str"/>
      <x:c r="AC1312" s="8" t="str"/>
      <x:c r="AD1312" s="8" t="str">
        <x:v>["draft-ko-missing"]</x:v>
      </x:c>
      <x:c r="AE1312" s="8" t="str">
        <x:v>검토 필요</x:v>
      </x:c>
      <x:c r="AF1312" s="8" t="str"/>
    </x:row>
    <x:row r="1313">
      <x:c r="A1313" s="10" t="n">
        <x:v>1312</x:v>
      </x:c>
      <x:c r="B1313" s="2" t="str">
        <x:v>2차 보류</x:v>
      </x:c>
      <x:c r="C1313" s="2" t="str">
        <x:v>2차 보류</x:v>
      </x:c>
      <x:c r="D1313" s="2" t="str">
        <x:v>낮음</x:v>
      </x:c>
      <x:c r="E1313" s="2" t="str">
        <x:v>N2</x:v>
      </x:c>
      <x:c r="F1313" s="10" t="n">
        <x:v>489</x:v>
      </x:c>
      <x:c r="G1313" s="2" t="str">
        <x:v>w_9b57387ea967d6eb</x:v>
      </x:c>
      <x:c r="H1313" s="2" t="str">
        <x:v>円周</x:v>
      </x:c>
      <x:c r="I1313" s="2" t="str">
        <x:v>えんしゅう</x:v>
      </x:c>
      <x:c r="J1313" s="8" t="str">
        <x:v>원주, 둘레</x:v>
      </x:c>
      <x:c r="K1313" s="2" t="str">
        <x:v>noun</x:v>
      </x:c>
      <x:c r="L1313" s="9" t="n">
        <x:v>3.1</x:v>
      </x:c>
      <x:c r="M1313" s="2" t="str">
        <x:v>없음</x:v>
      </x:c>
      <x:c r="N1313" s="11" t="n">
        <x:v>-8</x:v>
      </x:c>
      <x:c r="O1313" s="8" t="str">
        <x:v>일반 사용 빈도 보통 이하(Zipf ≤ 3.5); 검증된 예문 없음; 기존 데이터의 한국어 콘텐츠 보강 필요 태그</x:v>
      </x:c>
      <x:c r="P1313" s="8" t="str">
        <x:v>frequency_le_3_5,no_example,weak_legacy_content</x:v>
      </x:c>
      <x:c r="Q1313" s="2" t="str"/>
      <x:c r="R1313" s="2" t="str"/>
      <x:c r="S1313" s="2" t="str"/>
      <x:c r="T1313" s="2" t="str"/>
      <x:c r="U1313" s="2" t="str"/>
      <x:c r="V1313" s="2" t="str">
        <x:v>아니오</x:v>
      </x:c>
      <x:c r="W1313" s="2" t="str">
        <x:v>예</x:v>
      </x:c>
      <x:c r="X1313" s="2" t="str">
        <x:v>ichi1</x:v>
      </x:c>
      <x:c r="Y1313" s="2" t="n">
        <x:v>100</x:v>
      </x:c>
      <x:c r="Z1313" s="2" t="str">
        <x:v>ichi1</x:v>
      </x:c>
      <x:c r="AA1313" s="2" t="n">
        <x:v>100</x:v>
      </x:c>
      <x:c r="AB1313" s="8" t="str"/>
      <x:c r="AC1313" s="8" t="str"/>
      <x:c r="AD1313" s="8" t="str">
        <x:v>["draft-ko-missing"]</x:v>
      </x:c>
      <x:c r="AE1313" s="8" t="str">
        <x:v>검토 필요</x:v>
      </x:c>
      <x:c r="AF1313" s="8" t="str"/>
    </x:row>
    <x:row r="1314">
      <x:c r="A1314" s="10" t="n">
        <x:v>1313</x:v>
      </x:c>
      <x:c r="B1314" s="2" t="str">
        <x:v>2차 보류</x:v>
      </x:c>
      <x:c r="C1314" s="2" t="str">
        <x:v>2차 보류</x:v>
      </x:c>
      <x:c r="D1314" s="2" t="str">
        <x:v>낮음</x:v>
      </x:c>
      <x:c r="E1314" s="2" t="str">
        <x:v>N1</x:v>
      </x:c>
      <x:c r="F1314" s="10" t="n">
        <x:v>574</x:v>
      </x:c>
      <x:c r="G1314" s="2" t="str">
        <x:v>w_b7be01d14b992429</x:v>
      </x:c>
      <x:c r="H1314" s="2" t="str">
        <x:v>花壇</x:v>
      </x:c>
      <x:c r="I1314" s="2" t="str">
        <x:v>かだん</x:v>
      </x:c>
      <x:c r="J1314" s="8" t="str">
        <x:v>화단</x:v>
      </x:c>
      <x:c r="K1314" s="2" t="str">
        <x:v>noun</x:v>
      </x:c>
      <x:c r="L1314" s="9" t="n">
        <x:v>3.1</x:v>
      </x:c>
      <x:c r="M1314" s="2" t="str">
        <x:v>없음</x:v>
      </x:c>
      <x:c r="N1314" s="11" t="n">
        <x:v>-8</x:v>
      </x:c>
      <x:c r="O1314" s="8" t="str">
        <x:v>일반 사용 빈도 보통 이하(Zipf ≤ 3.5); 검증된 예문 없음; 기존 데이터의 한국어 콘텐츠 보강 필요 태그</x:v>
      </x:c>
      <x:c r="P1314" s="8" t="str">
        <x:v>frequency_le_3_5,no_example,weak_legacy_content</x:v>
      </x:c>
      <x:c r="Q1314" s="2" t="str"/>
      <x:c r="R1314" s="2" t="str"/>
      <x:c r="S1314" s="2" t="str"/>
      <x:c r="T1314" s="2" t="str"/>
      <x:c r="U1314" s="2" t="str"/>
      <x:c r="V1314" s="2" t="str">
        <x:v>아니오</x:v>
      </x:c>
      <x:c r="W1314" s="2" t="str">
        <x:v>예</x:v>
      </x:c>
      <x:c r="X1314" s="2" t="str">
        <x:v>ichi1,news2,nf26</x:v>
      </x:c>
      <x:c r="Y1314" s="2" t="n">
        <x:v>100</x:v>
      </x:c>
      <x:c r="Z1314" s="2" t="str">
        <x:v>ichi1,news2,nf26</x:v>
      </x:c>
      <x:c r="AA1314" s="2" t="n">
        <x:v>100</x:v>
      </x:c>
      <x:c r="AB1314" s="8" t="str"/>
      <x:c r="AC1314" s="8" t="str"/>
      <x:c r="AD1314" s="8" t="str">
        <x:v>["draft-ko-missing"]</x:v>
      </x:c>
      <x:c r="AE1314" s="8" t="str">
        <x:v>검토 필요</x:v>
      </x:c>
      <x:c r="AF1314" s="8" t="str"/>
    </x:row>
    <x:row r="1315">
      <x:c r="A1315" s="10" t="n">
        <x:v>1314</x:v>
      </x:c>
      <x:c r="B1315" s="2" t="str">
        <x:v>2차 보류</x:v>
      </x:c>
      <x:c r="C1315" s="2" t="str">
        <x:v>2차 보류</x:v>
      </x:c>
      <x:c r="D1315" s="2" t="str">
        <x:v>낮음</x:v>
      </x:c>
      <x:c r="E1315" s="2" t="str">
        <x:v>N2</x:v>
      </x:c>
      <x:c r="F1315" s="10" t="n">
        <x:v>490</x:v>
      </x:c>
      <x:c r="G1315" s="2" t="str">
        <x:v>w_a8d08694ca074c0d</x:v>
      </x:c>
      <x:c r="H1315" s="2" t="str">
        <x:v>雑巾</x:v>
      </x:c>
      <x:c r="I1315" s="2" t="str">
        <x:v>ぞうきん</x:v>
      </x:c>
      <x:c r="J1315" s="8" t="str">
        <x:v>걸레</x:v>
      </x:c>
      <x:c r="K1315" s="2" t="str">
        <x:v>noun</x:v>
      </x:c>
      <x:c r="L1315" s="9" t="n">
        <x:v>3.11</x:v>
      </x:c>
      <x:c r="M1315" s="2" t="str">
        <x:v>없음</x:v>
      </x:c>
      <x:c r="N1315" s="11" t="n">
        <x:v>-8</x:v>
      </x:c>
      <x:c r="O1315" s="8" t="str">
        <x:v>일반 사용 빈도 보통 이하(Zipf ≤ 3.5); 검증된 예문 없음; 기존 데이터의 한국어 콘텐츠 보강 필요 태그</x:v>
      </x:c>
      <x:c r="P1315" s="8" t="str">
        <x:v>frequency_le_3_5,no_example,weak_legacy_content</x:v>
      </x:c>
      <x:c r="Q1315" s="2" t="str"/>
      <x:c r="R1315" s="2" t="str"/>
      <x:c r="S1315" s="2" t="str"/>
      <x:c r="T1315" s="2" t="str"/>
      <x:c r="U1315" s="2" t="str"/>
      <x:c r="V1315" s="2" t="str">
        <x:v>아니오</x:v>
      </x:c>
      <x:c r="W1315" s="2" t="str">
        <x:v>예</x:v>
      </x:c>
      <x:c r="X1315" s="2" t="str">
        <x:v>ichi1</x:v>
      </x:c>
      <x:c r="Y1315" s="2" t="n">
        <x:v>100</x:v>
      </x:c>
      <x:c r="Z1315" s="2" t="str">
        <x:v>ichi1</x:v>
      </x:c>
      <x:c r="AA1315" s="2" t="n">
        <x:v>100</x:v>
      </x:c>
      <x:c r="AB1315" s="8" t="str"/>
      <x:c r="AC1315" s="8" t="str"/>
      <x:c r="AD1315" s="8" t="str">
        <x:v>["draft-ko-missing"]</x:v>
      </x:c>
      <x:c r="AE1315" s="8" t="str">
        <x:v>검토 필요</x:v>
      </x:c>
      <x:c r="AF1315" s="8" t="str"/>
    </x:row>
    <x:row r="1316">
      <x:c r="A1316" s="10" t="n">
        <x:v>1315</x:v>
      </x:c>
      <x:c r="B1316" s="2" t="str">
        <x:v>2차 보류</x:v>
      </x:c>
      <x:c r="C1316" s="2" t="str">
        <x:v>2차 보류</x:v>
      </x:c>
      <x:c r="D1316" s="2" t="str">
        <x:v>낮음</x:v>
      </x:c>
      <x:c r="E1316" s="2" t="str">
        <x:v>N2</x:v>
      </x:c>
      <x:c r="F1316" s="10" t="n">
        <x:v>491</x:v>
      </x:c>
      <x:c r="G1316" s="2" t="str">
        <x:v>w_ae251e0ce07fb16a</x:v>
      </x:c>
      <x:c r="H1316" s="2" t="str">
        <x:v>裏口</x:v>
      </x:c>
      <x:c r="I1316" s="2" t="str">
        <x:v>うらぐち</x:v>
      </x:c>
      <x:c r="J1316" s="8" t="str">
        <x:v>뒤, 후방 입구</x:v>
      </x:c>
      <x:c r="K1316" s="2" t="str">
        <x:v>noun</x:v>
      </x:c>
      <x:c r="L1316" s="9" t="n">
        <x:v>3.11</x:v>
      </x:c>
      <x:c r="M1316" s="2" t="str">
        <x:v>없음</x:v>
      </x:c>
      <x:c r="N1316" s="11" t="n">
        <x:v>-8</x:v>
      </x:c>
      <x:c r="O1316" s="8" t="str">
        <x:v>일반 사용 빈도 보통 이하(Zipf ≤ 3.5); 검증된 예문 없음; 기존 데이터의 한국어 콘텐츠 보강 필요 태그</x:v>
      </x:c>
      <x:c r="P1316" s="8" t="str">
        <x:v>frequency_le_3_5,no_example,weak_legacy_content</x:v>
      </x:c>
      <x:c r="Q1316" s="2" t="str"/>
      <x:c r="R1316" s="2" t="str"/>
      <x:c r="S1316" s="2" t="str"/>
      <x:c r="T1316" s="2" t="str"/>
      <x:c r="U1316" s="2" t="str"/>
      <x:c r="V1316" s="2" t="str">
        <x:v>아니오</x:v>
      </x:c>
      <x:c r="W1316" s="2" t="str">
        <x:v>예</x:v>
      </x:c>
      <x:c r="X1316" s="2" t="str">
        <x:v>ichi1,news1,nf24</x:v>
      </x:c>
      <x:c r="Y1316" s="2" t="n">
        <x:v>100</x:v>
      </x:c>
      <x:c r="Z1316" s="2" t="str">
        <x:v>ichi1,news1,nf24</x:v>
      </x:c>
      <x:c r="AA1316" s="2" t="n">
        <x:v>100</x:v>
      </x:c>
      <x:c r="AB1316" s="8" t="str"/>
      <x:c r="AC1316" s="8" t="str"/>
      <x:c r="AD1316" s="8" t="str">
        <x:v>["draft-ko-missing"]</x:v>
      </x:c>
      <x:c r="AE1316" s="8" t="str">
        <x:v>검토 필요</x:v>
      </x:c>
      <x:c r="AF1316" s="8" t="str"/>
    </x:row>
    <x:row r="1317">
      <x:c r="A1317" s="10" t="n">
        <x:v>1316</x:v>
      </x:c>
      <x:c r="B1317" s="2" t="str">
        <x:v>2차 보류</x:v>
      </x:c>
      <x:c r="C1317" s="2" t="str">
        <x:v>2차 보류</x:v>
      </x:c>
      <x:c r="D1317" s="2" t="str">
        <x:v>낮음</x:v>
      </x:c>
      <x:c r="E1317" s="2" t="str">
        <x:v>N1</x:v>
      </x:c>
      <x:c r="F1317" s="10" t="n">
        <x:v>575</x:v>
      </x:c>
      <x:c r="G1317" s="2" t="str">
        <x:v>w_37a277ede744797e</x:v>
      </x:c>
      <x:c r="H1317" s="2" t="str">
        <x:v>天災</x:v>
      </x:c>
      <x:c r="I1317" s="2" t="str">
        <x:v>てんさい</x:v>
      </x:c>
      <x:c r="J1317" s="8" t="str">
        <x:v>천재(자연재해)</x:v>
      </x:c>
      <x:c r="K1317" s="2" t="str">
        <x:v>noun</x:v>
      </x:c>
      <x:c r="L1317" s="9" t="n">
        <x:v>3.11</x:v>
      </x:c>
      <x:c r="M1317" s="2" t="str">
        <x:v>없음</x:v>
      </x:c>
      <x:c r="N1317" s="11" t="n">
        <x:v>-8</x:v>
      </x:c>
      <x:c r="O1317" s="8" t="str">
        <x:v>일반 사용 빈도 보통 이하(Zipf ≤ 3.5); 검증된 예문 없음; 기존 데이터의 한국어 콘텐츠 보강 필요 태그</x:v>
      </x:c>
      <x:c r="P1317" s="8" t="str">
        <x:v>frequency_le_3_5,no_example,weak_legacy_content</x:v>
      </x:c>
      <x:c r="Q1317" s="2" t="str"/>
      <x:c r="R1317" s="2" t="str"/>
      <x:c r="S1317" s="2" t="str"/>
      <x:c r="T1317" s="2" t="str"/>
      <x:c r="U1317" s="2" t="str"/>
      <x:c r="V1317" s="2" t="str">
        <x:v>아니오</x:v>
      </x:c>
      <x:c r="W1317" s="2" t="str">
        <x:v>예</x:v>
      </x:c>
      <x:c r="X1317" s="2" t="str">
        <x:v>ichi1,news1,nf23</x:v>
      </x:c>
      <x:c r="Y1317" s="2" t="n">
        <x:v>100</x:v>
      </x:c>
      <x:c r="Z1317" s="2" t="str">
        <x:v>ichi1,news1,nf23</x:v>
      </x:c>
      <x:c r="AA1317" s="2" t="n">
        <x:v>100</x:v>
      </x:c>
      <x:c r="AB1317" s="8" t="str"/>
      <x:c r="AC1317" s="8" t="str"/>
      <x:c r="AD1317" s="8" t="str">
        <x:v>["draft-ko-missing"]</x:v>
      </x:c>
      <x:c r="AE1317" s="8" t="str">
        <x:v>검토 필요</x:v>
      </x:c>
      <x:c r="AF1317" s="8" t="str"/>
    </x:row>
    <x:row r="1318">
      <x:c r="A1318" s="10" t="n">
        <x:v>1317</x:v>
      </x:c>
      <x:c r="B1318" s="2" t="str">
        <x:v>2차 보류</x:v>
      </x:c>
      <x:c r="C1318" s="2" t="str">
        <x:v>2차 보류</x:v>
      </x:c>
      <x:c r="D1318" s="2" t="str">
        <x:v>낮음</x:v>
      </x:c>
      <x:c r="E1318" s="2" t="str">
        <x:v>N1</x:v>
      </x:c>
      <x:c r="F1318" s="10" t="n">
        <x:v>576</x:v>
      </x:c>
      <x:c r="G1318" s="2" t="str">
        <x:v>w_4d987d72e7db4e37</x:v>
      </x:c>
      <x:c r="H1318" s="2" t="str">
        <x:v>見なす</x:v>
      </x:c>
      <x:c r="I1318" s="2" t="str">
        <x:v>みなす</x:v>
      </x:c>
      <x:c r="J1318" s="8" t="str">
        <x:v>간주하다, 여기다</x:v>
      </x:c>
      <x:c r="K1318" s="2" t="str">
        <x:v>verb</x:v>
      </x:c>
      <x:c r="L1318" s="9" t="n">
        <x:v>3.11</x:v>
      </x:c>
      <x:c r="M1318" s="2" t="str">
        <x:v>없음</x:v>
      </x:c>
      <x:c r="N1318" s="11" t="n">
        <x:v>-8</x:v>
      </x:c>
      <x:c r="O1318" s="8" t="str">
        <x:v>일반 사용 빈도 보통 이하(Zipf ≤ 3.5); 검증된 예문 없음; 기존 데이터의 한국어 콘텐츠 보강 필요 태그</x:v>
      </x:c>
      <x:c r="P1318" s="8" t="str">
        <x:v>frequency_le_3_5,no_example,weak_legacy_content</x:v>
      </x:c>
      <x:c r="Q1318" s="2" t="str"/>
      <x:c r="R1318" s="2" t="str"/>
      <x:c r="S1318" s="2" t="str"/>
      <x:c r="T1318" s="2" t="str"/>
      <x:c r="U1318" s="2" t="str"/>
      <x:c r="V1318" s="2" t="str">
        <x:v>아니오</x:v>
      </x:c>
      <x:c r="W1318" s="2" t="str">
        <x:v>예</x:v>
      </x:c>
      <x:c r="X1318" s="2" t="str">
        <x:v>ichi1</x:v>
      </x:c>
      <x:c r="Y1318" s="2" t="n">
        <x:v>100</x:v>
      </x:c>
      <x:c r="Z1318" s="2" t="str">
        <x:v>ichi1</x:v>
      </x:c>
      <x:c r="AA1318" s="2" t="n">
        <x:v>100</x:v>
      </x:c>
      <x:c r="AB1318" s="8" t="str">
        <x:v>word usually written using kana alone</x:v>
      </x:c>
      <x:c r="AC1318" s="8" t="str"/>
      <x:c r="AD1318" s="8" t="str">
        <x:v>["draft-ko-missing"]</x:v>
      </x:c>
      <x:c r="AE1318" s="8" t="str">
        <x:v>검토 필요</x:v>
      </x:c>
      <x:c r="AF1318" s="8" t="str"/>
    </x:row>
    <x:row r="1319">
      <x:c r="A1319" s="10" t="n">
        <x:v>1318</x:v>
      </x:c>
      <x:c r="B1319" s="2" t="str">
        <x:v>2차 보류</x:v>
      </x:c>
      <x:c r="C1319" s="2" t="str">
        <x:v>2차 보류</x:v>
      </x:c>
      <x:c r="D1319" s="2" t="str">
        <x:v>낮음</x:v>
      </x:c>
      <x:c r="E1319" s="2" t="str">
        <x:v>N1</x:v>
      </x:c>
      <x:c r="F1319" s="10" t="n">
        <x:v>577</x:v>
      </x:c>
      <x:c r="G1319" s="2" t="str">
        <x:v>w_f1b7469967784a8e</x:v>
      </x:c>
      <x:c r="H1319" s="2" t="str">
        <x:v>適宜</x:v>
      </x:c>
      <x:c r="I1319" s="2" t="str">
        <x:v>てきぎ</x:v>
      </x:c>
      <x:c r="J1319" s="8" t="str">
        <x:v>적절함, 형편에 따름</x:v>
      </x:c>
      <x:c r="K1319" s="2" t="str">
        <x:v>adjective</x:v>
      </x:c>
      <x:c r="L1319" s="9" t="n">
        <x:v>3.11</x:v>
      </x:c>
      <x:c r="M1319" s="2" t="str">
        <x:v>없음</x:v>
      </x:c>
      <x:c r="N1319" s="11" t="n">
        <x:v>-8</x:v>
      </x:c>
      <x:c r="O1319" s="8" t="str">
        <x:v>일반 사용 빈도 보통 이하(Zipf ≤ 3.5); 검증된 예문 없음; 기존 데이터의 한국어 콘텐츠 보강 필요 태그</x:v>
      </x:c>
      <x:c r="P1319" s="8" t="str">
        <x:v>frequency_le_3_5,no_example,weak_legacy_content</x:v>
      </x:c>
      <x:c r="Q1319" s="2" t="str"/>
      <x:c r="R1319" s="2" t="str"/>
      <x:c r="S1319" s="2" t="str"/>
      <x:c r="T1319" s="2" t="str"/>
      <x:c r="U1319" s="2" t="str"/>
      <x:c r="V1319" s="2" t="str">
        <x:v>아니오</x:v>
      </x:c>
      <x:c r="W1319" s="2" t="str">
        <x:v>예</x:v>
      </x:c>
      <x:c r="X1319" s="2" t="str">
        <x:v>ichi1,news2,nf34</x:v>
      </x:c>
      <x:c r="Y1319" s="2" t="n">
        <x:v>100</x:v>
      </x:c>
      <x:c r="Z1319" s="2" t="str">
        <x:v>ichi1,news2,nf34</x:v>
      </x:c>
      <x:c r="AA1319" s="2" t="n">
        <x:v>100</x:v>
      </x:c>
      <x:c r="AB1319" s="8" t="str"/>
      <x:c r="AC1319" s="8" t="str"/>
      <x:c r="AD1319" s="8" t="str">
        <x:v>["draft-ko-missing"]</x:v>
      </x:c>
      <x:c r="AE1319" s="8" t="str">
        <x:v>검토 필요</x:v>
      </x:c>
      <x:c r="AF1319" s="8" t="str"/>
    </x:row>
    <x:row r="1320">
      <x:c r="A1320" s="10" t="n">
        <x:v>1319</x:v>
      </x:c>
      <x:c r="B1320" s="2" t="str">
        <x:v>2차 보류</x:v>
      </x:c>
      <x:c r="C1320" s="2" t="str">
        <x:v>2차 보류</x:v>
      </x:c>
      <x:c r="D1320" s="2" t="str">
        <x:v>낮음</x:v>
      </x:c>
      <x:c r="E1320" s="2" t="str">
        <x:v>N2</x:v>
      </x:c>
      <x:c r="F1320" s="10" t="n">
        <x:v>492</x:v>
      </x:c>
      <x:c r="G1320" s="2" t="str">
        <x:v>w_bc2133c59cd9c05d</x:v>
      </x:c>
      <x:c r="H1320" s="2" t="str">
        <x:v>煮る</x:v>
      </x:c>
      <x:c r="I1320" s="2" t="str">
        <x:v>にる</x:v>
      </x:c>
      <x:c r="J1320" s="8" t="str">
        <x:v>끓다, 끓이다</x:v>
      </x:c>
      <x:c r="K1320" s="2" t="str">
        <x:v>verb</x:v>
      </x:c>
      <x:c r="L1320" s="9" t="n">
        <x:v>3.12</x:v>
      </x:c>
      <x:c r="M1320" s="2" t="str">
        <x:v>없음</x:v>
      </x:c>
      <x:c r="N1320" s="11" t="n">
        <x:v>-8</x:v>
      </x:c>
      <x:c r="O1320" s="8" t="str">
        <x:v>일반 사용 빈도 보통 이하(Zipf ≤ 3.5); 검증된 예문 없음; 기존 데이터의 한국어 콘텐츠 보강 필요 태그</x:v>
      </x:c>
      <x:c r="P1320" s="8" t="str">
        <x:v>frequency_le_3_5,no_example,weak_legacy_content</x:v>
      </x:c>
      <x:c r="Q1320" s="2" t="str"/>
      <x:c r="R1320" s="2" t="str"/>
      <x:c r="S1320" s="2" t="str"/>
      <x:c r="T1320" s="2" t="str"/>
      <x:c r="U1320" s="2" t="str"/>
      <x:c r="V1320" s="2" t="str">
        <x:v>아니오</x:v>
      </x:c>
      <x:c r="W1320" s="2" t="str">
        <x:v>예</x:v>
      </x:c>
      <x:c r="X1320" s="2" t="str">
        <x:v>ichi1,news1,nf15</x:v>
      </x:c>
      <x:c r="Y1320" s="2" t="n">
        <x:v>100</x:v>
      </x:c>
      <x:c r="Z1320" s="2" t="str">
        <x:v>ichi1,news1,nf15</x:v>
      </x:c>
      <x:c r="AA1320" s="2" t="n">
        <x:v>100</x:v>
      </x:c>
      <x:c r="AB1320" s="8" t="str"/>
      <x:c r="AC1320" s="8" t="str"/>
      <x:c r="AD1320" s="8" t="str">
        <x:v>["draft-ko-missing"]</x:v>
      </x:c>
      <x:c r="AE1320" s="8" t="str">
        <x:v>검토 필요</x:v>
      </x:c>
      <x:c r="AF1320" s="8" t="str"/>
    </x:row>
    <x:row r="1321">
      <x:c r="A1321" s="10" t="n">
        <x:v>1320</x:v>
      </x:c>
      <x:c r="B1321" s="2" t="str">
        <x:v>2차 보류</x:v>
      </x:c>
      <x:c r="C1321" s="2" t="str">
        <x:v>2차 보류</x:v>
      </x:c>
      <x:c r="D1321" s="2" t="str">
        <x:v>낮음</x:v>
      </x:c>
      <x:c r="E1321" s="2" t="str">
        <x:v>N2</x:v>
      </x:c>
      <x:c r="F1321" s="10" t="n">
        <x:v>493</x:v>
      </x:c>
      <x:c r="G1321" s="2" t="str">
        <x:v>w_f9324df0df5b99e7</x:v>
      </x:c>
      <x:c r="H1321" s="2" t="str">
        <x:v>どっと</x:v>
      </x:c>
      <x:c r="I1321" s="2" t="str">
        <x:v>どっと</x:v>
      </x:c>
      <x:c r="J1321" s="8" t="str">
        <x:v>갑자기</x:v>
      </x:c>
      <x:c r="K1321" s="2" t="str">
        <x:v>adverb</x:v>
      </x:c>
      <x:c r="L1321" s="9" t="n">
        <x:v>3.12</x:v>
      </x:c>
      <x:c r="M1321" s="2" t="str">
        <x:v>없음</x:v>
      </x:c>
      <x:c r="N1321" s="11" t="n">
        <x:v>-8</x:v>
      </x:c>
      <x:c r="O1321" s="8" t="str">
        <x:v>일반 사용 빈도 보통 이하(Zipf ≤ 3.5); 검증된 예문 없음; 기존 데이터의 한국어 콘텐츠 보강 필요 태그</x:v>
      </x:c>
      <x:c r="P1321" s="8" t="str">
        <x:v>frequency_le_3_5,no_example,weak_legacy_content</x:v>
      </x:c>
      <x:c r="Q1321" s="2" t="str"/>
      <x:c r="R1321" s="2" t="str"/>
      <x:c r="S1321" s="2" t="str"/>
      <x:c r="T1321" s="2" t="str"/>
      <x:c r="U1321" s="2" t="str"/>
      <x:c r="V1321" s="2" t="str">
        <x:v>아니오</x:v>
      </x:c>
      <x:c r="W1321" s="2" t="str">
        <x:v>예</x:v>
      </x:c>
      <x:c r="X1321" s="2" t="str">
        <x:v>spec1</x:v>
      </x:c>
      <x:c r="Y1321" s="2" t="n">
        <x:v>100</x:v>
      </x:c>
      <x:c r="Z1321" s="2" t="str">
        <x:v>spec1</x:v>
      </x:c>
      <x:c r="AA1321" s="2" t="n">
        <x:v>100</x:v>
      </x:c>
      <x:c r="AB1321" s="8" t="str">
        <x:v>onomatopoeic or mimetic word</x:v>
      </x:c>
      <x:c r="AC1321" s="8" t="str"/>
      <x:c r="AD1321" s="8" t="str">
        <x:v>["draft-ko-missing"]</x:v>
      </x:c>
      <x:c r="AE1321" s="8" t="str">
        <x:v>검토 필요</x:v>
      </x:c>
      <x:c r="AF1321" s="8" t="str"/>
    </x:row>
    <x:row r="1322">
      <x:c r="A1322" s="10" t="n">
        <x:v>1321</x:v>
      </x:c>
      <x:c r="B1322" s="2" t="str">
        <x:v>2차 보류</x:v>
      </x:c>
      <x:c r="C1322" s="2" t="str">
        <x:v>2차 보류</x:v>
      </x:c>
      <x:c r="D1322" s="2" t="str">
        <x:v>낮음</x:v>
      </x:c>
      <x:c r="E1322" s="2" t="str">
        <x:v>N1</x:v>
      </x:c>
      <x:c r="F1322" s="10" t="n">
        <x:v>578</x:v>
      </x:c>
      <x:c r="G1322" s="2" t="str">
        <x:v>w_6ea2a595d3f1d3a7</x:v>
      </x:c>
      <x:c r="H1322" s="2" t="str">
        <x:v>清らか</x:v>
      </x:c>
      <x:c r="I1322" s="2" t="str">
        <x:v>きよらか</x:v>
      </x:c>
      <x:c r="J1322" s="8" t="str">
        <x:v>맑음, 깨끗함</x:v>
      </x:c>
      <x:c r="K1322" s="2" t="str">
        <x:v>adjective</x:v>
      </x:c>
      <x:c r="L1322" s="9" t="n">
        <x:v>3.12</x:v>
      </x:c>
      <x:c r="M1322" s="2" t="str">
        <x:v>없음</x:v>
      </x:c>
      <x:c r="N1322" s="11" t="n">
        <x:v>-8</x:v>
      </x:c>
      <x:c r="O1322" s="8" t="str">
        <x:v>일반 사용 빈도 보통 이하(Zipf ≤ 3.5); 검증된 예문 없음; 기존 데이터의 한국어 콘텐츠 보강 필요 태그</x:v>
      </x:c>
      <x:c r="P1322" s="8" t="str">
        <x:v>frequency_le_3_5,no_example,weak_legacy_content</x:v>
      </x:c>
      <x:c r="Q1322" s="2" t="str"/>
      <x:c r="R1322" s="2" t="str"/>
      <x:c r="S1322" s="2" t="str"/>
      <x:c r="T1322" s="2" t="str"/>
      <x:c r="U1322" s="2" t="str"/>
      <x:c r="V1322" s="2" t="str">
        <x:v>아니오</x:v>
      </x:c>
      <x:c r="W1322" s="2" t="str">
        <x:v>예</x:v>
      </x:c>
      <x:c r="X1322" s="2" t="str">
        <x:v>ichi1,news2,nf34</x:v>
      </x:c>
      <x:c r="Y1322" s="2" t="n">
        <x:v>100</x:v>
      </x:c>
      <x:c r="Z1322" s="2" t="str">
        <x:v>ichi1,news2,nf34</x:v>
      </x:c>
      <x:c r="AA1322" s="2" t="n">
        <x:v>100</x:v>
      </x:c>
      <x:c r="AB1322" s="8" t="str"/>
      <x:c r="AC1322" s="8" t="str"/>
      <x:c r="AD1322" s="8" t="str">
        <x:v>["draft-ko-missing"]</x:v>
      </x:c>
      <x:c r="AE1322" s="8" t="str">
        <x:v>검토 필요</x:v>
      </x:c>
      <x:c r="AF1322" s="8" t="str"/>
    </x:row>
    <x:row r="1323">
      <x:c r="A1323" s="10" t="n">
        <x:v>1322</x:v>
      </x:c>
      <x:c r="B1323" s="2" t="str">
        <x:v>2차 보류</x:v>
      </x:c>
      <x:c r="C1323" s="2" t="str">
        <x:v>2차 보류</x:v>
      </x:c>
      <x:c r="D1323" s="2" t="str">
        <x:v>낮음</x:v>
      </x:c>
      <x:c r="E1323" s="2" t="str">
        <x:v>N1</x:v>
      </x:c>
      <x:c r="F1323" s="10" t="n">
        <x:v>579</x:v>
      </x:c>
      <x:c r="G1323" s="2" t="str">
        <x:v>w_a94f4515dcfa42bb</x:v>
      </x:c>
      <x:c r="H1323" s="2" t="str">
        <x:v>和らげる</x:v>
      </x:c>
      <x:c r="I1323" s="2" t="str">
        <x:v>やわらげる</x:v>
      </x:c>
      <x:c r="J1323" s="8" t="str">
        <x:v>누그러뜨리다, 완화하다</x:v>
      </x:c>
      <x:c r="K1323" s="2" t="str">
        <x:v>verb</x:v>
      </x:c>
      <x:c r="L1323" s="9" t="n">
        <x:v>3.12</x:v>
      </x:c>
      <x:c r="M1323" s="2" t="str">
        <x:v>없음</x:v>
      </x:c>
      <x:c r="N1323" s="11" t="n">
        <x:v>-8</x:v>
      </x:c>
      <x:c r="O1323" s="8" t="str">
        <x:v>일반 사용 빈도 보통 이하(Zipf ≤ 3.5); 검증된 예문 없음; 기존 데이터의 한국어 콘텐츠 보강 필요 태그</x:v>
      </x:c>
      <x:c r="P1323" s="8" t="str">
        <x:v>frequency_le_3_5,no_example,weak_legacy_content</x:v>
      </x:c>
      <x:c r="Q1323" s="2" t="str"/>
      <x:c r="R1323" s="2" t="str"/>
      <x:c r="S1323" s="2" t="str"/>
      <x:c r="T1323" s="2" t="str"/>
      <x:c r="U1323" s="2" t="str"/>
      <x:c r="V1323" s="2" t="str">
        <x:v>아니오</x:v>
      </x:c>
      <x:c r="W1323" s="2" t="str">
        <x:v>예</x:v>
      </x:c>
      <x:c r="X1323" s="2" t="str">
        <x:v>ichi1,news2,nf34</x:v>
      </x:c>
      <x:c r="Y1323" s="2" t="n">
        <x:v>100</x:v>
      </x:c>
      <x:c r="Z1323" s="2" t="str">
        <x:v>ichi1,news2,nf34</x:v>
      </x:c>
      <x:c r="AA1323" s="2" t="n">
        <x:v>100</x:v>
      </x:c>
      <x:c r="AB1323" s="8" t="str"/>
      <x:c r="AC1323" s="8" t="str"/>
      <x:c r="AD1323" s="8" t="str">
        <x:v>["draft-ko-missing"]</x:v>
      </x:c>
      <x:c r="AE1323" s="8" t="str">
        <x:v>검토 필요</x:v>
      </x:c>
      <x:c r="AF1323" s="8" t="str"/>
    </x:row>
    <x:row r="1324">
      <x:c r="A1324" s="10" t="n">
        <x:v>1323</x:v>
      </x:c>
      <x:c r="B1324" s="2" t="str">
        <x:v>2차 보류</x:v>
      </x:c>
      <x:c r="C1324" s="2" t="str">
        <x:v>2차 보류</x:v>
      </x:c>
      <x:c r="D1324" s="2" t="str">
        <x:v>낮음</x:v>
      </x:c>
      <x:c r="E1324" s="2" t="str">
        <x:v>N1</x:v>
      </x:c>
      <x:c r="F1324" s="10" t="n">
        <x:v>580</x:v>
      </x:c>
      <x:c r="G1324" s="2" t="str">
        <x:v>w_e9b7122319d3941e</x:v>
      </x:c>
      <x:c r="H1324" s="2" t="str">
        <x:v>多数決</x:v>
      </x:c>
      <x:c r="I1324" s="2" t="str">
        <x:v>たすうけつ</x:v>
      </x:c>
      <x:c r="J1324" s="8" t="str">
        <x:v>다수결</x:v>
      </x:c>
      <x:c r="K1324" s="2" t="str">
        <x:v>noun</x:v>
      </x:c>
      <x:c r="L1324" s="9" t="n">
        <x:v>3.12</x:v>
      </x:c>
      <x:c r="M1324" s="2" t="str">
        <x:v>없음</x:v>
      </x:c>
      <x:c r="N1324" s="11" t="n">
        <x:v>-8</x:v>
      </x:c>
      <x:c r="O1324" s="8" t="str">
        <x:v>일반 사용 빈도 보통 이하(Zipf ≤ 3.5); 검증된 예문 없음; 기존 데이터의 한국어 콘텐츠 보강 필요 태그</x:v>
      </x:c>
      <x:c r="P1324" s="8" t="str">
        <x:v>frequency_le_3_5,no_example,weak_legacy_content</x:v>
      </x:c>
      <x:c r="Q1324" s="2" t="str"/>
      <x:c r="R1324" s="2" t="str"/>
      <x:c r="S1324" s="2" t="str"/>
      <x:c r="T1324" s="2" t="str"/>
      <x:c r="U1324" s="2" t="str"/>
      <x:c r="V1324" s="2" t="str">
        <x:v>아니오</x:v>
      </x:c>
      <x:c r="W1324" s="2" t="str">
        <x:v>예</x:v>
      </x:c>
      <x:c r="X1324" s="2" t="str">
        <x:v>news1,nf18</x:v>
      </x:c>
      <x:c r="Y1324" s="2" t="n">
        <x:v>100</x:v>
      </x:c>
      <x:c r="Z1324" s="2" t="str">
        <x:v>news1,nf18</x:v>
      </x:c>
      <x:c r="AA1324" s="2" t="n">
        <x:v>100</x:v>
      </x:c>
      <x:c r="AB1324" s="8" t="str"/>
      <x:c r="AC1324" s="8" t="str"/>
      <x:c r="AD1324" s="8" t="str">
        <x:v>["draft-ko-missing"]</x:v>
      </x:c>
      <x:c r="AE1324" s="8" t="str">
        <x:v>검토 필요</x:v>
      </x:c>
      <x:c r="AF1324" s="8" t="str"/>
    </x:row>
    <x:row r="1325">
      <x:c r="A1325" s="10" t="n">
        <x:v>1324</x:v>
      </x:c>
      <x:c r="B1325" s="2" t="str">
        <x:v>2차 보류</x:v>
      </x:c>
      <x:c r="C1325" s="2" t="str">
        <x:v>2차 보류</x:v>
      </x:c>
      <x:c r="D1325" s="2" t="str">
        <x:v>낮음</x:v>
      </x:c>
      <x:c r="E1325" s="2" t="str">
        <x:v>N3</x:v>
      </x:c>
      <x:c r="F1325" s="10" t="n">
        <x:v>152</x:v>
      </x:c>
      <x:c r="G1325" s="2" t="str">
        <x:v>w_4192f1cb87255be7</x:v>
      </x:c>
      <x:c r="H1325" s="2" t="str">
        <x:v>従姉妹</x:v>
      </x:c>
      <x:c r="I1325" s="2" t="str">
        <x:v>いとこ</x:v>
      </x:c>
      <x:c r="J1325" s="8" t="str">
        <x:v>사촌(여성)</x:v>
      </x:c>
      <x:c r="K1325" s="2" t="str">
        <x:v>noun</x:v>
      </x:c>
      <x:c r="L1325" s="9" t="n">
        <x:v>3.13</x:v>
      </x:c>
      <x:c r="M1325" s="2" t="str">
        <x:v>없음</x:v>
      </x:c>
      <x:c r="N1325" s="11" t="n">
        <x:v>-8</x:v>
      </x:c>
      <x:c r="O1325" s="8" t="str">
        <x:v>일반 사용 빈도 보통 이하(Zipf ≤ 3.5); 검증된 예문 없음; 기존 데이터의 한국어 콘텐츠 보강 필요 태그</x:v>
      </x:c>
      <x:c r="P1325" s="8" t="str">
        <x:v>frequency_le_3_5,no_example,weak_legacy_content</x:v>
      </x:c>
      <x:c r="Q1325" s="2" t="str"/>
      <x:c r="R1325" s="2" t="str"/>
      <x:c r="S1325" s="2" t="str"/>
      <x:c r="T1325" s="2" t="str"/>
      <x:c r="U1325" s="2" t="str"/>
      <x:c r="V1325" s="2" t="str">
        <x:v>아니오</x:v>
      </x:c>
      <x:c r="W1325" s="2" t="str">
        <x:v>예</x:v>
      </x:c>
      <x:c r="X1325" s="2" t="str">
        <x:v>spec1</x:v>
      </x:c>
      <x:c r="Y1325" s="2" t="n">
        <x:v>100</x:v>
      </x:c>
      <x:c r="Z1325" s="2" t="str">
        <x:v>spec1</x:v>
      </x:c>
      <x:c r="AA1325" s="2" t="n">
        <x:v>100</x:v>
      </x:c>
      <x:c r="AB1325" s="8" t="str">
        <x:v>gikun (meaning as reading) or jukujikun (special kanji reading) | word usually written using kana alone</x:v>
      </x:c>
      <x:c r="AC1325" s="8" t="str"/>
      <x:c r="AD1325" s="8" t="str">
        <x:v>["draft-ko-missing"]</x:v>
      </x:c>
      <x:c r="AE1325" s="8" t="str">
        <x:v>검토 필요</x:v>
      </x:c>
      <x:c r="AF1325" s="8" t="str"/>
    </x:row>
    <x:row r="1326">
      <x:c r="A1326" s="10" t="n">
        <x:v>1325</x:v>
      </x:c>
      <x:c r="B1326" s="2" t="str">
        <x:v>2차 보류</x:v>
      </x:c>
      <x:c r="C1326" s="2" t="str">
        <x:v>2차 보류</x:v>
      </x:c>
      <x:c r="D1326" s="2" t="str">
        <x:v>낮음</x:v>
      </x:c>
      <x:c r="E1326" s="2" t="str">
        <x:v>N2</x:v>
      </x:c>
      <x:c r="F1326" s="10" t="n">
        <x:v>494</x:v>
      </x:c>
      <x:c r="G1326" s="2" t="str">
        <x:v>w_b962c9958ca025b2</x:v>
      </x:c>
      <x:c r="H1326" s="2" t="str">
        <x:v>為す</x:v>
      </x:c>
      <x:c r="I1326" s="2" t="str">
        <x:v>なす</x:v>
      </x:c>
      <x:c r="J1326" s="8" t="str">
        <x:v>이루다, 하다</x:v>
      </x:c>
      <x:c r="K1326" s="2" t="str">
        <x:v>verb</x:v>
      </x:c>
      <x:c r="L1326" s="9" t="n">
        <x:v>3.13</x:v>
      </x:c>
      <x:c r="M1326" s="2" t="str">
        <x:v>없음</x:v>
      </x:c>
      <x:c r="N1326" s="11" t="n">
        <x:v>-8</x:v>
      </x:c>
      <x:c r="O1326" s="8" t="str">
        <x:v>일반 사용 빈도 보통 이하(Zipf ≤ 3.5); 검증된 예문 없음; 기존 데이터의 한국어 콘텐츠 보강 필요 태그</x:v>
      </x:c>
      <x:c r="P1326" s="8" t="str">
        <x:v>frequency_le_3_5,no_example,weak_legacy_content</x:v>
      </x:c>
      <x:c r="Q1326" s="2" t="str"/>
      <x:c r="R1326" s="2" t="str"/>
      <x:c r="S1326" s="2" t="str"/>
      <x:c r="T1326" s="2" t="str"/>
      <x:c r="U1326" s="2" t="str"/>
      <x:c r="V1326" s="2" t="str">
        <x:v>아니오</x:v>
      </x:c>
      <x:c r="W1326" s="2" t="str">
        <x:v>예</x:v>
      </x:c>
      <x:c r="X1326" s="2" t="str">
        <x:v>ichi1</x:v>
      </x:c>
      <x:c r="Y1326" s="2" t="n">
        <x:v>100</x:v>
      </x:c>
      <x:c r="Z1326" s="2" t="str">
        <x:v>ichi1</x:v>
      </x:c>
      <x:c r="AA1326" s="2" t="n">
        <x:v>100</x:v>
      </x:c>
      <x:c r="AB1326" s="8" t="str">
        <x:v>word usually written using kana alone</x:v>
      </x:c>
      <x:c r="AC1326" s="8" t="str"/>
      <x:c r="AD1326" s="8" t="str">
        <x:v>["draft-ko-missing"]</x:v>
      </x:c>
      <x:c r="AE1326" s="8" t="str">
        <x:v>검토 필요</x:v>
      </x:c>
      <x:c r="AF1326" s="8" t="str"/>
    </x:row>
    <x:row r="1327">
      <x:c r="A1327" s="10" t="n">
        <x:v>1326</x:v>
      </x:c>
      <x:c r="B1327" s="2" t="str">
        <x:v>2차 보류</x:v>
      </x:c>
      <x:c r="C1327" s="2" t="str">
        <x:v>2차 보류</x:v>
      </x:c>
      <x:c r="D1327" s="2" t="str">
        <x:v>낮음</x:v>
      </x:c>
      <x:c r="E1327" s="2" t="str">
        <x:v>N1</x:v>
      </x:c>
      <x:c r="F1327" s="10" t="n">
        <x:v>581</x:v>
      </x:c>
      <x:c r="G1327" s="2" t="str">
        <x:v>w_269635c455451fc3</x:v>
      </x:c>
      <x:c r="H1327" s="2" t="str">
        <x:v>司る</x:v>
      </x:c>
      <x:c r="I1327" s="2" t="str">
        <x:v>つかさどる</x:v>
      </x:c>
      <x:c r="J1327" s="8" t="str">
        <x:v>맡아 다스리다, 관장하다</x:v>
      </x:c>
      <x:c r="K1327" s="2" t="str">
        <x:v>verb</x:v>
      </x:c>
      <x:c r="L1327" s="9" t="n">
        <x:v>3.13</x:v>
      </x:c>
      <x:c r="M1327" s="2" t="str">
        <x:v>없음</x:v>
      </x:c>
      <x:c r="N1327" s="11" t="n">
        <x:v>-8</x:v>
      </x:c>
      <x:c r="O1327" s="8" t="str">
        <x:v>일반 사용 빈도 보통 이하(Zipf ≤ 3.5); 검증된 예문 없음; 기존 데이터의 한국어 콘텐츠 보강 필요 태그</x:v>
      </x:c>
      <x:c r="P1327" s="8" t="str">
        <x:v>frequency_le_3_5,no_example,weak_legacy_content</x:v>
      </x:c>
      <x:c r="Q1327" s="2" t="str"/>
      <x:c r="R1327" s="2" t="str"/>
      <x:c r="S1327" s="2" t="str"/>
      <x:c r="T1327" s="2" t="str"/>
      <x:c r="U1327" s="2" t="str"/>
      <x:c r="V1327" s="2" t="str">
        <x:v>아니오</x:v>
      </x:c>
      <x:c r="W1327" s="2" t="str">
        <x:v>예</x:v>
      </x:c>
      <x:c r="X1327" s="2" t="str">
        <x:v>spec1</x:v>
      </x:c>
      <x:c r="Y1327" s="2" t="n">
        <x:v>100</x:v>
      </x:c>
      <x:c r="Z1327" s="2" t="str">
        <x:v>spec1</x:v>
      </x:c>
      <x:c r="AA1327" s="2" t="n">
        <x:v>100</x:v>
      </x:c>
      <x:c r="AB1327" s="8" t="str"/>
      <x:c r="AC1327" s="8" t="str"/>
      <x:c r="AD1327" s="8" t="str">
        <x:v>["draft-ko-missing"]</x:v>
      </x:c>
      <x:c r="AE1327" s="8" t="str">
        <x:v>검토 필요</x:v>
      </x:c>
      <x:c r="AF1327" s="8" t="str"/>
    </x:row>
    <x:row r="1328">
      <x:c r="A1328" s="10" t="n">
        <x:v>1327</x:v>
      </x:c>
      <x:c r="B1328" s="2" t="str">
        <x:v>2차 보류</x:v>
      </x:c>
      <x:c r="C1328" s="2" t="str">
        <x:v>2차 보류</x:v>
      </x:c>
      <x:c r="D1328" s="2" t="str">
        <x:v>낮음</x:v>
      </x:c>
      <x:c r="E1328" s="2" t="str">
        <x:v>N1</x:v>
      </x:c>
      <x:c r="F1328" s="10" t="n">
        <x:v>582</x:v>
      </x:c>
      <x:c r="G1328" s="2" t="str">
        <x:v>w_d6ae36e458dcdd71</x:v>
      </x:c>
      <x:c r="H1328" s="2" t="str">
        <x:v>脆い</x:v>
      </x:c>
      <x:c r="I1328" s="2" t="str">
        <x:v>もろい</x:v>
      </x:c>
      <x:c r="J1328" s="8" t="str">
        <x:v>무르다, 부서지기 쉽다</x:v>
      </x:c>
      <x:c r="K1328" s="2" t="str">
        <x:v>adjective</x:v>
      </x:c>
      <x:c r="L1328" s="9" t="n">
        <x:v>3.13</x:v>
      </x:c>
      <x:c r="M1328" s="2" t="str">
        <x:v>없음</x:v>
      </x:c>
      <x:c r="N1328" s="11" t="n">
        <x:v>-8</x:v>
      </x:c>
      <x:c r="O1328" s="8" t="str">
        <x:v>일반 사용 빈도 보통 이하(Zipf ≤ 3.5); 검증된 예문 없음; 기존 데이터의 한국어 콘텐츠 보강 필요 태그</x:v>
      </x:c>
      <x:c r="P1328" s="8" t="str">
        <x:v>frequency_le_3_5,no_example,weak_legacy_content</x:v>
      </x:c>
      <x:c r="Q1328" s="2" t="str"/>
      <x:c r="R1328" s="2" t="str"/>
      <x:c r="S1328" s="2" t="str"/>
      <x:c r="T1328" s="2" t="str"/>
      <x:c r="U1328" s="2" t="str"/>
      <x:c r="V1328" s="2" t="str">
        <x:v>아니오</x:v>
      </x:c>
      <x:c r="W1328" s="2" t="str">
        <x:v>예</x:v>
      </x:c>
      <x:c r="X1328" s="2" t="str">
        <x:v>ichi1</x:v>
      </x:c>
      <x:c r="Y1328" s="2" t="n">
        <x:v>100</x:v>
      </x:c>
      <x:c r="Z1328" s="2" t="str">
        <x:v>ichi1</x:v>
      </x:c>
      <x:c r="AA1328" s="2" t="n">
        <x:v>100</x:v>
      </x:c>
      <x:c r="AB1328" s="8" t="str">
        <x:v>word usually written using kana alone</x:v>
      </x:c>
      <x:c r="AC1328" s="8" t="str"/>
      <x:c r="AD1328" s="8" t="str">
        <x:v>["draft-ko-missing"]</x:v>
      </x:c>
      <x:c r="AE1328" s="8" t="str">
        <x:v>검토 필요</x:v>
      </x:c>
      <x:c r="AF1328" s="8" t="str"/>
    </x:row>
    <x:row r="1329">
      <x:c r="A1329" s="10" t="n">
        <x:v>1328</x:v>
      </x:c>
      <x:c r="B1329" s="2" t="str">
        <x:v>2차 보류</x:v>
      </x:c>
      <x:c r="C1329" s="2" t="str">
        <x:v>2차 보류</x:v>
      </x:c>
      <x:c r="D1329" s="2" t="str">
        <x:v>낮음</x:v>
      </x:c>
      <x:c r="E1329" s="2" t="str">
        <x:v>N1</x:v>
      </x:c>
      <x:c r="F1329" s="10" t="n">
        <x:v>583</x:v>
      </x:c>
      <x:c r="G1329" s="2" t="str">
        <x:v>w_eb362f6be10b400b</x:v>
      </x:c>
      <x:c r="H1329" s="2" t="str">
        <x:v>弁論</x:v>
      </x:c>
      <x:c r="I1329" s="2" t="str">
        <x:v>べんろん</x:v>
      </x:c>
      <x:c r="J1329" s="8" t="str">
        <x:v>변론</x:v>
      </x:c>
      <x:c r="K1329" s="2" t="str">
        <x:v>noun</x:v>
      </x:c>
      <x:c r="L1329" s="9" t="n">
        <x:v>3.13</x:v>
      </x:c>
      <x:c r="M1329" s="2" t="str">
        <x:v>없음</x:v>
      </x:c>
      <x:c r="N1329" s="11" t="n">
        <x:v>-8</x:v>
      </x:c>
      <x:c r="O1329" s="8" t="str">
        <x:v>일반 사용 빈도 보통 이하(Zipf ≤ 3.5); 검증된 예문 없음; 기존 데이터의 한국어 콘텐츠 보강 필요 태그</x:v>
      </x:c>
      <x:c r="P1329" s="8" t="str">
        <x:v>frequency_le_3_5,no_example,weak_legacy_content</x:v>
      </x:c>
      <x:c r="Q1329" s="2" t="str"/>
      <x:c r="R1329" s="2" t="str"/>
      <x:c r="S1329" s="2" t="str"/>
      <x:c r="T1329" s="2" t="str"/>
      <x:c r="U1329" s="2" t="str"/>
      <x:c r="V1329" s="2" t="str">
        <x:v>아니오</x:v>
      </x:c>
      <x:c r="W1329" s="2" t="str">
        <x:v>예</x:v>
      </x:c>
      <x:c r="X1329" s="2" t="str">
        <x:v>ichi1,news1,nf15</x:v>
      </x:c>
      <x:c r="Y1329" s="2" t="n">
        <x:v>100</x:v>
      </x:c>
      <x:c r="Z1329" s="2" t="str">
        <x:v>ichi1,news1,nf15</x:v>
      </x:c>
      <x:c r="AA1329" s="2" t="n">
        <x:v>100</x:v>
      </x:c>
      <x:c r="AB1329" s="8" t="str"/>
      <x:c r="AC1329" s="8" t="str"/>
      <x:c r="AD1329" s="8" t="str">
        <x:v>["draft-ko-missing"]</x:v>
      </x:c>
      <x:c r="AE1329" s="8" t="str">
        <x:v>검토 필요</x:v>
      </x:c>
      <x:c r="AF1329" s="8" t="str"/>
    </x:row>
    <x:row r="1330">
      <x:c r="A1330" s="10" t="n">
        <x:v>1329</x:v>
      </x:c>
      <x:c r="B1330" s="2" t="str">
        <x:v>2차 보류</x:v>
      </x:c>
      <x:c r="C1330" s="2" t="str">
        <x:v>2차 보류</x:v>
      </x:c>
      <x:c r="D1330" s="2" t="str">
        <x:v>낮음</x:v>
      </x:c>
      <x:c r="E1330" s="2" t="str">
        <x:v>N3</x:v>
      </x:c>
      <x:c r="F1330" s="10" t="n">
        <x:v>153</x:v>
      </x:c>
      <x:c r="G1330" s="2" t="str">
        <x:v>w_78513d875daf64fb</x:v>
      </x:c>
      <x:c r="H1330" s="2" t="str">
        <x:v>言わば</x:v>
      </x:c>
      <x:c r="I1330" s="2" t="str">
        <x:v>いわば</x:v>
      </x:c>
      <x:c r="J1330" s="8" t="str">
        <x:v>말하자면</x:v>
      </x:c>
      <x:c r="K1330" s="2" t="str">
        <x:v>adverb</x:v>
      </x:c>
      <x:c r="L1330" s="9" t="n">
        <x:v>3.14</x:v>
      </x:c>
      <x:c r="M1330" s="2" t="str">
        <x:v>없음</x:v>
      </x:c>
      <x:c r="N1330" s="11" t="n">
        <x:v>-8</x:v>
      </x:c>
      <x:c r="O1330" s="8" t="str">
        <x:v>일반 사용 빈도 보통 이하(Zipf ≤ 3.5); 검증된 예문 없음; 기존 데이터의 한국어 콘텐츠 보강 필요 태그</x:v>
      </x:c>
      <x:c r="P1330" s="8" t="str">
        <x:v>frequency_le_3_5,no_example,weak_legacy_content</x:v>
      </x:c>
      <x:c r="Q1330" s="2" t="str"/>
      <x:c r="R1330" s="2" t="str"/>
      <x:c r="S1330" s="2" t="str"/>
      <x:c r="T1330" s="2" t="str"/>
      <x:c r="U1330" s="2" t="str"/>
      <x:c r="V1330" s="2" t="str">
        <x:v>아니오</x:v>
      </x:c>
      <x:c r="W1330" s="2" t="str">
        <x:v>예</x:v>
      </x:c>
      <x:c r="X1330" s="2" t="str">
        <x:v>ichi1,news1,nf01</x:v>
      </x:c>
      <x:c r="Y1330" s="2" t="n">
        <x:v>100</x:v>
      </x:c>
      <x:c r="Z1330" s="2" t="str">
        <x:v>ichi1,news1,nf01</x:v>
      </x:c>
      <x:c r="AA1330" s="2" t="n">
        <x:v>100</x:v>
      </x:c>
      <x:c r="AB1330" s="8" t="str">
        <x:v>word usually written using kana alone</x:v>
      </x:c>
      <x:c r="AC1330" s="8" t="str"/>
      <x:c r="AD1330" s="8" t="str">
        <x:v>["draft-ko-missing"]</x:v>
      </x:c>
      <x:c r="AE1330" s="8" t="str">
        <x:v>검토 필요</x:v>
      </x:c>
      <x:c r="AF1330" s="8" t="str"/>
    </x:row>
    <x:row r="1331">
      <x:c r="A1331" s="10" t="n">
        <x:v>1330</x:v>
      </x:c>
      <x:c r="B1331" s="2" t="str">
        <x:v>2차 보류</x:v>
      </x:c>
      <x:c r="C1331" s="2" t="str">
        <x:v>2차 보류</x:v>
      </x:c>
      <x:c r="D1331" s="2" t="str">
        <x:v>낮음</x:v>
      </x:c>
      <x:c r="E1331" s="2" t="str">
        <x:v>N2</x:v>
      </x:c>
      <x:c r="F1331" s="10" t="n">
        <x:v>495</x:v>
      </x:c>
      <x:c r="G1331" s="2" t="str">
        <x:v>w_224db8310d5dc1d7</x:v>
      </x:c>
      <x:c r="H1331" s="2" t="str">
        <x:v>明け方</x:v>
      </x:c>
      <x:c r="I1331" s="2" t="str">
        <x:v>あけがた</x:v>
      </x:c>
      <x:c r="J1331" s="8" t="str">
        <x:v>새벽</x:v>
      </x:c>
      <x:c r="K1331" s="2" t="str">
        <x:v>noun</x:v>
      </x:c>
      <x:c r="L1331" s="9" t="n">
        <x:v>3.14</x:v>
      </x:c>
      <x:c r="M1331" s="2" t="str">
        <x:v>없음</x:v>
      </x:c>
      <x:c r="N1331" s="11" t="n">
        <x:v>-8</x:v>
      </x:c>
      <x:c r="O1331" s="8" t="str">
        <x:v>일반 사용 빈도 보통 이하(Zipf ≤ 3.5); 검증된 예문 없음; 기존 데이터의 한국어 콘텐츠 보강 필요 태그</x:v>
      </x:c>
      <x:c r="P1331" s="8" t="str">
        <x:v>frequency_le_3_5,no_example,weak_legacy_content</x:v>
      </x:c>
      <x:c r="Q1331" s="2" t="str"/>
      <x:c r="R1331" s="2" t="str"/>
      <x:c r="S1331" s="2" t="str"/>
      <x:c r="T1331" s="2" t="str"/>
      <x:c r="U1331" s="2" t="str"/>
      <x:c r="V1331" s="2" t="str">
        <x:v>아니오</x:v>
      </x:c>
      <x:c r="W1331" s="2" t="str">
        <x:v>예</x:v>
      </x:c>
      <x:c r="X1331" s="2" t="str">
        <x:v>ichi1,news1,nf24</x:v>
      </x:c>
      <x:c r="Y1331" s="2" t="n">
        <x:v>100</x:v>
      </x:c>
      <x:c r="Z1331" s="2" t="str">
        <x:v>ichi1,news1,nf24</x:v>
      </x:c>
      <x:c r="AA1331" s="2" t="n">
        <x:v>100</x:v>
      </x:c>
      <x:c r="AB1331" s="8" t="str">
        <x:v>usu. from 3:00 a.m. to 6:00 a.m.</x:v>
      </x:c>
      <x:c r="AC1331" s="8" t="str"/>
      <x:c r="AD1331" s="8" t="str">
        <x:v>["draft-ko-missing"]</x:v>
      </x:c>
      <x:c r="AE1331" s="8" t="str">
        <x:v>검토 필요</x:v>
      </x:c>
      <x:c r="AF1331" s="8" t="str"/>
    </x:row>
    <x:row r="1332">
      <x:c r="A1332" s="10" t="n">
        <x:v>1331</x:v>
      </x:c>
      <x:c r="B1332" s="2" t="str">
        <x:v>2차 보류</x:v>
      </x:c>
      <x:c r="C1332" s="2" t="str">
        <x:v>2차 보류</x:v>
      </x:c>
      <x:c r="D1332" s="2" t="str">
        <x:v>낮음</x:v>
      </x:c>
      <x:c r="E1332" s="2" t="str">
        <x:v>N2</x:v>
      </x:c>
      <x:c r="F1332" s="10" t="n">
        <x:v>496</x:v>
      </x:c>
      <x:c r="G1332" s="2" t="str">
        <x:v>w_6dafd4f1d41998c0</x:v>
      </x:c>
      <x:c r="H1332" s="2" t="str">
        <x:v>転々</x:v>
      </x:c>
      <x:c r="I1332" s="2" t="str">
        <x:v>てんてん</x:v>
      </x:c>
      <x:c r="J1332" s="8" t="str">
        <x:v>여기저기 옮김, 전전</x:v>
      </x:c>
      <x:c r="K1332" s="2" t="str">
        <x:v>adverb</x:v>
      </x:c>
      <x:c r="L1332" s="9" t="n">
        <x:v>3.14</x:v>
      </x:c>
      <x:c r="M1332" s="2" t="str">
        <x:v>없음</x:v>
      </x:c>
      <x:c r="N1332" s="11" t="n">
        <x:v>-8</x:v>
      </x:c>
      <x:c r="O1332" s="8" t="str">
        <x:v>일반 사용 빈도 보통 이하(Zipf ≤ 3.5); 검증된 예문 없음; 기존 데이터의 한국어 콘텐츠 보강 필요 태그</x:v>
      </x:c>
      <x:c r="P1332" s="8" t="str">
        <x:v>frequency_le_3_5,no_example,weak_legacy_content</x:v>
      </x:c>
      <x:c r="Q1332" s="2" t="str"/>
      <x:c r="R1332" s="2" t="str"/>
      <x:c r="S1332" s="2" t="str"/>
      <x:c r="T1332" s="2" t="str"/>
      <x:c r="U1332" s="2" t="str"/>
      <x:c r="V1332" s="2" t="str">
        <x:v>아니오</x:v>
      </x:c>
      <x:c r="W1332" s="2" t="str">
        <x:v>예</x:v>
      </x:c>
      <x:c r="X1332" s="2" t="str">
        <x:v>news1,nf15</x:v>
      </x:c>
      <x:c r="Y1332" s="2" t="n">
        <x:v>100</x:v>
      </x:c>
      <x:c r="Z1332" s="2" t="str">
        <x:v>news1,nf15</x:v>
      </x:c>
      <x:c r="AA1332" s="2" t="n">
        <x:v>100</x:v>
      </x:c>
      <x:c r="AB1332" s="8" t="str"/>
      <x:c r="AC1332" s="8" t="str"/>
      <x:c r="AD1332" s="8" t="str">
        <x:v>["draft-ko-missing"]</x:v>
      </x:c>
      <x:c r="AE1332" s="8" t="str">
        <x:v>검토 필요</x:v>
      </x:c>
      <x:c r="AF1332" s="8" t="str"/>
    </x:row>
    <x:row r="1333">
      <x:c r="A1333" s="10" t="n">
        <x:v>1332</x:v>
      </x:c>
      <x:c r="B1333" s="2" t="str">
        <x:v>2차 보류</x:v>
      </x:c>
      <x:c r="C1333" s="2" t="str">
        <x:v>2차 보류</x:v>
      </x:c>
      <x:c r="D1333" s="2" t="str">
        <x:v>낮음</x:v>
      </x:c>
      <x:c r="E1333" s="2" t="str">
        <x:v>N2</x:v>
      </x:c>
      <x:c r="F1333" s="10" t="n">
        <x:v>497</x:v>
      </x:c>
      <x:c r="G1333" s="2" t="str">
        <x:v>w_918768274d6ec6c9</x:v>
      </x:c>
      <x:c r="H1333" s="2" t="str">
        <x:v>自習</x:v>
      </x:c>
      <x:c r="I1333" s="2" t="str">
        <x:v>じしゅう</x:v>
      </x:c>
      <x:c r="J1333" s="8" t="str">
        <x:v>자습</x:v>
      </x:c>
      <x:c r="K1333" s="2" t="str">
        <x:v>noun</x:v>
      </x:c>
      <x:c r="L1333" s="9" t="n">
        <x:v>3.14</x:v>
      </x:c>
      <x:c r="M1333" s="2" t="str">
        <x:v>없음</x:v>
      </x:c>
      <x:c r="N1333" s="11" t="n">
        <x:v>-8</x:v>
      </x:c>
      <x:c r="O1333" s="8" t="str">
        <x:v>일반 사용 빈도 보통 이하(Zipf ≤ 3.5); 검증된 예문 없음; 기존 데이터의 한국어 콘텐츠 보강 필요 태그</x:v>
      </x:c>
      <x:c r="P1333" s="8" t="str">
        <x:v>frequency_le_3_5,no_example,weak_legacy_content</x:v>
      </x:c>
      <x:c r="Q1333" s="2" t="str"/>
      <x:c r="R1333" s="2" t="str"/>
      <x:c r="S1333" s="2" t="str"/>
      <x:c r="T1333" s="2" t="str"/>
      <x:c r="U1333" s="2" t="str"/>
      <x:c r="V1333" s="2" t="str">
        <x:v>아니오</x:v>
      </x:c>
      <x:c r="W1333" s="2" t="str">
        <x:v>예</x:v>
      </x:c>
      <x:c r="X1333" s="2" t="str">
        <x:v>ichi1,news2,nf37</x:v>
      </x:c>
      <x:c r="Y1333" s="2" t="n">
        <x:v>100</x:v>
      </x:c>
      <x:c r="Z1333" s="2" t="str">
        <x:v>ichi1,news2,nf37</x:v>
      </x:c>
      <x:c r="AA1333" s="2" t="n">
        <x:v>100</x:v>
      </x:c>
      <x:c r="AB1333" s="8" t="str"/>
      <x:c r="AC1333" s="8" t="str"/>
      <x:c r="AD1333" s="8" t="str">
        <x:v>["draft-ko-missing"]</x:v>
      </x:c>
      <x:c r="AE1333" s="8" t="str">
        <x:v>검토 필요</x:v>
      </x:c>
      <x:c r="AF1333" s="8" t="str"/>
    </x:row>
    <x:row r="1334">
      <x:c r="A1334" s="10" t="n">
        <x:v>1333</x:v>
      </x:c>
      <x:c r="B1334" s="2" t="str">
        <x:v>2차 보류</x:v>
      </x:c>
      <x:c r="C1334" s="2" t="str">
        <x:v>2차 보류</x:v>
      </x:c>
      <x:c r="D1334" s="2" t="str">
        <x:v>낮음</x:v>
      </x:c>
      <x:c r="E1334" s="2" t="str">
        <x:v>N1</x:v>
      </x:c>
      <x:c r="F1334" s="10" t="n">
        <x:v>584</x:v>
      </x:c>
      <x:c r="G1334" s="2" t="str">
        <x:v>w_1d8c58529f6a2cf3</x:v>
      </x:c>
      <x:c r="H1334" s="2" t="str">
        <x:v>制する</x:v>
      </x:c>
      <x:c r="I1334" s="2" t="str">
        <x:v>せいする</x:v>
      </x:c>
      <x:c r="J1334" s="8" t="str">
        <x:v>제압하다, 제어하다</x:v>
      </x:c>
      <x:c r="K1334" s="2" t="str">
        <x:v>verb</x:v>
      </x:c>
      <x:c r="L1334" s="9" t="n">
        <x:v>3.14</x:v>
      </x:c>
      <x:c r="M1334" s="2" t="str">
        <x:v>없음</x:v>
      </x:c>
      <x:c r="N1334" s="11" t="n">
        <x:v>-8</x:v>
      </x:c>
      <x:c r="O1334" s="8" t="str">
        <x:v>일반 사용 빈도 보통 이하(Zipf ≤ 3.5); 검증된 예문 없음; 기존 데이터의 한국어 콘텐츠 보강 필요 태그</x:v>
      </x:c>
      <x:c r="P1334" s="8" t="str">
        <x:v>frequency_le_3_5,no_example,weak_legacy_content</x:v>
      </x:c>
      <x:c r="Q1334" s="2" t="str"/>
      <x:c r="R1334" s="2" t="str"/>
      <x:c r="S1334" s="2" t="str"/>
      <x:c r="T1334" s="2" t="str"/>
      <x:c r="U1334" s="2" t="str"/>
      <x:c r="V1334" s="2" t="str">
        <x:v>아니오</x:v>
      </x:c>
      <x:c r="W1334" s="2" t="str">
        <x:v>예</x:v>
      </x:c>
      <x:c r="X1334" s="2" t="str">
        <x:v>news1,nf13</x:v>
      </x:c>
      <x:c r="Y1334" s="2" t="n">
        <x:v>100</x:v>
      </x:c>
      <x:c r="Z1334" s="2" t="str">
        <x:v>news1,nf13</x:v>
      </x:c>
      <x:c r="AA1334" s="2" t="n">
        <x:v>100</x:v>
      </x:c>
      <x:c r="AB1334" s="8" t="str"/>
      <x:c r="AC1334" s="8" t="str"/>
      <x:c r="AD1334" s="8" t="str">
        <x:v>["draft-ko-missing"]</x:v>
      </x:c>
      <x:c r="AE1334" s="8" t="str">
        <x:v>검토 필요</x:v>
      </x:c>
      <x:c r="AF1334" s="8" t="str"/>
    </x:row>
    <x:row r="1335">
      <x:c r="A1335" s="10" t="n">
        <x:v>1334</x:v>
      </x:c>
      <x:c r="B1335" s="2" t="str">
        <x:v>2차 보류</x:v>
      </x:c>
      <x:c r="C1335" s="2" t="str">
        <x:v>2차 보류</x:v>
      </x:c>
      <x:c r="D1335" s="2" t="str">
        <x:v>낮음</x:v>
      </x:c>
      <x:c r="E1335" s="2" t="str">
        <x:v>N1</x:v>
      </x:c>
      <x:c r="F1335" s="10" t="n">
        <x:v>585</x:v>
      </x:c>
      <x:c r="G1335" s="2" t="str">
        <x:v>w_33a01c59dfc2f370</x:v>
      </x:c>
      <x:c r="H1335" s="2" t="str">
        <x:v>討議</x:v>
      </x:c>
      <x:c r="I1335" s="2" t="str">
        <x:v>とうぎ</x:v>
      </x:c>
      <x:c r="J1335" s="8" t="str">
        <x:v>토론, 논의</x:v>
      </x:c>
      <x:c r="K1335" s="2" t="str">
        <x:v>noun</x:v>
      </x:c>
      <x:c r="L1335" s="9" t="n">
        <x:v>3.14</x:v>
      </x:c>
      <x:c r="M1335" s="2" t="str">
        <x:v>없음</x:v>
      </x:c>
      <x:c r="N1335" s="11" t="n">
        <x:v>-8</x:v>
      </x:c>
      <x:c r="O1335" s="8" t="str">
        <x:v>일반 사용 빈도 보통 이하(Zipf ≤ 3.5); 검증된 예문 없음; 기존 데이터의 한국어 콘텐츠 보강 필요 태그</x:v>
      </x:c>
      <x:c r="P1335" s="8" t="str">
        <x:v>frequency_le_3_5,no_example,weak_legacy_content</x:v>
      </x:c>
      <x:c r="Q1335" s="2" t="str"/>
      <x:c r="R1335" s="2" t="str"/>
      <x:c r="S1335" s="2" t="str"/>
      <x:c r="T1335" s="2" t="str"/>
      <x:c r="U1335" s="2" t="str"/>
      <x:c r="V1335" s="2" t="str">
        <x:v>아니오</x:v>
      </x:c>
      <x:c r="W1335" s="2" t="str">
        <x:v>예</x:v>
      </x:c>
      <x:c r="X1335" s="2" t="str">
        <x:v>ichi1,news1,nf06</x:v>
      </x:c>
      <x:c r="Y1335" s="2" t="n">
        <x:v>100</x:v>
      </x:c>
      <x:c r="Z1335" s="2" t="str">
        <x:v>ichi1,news1,nf06</x:v>
      </x:c>
      <x:c r="AA1335" s="2" t="n">
        <x:v>100</x:v>
      </x:c>
      <x:c r="AB1335" s="8" t="str"/>
      <x:c r="AC1335" s="8" t="str"/>
      <x:c r="AD1335" s="8" t="str">
        <x:v>["draft-ko-missing"]</x:v>
      </x:c>
      <x:c r="AE1335" s="8" t="str">
        <x:v>검토 필요</x:v>
      </x:c>
      <x:c r="AF1335" s="8" t="str"/>
    </x:row>
    <x:row r="1336">
      <x:c r="A1336" s="10" t="n">
        <x:v>1335</x:v>
      </x:c>
      <x:c r="B1336" s="2" t="str">
        <x:v>2차 보류</x:v>
      </x:c>
      <x:c r="C1336" s="2" t="str">
        <x:v>2차 보류</x:v>
      </x:c>
      <x:c r="D1336" s="2" t="str">
        <x:v>낮음</x:v>
      </x:c>
      <x:c r="E1336" s="2" t="str">
        <x:v>N1</x:v>
      </x:c>
      <x:c r="F1336" s="10" t="n">
        <x:v>586</x:v>
      </x:c>
      <x:c r="G1336" s="2" t="str">
        <x:v>w_394086b0b5f607b0</x:v>
      </x:c>
      <x:c r="H1336" s="2" t="str">
        <x:v>種々</x:v>
      </x:c>
      <x:c r="I1336" s="2" t="str">
        <x:v>しゅじゅ</x:v>
      </x:c>
      <x:c r="J1336" s="8" t="str">
        <x:v>여러 가지, 갖가지</x:v>
      </x:c>
      <x:c r="K1336" s="2" t="str">
        <x:v>adjective</x:v>
      </x:c>
      <x:c r="L1336" s="9" t="n">
        <x:v>3.14</x:v>
      </x:c>
      <x:c r="M1336" s="2" t="str">
        <x:v>없음</x:v>
      </x:c>
      <x:c r="N1336" s="11" t="n">
        <x:v>-8</x:v>
      </x:c>
      <x:c r="O1336" s="8" t="str">
        <x:v>일반 사용 빈도 보통 이하(Zipf ≤ 3.5); 검증된 예문 없음; 기존 데이터의 한국어 콘텐츠 보강 필요 태그</x:v>
      </x:c>
      <x:c r="P1336" s="8" t="str">
        <x:v>frequency_le_3_5,no_example,weak_legacy_content</x:v>
      </x:c>
      <x:c r="Q1336" s="2" t="str"/>
      <x:c r="R1336" s="2" t="str"/>
      <x:c r="S1336" s="2" t="str"/>
      <x:c r="T1336" s="2" t="str"/>
      <x:c r="U1336" s="2" t="str"/>
      <x:c r="V1336" s="2" t="str">
        <x:v>아니오</x:v>
      </x:c>
      <x:c r="W1336" s="2" t="str">
        <x:v>예</x:v>
      </x:c>
      <x:c r="X1336" s="2" t="str">
        <x:v>ichi1,news1,nf17</x:v>
      </x:c>
      <x:c r="Y1336" s="2" t="n">
        <x:v>100</x:v>
      </x:c>
      <x:c r="Z1336" s="2" t="str">
        <x:v>ichi1,news1,nf17</x:v>
      </x:c>
      <x:c r="AA1336" s="2" t="n">
        <x:v>100</x:v>
      </x:c>
      <x:c r="AB1336" s="8" t="str"/>
      <x:c r="AC1336" s="8" t="str"/>
      <x:c r="AD1336" s="8" t="str">
        <x:v>["draft-ko-missing"]</x:v>
      </x:c>
      <x:c r="AE1336" s="8" t="str">
        <x:v>검토 필요</x:v>
      </x:c>
      <x:c r="AF1336" s="8" t="str"/>
    </x:row>
    <x:row r="1337">
      <x:c r="A1337" s="10" t="n">
        <x:v>1336</x:v>
      </x:c>
      <x:c r="B1337" s="2" t="str">
        <x:v>2차 보류</x:v>
      </x:c>
      <x:c r="C1337" s="2" t="str">
        <x:v>2차 보류</x:v>
      </x:c>
      <x:c r="D1337" s="2" t="str">
        <x:v>낮음</x:v>
      </x:c>
      <x:c r="E1337" s="2" t="str">
        <x:v>N1</x:v>
      </x:c>
      <x:c r="F1337" s="10" t="n">
        <x:v>587</x:v>
      </x:c>
      <x:c r="G1337" s="2" t="str">
        <x:v>w_49bb1afcb7859161</x:v>
      </x:c>
      <x:c r="H1337" s="2" t="str">
        <x:v>組み込む</x:v>
      </x:c>
      <x:c r="I1337" s="2" t="str">
        <x:v>くみこむ</x:v>
      </x:c>
      <x:c r="J1337" s="8" t="str">
        <x:v>짜 넣다, 포함시키다</x:v>
      </x:c>
      <x:c r="K1337" s="2" t="str">
        <x:v>verb</x:v>
      </x:c>
      <x:c r="L1337" s="9" t="n">
        <x:v>3.15</x:v>
      </x:c>
      <x:c r="M1337" s="2" t="str">
        <x:v>없음</x:v>
      </x:c>
      <x:c r="N1337" s="11" t="n">
        <x:v>-8</x:v>
      </x:c>
      <x:c r="O1337" s="8" t="str">
        <x:v>일반 사용 빈도 보통 이하(Zipf ≤ 3.5); 검증된 예문 없음; 기존 데이터의 한국어 콘텐츠 보강 필요 태그</x:v>
      </x:c>
      <x:c r="P1337" s="8" t="str">
        <x:v>frequency_le_3_5,no_example,weak_legacy_content</x:v>
      </x:c>
      <x:c r="Q1337" s="2" t="str"/>
      <x:c r="R1337" s="2" t="str"/>
      <x:c r="S1337" s="2" t="str"/>
      <x:c r="T1337" s="2" t="str"/>
      <x:c r="U1337" s="2" t="str"/>
      <x:c r="V1337" s="2" t="str">
        <x:v>아니오</x:v>
      </x:c>
      <x:c r="W1337" s="2" t="str">
        <x:v>예</x:v>
      </x:c>
      <x:c r="X1337" s="2" t="str">
        <x:v>ichi1,news1,nf12</x:v>
      </x:c>
      <x:c r="Y1337" s="2" t="n">
        <x:v>100</x:v>
      </x:c>
      <x:c r="Z1337" s="2" t="str">
        <x:v>ichi1,news1,nf12</x:v>
      </x:c>
      <x:c r="AA1337" s="2" t="n">
        <x:v>100</x:v>
      </x:c>
      <x:c r="AB1337" s="8" t="str"/>
      <x:c r="AC1337" s="8" t="str"/>
      <x:c r="AD1337" s="8" t="str">
        <x:v>["draft-ko-missing"]</x:v>
      </x:c>
      <x:c r="AE1337" s="8" t="str">
        <x:v>검토 필요</x:v>
      </x:c>
      <x:c r="AF1337" s="8" t="str"/>
    </x:row>
    <x:row r="1338">
      <x:c r="A1338" s="10" t="n">
        <x:v>1337</x:v>
      </x:c>
      <x:c r="B1338" s="2" t="str">
        <x:v>2차 보류</x:v>
      </x:c>
      <x:c r="C1338" s="2" t="str">
        <x:v>2차 보류</x:v>
      </x:c>
      <x:c r="D1338" s="2" t="str">
        <x:v>낮음</x:v>
      </x:c>
      <x:c r="E1338" s="2" t="str">
        <x:v>N1</x:v>
      </x:c>
      <x:c r="F1338" s="10" t="n">
        <x:v>588</x:v>
      </x:c>
      <x:c r="G1338" s="2" t="str">
        <x:v>w_66161e64a1fedd91</x:v>
      </x:c>
      <x:c r="H1338" s="2" t="str">
        <x:v>前置き</x:v>
      </x:c>
      <x:c r="I1338" s="2" t="str">
        <x:v>まえおき</x:v>
      </x:c>
      <x:c r="J1338" s="8" t="str">
        <x:v>서두, 머리말</x:v>
      </x:c>
      <x:c r="K1338" s="2" t="str">
        <x:v>noun</x:v>
      </x:c>
      <x:c r="L1338" s="9" t="n">
        <x:v>3.15</x:v>
      </x:c>
      <x:c r="M1338" s="2" t="str">
        <x:v>없음</x:v>
      </x:c>
      <x:c r="N1338" s="11" t="n">
        <x:v>-8</x:v>
      </x:c>
      <x:c r="O1338" s="8" t="str">
        <x:v>일반 사용 빈도 보통 이하(Zipf ≤ 3.5); 검증된 예문 없음; 기존 데이터의 한국어 콘텐츠 보강 필요 태그</x:v>
      </x:c>
      <x:c r="P1338" s="8" t="str">
        <x:v>frequency_le_3_5,no_example,weak_legacy_content</x:v>
      </x:c>
      <x:c r="Q1338" s="2" t="str"/>
      <x:c r="R1338" s="2" t="str"/>
      <x:c r="S1338" s="2" t="str"/>
      <x:c r="T1338" s="2" t="str"/>
      <x:c r="U1338" s="2" t="str"/>
      <x:c r="V1338" s="2" t="str">
        <x:v>아니오</x:v>
      </x:c>
      <x:c r="W1338" s="2" t="str">
        <x:v>예</x:v>
      </x:c>
      <x:c r="X1338" s="2" t="str">
        <x:v>ichi1,news2,nf43</x:v>
      </x:c>
      <x:c r="Y1338" s="2" t="n">
        <x:v>100</x:v>
      </x:c>
      <x:c r="Z1338" s="2" t="str">
        <x:v>ichi1,news2,nf43</x:v>
      </x:c>
      <x:c r="AA1338" s="2" t="n">
        <x:v>100</x:v>
      </x:c>
      <x:c r="AB1338" s="8" t="str"/>
      <x:c r="AC1338" s="8" t="str"/>
      <x:c r="AD1338" s="8" t="str">
        <x:v>["draft-ko-missing"]</x:v>
      </x:c>
      <x:c r="AE1338" s="8" t="str">
        <x:v>검토 필요</x:v>
      </x:c>
      <x:c r="AF1338" s="8" t="str"/>
    </x:row>
    <x:row r="1339">
      <x:c r="A1339" s="10" t="n">
        <x:v>1338</x:v>
      </x:c>
      <x:c r="B1339" s="2" t="str">
        <x:v>2차 보류</x:v>
      </x:c>
      <x:c r="C1339" s="2" t="str">
        <x:v>2차 보류</x:v>
      </x:c>
      <x:c r="D1339" s="2" t="str">
        <x:v>낮음</x:v>
      </x:c>
      <x:c r="E1339" s="2" t="str">
        <x:v>N1</x:v>
      </x:c>
      <x:c r="F1339" s="10" t="n">
        <x:v>589</x:v>
      </x:c>
      <x:c r="G1339" s="2" t="str">
        <x:v>w_77072cf78322487c</x:v>
      </x:c>
      <x:c r="H1339" s="2" t="str">
        <x:v>信任</x:v>
      </x:c>
      <x:c r="I1339" s="2" t="str">
        <x:v>しんにん</x:v>
      </x:c>
      <x:c r="J1339" s="8" t="str">
        <x:v>신임</x:v>
      </x:c>
      <x:c r="K1339" s="2" t="str">
        <x:v>noun</x:v>
      </x:c>
      <x:c r="L1339" s="9" t="n">
        <x:v>3.15</x:v>
      </x:c>
      <x:c r="M1339" s="2" t="str">
        <x:v>없음</x:v>
      </x:c>
      <x:c r="N1339" s="11" t="n">
        <x:v>-8</x:v>
      </x:c>
      <x:c r="O1339" s="8" t="str">
        <x:v>일반 사용 빈도 보통 이하(Zipf ≤ 3.5); 검증된 예문 없음; 기존 데이터의 한국어 콘텐츠 보강 필요 태그</x:v>
      </x:c>
      <x:c r="P1339" s="8" t="str">
        <x:v>frequency_le_3_5,no_example,weak_legacy_content</x:v>
      </x:c>
      <x:c r="Q1339" s="2" t="str"/>
      <x:c r="R1339" s="2" t="str"/>
      <x:c r="S1339" s="2" t="str"/>
      <x:c r="T1339" s="2" t="str"/>
      <x:c r="U1339" s="2" t="str"/>
      <x:c r="V1339" s="2" t="str">
        <x:v>아니오</x:v>
      </x:c>
      <x:c r="W1339" s="2" t="str">
        <x:v>예</x:v>
      </x:c>
      <x:c r="X1339" s="2" t="str">
        <x:v>news1,nf09</x:v>
      </x:c>
      <x:c r="Y1339" s="2" t="n">
        <x:v>100</x:v>
      </x:c>
      <x:c r="Z1339" s="2" t="str">
        <x:v>news1,nf09</x:v>
      </x:c>
      <x:c r="AA1339" s="2" t="n">
        <x:v>100</x:v>
      </x:c>
      <x:c r="AB1339" s="8" t="str"/>
      <x:c r="AC1339" s="8" t="str"/>
      <x:c r="AD1339" s="8" t="str">
        <x:v>["draft-ko-missing"]</x:v>
      </x:c>
      <x:c r="AE1339" s="8" t="str">
        <x:v>검토 필요</x:v>
      </x:c>
      <x:c r="AF1339" s="8" t="str"/>
    </x:row>
    <x:row r="1340">
      <x:c r="A1340" s="10" t="n">
        <x:v>1339</x:v>
      </x:c>
      <x:c r="B1340" s="2" t="str">
        <x:v>2차 보류</x:v>
      </x:c>
      <x:c r="C1340" s="2" t="str">
        <x:v>2차 보류</x:v>
      </x:c>
      <x:c r="D1340" s="2" t="str">
        <x:v>낮음</x:v>
      </x:c>
      <x:c r="E1340" s="2" t="str">
        <x:v>N1</x:v>
      </x:c>
      <x:c r="F1340" s="10" t="n">
        <x:v>590</x:v>
      </x:c>
      <x:c r="G1340" s="2" t="str">
        <x:v>w_ca370c968ccf44ee</x:v>
      </x:c>
      <x:c r="H1340" s="2" t="str">
        <x:v>屈折</x:v>
      </x:c>
      <x:c r="I1340" s="2" t="str">
        <x:v>くっせつ</x:v>
      </x:c>
      <x:c r="J1340" s="8" t="str">
        <x:v>굴절</x:v>
      </x:c>
      <x:c r="K1340" s="2" t="str">
        <x:v>noun</x:v>
      </x:c>
      <x:c r="L1340" s="9" t="n">
        <x:v>3.15</x:v>
      </x:c>
      <x:c r="M1340" s="2" t="str">
        <x:v>없음</x:v>
      </x:c>
      <x:c r="N1340" s="11" t="n">
        <x:v>-8</x:v>
      </x:c>
      <x:c r="O1340" s="8" t="str">
        <x:v>일반 사용 빈도 보통 이하(Zipf ≤ 3.5); 검증된 예문 없음; 기존 데이터의 한국어 콘텐츠 보강 필요 태그</x:v>
      </x:c>
      <x:c r="P1340" s="8" t="str">
        <x:v>frequency_le_3_5,no_example,weak_legacy_content</x:v>
      </x:c>
      <x:c r="Q1340" s="2" t="str"/>
      <x:c r="R1340" s="2" t="str"/>
      <x:c r="S1340" s="2" t="str"/>
      <x:c r="T1340" s="2" t="str"/>
      <x:c r="U1340" s="2" t="str"/>
      <x:c r="V1340" s="2" t="str">
        <x:v>아니오</x:v>
      </x:c>
      <x:c r="W1340" s="2" t="str">
        <x:v>예</x:v>
      </x:c>
      <x:c r="X1340" s="2" t="str">
        <x:v>ichi1,news2,nf33</x:v>
      </x:c>
      <x:c r="Y1340" s="2" t="n">
        <x:v>100</x:v>
      </x:c>
      <x:c r="Z1340" s="2" t="str">
        <x:v>ichi1,news2,nf33</x:v>
      </x:c>
      <x:c r="AA1340" s="2" t="n">
        <x:v>100</x:v>
      </x:c>
      <x:c r="AB1340" s="8" t="str"/>
      <x:c r="AC1340" s="8" t="str"/>
      <x:c r="AD1340" s="8" t="str">
        <x:v>["draft-ko-missing"]</x:v>
      </x:c>
      <x:c r="AE1340" s="8" t="str">
        <x:v>검토 필요</x:v>
      </x:c>
      <x:c r="AF1340" s="8" t="str"/>
    </x:row>
    <x:row r="1341">
      <x:c r="A1341" s="10" t="n">
        <x:v>1340</x:v>
      </x:c>
      <x:c r="B1341" s="2" t="str">
        <x:v>2차 보류</x:v>
      </x:c>
      <x:c r="C1341" s="2" t="str">
        <x:v>2차 보류</x:v>
      </x:c>
      <x:c r="D1341" s="2" t="str">
        <x:v>낮음</x:v>
      </x:c>
      <x:c r="E1341" s="2" t="str">
        <x:v>N2</x:v>
      </x:c>
      <x:c r="F1341" s="10" t="n">
        <x:v>498</x:v>
      </x:c>
      <x:c r="G1341" s="2" t="str">
        <x:v>w_ae85dbaaa55f38f2</x:v>
      </x:c>
      <x:c r="H1341" s="2" t="str">
        <x:v>山林</x:v>
      </x:c>
      <x:c r="I1341" s="2" t="str">
        <x:v>さんりん</x:v>
      </x:c>
      <x:c r="J1341" s="8" t="str">
        <x:v>산 숲</x:v>
      </x:c>
      <x:c r="K1341" s="2" t="str">
        <x:v>noun</x:v>
      </x:c>
      <x:c r="L1341" s="9" t="n">
        <x:v>3.16</x:v>
      </x:c>
      <x:c r="M1341" s="2" t="str">
        <x:v>없음</x:v>
      </x:c>
      <x:c r="N1341" s="11" t="n">
        <x:v>-8</x:v>
      </x:c>
      <x:c r="O1341" s="8" t="str">
        <x:v>일반 사용 빈도 보통 이하(Zipf ≤ 3.5); 검증된 예문 없음; 기존 데이터의 한국어 콘텐츠 보강 필요 태그</x:v>
      </x:c>
      <x:c r="P1341" s="8" t="str">
        <x:v>frequency_le_3_5,no_example,weak_legacy_content</x:v>
      </x:c>
      <x:c r="Q1341" s="2" t="str"/>
      <x:c r="R1341" s="2" t="str"/>
      <x:c r="S1341" s="2" t="str"/>
      <x:c r="T1341" s="2" t="str"/>
      <x:c r="U1341" s="2" t="str"/>
      <x:c r="V1341" s="2" t="str">
        <x:v>아니오</x:v>
      </x:c>
      <x:c r="W1341" s="2" t="str">
        <x:v>예</x:v>
      </x:c>
      <x:c r="X1341" s="2" t="str">
        <x:v>ichi1,news1,nf12</x:v>
      </x:c>
      <x:c r="Y1341" s="2" t="n">
        <x:v>100</x:v>
      </x:c>
      <x:c r="Z1341" s="2" t="str">
        <x:v>ichi1,news1,nf12</x:v>
      </x:c>
      <x:c r="AA1341" s="2" t="n">
        <x:v>100</x:v>
      </x:c>
      <x:c r="AB1341" s="8" t="str"/>
      <x:c r="AC1341" s="8" t="str"/>
      <x:c r="AD1341" s="8" t="str">
        <x:v>["draft-ko-missing"]</x:v>
      </x:c>
      <x:c r="AE1341" s="8" t="str">
        <x:v>검토 필요</x:v>
      </x:c>
      <x:c r="AF1341" s="8" t="str"/>
    </x:row>
    <x:row r="1342">
      <x:c r="A1342" s="10" t="n">
        <x:v>1341</x:v>
      </x:c>
      <x:c r="B1342" s="2" t="str">
        <x:v>2차 보류</x:v>
      </x:c>
      <x:c r="C1342" s="2" t="str">
        <x:v>2차 보류</x:v>
      </x:c>
      <x:c r="D1342" s="2" t="str">
        <x:v>낮음</x:v>
      </x:c>
      <x:c r="E1342" s="2" t="str">
        <x:v>N2</x:v>
      </x:c>
      <x:c r="F1342" s="10" t="n">
        <x:v>499</x:v>
      </x:c>
      <x:c r="G1342" s="2" t="str">
        <x:v>w_e73ffdf2b5edcf51</x:v>
      </x:c>
      <x:c r="H1342" s="2" t="str">
        <x:v>絵の具</x:v>
      </x:c>
      <x:c r="I1342" s="2" t="str">
        <x:v>えのぐ</x:v>
      </x:c>
      <x:c r="J1342" s="8" t="str">
        <x:v>그림물감</x:v>
      </x:c>
      <x:c r="K1342" s="2" t="str">
        <x:v>noun</x:v>
      </x:c>
      <x:c r="L1342" s="9" t="n">
        <x:v>3.16</x:v>
      </x:c>
      <x:c r="M1342" s="2" t="str">
        <x:v>없음</x:v>
      </x:c>
      <x:c r="N1342" s="11" t="n">
        <x:v>-8</x:v>
      </x:c>
      <x:c r="O1342" s="8" t="str">
        <x:v>일반 사용 빈도 보통 이하(Zipf ≤ 3.5); 검증된 예문 없음; 기존 데이터의 한국어 콘텐츠 보강 필요 태그</x:v>
      </x:c>
      <x:c r="P1342" s="8" t="str">
        <x:v>frequency_le_3_5,no_example,weak_legacy_content</x:v>
      </x:c>
      <x:c r="Q1342" s="2" t="str"/>
      <x:c r="R1342" s="2" t="str"/>
      <x:c r="S1342" s="2" t="str"/>
      <x:c r="T1342" s="2" t="str"/>
      <x:c r="U1342" s="2" t="str"/>
      <x:c r="V1342" s="2" t="str">
        <x:v>아니오</x:v>
      </x:c>
      <x:c r="W1342" s="2" t="str">
        <x:v>예</x:v>
      </x:c>
      <x:c r="X1342" s="2" t="str">
        <x:v>ichi1,news1,nf16</x:v>
      </x:c>
      <x:c r="Y1342" s="2" t="n">
        <x:v>100</x:v>
      </x:c>
      <x:c r="Z1342" s="2" t="str">
        <x:v>ichi1,news1,nf16</x:v>
      </x:c>
      <x:c r="AA1342" s="2" t="n">
        <x:v>100</x:v>
      </x:c>
      <x:c r="AB1342" s="8" t="str"/>
      <x:c r="AC1342" s="8" t="str"/>
      <x:c r="AD1342" s="8" t="str">
        <x:v>["draft-ko-missing"]</x:v>
      </x:c>
      <x:c r="AE1342" s="8" t="str">
        <x:v>검토 필요</x:v>
      </x:c>
      <x:c r="AF1342" s="8" t="str"/>
    </x:row>
    <x:row r="1343">
      <x:c r="A1343" s="10" t="n">
        <x:v>1342</x:v>
      </x:c>
      <x:c r="B1343" s="2" t="str">
        <x:v>2차 보류</x:v>
      </x:c>
      <x:c r="C1343" s="2" t="str">
        <x:v>2차 보류</x:v>
      </x:c>
      <x:c r="D1343" s="2" t="str">
        <x:v>낮음</x:v>
      </x:c>
      <x:c r="E1343" s="2" t="str">
        <x:v>N1</x:v>
      </x:c>
      <x:c r="F1343" s="10" t="n">
        <x:v>591</x:v>
      </x:c>
      <x:c r="G1343" s="2" t="str">
        <x:v>w_1acc9dd872e06a4d</x:v>
      </x:c>
      <x:c r="H1343" s="2" t="str">
        <x:v>病む</x:v>
      </x:c>
      <x:c r="I1343" s="2" t="str">
        <x:v>やむ</x:v>
      </x:c>
      <x:c r="J1343" s="8" t="str">
        <x:v>병들다, 앓다</x:v>
      </x:c>
      <x:c r="K1343" s="2" t="str">
        <x:v>verb</x:v>
      </x:c>
      <x:c r="L1343" s="9" t="n">
        <x:v>3.16</x:v>
      </x:c>
      <x:c r="M1343" s="2" t="str">
        <x:v>없음</x:v>
      </x:c>
      <x:c r="N1343" s="11" t="n">
        <x:v>-8</x:v>
      </x:c>
      <x:c r="O1343" s="8" t="str">
        <x:v>일반 사용 빈도 보통 이하(Zipf ≤ 3.5); 검증된 예문 없음; 기존 데이터의 한국어 콘텐츠 보강 필요 태그</x:v>
      </x:c>
      <x:c r="P1343" s="8" t="str">
        <x:v>frequency_le_3_5,no_example,weak_legacy_content</x:v>
      </x:c>
      <x:c r="Q1343" s="2" t="str"/>
      <x:c r="R1343" s="2" t="str"/>
      <x:c r="S1343" s="2" t="str"/>
      <x:c r="T1343" s="2" t="str"/>
      <x:c r="U1343" s="2" t="str"/>
      <x:c r="V1343" s="2" t="str">
        <x:v>아니오</x:v>
      </x:c>
      <x:c r="W1343" s="2" t="str">
        <x:v>예</x:v>
      </x:c>
      <x:c r="X1343" s="2" t="str">
        <x:v>ichi1,news2,nf26</x:v>
      </x:c>
      <x:c r="Y1343" s="2" t="n">
        <x:v>100</x:v>
      </x:c>
      <x:c r="Z1343" s="2" t="str">
        <x:v>ichi1,news2,nf26</x:v>
      </x:c>
      <x:c r="AA1343" s="2" t="n">
        <x:v>100</x:v>
      </x:c>
      <x:c r="AB1343" s="8" t="str">
        <x:v>colloquial</x:v>
      </x:c>
      <x:c r="AC1343" s="8" t="str"/>
      <x:c r="AD1343" s="8" t="str">
        <x:v>["draft-ko-missing"]</x:v>
      </x:c>
      <x:c r="AE1343" s="8" t="str">
        <x:v>검토 필요</x:v>
      </x:c>
      <x:c r="AF1343" s="8" t="str"/>
    </x:row>
    <x:row r="1344">
      <x:c r="A1344" s="10" t="n">
        <x:v>1343</x:v>
      </x:c>
      <x:c r="B1344" s="2" t="str">
        <x:v>2차 보류</x:v>
      </x:c>
      <x:c r="C1344" s="2" t="str">
        <x:v>2차 보류</x:v>
      </x:c>
      <x:c r="D1344" s="2" t="str">
        <x:v>낮음</x:v>
      </x:c>
      <x:c r="E1344" s="2" t="str">
        <x:v>N1</x:v>
      </x:c>
      <x:c r="F1344" s="10" t="n">
        <x:v>592</x:v>
      </x:c>
      <x:c r="G1344" s="2" t="str">
        <x:v>w_5ae440548476d253</x:v>
      </x:c>
      <x:c r="H1344" s="2" t="str">
        <x:v>田園</x:v>
      </x:c>
      <x:c r="I1344" s="2" t="str">
        <x:v>でんえん</x:v>
      </x:c>
      <x:c r="J1344" s="8" t="str">
        <x:v>전원, 시골</x:v>
      </x:c>
      <x:c r="K1344" s="2" t="str">
        <x:v>noun</x:v>
      </x:c>
      <x:c r="L1344" s="9" t="n">
        <x:v>3.16</x:v>
      </x:c>
      <x:c r="M1344" s="2" t="str">
        <x:v>없음</x:v>
      </x:c>
      <x:c r="N1344" s="11" t="n">
        <x:v>-8</x:v>
      </x:c>
      <x:c r="O1344" s="8" t="str">
        <x:v>일반 사용 빈도 보통 이하(Zipf ≤ 3.5); 검증된 예문 없음; 기존 데이터의 한국어 콘텐츠 보강 필요 태그</x:v>
      </x:c>
      <x:c r="P1344" s="8" t="str">
        <x:v>frequency_le_3_5,no_example,weak_legacy_content</x:v>
      </x:c>
      <x:c r="Q1344" s="2" t="str"/>
      <x:c r="R1344" s="2" t="str"/>
      <x:c r="S1344" s="2" t="str"/>
      <x:c r="T1344" s="2" t="str"/>
      <x:c r="U1344" s="2" t="str"/>
      <x:c r="V1344" s="2" t="str">
        <x:v>아니오</x:v>
      </x:c>
      <x:c r="W1344" s="2" t="str">
        <x:v>예</x:v>
      </x:c>
      <x:c r="X1344" s="2" t="str">
        <x:v>ichi1,news1,nf11</x:v>
      </x:c>
      <x:c r="Y1344" s="2" t="n">
        <x:v>100</x:v>
      </x:c>
      <x:c r="Z1344" s="2" t="str">
        <x:v>ichi1,news1,nf11</x:v>
      </x:c>
      <x:c r="AA1344" s="2" t="n">
        <x:v>100</x:v>
      </x:c>
      <x:c r="AB1344" s="8" t="str"/>
      <x:c r="AC1344" s="8" t="str"/>
      <x:c r="AD1344" s="8" t="str">
        <x:v>["draft-ko-missing"]</x:v>
      </x:c>
      <x:c r="AE1344" s="8" t="str">
        <x:v>검토 필요</x:v>
      </x:c>
      <x:c r="AF1344" s="8" t="str"/>
    </x:row>
    <x:row r="1345">
      <x:c r="A1345" s="10" t="n">
        <x:v>1344</x:v>
      </x:c>
      <x:c r="B1345" s="2" t="str">
        <x:v>2차 보류</x:v>
      </x:c>
      <x:c r="C1345" s="2" t="str">
        <x:v>2차 보류</x:v>
      </x:c>
      <x:c r="D1345" s="2" t="str">
        <x:v>낮음</x:v>
      </x:c>
      <x:c r="E1345" s="2" t="str">
        <x:v>N3</x:v>
      </x:c>
      <x:c r="F1345" s="10" t="n">
        <x:v>154</x:v>
      </x:c>
      <x:c r="G1345" s="2" t="str">
        <x:v>w_c1e56e687da5a762</x:v>
      </x:c>
      <x:c r="H1345" s="2" t="str">
        <x:v>覚ます</x:v>
      </x:c>
      <x:c r="I1345" s="2" t="str">
        <x:v>さます</x:v>
      </x:c>
      <x:c r="J1345" s="8" t="str">
        <x:v>깨우다, 정신을 차리다</x:v>
      </x:c>
      <x:c r="K1345" s="2" t="str">
        <x:v>verb</x:v>
      </x:c>
      <x:c r="L1345" s="9" t="n">
        <x:v>3.17</x:v>
      </x:c>
      <x:c r="M1345" s="2" t="str">
        <x:v>없음</x:v>
      </x:c>
      <x:c r="N1345" s="11" t="n">
        <x:v>-8</x:v>
      </x:c>
      <x:c r="O1345" s="8" t="str">
        <x:v>일반 사용 빈도 보통 이하(Zipf ≤ 3.5); 검증된 예문 없음; 기존 데이터의 한국어 콘텐츠 보강 필요 태그</x:v>
      </x:c>
      <x:c r="P1345" s="8" t="str">
        <x:v>frequency_le_3_5,no_example,weak_legacy_content</x:v>
      </x:c>
      <x:c r="Q1345" s="2" t="str"/>
      <x:c r="R1345" s="2" t="str"/>
      <x:c r="S1345" s="2" t="str"/>
      <x:c r="T1345" s="2" t="str"/>
      <x:c r="U1345" s="2" t="str"/>
      <x:c r="V1345" s="2" t="str">
        <x:v>아니오</x:v>
      </x:c>
      <x:c r="W1345" s="2" t="str">
        <x:v>예</x:v>
      </x:c>
      <x:c r="X1345" s="2" t="str">
        <x:v>ichi1,news2,nf43</x:v>
      </x:c>
      <x:c r="Y1345" s="2" t="n">
        <x:v>100</x:v>
      </x:c>
      <x:c r="Z1345" s="2" t="str">
        <x:v>ichi1,news2,nf43</x:v>
      </x:c>
      <x:c r="AA1345" s="2" t="n">
        <x:v>100</x:v>
      </x:c>
      <x:c r="AB1345" s="8" t="str"/>
      <x:c r="AC1345" s="8" t="str"/>
      <x:c r="AD1345" s="8" t="str">
        <x:v>["draft-ko-missing"]</x:v>
      </x:c>
      <x:c r="AE1345" s="8" t="str">
        <x:v>검토 필요</x:v>
      </x:c>
      <x:c r="AF1345" s="8" t="str"/>
    </x:row>
    <x:row r="1346">
      <x:c r="A1346" s="10" t="n">
        <x:v>1345</x:v>
      </x:c>
      <x:c r="B1346" s="2" t="str">
        <x:v>2차 보류</x:v>
      </x:c>
      <x:c r="C1346" s="2" t="str">
        <x:v>2차 보류</x:v>
      </x:c>
      <x:c r="D1346" s="2" t="str">
        <x:v>낮음</x:v>
      </x:c>
      <x:c r="E1346" s="2" t="str">
        <x:v>N2</x:v>
      </x:c>
      <x:c r="F1346" s="10" t="n">
        <x:v>500</x:v>
      </x:c>
      <x:c r="G1346" s="2" t="str">
        <x:v>w_526984765e2b6c63</x:v>
      </x:c>
      <x:c r="H1346" s="2" t="str">
        <x:v>送別</x:v>
      </x:c>
      <x:c r="I1346" s="2" t="str">
        <x:v>そうべつ</x:v>
      </x:c>
      <x:c r="J1346" s="8" t="str">
        <x:v>송별</x:v>
      </x:c>
      <x:c r="K1346" s="2" t="str">
        <x:v>noun</x:v>
      </x:c>
      <x:c r="L1346" s="9" t="n">
        <x:v>3.17</x:v>
      </x:c>
      <x:c r="M1346" s="2" t="str">
        <x:v>없음</x:v>
      </x:c>
      <x:c r="N1346" s="11" t="n">
        <x:v>-8</x:v>
      </x:c>
      <x:c r="O1346" s="8" t="str">
        <x:v>일반 사용 빈도 보통 이하(Zipf ≤ 3.5); 검증된 예문 없음; 기존 데이터의 한국어 콘텐츠 보강 필요 태그</x:v>
      </x:c>
      <x:c r="P1346" s="8" t="str">
        <x:v>frequency_le_3_5,no_example,weak_legacy_content</x:v>
      </x:c>
      <x:c r="Q1346" s="2" t="str"/>
      <x:c r="R1346" s="2" t="str"/>
      <x:c r="S1346" s="2" t="str"/>
      <x:c r="T1346" s="2" t="str"/>
      <x:c r="U1346" s="2" t="str"/>
      <x:c r="V1346" s="2" t="str">
        <x:v>아니오</x:v>
      </x:c>
      <x:c r="W1346" s="2" t="str">
        <x:v>예</x:v>
      </x:c>
      <x:c r="X1346" s="2" t="str">
        <x:v>ichi1,news2,nf28</x:v>
      </x:c>
      <x:c r="Y1346" s="2" t="n">
        <x:v>100</x:v>
      </x:c>
      <x:c r="Z1346" s="2" t="str">
        <x:v>ichi1,news2,nf28</x:v>
      </x:c>
      <x:c r="AA1346" s="2" t="n">
        <x:v>100</x:v>
      </x:c>
      <x:c r="AB1346" s="8" t="str"/>
      <x:c r="AC1346" s="8" t="str"/>
      <x:c r="AD1346" s="8" t="str">
        <x:v>["draft-ko-missing"]</x:v>
      </x:c>
      <x:c r="AE1346" s="8" t="str">
        <x:v>검토 필요</x:v>
      </x:c>
      <x:c r="AF1346" s="8" t="str"/>
    </x:row>
    <x:row r="1347">
      <x:c r="A1347" s="10" t="n">
        <x:v>1346</x:v>
      </x:c>
      <x:c r="B1347" s="2" t="str">
        <x:v>2차 보류</x:v>
      </x:c>
      <x:c r="C1347" s="2" t="str">
        <x:v>2차 보류</x:v>
      </x:c>
      <x:c r="D1347" s="2" t="str">
        <x:v>낮음</x:v>
      </x:c>
      <x:c r="E1347" s="2" t="str">
        <x:v>N2</x:v>
      </x:c>
      <x:c r="F1347" s="10" t="n">
        <x:v>501</x:v>
      </x:c>
      <x:c r="G1347" s="2" t="str">
        <x:v>w_634085b8ca61db50</x:v>
      </x:c>
      <x:c r="H1347" s="2" t="str">
        <x:v>不潔</x:v>
      </x:c>
      <x:c r="I1347" s="2" t="str">
        <x:v>ふけつ</x:v>
      </x:c>
      <x:c r="J1347" s="8" t="str">
        <x:v>불결함</x:v>
      </x:c>
      <x:c r="K1347" s="2" t="str">
        <x:v>adjective</x:v>
      </x:c>
      <x:c r="L1347" s="9" t="n">
        <x:v>3.17</x:v>
      </x:c>
      <x:c r="M1347" s="2" t="str">
        <x:v>없음</x:v>
      </x:c>
      <x:c r="N1347" s="11" t="n">
        <x:v>-8</x:v>
      </x:c>
      <x:c r="O1347" s="8" t="str">
        <x:v>일반 사용 빈도 보통 이하(Zipf ≤ 3.5); 검증된 예문 없음; 기존 데이터의 한국어 콘텐츠 보강 필요 태그</x:v>
      </x:c>
      <x:c r="P1347" s="8" t="str">
        <x:v>frequency_le_3_5,no_example,weak_legacy_content</x:v>
      </x:c>
      <x:c r="Q1347" s="2" t="str"/>
      <x:c r="R1347" s="2" t="str"/>
      <x:c r="S1347" s="2" t="str"/>
      <x:c r="T1347" s="2" t="str"/>
      <x:c r="U1347" s="2" t="str"/>
      <x:c r="V1347" s="2" t="str">
        <x:v>아니오</x:v>
      </x:c>
      <x:c r="W1347" s="2" t="str">
        <x:v>예</x:v>
      </x:c>
      <x:c r="X1347" s="2" t="str">
        <x:v>ichi1,news2,nf30</x:v>
      </x:c>
      <x:c r="Y1347" s="2" t="n">
        <x:v>100</x:v>
      </x:c>
      <x:c r="Z1347" s="2" t="str">
        <x:v>ichi1,news2,nf30</x:v>
      </x:c>
      <x:c r="AA1347" s="2" t="n">
        <x:v>100</x:v>
      </x:c>
      <x:c r="AB1347" s="8" t="str"/>
      <x:c r="AC1347" s="8" t="str"/>
      <x:c r="AD1347" s="8" t="str">
        <x:v>["draft-ko-missing"]</x:v>
      </x:c>
      <x:c r="AE1347" s="8" t="str">
        <x:v>검토 필요</x:v>
      </x:c>
      <x:c r="AF1347" s="8" t="str"/>
    </x:row>
  </x:sheetData>
  <x:conditionalFormatting sqref="B2:B1347">
    <x:cfRule type="containsText" dxfId="0" priority="1" operator="containsText" text="1차 제외 추천"/>
    <x:cfRule type="containsText" dxfId="1" priority="2" operator="containsText" text="1차 검토 후보"/>
    <x:cfRule type="containsText" dxfId="2" priority="3" operator="containsText" text="2차 보류"/>
  </x:conditionalFormatting>
  <x:dataValidations count="1">
    <x:dataValidation type="list" sqref="AE2:AE1347">
      <x:formula1>"검토 필요,제외 확정,유지,표기 교정"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ef7b50a6bb40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22" hidden="0" customWidth="1"/>
    <x:col min="4" max="4" width="18" hidden="0" customWidth="1"/>
    <x:col min="5" max="5" width="18" hidden="0" customWidth="1"/>
    <x:col min="6" max="6" width="14" hidden="0" customWidth="1"/>
    <x:col min="7" max="7" width="13" hidden="0" customWidth="1"/>
    <x:col min="8" max="8" width="12" hidden="0" customWidth="1"/>
    <x:col min="9" max="9" width="22" hidden="0" customWidth="1"/>
    <x:col min="10" max="10" width="10" hidden="0" customWidth="1"/>
    <x:col min="11" max="11" width="18" hidden="0" customWidth="1"/>
    <x:col min="12" max="12" width="18" hidden="0" customWidth="1"/>
    <x:col min="13" max="13" width="36" hidden="0" customWidth="1"/>
    <x:col min="14" max="14" width="11" hidden="0" customWidth="1"/>
    <x:col min="15" max="15" width="12" hidden="0" customWidth="1"/>
    <x:col min="16" max="16" width="12" hidden="0" customWidth="1"/>
  </x:cols>
  <x:sheetData>
    <x:row r="1" ht="32" customHeight="1">
      <x:c r="A1" s="7" t="str">
        <x:v>그룹ID</x:v>
      </x:c>
      <x:c r="B1" s="7" t="str">
        <x:v>관계</x:v>
      </x:c>
      <x:c r="C1" s="7" t="str">
        <x:v>대표단어ID</x:v>
      </x:c>
      <x:c r="D1" s="7" t="str">
        <x:v>대표표기</x:v>
      </x:c>
      <x:c r="E1" s="7" t="str">
        <x:v>대표읽기</x:v>
      </x:c>
      <x:c r="F1" s="7" t="str">
        <x:v>대표가최빈출</x:v>
      </x:c>
      <x:c r="G1" s="7" t="str">
        <x:v>핵심멤버수</x:v>
      </x:c>
      <x:c r="H1" s="7" t="str">
        <x:v>그룹크기</x:v>
      </x:c>
      <x:c r="I1" s="7" t="str">
        <x:v>멤버단어ID</x:v>
      </x:c>
      <x:c r="J1" s="7" t="str">
        <x:v>멤버급수</x:v>
      </x:c>
      <x:c r="K1" s="7" t="str">
        <x:v>멤버표기</x:v>
      </x:c>
      <x:c r="L1" s="7" t="str">
        <x:v>멤버읽기</x:v>
      </x:c>
      <x:c r="M1" s="7" t="str">
        <x:v>멤버뜻</x:v>
      </x:c>
      <x:c r="N1" s="7" t="str">
        <x:v>Zipf빈도</x:v>
      </x:c>
      <x:c r="O1" s="7" t="str">
        <x:v>최빈출핵심</x:v>
      </x:c>
      <x:c r="P1" s="7" t="str">
        <x:v>대표여부</x:v>
      </x:c>
    </x:row>
    <x:row r="2">
      <x:c r="A2" s="2" t="str">
        <x:v>vg_001</x:v>
      </x:c>
      <x:c r="B2" s="2" t="str">
        <x:v>same_jmdict_entry,same_reading_meaning</x:v>
      </x:c>
      <x:c r="C2" s="2" t="str">
        <x:v>w_890b93fece49c035</x:v>
      </x:c>
      <x:c r="D2" s="2" t="str">
        <x:v>間も無く</x:v>
      </x:c>
      <x:c r="E2" s="2" t="str">
        <x:v>まもなく</x:v>
      </x:c>
      <x:c r="F2" s="2" t="str">
        <x:v>아니오</x:v>
      </x:c>
      <x:c r="G2" s="2" t="n">
        <x:v>0</x:v>
      </x:c>
      <x:c r="H2" s="2" t="n">
        <x:v>2</x:v>
      </x:c>
      <x:c r="I2" s="2" t="str">
        <x:v>w_00c99649445717dd</x:v>
      </x:c>
      <x:c r="J2" s="2" t="str">
        <x:v>N2</x:v>
      </x:c>
      <x:c r="K2" s="2" t="str">
        <x:v>間もなく</x:v>
      </x:c>
      <x:c r="L2" s="2" t="str">
        <x:v>まもなく</x:v>
      </x:c>
      <x:c r="M2" s="8" t="str">
        <x:v>머지않아, 곧</x:v>
      </x:c>
      <x:c r="N2" s="9" t="n">
        <x:v>3.91</x:v>
      </x:c>
      <x:c r="O2" s="2" t="str">
        <x:v>아니오</x:v>
      </x:c>
      <x:c r="P2" s="2" t="str">
        <x:v>아니오</x:v>
      </x:c>
    </x:row>
    <x:row r="3">
      <x:c r="A3" s="2" t="str">
        <x:v>vg_001</x:v>
      </x:c>
      <x:c r="B3" s="2" t="str">
        <x:v>same_jmdict_entry,same_reading_meaning</x:v>
      </x:c>
      <x:c r="C3" s="2" t="str">
        <x:v>w_890b93fece49c035</x:v>
      </x:c>
      <x:c r="D3" s="2" t="str">
        <x:v>間も無く</x:v>
      </x:c>
      <x:c r="E3" s="2" t="str">
        <x:v>まもなく</x:v>
      </x:c>
      <x:c r="F3" s="2" t="str">
        <x:v>아니오</x:v>
      </x:c>
      <x:c r="G3" s="2" t="n">
        <x:v>0</x:v>
      </x:c>
      <x:c r="H3" s="2" t="n">
        <x:v>2</x:v>
      </x:c>
      <x:c r="I3" s="2" t="str">
        <x:v>w_890b93fece49c035</x:v>
      </x:c>
      <x:c r="J3" s="2" t="str">
        <x:v>N2</x:v>
      </x:c>
      <x:c r="K3" s="2" t="str">
        <x:v>間も無く</x:v>
      </x:c>
      <x:c r="L3" s="2" t="str">
        <x:v>まもなく</x:v>
      </x:c>
      <x:c r="M3" s="8" t="str">
        <x:v>머지않아, 곧</x:v>
      </x:c>
      <x:c r="N3" s="9" t="n">
        <x:v>4.62</x:v>
      </x:c>
      <x:c r="O3" s="2" t="str">
        <x:v>아니오</x:v>
      </x:c>
      <x:c r="P3" s="2" t="str">
        <x:v>예</x:v>
      </x:c>
    </x:row>
    <x:row r="4">
      <x:c r="A4" s="2" t="str">
        <x:v>vg_002</x:v>
      </x:c>
      <x:c r="B4" s="2" t="str">
        <x:v>same_jmdict_entry</x:v>
      </x:c>
      <x:c r="C4" s="2" t="str">
        <x:v>w_011337c673b66fbe</x:v>
      </x:c>
      <x:c r="D4" s="2" t="str">
        <x:v>日にち</x:v>
      </x:c>
      <x:c r="E4" s="2" t="str">
        <x:v>ひにち</x:v>
      </x:c>
      <x:c r="F4" s="2" t="str">
        <x:v>아니오</x:v>
      </x:c>
      <x:c r="G4" s="2" t="n">
        <x:v>0</x:v>
      </x:c>
      <x:c r="H4" s="2" t="n">
        <x:v>2</x:v>
      </x:c>
      <x:c r="I4" s="2" t="str">
        <x:v>w_011337c673b66fbe</x:v>
      </x:c>
      <x:c r="J4" s="2" t="str">
        <x:v>N2</x:v>
      </x:c>
      <x:c r="K4" s="2" t="str">
        <x:v>日にち</x:v>
      </x:c>
      <x:c r="L4" s="2" t="str">
        <x:v>ひにち</x:v>
      </x:c>
      <x:c r="M4" s="8" t="str">
        <x:v>날짜, 날</x:v>
      </x:c>
      <x:c r="N4" s="9" t="n">
        <x:v>3.44</x:v>
      </x:c>
      <x:c r="O4" s="2" t="str">
        <x:v>아니오</x:v>
      </x:c>
      <x:c r="P4" s="2" t="str">
        <x:v>예</x:v>
      </x:c>
    </x:row>
    <x:row r="5">
      <x:c r="A5" s="2" t="str">
        <x:v>vg_002</x:v>
      </x:c>
      <x:c r="B5" s="2" t="str">
        <x:v>same_jmdict_entry</x:v>
      </x:c>
      <x:c r="C5" s="2" t="str">
        <x:v>w_011337c673b66fbe</x:v>
      </x:c>
      <x:c r="D5" s="2" t="str">
        <x:v>日にち</x:v>
      </x:c>
      <x:c r="E5" s="2" t="str">
        <x:v>ひにち</x:v>
      </x:c>
      <x:c r="F5" s="2" t="str">
        <x:v>아니오</x:v>
      </x:c>
      <x:c r="G5" s="2" t="n">
        <x:v>0</x:v>
      </x:c>
      <x:c r="H5" s="2" t="n">
        <x:v>2</x:v>
      </x:c>
      <x:c r="I5" s="2" t="str">
        <x:v>w_352d0cc63c98463d</x:v>
      </x:c>
      <x:c r="J5" s="2" t="str">
        <x:v>N2</x:v>
      </x:c>
      <x:c r="K5" s="2" t="str">
        <x:v>日日</x:v>
      </x:c>
      <x:c r="L5" s="2" t="str">
        <x:v>ひにち</x:v>
      </x:c>
      <x:c r="M5" s="8" t="str">
        <x:v>날짜</x:v>
      </x:c>
      <x:c r="N5" s="9" t="n">
        <x:v>2.82</x:v>
      </x:c>
      <x:c r="O5" s="2" t="str">
        <x:v>아니오</x:v>
      </x:c>
      <x:c r="P5" s="2" t="str">
        <x:v>아니오</x:v>
      </x:c>
    </x:row>
    <x:row r="6">
      <x:c r="A6" s="2" t="str">
        <x:v>vg_003</x:v>
      </x:c>
      <x:c r="B6" s="2" t="str">
        <x:v>same_jmdict_entry</x:v>
      </x:c>
      <x:c r="C6" s="2" t="str">
        <x:v>w_5c01d31526099a31</x:v>
      </x:c>
      <x:c r="D6" s="2" t="str">
        <x:v>元</x:v>
      </x:c>
      <x:c r="E6" s="2" t="str">
        <x:v>もと</x:v>
      </x:c>
      <x:c r="F6" s="2" t="str">
        <x:v>아니오</x:v>
      </x:c>
      <x:c r="G6" s="2" t="n">
        <x:v>0</x:v>
      </x:c>
      <x:c r="H6" s="2" t="n">
        <x:v>3</x:v>
      </x:c>
      <x:c r="I6" s="2" t="str">
        <x:v>w_016ef21c6de7dbf3</x:v>
      </x:c>
      <x:c r="J6" s="2" t="str">
        <x:v>N3</x:v>
      </x:c>
      <x:c r="K6" s="2" t="str">
        <x:v>素</x:v>
      </x:c>
      <x:c r="L6" s="2" t="str">
        <x:v>もと</x:v>
      </x:c>
      <x:c r="M6" s="8" t="str">
        <x:v>본질, 바탕</x:v>
      </x:c>
      <x:c r="N6" s="9" t="n">
        <x:v>4.37</x:v>
      </x:c>
      <x:c r="O6" s="2" t="str">
        <x:v>아니오</x:v>
      </x:c>
      <x:c r="P6" s="2" t="str">
        <x:v>아니오</x:v>
      </x:c>
    </x:row>
    <x:row r="7">
      <x:c r="A7" s="2" t="str">
        <x:v>vg_003</x:v>
      </x:c>
      <x:c r="B7" s="2" t="str">
        <x:v>same_jmdict_entry</x:v>
      </x:c>
      <x:c r="C7" s="2" t="str">
        <x:v>w_5c01d31526099a31</x:v>
      </x:c>
      <x:c r="D7" s="2" t="str">
        <x:v>元</x:v>
      </x:c>
      <x:c r="E7" s="2" t="str">
        <x:v>もと</x:v>
      </x:c>
      <x:c r="F7" s="2" t="str">
        <x:v>아니오</x:v>
      </x:c>
      <x:c r="G7" s="2" t="n">
        <x:v>0</x:v>
      </x:c>
      <x:c r="H7" s="2" t="n">
        <x:v>3</x:v>
      </x:c>
      <x:c r="I7" s="2" t="str">
        <x:v>w_5c01d31526099a31</x:v>
      </x:c>
      <x:c r="J7" s="2" t="str">
        <x:v>N3</x:v>
      </x:c>
      <x:c r="K7" s="2" t="str">
        <x:v>元</x:v>
      </x:c>
      <x:c r="L7" s="2" t="str">
        <x:v>もと</x:v>
      </x:c>
      <x:c r="M7" s="8" t="str">
        <x:v>근원; 이전, 전(前)</x:v>
      </x:c>
      <x:c r="N7" s="9" t="n">
        <x:v>5.4</x:v>
      </x:c>
      <x:c r="O7" s="2" t="str">
        <x:v>아니오</x:v>
      </x:c>
      <x:c r="P7" s="2" t="str">
        <x:v>예</x:v>
      </x:c>
    </x:row>
    <x:row r="8">
      <x:c r="A8" s="2" t="str">
        <x:v>vg_003</x:v>
      </x:c>
      <x:c r="B8" s="2" t="str">
        <x:v>same_jmdict_entry</x:v>
      </x:c>
      <x:c r="C8" s="2" t="str">
        <x:v>w_5c01d31526099a31</x:v>
      </x:c>
      <x:c r="D8" s="2" t="str">
        <x:v>元</x:v>
      </x:c>
      <x:c r="E8" s="2" t="str">
        <x:v>もと</x:v>
      </x:c>
      <x:c r="F8" s="2" t="str">
        <x:v>아니오</x:v>
      </x:c>
      <x:c r="G8" s="2" t="n">
        <x:v>0</x:v>
      </x:c>
      <x:c r="H8" s="2" t="n">
        <x:v>3</x:v>
      </x:c>
      <x:c r="I8" s="2" t="str">
        <x:v>w_c764decd3f5b167e</x:v>
      </x:c>
      <x:c r="J8" s="2" t="str">
        <x:v>N3</x:v>
      </x:c>
      <x:c r="K8" s="2" t="str">
        <x:v>基</x:v>
      </x:c>
      <x:c r="L8" s="2" t="str">
        <x:v>もと</x:v>
      </x:c>
      <x:c r="M8" s="8" t="str">
        <x:v>기초, 근거</x:v>
      </x:c>
      <x:c r="N8" s="9" t="n">
        <x:v>4.37</x:v>
      </x:c>
      <x:c r="O8" s="2" t="str">
        <x:v>아니오</x:v>
      </x:c>
      <x:c r="P8" s="2" t="str">
        <x:v>아니오</x:v>
      </x:c>
    </x:row>
    <x:row r="9">
      <x:c r="A9" s="2" t="str">
        <x:v>vg_004</x:v>
      </x:c>
      <x:c r="B9" s="2" t="str">
        <x:v>same_jmdict_entry,same_reading_meaning</x:v>
      </x:c>
      <x:c r="C9" s="2" t="str">
        <x:v>w_69c992c9db76a823</x:v>
      </x:c>
      <x:c r="D9" s="2" t="str">
        <x:v>叔父さん</x:v>
      </x:c>
      <x:c r="E9" s="2" t="str">
        <x:v>おじさん</x:v>
      </x:c>
      <x:c r="F9" s="2" t="str">
        <x:v>아니오</x:v>
      </x:c>
      <x:c r="G9" s="2" t="n">
        <x:v>0</x:v>
      </x:c>
      <x:c r="H9" s="2" t="n">
        <x:v>3</x:v>
      </x:c>
      <x:c r="I9" s="2" t="str">
        <x:v>w_01f119facf6e9d97</x:v>
      </x:c>
      <x:c r="J9" s="2" t="str">
        <x:v>N2</x:v>
      </x:c>
      <x:c r="K9" s="2" t="str">
        <x:v>伯父さん</x:v>
      </x:c>
      <x:c r="L9" s="2" t="str">
        <x:v>おじさん</x:v>
      </x:c>
      <x:c r="M9" s="8" t="str">
        <x:v>삼촌, 아저씨</x:v>
      </x:c>
      <x:c r="N9" s="9" t="n">
        <x:v>3.51</x:v>
      </x:c>
      <x:c r="O9" s="2" t="str">
        <x:v>아니오</x:v>
      </x:c>
      <x:c r="P9" s="2" t="str">
        <x:v>아니오</x:v>
      </x:c>
    </x:row>
    <x:row r="10">
      <x:c r="A10" s="2" t="str">
        <x:v>vg_004</x:v>
      </x:c>
      <x:c r="B10" s="2" t="str">
        <x:v>same_jmdict_entry,same_reading_meaning</x:v>
      </x:c>
      <x:c r="C10" s="2" t="str">
        <x:v>w_69c992c9db76a823</x:v>
      </x:c>
      <x:c r="D10" s="2" t="str">
        <x:v>叔父さん</x:v>
      </x:c>
      <x:c r="E10" s="2" t="str">
        <x:v>おじさん</x:v>
      </x:c>
      <x:c r="F10" s="2" t="str">
        <x:v>아니오</x:v>
      </x:c>
      <x:c r="G10" s="2" t="n">
        <x:v>0</x:v>
      </x:c>
      <x:c r="H10" s="2" t="n">
        <x:v>3</x:v>
      </x:c>
      <x:c r="I10" s="2" t="str">
        <x:v>w_69c992c9db76a823</x:v>
      </x:c>
      <x:c r="J10" s="2" t="str">
        <x:v>N5</x:v>
      </x:c>
      <x:c r="K10" s="2" t="str">
        <x:v>叔父さん</x:v>
      </x:c>
      <x:c r="L10" s="2" t="str">
        <x:v>おじさん</x:v>
      </x:c>
      <x:c r="M10" s="8" t="str">
        <x:v>삼촌, 아저씨</x:v>
      </x:c>
      <x:c r="N10" s="9" t="n">
        <x:v>3.17</x:v>
      </x:c>
      <x:c r="O10" s="2" t="str">
        <x:v>아니오</x:v>
      </x:c>
      <x:c r="P10" s="2" t="str">
        <x:v>예</x:v>
      </x:c>
    </x:row>
    <x:row r="11">
      <x:c r="A11" s="2" t="str">
        <x:v>vg_004</x:v>
      </x:c>
      <x:c r="B11" s="2" t="str">
        <x:v>same_jmdict_entry,same_reading_meaning</x:v>
      </x:c>
      <x:c r="C11" s="2" t="str">
        <x:v>w_69c992c9db76a823</x:v>
      </x:c>
      <x:c r="D11" s="2" t="str">
        <x:v>叔父さん</x:v>
      </x:c>
      <x:c r="E11" s="2" t="str">
        <x:v>おじさん</x:v>
      </x:c>
      <x:c r="F11" s="2" t="str">
        <x:v>아니오</x:v>
      </x:c>
      <x:c r="G11" s="2" t="n">
        <x:v>0</x:v>
      </x:c>
      <x:c r="H11" s="2" t="n">
        <x:v>3</x:v>
      </x:c>
      <x:c r="I11" s="2" t="str">
        <x:v>w_a430acefffcd0bfe</x:v>
      </x:c>
      <x:c r="J11" s="2" t="str">
        <x:v>N2</x:v>
      </x:c>
      <x:c r="K11" s="2" t="str">
        <x:v>小父さん</x:v>
      </x:c>
      <x:c r="L11" s="2" t="str">
        <x:v>おじさん</x:v>
      </x:c>
      <x:c r="M11" s="8" t="str">
        <x:v>아저씨</x:v>
      </x:c>
      <x:c r="N11" s="9" t="n">
        <x:v>3.58</x:v>
      </x:c>
      <x:c r="O11" s="2" t="str">
        <x:v>아니오</x:v>
      </x:c>
      <x:c r="P11" s="2" t="str">
        <x:v>아니오</x:v>
      </x:c>
    </x:row>
    <x:row r="12">
      <x:c r="A12" s="2" t="str">
        <x:v>vg_005</x:v>
      </x:c>
      <x:c r="B12" s="2" t="str">
        <x:v>same_jmdict_entry</x:v>
      </x:c>
      <x:c r="C12" s="2" t="str">
        <x:v>w_1c1342a535c8057b</x:v>
      </x:c>
      <x:c r="D12" s="2" t="str">
        <x:v>押さえる</x:v>
      </x:c>
      <x:c r="E12" s="2" t="str">
        <x:v>おさえる</x:v>
      </x:c>
      <x:c r="F12" s="2" t="str">
        <x:v>아니오</x:v>
      </x:c>
      <x:c r="G12" s="2" t="n">
        <x:v>0</x:v>
      </x:c>
      <x:c r="H12" s="2" t="n">
        <x:v>2</x:v>
      </x:c>
      <x:c r="I12" s="2" t="str">
        <x:v>w_035b26cd8b353d8d</x:v>
      </x:c>
      <x:c r="J12" s="2" t="str">
        <x:v>N3</x:v>
      </x:c>
      <x:c r="K12" s="2" t="str">
        <x:v>押える</x:v>
      </x:c>
      <x:c r="L12" s="2" t="str">
        <x:v>おさえる</x:v>
      </x:c>
      <x:c r="M12" s="8" t="str">
        <x:v>누르다, 억누르다</x:v>
      </x:c>
      <x:c r="N12" s="9" t="n">
        <x:v>1.35</x:v>
      </x:c>
      <x:c r="O12" s="2" t="str">
        <x:v>아니오</x:v>
      </x:c>
      <x:c r="P12" s="2" t="str">
        <x:v>아니오</x:v>
      </x:c>
    </x:row>
    <x:row r="13">
      <x:c r="A13" s="2" t="str">
        <x:v>vg_005</x:v>
      </x:c>
      <x:c r="B13" s="2" t="str">
        <x:v>same_jmdict_entry</x:v>
      </x:c>
      <x:c r="C13" s="2" t="str">
        <x:v>w_1c1342a535c8057b</x:v>
      </x:c>
      <x:c r="D13" s="2" t="str">
        <x:v>押さえる</x:v>
      </x:c>
      <x:c r="E13" s="2" t="str">
        <x:v>おさえる</x:v>
      </x:c>
      <x:c r="F13" s="2" t="str">
        <x:v>아니오</x:v>
      </x:c>
      <x:c r="G13" s="2" t="n">
        <x:v>0</x:v>
      </x:c>
      <x:c r="H13" s="2" t="n">
        <x:v>2</x:v>
      </x:c>
      <x:c r="I13" s="2" t="str">
        <x:v>w_1c1342a535c8057b</x:v>
      </x:c>
      <x:c r="J13" s="2" t="str">
        <x:v>N2</x:v>
      </x:c>
      <x:c r="K13" s="2" t="str">
        <x:v>押さえる</x:v>
      </x:c>
      <x:c r="L13" s="2" t="str">
        <x:v>おさえる</x:v>
      </x:c>
      <x:c r="M13" s="8" t="str">
        <x:v>누르다, 붙잡다, 확보하다</x:v>
      </x:c>
      <x:c r="N13" s="9" t="n">
        <x:v>3.23</x:v>
      </x:c>
      <x:c r="O13" s="2" t="str">
        <x:v>아니오</x:v>
      </x:c>
      <x:c r="P13" s="2" t="str">
        <x:v>예</x:v>
      </x:c>
    </x:row>
    <x:row r="14">
      <x:c r="A14" s="2" t="str">
        <x:v>vg_006</x:v>
      </x:c>
      <x:c r="B14" s="2" t="str">
        <x:v>same_jmdict_entry</x:v>
      </x:c>
      <x:c r="C14" s="2" t="str">
        <x:v>w_c83fe07fb32b63ab</x:v>
      </x:c>
      <x:c r="D14" s="2" t="str">
        <x:v>話し合い</x:v>
      </x:c>
      <x:c r="E14" s="2" t="str">
        <x:v>はなしあい</x:v>
      </x:c>
      <x:c r="F14" s="2" t="str">
        <x:v>아니오</x:v>
      </x:c>
      <x:c r="G14" s="2" t="n">
        <x:v>0</x:v>
      </x:c>
      <x:c r="H14" s="2" t="n">
        <x:v>2</x:v>
      </x:c>
      <x:c r="I14" s="2" t="str">
        <x:v>w_0393f67c87100c37</x:v>
      </x:c>
      <x:c r="J14" s="2" t="str">
        <x:v>N2</x:v>
      </x:c>
      <x:c r="K14" s="2" t="str">
        <x:v>話合い</x:v>
      </x:c>
      <x:c r="L14" s="2" t="str">
        <x:v>はなしあい</x:v>
      </x:c>
      <x:c r="M14" s="8" t="str">
        <x:v>논의, 말하다</x:v>
      </x:c>
      <x:c r="N14" s="9" t="n">
        <x:v>2.58</x:v>
      </x:c>
      <x:c r="O14" s="2" t="str">
        <x:v>아니오</x:v>
      </x:c>
      <x:c r="P14" s="2" t="str">
        <x:v>아니오</x:v>
      </x:c>
    </x:row>
    <x:row r="15">
      <x:c r="A15" s="2" t="str">
        <x:v>vg_006</x:v>
      </x:c>
      <x:c r="B15" s="2" t="str">
        <x:v>same_jmdict_entry</x:v>
      </x:c>
      <x:c r="C15" s="2" t="str">
        <x:v>w_c83fe07fb32b63ab</x:v>
      </x:c>
      <x:c r="D15" s="2" t="str">
        <x:v>話し合い</x:v>
      </x:c>
      <x:c r="E15" s="2" t="str">
        <x:v>はなしあい</x:v>
      </x:c>
      <x:c r="F15" s="2" t="str">
        <x:v>아니오</x:v>
      </x:c>
      <x:c r="G15" s="2" t="n">
        <x:v>0</x:v>
      </x:c>
      <x:c r="H15" s="2" t="n">
        <x:v>2</x:v>
      </x:c>
      <x:c r="I15" s="2" t="str">
        <x:v>w_c83fe07fb32b63ab</x:v>
      </x:c>
      <x:c r="J15" s="2" t="str">
        <x:v>N2</x:v>
      </x:c>
      <x:c r="K15" s="2" t="str">
        <x:v>話し合い</x:v>
      </x:c>
      <x:c r="L15" s="2" t="str">
        <x:v>はなしあい</x:v>
      </x:c>
      <x:c r="M15" s="8" t="str">
        <x:v>논의, 말하다, 회의</x:v>
      </x:c>
      <x:c r="N15" s="9" t="n">
        <x:v>4.01</x:v>
      </x:c>
      <x:c r="O15" s="2" t="str">
        <x:v>아니오</x:v>
      </x:c>
      <x:c r="P15" s="2" t="str">
        <x:v>예</x:v>
      </x:c>
    </x:row>
    <x:row r="16">
      <x:c r="A16" s="2" t="str">
        <x:v>vg_007</x:v>
      </x:c>
      <x:c r="B16" s="2" t="str">
        <x:v>same_jmdict_entry,same_reading_meaning</x:v>
      </x:c>
      <x:c r="C16" s="2" t="str">
        <x:v>w_0551f83e2464e885</x:v>
      </x:c>
      <x:c r="D16" s="2" t="str">
        <x:v>引き分け</x:v>
      </x:c>
      <x:c r="E16" s="2" t="str">
        <x:v>ひきわけ</x:v>
      </x:c>
      <x:c r="F16" s="2" t="str">
        <x:v>아니오</x:v>
      </x:c>
      <x:c r="G16" s="2" t="n">
        <x:v>0</x:v>
      </x:c>
      <x:c r="H16" s="2" t="n">
        <x:v>2</x:v>
      </x:c>
      <x:c r="I16" s="2" t="str">
        <x:v>w_0551f83e2464e885</x:v>
      </x:c>
      <x:c r="J16" s="2" t="str">
        <x:v>N2</x:v>
      </x:c>
      <x:c r="K16" s="2" t="str">
        <x:v>引き分け</x:v>
      </x:c>
      <x:c r="L16" s="2" t="str">
        <x:v>ひきわけ</x:v>
      </x:c>
      <x:c r="M16" s="8" t="str">
        <x:v>무승부, 비김</x:v>
      </x:c>
      <x:c r="N16" s="9" t="n">
        <x:v>3.47</x:v>
      </x:c>
      <x:c r="O16" s="2" t="str">
        <x:v>아니오</x:v>
      </x:c>
      <x:c r="P16" s="2" t="str">
        <x:v>예</x:v>
      </x:c>
    </x:row>
    <x:row r="17">
      <x:c r="A17" s="2" t="str">
        <x:v>vg_007</x:v>
      </x:c>
      <x:c r="B17" s="2" t="str">
        <x:v>same_jmdict_entry,same_reading_meaning</x:v>
      </x:c>
      <x:c r="C17" s="2" t="str">
        <x:v>w_0551f83e2464e885</x:v>
      </x:c>
      <x:c r="D17" s="2" t="str">
        <x:v>引き分け</x:v>
      </x:c>
      <x:c r="E17" s="2" t="str">
        <x:v>ひきわけ</x:v>
      </x:c>
      <x:c r="F17" s="2" t="str">
        <x:v>아니오</x:v>
      </x:c>
      <x:c r="G17" s="2" t="n">
        <x:v>0</x:v>
      </x:c>
      <x:c r="H17" s="2" t="n">
        <x:v>2</x:v>
      </x:c>
      <x:c r="I17" s="2" t="str">
        <x:v>w_db77a5be2d5db896</x:v>
      </x:c>
      <x:c r="J17" s="2" t="str">
        <x:v>N2</x:v>
      </x:c>
      <x:c r="K17" s="2" t="str">
        <x:v>引分け</x:v>
      </x:c>
      <x:c r="L17" s="2" t="str">
        <x:v>ひきわけ</x:v>
      </x:c>
      <x:c r="M17" s="8" t="str">
        <x:v>무승부, 비김</x:v>
      </x:c>
      <x:c r="N17" s="9" t="n">
        <x:v>2.18</x:v>
      </x:c>
      <x:c r="O17" s="2" t="str">
        <x:v>아니오</x:v>
      </x:c>
      <x:c r="P17" s="2" t="str">
        <x:v>아니오</x:v>
      </x:c>
    </x:row>
    <x:row r="18">
      <x:c r="A18" s="2" t="str">
        <x:v>vg_008</x:v>
      </x:c>
      <x:c r="B18" s="2" t="str">
        <x:v>same_jmdict_entry,same_reading_meaning</x:v>
      </x:c>
      <x:c r="C18" s="2" t="str">
        <x:v>w_05d9ab165f8c2010</x:v>
      </x:c>
      <x:c r="D18" s="2" t="str">
        <x:v>丸</x:v>
      </x:c>
      <x:c r="E18" s="2" t="str">
        <x:v>まる</x:v>
      </x:c>
      <x:c r="F18" s="2" t="str">
        <x:v>아니오</x:v>
      </x:c>
      <x:c r="G18" s="2" t="n">
        <x:v>0</x:v>
      </x:c>
      <x:c r="H18" s="2" t="n">
        <x:v>2</x:v>
      </x:c>
      <x:c r="I18" s="2" t="str">
        <x:v>w_05d9ab165f8c2010</x:v>
      </x:c>
      <x:c r="J18" s="2" t="str">
        <x:v>N3</x:v>
      </x:c>
      <x:c r="K18" s="2" t="str">
        <x:v>丸</x:v>
      </x:c>
      <x:c r="L18" s="2" t="str">
        <x:v>まる</x:v>
      </x:c>
      <x:c r="M18" s="8" t="str">
        <x:v>동그라미, 원</x:v>
      </x:c>
      <x:c r="N18" s="9" t="n">
        <x:v>4.83</x:v>
      </x:c>
      <x:c r="O18" s="2" t="str">
        <x:v>아니오</x:v>
      </x:c>
      <x:c r="P18" s="2" t="str">
        <x:v>예</x:v>
      </x:c>
    </x:row>
    <x:row r="19">
      <x:c r="A19" s="2" t="str">
        <x:v>vg_008</x:v>
      </x:c>
      <x:c r="B19" s="2" t="str">
        <x:v>same_jmdict_entry,same_reading_meaning</x:v>
      </x:c>
      <x:c r="C19" s="2" t="str">
        <x:v>w_05d9ab165f8c2010</x:v>
      </x:c>
      <x:c r="D19" s="2" t="str">
        <x:v>丸</x:v>
      </x:c>
      <x:c r="E19" s="2" t="str">
        <x:v>まる</x:v>
      </x:c>
      <x:c r="F19" s="2" t="str">
        <x:v>아니오</x:v>
      </x:c>
      <x:c r="G19" s="2" t="n">
        <x:v>0</x:v>
      </x:c>
      <x:c r="H19" s="2" t="n">
        <x:v>2</x:v>
      </x:c>
      <x:c r="I19" s="2" t="str">
        <x:v>w_47bc3333b001338f</x:v>
      </x:c>
      <x:c r="J19" s="2" t="str">
        <x:v>N3</x:v>
      </x:c>
      <x:c r="K19" s="2" t="str">
        <x:v>円</x:v>
      </x:c>
      <x:c r="L19" s="2" t="str">
        <x:v>まる</x:v>
      </x:c>
      <x:c r="M19" s="8" t="str">
        <x:v>원, 동그라미</x:v>
      </x:c>
      <x:c r="N19" s="9" t="n">
        <x:v>5.8</x:v>
      </x:c>
      <x:c r="O19" s="2" t="str">
        <x:v>아니오</x:v>
      </x:c>
      <x:c r="P19" s="2" t="str">
        <x:v>아니오</x:v>
      </x:c>
    </x:row>
    <x:row r="20">
      <x:c r="A20" s="2" t="str">
        <x:v>vg_009</x:v>
      </x:c>
      <x:c r="B20" s="2" t="str">
        <x:v>same_reading_meaning</x:v>
      </x:c>
      <x:c r="C20" s="2" t="str">
        <x:v>w_061c9a2227408a77</x:v>
      </x:c>
      <x:c r="D20" s="2" t="str">
        <x:v>かたかな</x:v>
      </x:c>
      <x:c r="E20" s="2" t="str">
        <x:v>かたかな</x:v>
      </x:c>
      <x:c r="F20" s="2" t="str">
        <x:v>아니오</x:v>
      </x:c>
      <x:c r="G20" s="2" t="n">
        <x:v>0</x:v>
      </x:c>
      <x:c r="H20" s="2" t="n">
        <x:v>2</x:v>
      </x:c>
      <x:c r="I20" s="2" t="str">
        <x:v>w_061c9a2227408a77</x:v>
      </x:c>
      <x:c r="J20" s="2" t="str">
        <x:v>N2</x:v>
      </x:c>
      <x:c r="K20" s="2" t="str">
        <x:v>かたかな</x:v>
      </x:c>
      <x:c r="L20" s="2" t="str">
        <x:v>かたかな</x:v>
      </x:c>
      <x:c r="M20" s="8" t="str">
        <x:v>가타카나</x:v>
      </x:c>
      <x:c r="N20" s="9" t="n">
        <x:v>4.26</x:v>
      </x:c>
      <x:c r="O20" s="2" t="str">
        <x:v>아니오</x:v>
      </x:c>
      <x:c r="P20" s="2" t="str">
        <x:v>예</x:v>
      </x:c>
    </x:row>
    <x:row r="21">
      <x:c r="A21" s="2" t="str">
        <x:v>vg_009</x:v>
      </x:c>
      <x:c r="B21" s="2" t="str">
        <x:v>same_reading_meaning</x:v>
      </x:c>
      <x:c r="C21" s="2" t="str">
        <x:v>w_061c9a2227408a77</x:v>
      </x:c>
      <x:c r="D21" s="2" t="str">
        <x:v>かたかな</x:v>
      </x:c>
      <x:c r="E21" s="2" t="str">
        <x:v>かたかな</x:v>
      </x:c>
      <x:c r="F21" s="2" t="str">
        <x:v>아니오</x:v>
      </x:c>
      <x:c r="G21" s="2" t="n">
        <x:v>0</x:v>
      </x:c>
      <x:c r="H21" s="2" t="n">
        <x:v>2</x:v>
      </x:c>
      <x:c r="I21" s="2" t="str">
        <x:v>w_0edc5f4d78d15ddd</x:v>
      </x:c>
      <x:c r="J21" s="2" t="str">
        <x:v>N5</x:v>
      </x:c>
      <x:c r="K21" s="2" t="str">
        <x:v>片仮名</x:v>
      </x:c>
      <x:c r="L21" s="2" t="str">
        <x:v>かたかな</x:v>
      </x:c>
      <x:c r="M21" s="8" t="str">
        <x:v>가타카나</x:v>
      </x:c>
      <x:c r="N21" s="9" t="n">
        <x:v>2.45</x:v>
      </x:c>
      <x:c r="O21" s="2" t="str">
        <x:v>아니오</x:v>
      </x:c>
      <x:c r="P21" s="2" t="str">
        <x:v>아니오</x:v>
      </x:c>
    </x:row>
    <x:row r="22">
      <x:c r="A22" s="2" t="str">
        <x:v>vg_010</x:v>
      </x:c>
      <x:c r="B22" s="2" t="str">
        <x:v>same_jmdict_entry</x:v>
      </x:c>
      <x:c r="C22" s="2" t="str">
        <x:v>w_9f1844144a87d5f8</x:v>
      </x:c>
      <x:c r="D22" s="2" t="str">
        <x:v>町</x:v>
      </x:c>
      <x:c r="E22" s="2" t="str">
        <x:v>まち</x:v>
      </x:c>
      <x:c r="F22" s="2" t="str">
        <x:v>예</x:v>
      </x:c>
      <x:c r="G22" s="2" t="n">
        <x:v>1</x:v>
      </x:c>
      <x:c r="H22" s="2" t="n">
        <x:v>2</x:v>
      </x:c>
      <x:c r="I22" s="2" t="str">
        <x:v>w_06e7e51d003ac3e4</x:v>
      </x:c>
      <x:c r="J22" s="2" t="str">
        <x:v>N3</x:v>
      </x:c>
      <x:c r="K22" s="2" t="str">
        <x:v>街</x:v>
      </x:c>
      <x:c r="L22" s="2" t="str">
        <x:v>まち</x:v>
      </x:c>
      <x:c r="M22" s="8" t="str">
        <x:v>거리, 번화가</x:v>
      </x:c>
      <x:c r="N22" s="9" t="n">
        <x:v>5.16</x:v>
      </x:c>
      <x:c r="O22" s="2" t="str">
        <x:v>아니오</x:v>
      </x:c>
      <x:c r="P22" s="2" t="str">
        <x:v>아니오</x:v>
      </x:c>
    </x:row>
    <x:row r="23">
      <x:c r="A23" s="2" t="str">
        <x:v>vg_010</x:v>
      </x:c>
      <x:c r="B23" s="2" t="str">
        <x:v>same_jmdict_entry</x:v>
      </x:c>
      <x:c r="C23" s="2" t="str">
        <x:v>w_9f1844144a87d5f8</x:v>
      </x:c>
      <x:c r="D23" s="2" t="str">
        <x:v>町</x:v>
      </x:c>
      <x:c r="E23" s="2" t="str">
        <x:v>まち</x:v>
      </x:c>
      <x:c r="F23" s="2" t="str">
        <x:v>예</x:v>
      </x:c>
      <x:c r="G23" s="2" t="n">
        <x:v>1</x:v>
      </x:c>
      <x:c r="H23" s="2" t="n">
        <x:v>2</x:v>
      </x:c>
      <x:c r="I23" s="2" t="str">
        <x:v>w_9f1844144a87d5f8</x:v>
      </x:c>
      <x:c r="J23" s="2" t="str">
        <x:v>N5</x:v>
      </x:c>
      <x:c r="K23" s="2" t="str">
        <x:v>町</x:v>
      </x:c>
      <x:c r="L23" s="2" t="str">
        <x:v>まち</x:v>
      </x:c>
      <x:c r="M23" s="8" t="str">
        <x:v>마을, 동네</x:v>
      </x:c>
      <x:c r="N23" s="9" t="n">
        <x:v>5.39</x:v>
      </x:c>
      <x:c r="O23" s="2" t="str">
        <x:v>예</x:v>
      </x:c>
      <x:c r="P23" s="2" t="str">
        <x:v>예</x:v>
      </x:c>
    </x:row>
    <x:row r="24">
      <x:c r="A24" s="2" t="str">
        <x:v>vg_011</x:v>
      </x:c>
      <x:c r="B24" s="2" t="str">
        <x:v>same_jmdict_entry,same_reading_meaning</x:v>
      </x:c>
      <x:c r="C24" s="2" t="str">
        <x:v>w_0787d4f6eb05df72</x:v>
      </x:c>
      <x:c r="D24" s="2" t="str">
        <x:v>澄む</x:v>
      </x:c>
      <x:c r="E24" s="2" t="str">
        <x:v>すむ</x:v>
      </x:c>
      <x:c r="F24" s="2" t="str">
        <x:v>아니오</x:v>
      </x:c>
      <x:c r="G24" s="2" t="n">
        <x:v>0</x:v>
      </x:c>
      <x:c r="H24" s="2" t="n">
        <x:v>2</x:v>
      </x:c>
      <x:c r="I24" s="2" t="str">
        <x:v>w_0787d4f6eb05df72</x:v>
      </x:c>
      <x:c r="J24" s="2" t="str">
        <x:v>N3</x:v>
      </x:c>
      <x:c r="K24" s="2" t="str">
        <x:v>澄む</x:v>
      </x:c>
      <x:c r="L24" s="2" t="str">
        <x:v>すむ</x:v>
      </x:c>
      <x:c r="M24" s="8" t="str">
        <x:v>분명한, 맑은(날씨), 되다 투명한</x:v>
      </x:c>
      <x:c r="N24" s="9" t="n">
        <x:v>1.41</x:v>
      </x:c>
      <x:c r="O24" s="2" t="str">
        <x:v>아니오</x:v>
      </x:c>
      <x:c r="P24" s="2" t="str">
        <x:v>예</x:v>
      </x:c>
    </x:row>
    <x:row r="25">
      <x:c r="A25" s="2" t="str">
        <x:v>vg_011</x:v>
      </x:c>
      <x:c r="B25" s="2" t="str">
        <x:v>same_jmdict_entry,same_reading_meaning</x:v>
      </x:c>
      <x:c r="C25" s="2" t="str">
        <x:v>w_0787d4f6eb05df72</x:v>
      </x:c>
      <x:c r="D25" s="2" t="str">
        <x:v>澄む</x:v>
      </x:c>
      <x:c r="E25" s="2" t="str">
        <x:v>すむ</x:v>
      </x:c>
      <x:c r="F25" s="2" t="str">
        <x:v>아니오</x:v>
      </x:c>
      <x:c r="G25" s="2" t="n">
        <x:v>0</x:v>
      </x:c>
      <x:c r="H25" s="2" t="n">
        <x:v>2</x:v>
      </x:c>
      <x:c r="I25" s="2" t="str">
        <x:v>w_4d9b92d2f4de3583</x:v>
      </x:c>
      <x:c r="J25" s="2" t="str">
        <x:v>N3</x:v>
      </x:c>
      <x:c r="K25" s="2" t="str">
        <x:v>清む</x:v>
      </x:c>
      <x:c r="L25" s="2" t="str">
        <x:v>すむ</x:v>
      </x:c>
      <x:c r="M25" s="8" t="str">
        <x:v>분명한, 맑은(날씨), 되다 투명한</x:v>
      </x:c>
      <x:c r="N25" s="9" t="n">
        <x:v>3.83</x:v>
      </x:c>
      <x:c r="O25" s="2" t="str">
        <x:v>아니오</x:v>
      </x:c>
      <x:c r="P25" s="2" t="str">
        <x:v>아니오</x:v>
      </x:c>
    </x:row>
    <x:row r="26">
      <x:c r="A26" s="2" t="str">
        <x:v>vg_012</x:v>
      </x:c>
      <x:c r="B26" s="2" t="str">
        <x:v>same_reading_meaning</x:v>
      </x:c>
      <x:c r="C26" s="2" t="str">
        <x:v>w_08116245559f84d3</x:v>
      </x:c>
      <x:c r="D26" s="2" t="str">
        <x:v>混ぜる</x:v>
      </x:c>
      <x:c r="E26" s="2" t="str">
        <x:v>まぜる</x:v>
      </x:c>
      <x:c r="F26" s="2" t="str">
        <x:v>예</x:v>
      </x:c>
      <x:c r="G26" s="2" t="n">
        <x:v>1</x:v>
      </x:c>
      <x:c r="H26" s="2" t="n">
        <x:v>2</x:v>
      </x:c>
      <x:c r="I26" s="2" t="str">
        <x:v>w_08116245559f84d3</x:v>
      </x:c>
      <x:c r="J26" s="2" t="str">
        <x:v>N3</x:v>
      </x:c>
      <x:c r="K26" s="2" t="str">
        <x:v>混ぜる</x:v>
      </x:c>
      <x:c r="L26" s="2" t="str">
        <x:v>まぜる</x:v>
      </x:c>
      <x:c r="M26" s="8" t="str">
        <x:v>섞다</x:v>
      </x:c>
      <x:c r="N26" s="9" t="n">
        <x:v>3.55</x:v>
      </x:c>
      <x:c r="O26" s="2" t="str">
        <x:v>예</x:v>
      </x:c>
      <x:c r="P26" s="2" t="str">
        <x:v>예</x:v>
      </x:c>
    </x:row>
    <x:row r="27">
      <x:c r="A27" s="2" t="str">
        <x:v>vg_012</x:v>
      </x:c>
      <x:c r="B27" s="2" t="str">
        <x:v>same_reading_meaning</x:v>
      </x:c>
      <x:c r="C27" s="2" t="str">
        <x:v>w_08116245559f84d3</x:v>
      </x:c>
      <x:c r="D27" s="2" t="str">
        <x:v>混ぜる</x:v>
      </x:c>
      <x:c r="E27" s="2" t="str">
        <x:v>まぜる</x:v>
      </x:c>
      <x:c r="F27" s="2" t="str">
        <x:v>예</x:v>
      </x:c>
      <x:c r="G27" s="2" t="n">
        <x:v>1</x:v>
      </x:c>
      <x:c r="H27" s="2" t="n">
        <x:v>2</x:v>
      </x:c>
      <x:c r="I27" s="2" t="str">
        <x:v>w_783eefeaaefb6a0d</x:v>
      </x:c>
      <x:c r="J27" s="2" t="str">
        <x:v>N2</x:v>
      </x:c>
      <x:c r="K27" s="2" t="str">
        <x:v>まぜる</x:v>
      </x:c>
      <x:c r="L27" s="2" t="str">
        <x:v>まぜる</x:v>
      </x:c>
      <x:c r="M27" s="8" t="str">
        <x:v>섞다</x:v>
      </x:c>
      <x:c r="N27" s="9" t="n">
        <x:v>2.09</x:v>
      </x:c>
      <x:c r="O27" s="2" t="str">
        <x:v>아니오</x:v>
      </x:c>
      <x:c r="P27" s="2" t="str">
        <x:v>아니오</x:v>
      </x:c>
    </x:row>
    <x:row r="28">
      <x:c r="A28" s="2" t="str">
        <x:v>vg_013</x:v>
      </x:c>
      <x:c r="B28" s="2" t="str">
        <x:v>same_jmdict_entry</x:v>
      </x:c>
      <x:c r="C28" s="2" t="str">
        <x:v>w_08414fa5796dc2f4</x:v>
      </x:c>
      <x:c r="D28" s="2" t="str">
        <x:v>一昨日</x:v>
      </x:c>
      <x:c r="E28" s="2" t="str">
        <x:v>おととい</x:v>
      </x:c>
      <x:c r="F28" s="2" t="str">
        <x:v>아니오</x:v>
      </x:c>
      <x:c r="G28" s="2" t="n">
        <x:v>0</x:v>
      </x:c>
      <x:c r="H28" s="2" t="n">
        <x:v>2</x:v>
      </x:c>
      <x:c r="I28" s="2" t="str">
        <x:v>w_08414fa5796dc2f4</x:v>
      </x:c>
      <x:c r="J28" s="2" t="str">
        <x:v>N5</x:v>
      </x:c>
      <x:c r="K28" s="2" t="str">
        <x:v>一昨日</x:v>
      </x:c>
      <x:c r="L28" s="2" t="str">
        <x:v>おととい</x:v>
      </x:c>
      <x:c r="M28" s="8" t="str">
        <x:v>그저께</x:v>
      </x:c>
      <x:c r="N28" s="9" t="n">
        <x:v>3.64</x:v>
      </x:c>
      <x:c r="O28" s="2" t="str">
        <x:v>아니오</x:v>
      </x:c>
      <x:c r="P28" s="2" t="str">
        <x:v>예</x:v>
      </x:c>
    </x:row>
    <x:row r="29">
      <x:c r="A29" s="2" t="str">
        <x:v>vg_013</x:v>
      </x:c>
      <x:c r="B29" s="2" t="str">
        <x:v>same_jmdict_entry</x:v>
      </x:c>
      <x:c r="C29" s="2" t="str">
        <x:v>w_08414fa5796dc2f4</x:v>
      </x:c>
      <x:c r="D29" s="2" t="str">
        <x:v>一昨日</x:v>
      </x:c>
      <x:c r="E29" s="2" t="str">
        <x:v>おととい</x:v>
      </x:c>
      <x:c r="F29" s="2" t="str">
        <x:v>아니오</x:v>
      </x:c>
      <x:c r="G29" s="2" t="n">
        <x:v>0</x:v>
      </x:c>
      <x:c r="H29" s="2" t="n">
        <x:v>2</x:v>
      </x:c>
      <x:c r="I29" s="2" t="str">
        <x:v>w_33687b5b97477220</x:v>
      </x:c>
      <x:c r="J29" s="2" t="str">
        <x:v>N2</x:v>
      </x:c>
      <x:c r="K29" s="2" t="str">
        <x:v>一昨日</x:v>
      </x:c>
      <x:c r="L29" s="2" t="str">
        <x:v>いっさくじつ</x:v>
      </x:c>
      <x:c r="M29" s="8" t="str">
        <x:v>그저께</x:v>
      </x:c>
      <x:c r="N29" s="9" t="n">
        <x:v>3.64</x:v>
      </x:c>
      <x:c r="O29" s="2" t="str">
        <x:v>아니오</x:v>
      </x:c>
      <x:c r="P29" s="2" t="str">
        <x:v>아니오</x:v>
      </x:c>
    </x:row>
    <x:row r="30">
      <x:c r="A30" s="2" t="str">
        <x:v>vg_014</x:v>
      </x:c>
      <x:c r="B30" s="2" t="str">
        <x:v>same_jmdict_entry,same_reading_meaning</x:v>
      </x:c>
      <x:c r="C30" s="2" t="str">
        <x:v>w_7400af29ea55cfe6</x:v>
      </x:c>
      <x:c r="D30" s="2" t="str">
        <x:v>固い</x:v>
      </x:c>
      <x:c r="E30" s="2" t="str">
        <x:v>かたい</x:v>
      </x:c>
      <x:c r="F30" s="2" t="str">
        <x:v>예</x:v>
      </x:c>
      <x:c r="G30" s="2" t="n">
        <x:v>1</x:v>
      </x:c>
      <x:c r="H30" s="2" t="n">
        <x:v>3</x:v>
      </x:c>
      <x:c r="I30" s="2" t="str">
        <x:v>w_08fb3f57661da121</x:v>
      </x:c>
      <x:c r="J30" s="2" t="str">
        <x:v>N3</x:v>
      </x:c>
      <x:c r="K30" s="2" t="str">
        <x:v>硬い</x:v>
      </x:c>
      <x:c r="L30" s="2" t="str">
        <x:v>かたい</x:v>
      </x:c>
      <x:c r="M30" s="8" t="str">
        <x:v>단단하다, 딱딱하다</x:v>
      </x:c>
      <x:c r="N30" s="9" t="n">
        <x:v>3.84</x:v>
      </x:c>
      <x:c r="O30" s="2" t="str">
        <x:v>아니오</x:v>
      </x:c>
      <x:c r="P30" s="2" t="str">
        <x:v>아니오</x:v>
      </x:c>
    </x:row>
    <x:row r="31">
      <x:c r="A31" s="2" t="str">
        <x:v>vg_014</x:v>
      </x:c>
      <x:c r="B31" s="2" t="str">
        <x:v>same_jmdict_entry,same_reading_meaning</x:v>
      </x:c>
      <x:c r="C31" s="2" t="str">
        <x:v>w_7400af29ea55cfe6</x:v>
      </x:c>
      <x:c r="D31" s="2" t="str">
        <x:v>固い</x:v>
      </x:c>
      <x:c r="E31" s="2" t="str">
        <x:v>かたい</x:v>
      </x:c>
      <x:c r="F31" s="2" t="str">
        <x:v>예</x:v>
      </x:c>
      <x:c r="G31" s="2" t="n">
        <x:v>1</x:v>
      </x:c>
      <x:c r="H31" s="2" t="n">
        <x:v>3</x:v>
      </x:c>
      <x:c r="I31" s="2" t="str">
        <x:v>w_7400af29ea55cfe6</x:v>
      </x:c>
      <x:c r="J31" s="2" t="str">
        <x:v>N4</x:v>
      </x:c>
      <x:c r="K31" s="2" t="str">
        <x:v>固い</x:v>
      </x:c>
      <x:c r="L31" s="2" t="str">
        <x:v>かたい</x:v>
      </x:c>
      <x:c r="M31" s="8" t="str">
        <x:v>단단하다, 딱딱하다</x:v>
      </x:c>
      <x:c r="N31" s="9" t="n">
        <x:v>3.76</x:v>
      </x:c>
      <x:c r="O31" s="2" t="str">
        <x:v>예</x:v>
      </x:c>
      <x:c r="P31" s="2" t="str">
        <x:v>예</x:v>
      </x:c>
    </x:row>
    <x:row r="32">
      <x:c r="A32" s="2" t="str">
        <x:v>vg_014</x:v>
      </x:c>
      <x:c r="B32" s="2" t="str">
        <x:v>same_jmdict_entry,same_reading_meaning</x:v>
      </x:c>
      <x:c r="C32" s="2" t="str">
        <x:v>w_7400af29ea55cfe6</x:v>
      </x:c>
      <x:c r="D32" s="2" t="str">
        <x:v>固い</x:v>
      </x:c>
      <x:c r="E32" s="2" t="str">
        <x:v>かたい</x:v>
      </x:c>
      <x:c r="F32" s="2" t="str">
        <x:v>예</x:v>
      </x:c>
      <x:c r="G32" s="2" t="n">
        <x:v>1</x:v>
      </x:c>
      <x:c r="H32" s="2" t="n">
        <x:v>3</x:v>
      </x:c>
      <x:c r="I32" s="2" t="str">
        <x:v>w_e1e5d18b1acfa419</x:v>
      </x:c>
      <x:c r="J32" s="2" t="str">
        <x:v>N3</x:v>
      </x:c>
      <x:c r="K32" s="2" t="str">
        <x:v>堅い</x:v>
      </x:c>
      <x:c r="L32" s="2" t="str">
        <x:v>かたい</x:v>
      </x:c>
      <x:c r="M32" s="8" t="str">
        <x:v>단단하다, 딱딱하다</x:v>
      </x:c>
      <x:c r="N32" s="9" t="n">
        <x:v>3.51</x:v>
      </x:c>
      <x:c r="O32" s="2" t="str">
        <x:v>아니오</x:v>
      </x:c>
      <x:c r="P32" s="2" t="str">
        <x:v>아니오</x:v>
      </x:c>
    </x:row>
    <x:row r="33">
      <x:c r="A33" s="2" t="str">
        <x:v>vg_015</x:v>
      </x:c>
      <x:c r="B33" s="2" t="str">
        <x:v>same_jmdict_entry,same_reading_meaning</x:v>
      </x:c>
      <x:c r="C33" s="2" t="str">
        <x:v>w_14516c3905712f5d</x:v>
      </x:c>
      <x:c r="D33" s="2" t="str">
        <x:v>締め切り</x:v>
      </x:c>
      <x:c r="E33" s="2" t="str">
        <x:v>しめきり</x:v>
      </x:c>
      <x:c r="F33" s="2" t="str">
        <x:v>예</x:v>
      </x:c>
      <x:c r="G33" s="2" t="n">
        <x:v>1</x:v>
      </x:c>
      <x:c r="H33" s="2" t="n">
        <x:v>2</x:v>
      </x:c>
      <x:c r="I33" s="2" t="str">
        <x:v>w_09dd73a6c06df3d4</x:v>
      </x:c>
      <x:c r="J33" s="2" t="str">
        <x:v>N2</x:v>
      </x:c>
      <x:c r="K33" s="2" t="str">
        <x:v>締切</x:v>
      </x:c>
      <x:c r="L33" s="2" t="str">
        <x:v>しめきり</x:v>
      </x:c>
      <x:c r="M33" s="8" t="str">
        <x:v>마감</x:v>
      </x:c>
      <x:c r="N33" s="9" t="n">
        <x:v>3.39</x:v>
      </x:c>
      <x:c r="O33" s="2" t="str">
        <x:v>아니오</x:v>
      </x:c>
      <x:c r="P33" s="2" t="str">
        <x:v>아니오</x:v>
      </x:c>
    </x:row>
    <x:row r="34">
      <x:c r="A34" s="2" t="str">
        <x:v>vg_015</x:v>
      </x:c>
      <x:c r="B34" s="2" t="str">
        <x:v>same_jmdict_entry,same_reading_meaning</x:v>
      </x:c>
      <x:c r="C34" s="2" t="str">
        <x:v>w_14516c3905712f5d</x:v>
      </x:c>
      <x:c r="D34" s="2" t="str">
        <x:v>締め切り</x:v>
      </x:c>
      <x:c r="E34" s="2" t="str">
        <x:v>しめきり</x:v>
      </x:c>
      <x:c r="F34" s="2" t="str">
        <x:v>예</x:v>
      </x:c>
      <x:c r="G34" s="2" t="n">
        <x:v>1</x:v>
      </x:c>
      <x:c r="H34" s="2" t="n">
        <x:v>2</x:v>
      </x:c>
      <x:c r="I34" s="2" t="str">
        <x:v>w_14516c3905712f5d</x:v>
      </x:c>
      <x:c r="J34" s="2" t="str">
        <x:v>N2</x:v>
      </x:c>
      <x:c r="K34" s="2" t="str">
        <x:v>締め切り</x:v>
      </x:c>
      <x:c r="L34" s="2" t="str">
        <x:v>しめきり</x:v>
      </x:c>
      <x:c r="M34" s="8" t="str">
        <x:v>마감</x:v>
      </x:c>
      <x:c r="N34" s="9" t="n">
        <x:v>3.63</x:v>
      </x:c>
      <x:c r="O34" s="2" t="str">
        <x:v>예</x:v>
      </x:c>
      <x:c r="P34" s="2" t="str">
        <x:v>예</x:v>
      </x:c>
    </x:row>
    <x:row r="35">
      <x:c r="A35" s="2" t="str">
        <x:v>vg_016</x:v>
      </x:c>
      <x:c r="B35" s="2" t="str">
        <x:v>same_jmdict_entry</x:v>
      </x:c>
      <x:c r="C35" s="2" t="str">
        <x:v>w_1ef4822a952c095f</x:v>
      </x:c>
      <x:c r="D35" s="2" t="str">
        <x:v>早急</x:v>
      </x:c>
      <x:c r="E35" s="2" t="str">
        <x:v>そうきゅう</x:v>
      </x:c>
      <x:c r="F35" s="2" t="str">
        <x:v>아니오</x:v>
      </x:c>
      <x:c r="G35" s="2" t="n">
        <x:v>0</x:v>
      </x:c>
      <x:c r="H35" s="2" t="n">
        <x:v>2</x:v>
      </x:c>
      <x:c r="I35" s="2" t="str">
        <x:v>w_09e23b6f9018545a</x:v>
      </x:c>
      <x:c r="J35" s="2" t="str">
        <x:v>N1</x:v>
      </x:c>
      <x:c r="K35" s="2" t="str">
        <x:v>早急</x:v>
      </x:c>
      <x:c r="L35" s="2" t="str">
        <x:v>さっきゅう</x:v>
      </x:c>
      <x:c r="M35" s="8" t="str">
        <x:v>긴급한</x:v>
      </x:c>
      <x:c r="N35" s="9" t="n">
        <x:v>3.68</x:v>
      </x:c>
      <x:c r="O35" s="2" t="str">
        <x:v>아니오</x:v>
      </x:c>
      <x:c r="P35" s="2" t="str">
        <x:v>아니오</x:v>
      </x:c>
    </x:row>
    <x:row r="36">
      <x:c r="A36" s="2" t="str">
        <x:v>vg_016</x:v>
      </x:c>
      <x:c r="B36" s="2" t="str">
        <x:v>same_jmdict_entry</x:v>
      </x:c>
      <x:c r="C36" s="2" t="str">
        <x:v>w_1ef4822a952c095f</x:v>
      </x:c>
      <x:c r="D36" s="2" t="str">
        <x:v>早急</x:v>
      </x:c>
      <x:c r="E36" s="2" t="str">
        <x:v>そうきゅう</x:v>
      </x:c>
      <x:c r="F36" s="2" t="str">
        <x:v>아니오</x:v>
      </x:c>
      <x:c r="G36" s="2" t="n">
        <x:v>0</x:v>
      </x:c>
      <x:c r="H36" s="2" t="n">
        <x:v>2</x:v>
      </x:c>
      <x:c r="I36" s="2" t="str">
        <x:v>w_1ef4822a952c095f</x:v>
      </x:c>
      <x:c r="J36" s="2" t="str">
        <x:v>N1</x:v>
      </x:c>
      <x:c r="K36" s="2" t="str">
        <x:v>早急</x:v>
      </x:c>
      <x:c r="L36" s="2" t="str">
        <x:v>そうきゅう</x:v>
      </x:c>
      <x:c r="M36" s="8" t="str">
        <x:v>긴급한</x:v>
      </x:c>
      <x:c r="N36" s="9" t="n">
        <x:v>3.68</x:v>
      </x:c>
      <x:c r="O36" s="2" t="str">
        <x:v>아니오</x:v>
      </x:c>
      <x:c r="P36" s="2" t="str">
        <x:v>예</x:v>
      </x:c>
    </x:row>
    <x:row r="37">
      <x:c r="A37" s="2" t="str">
        <x:v>vg_017</x:v>
      </x:c>
      <x:c r="B37" s="2" t="str">
        <x:v>noun_suru_variant</x:v>
      </x:c>
      <x:c r="C37" s="2" t="str">
        <x:v>w_85bb20751a1c4720</x:v>
      </x:c>
      <x:c r="D37" s="2" t="str">
        <x:v>運転</x:v>
      </x:c>
      <x:c r="E37" s="2" t="str">
        <x:v>うんてん</x:v>
      </x:c>
      <x:c r="F37" s="2" t="str">
        <x:v>아니오</x:v>
      </x:c>
      <x:c r="G37" s="2" t="n">
        <x:v>0</x:v>
      </x:c>
      <x:c r="H37" s="2" t="n">
        <x:v>2</x:v>
      </x:c>
      <x:c r="I37" s="2" t="str">
        <x:v>w_0adc20f77143546a</x:v>
      </x:c>
      <x:c r="J37" s="2" t="str">
        <x:v>N4</x:v>
      </x:c>
      <x:c r="K37" s="2" t="str">
        <x:v>運転</x:v>
      </x:c>
      <x:c r="L37" s="2" t="str">
        <x:v>うんてんする</x:v>
      </x:c>
      <x:c r="M37" s="8" t="str">
        <x:v>운전</x:v>
      </x:c>
      <x:c r="N37" s="9" t="n">
        <x:v>5.04</x:v>
      </x:c>
      <x:c r="O37" s="2" t="str">
        <x:v>아니오</x:v>
      </x:c>
      <x:c r="P37" s="2" t="str">
        <x:v>아니오</x:v>
      </x:c>
    </x:row>
    <x:row r="38">
      <x:c r="A38" s="2" t="str">
        <x:v>vg_017</x:v>
      </x:c>
      <x:c r="B38" s="2" t="str">
        <x:v>noun_suru_variant</x:v>
      </x:c>
      <x:c r="C38" s="2" t="str">
        <x:v>w_85bb20751a1c4720</x:v>
      </x:c>
      <x:c r="D38" s="2" t="str">
        <x:v>運転</x:v>
      </x:c>
      <x:c r="E38" s="2" t="str">
        <x:v>うんてん</x:v>
      </x:c>
      <x:c r="F38" s="2" t="str">
        <x:v>아니오</x:v>
      </x:c>
      <x:c r="G38" s="2" t="n">
        <x:v>0</x:v>
      </x:c>
      <x:c r="H38" s="2" t="n">
        <x:v>2</x:v>
      </x:c>
      <x:c r="I38" s="2" t="str">
        <x:v>w_85bb20751a1c4720</x:v>
      </x:c>
      <x:c r="J38" s="2" t="str">
        <x:v>N3</x:v>
      </x:c>
      <x:c r="K38" s="2" t="str">
        <x:v>運転</x:v>
      </x:c>
      <x:c r="L38" s="2" t="str">
        <x:v>うんてん</x:v>
      </x:c>
      <x:c r="M38" s="8" t="str">
        <x:v>운영, 조작, 운전</x:v>
      </x:c>
      <x:c r="N38" s="9" t="n">
        <x:v>5.04</x:v>
      </x:c>
      <x:c r="O38" s="2" t="str">
        <x:v>아니오</x:v>
      </x:c>
      <x:c r="P38" s="2" t="str">
        <x:v>예</x:v>
      </x:c>
    </x:row>
    <x:row r="39">
      <x:c r="A39" s="2" t="str">
        <x:v>vg_018</x:v>
      </x:c>
      <x:c r="B39" s="2" t="str">
        <x:v>same_jmdict_entry</x:v>
      </x:c>
      <x:c r="C39" s="2" t="str">
        <x:v>w_5684428a0465e02c</x:v>
      </x:c>
      <x:c r="D39" s="2" t="str">
        <x:v>温まる</x:v>
      </x:c>
      <x:c r="E39" s="2" t="str">
        <x:v>あたたまる</x:v>
      </x:c>
      <x:c r="F39" s="2" t="str">
        <x:v>아니오</x:v>
      </x:c>
      <x:c r="G39" s="2" t="n">
        <x:v>0</x:v>
      </x:c>
      <x:c r="H39" s="2" t="n">
        <x:v>2</x:v>
      </x:c>
      <x:c r="I39" s="2" t="str">
        <x:v>w_0cf78249edb1bc3d</x:v>
      </x:c>
      <x:c r="J39" s="2" t="str">
        <x:v>N3</x:v>
      </x:c>
      <x:c r="K39" s="2" t="str">
        <x:v>暖まる</x:v>
      </x:c>
      <x:c r="L39" s="2" t="str">
        <x:v>あたたまる</x:v>
      </x:c>
      <x:c r="M39" s="8" t="str">
        <x:v>따뜻해지다</x:v>
      </x:c>
      <x:c r="N39" s="9" t="n">
        <x:v>2.55</x:v>
      </x:c>
      <x:c r="O39" s="2" t="str">
        <x:v>아니오</x:v>
      </x:c>
      <x:c r="P39" s="2" t="str">
        <x:v>아니오</x:v>
      </x:c>
    </x:row>
    <x:row r="40">
      <x:c r="A40" s="2" t="str">
        <x:v>vg_018</x:v>
      </x:c>
      <x:c r="B40" s="2" t="str">
        <x:v>same_jmdict_entry</x:v>
      </x:c>
      <x:c r="C40" s="2" t="str">
        <x:v>w_5684428a0465e02c</x:v>
      </x:c>
      <x:c r="D40" s="2" t="str">
        <x:v>温まる</x:v>
      </x:c>
      <x:c r="E40" s="2" t="str">
        <x:v>あたたまる</x:v>
      </x:c>
      <x:c r="F40" s="2" t="str">
        <x:v>아니오</x:v>
      </x:c>
      <x:c r="G40" s="2" t="n">
        <x:v>0</x:v>
      </x:c>
      <x:c r="H40" s="2" t="n">
        <x:v>2</x:v>
      </x:c>
      <x:c r="I40" s="2" t="str">
        <x:v>w_5684428a0465e02c</x:v>
      </x:c>
      <x:c r="J40" s="2" t="str">
        <x:v>N3</x:v>
      </x:c>
      <x:c r="K40" s="2" t="str">
        <x:v>温まる</x:v>
      </x:c>
      <x:c r="L40" s="2" t="str">
        <x:v>あたたまる</x:v>
      </x:c>
      <x:c r="M40" s="8" t="str">
        <x:v>따뜻해지다, 몸을 녹이다</x:v>
      </x:c>
      <x:c r="N40" s="9" t="n">
        <x:v>3.01</x:v>
      </x:c>
      <x:c r="O40" s="2" t="str">
        <x:v>아니오</x:v>
      </x:c>
      <x:c r="P40" s="2" t="str">
        <x:v>예</x:v>
      </x:c>
    </x:row>
    <x:row r="41">
      <x:c r="A41" s="2" t="str">
        <x:v>vg_019</x:v>
      </x:c>
      <x:c r="B41" s="2" t="str">
        <x:v>same_jmdict_entry,same_reading_meaning</x:v>
      </x:c>
      <x:c r="C41" s="2" t="str">
        <x:v>w_0d74e407f9afe5a5</x:v>
      </x:c>
      <x:c r="D41" s="2" t="str">
        <x:v>売れ行き</x:v>
      </x:c>
      <x:c r="E41" s="2" t="str">
        <x:v>うれゆき</x:v>
      </x:c>
      <x:c r="F41" s="2" t="str">
        <x:v>아니오</x:v>
      </x:c>
      <x:c r="G41" s="2" t="n">
        <x:v>0</x:v>
      </x:c>
      <x:c r="H41" s="2" t="n">
        <x:v>2</x:v>
      </x:c>
      <x:c r="I41" s="2" t="str">
        <x:v>w_0d74e407f9afe5a5</x:v>
      </x:c>
      <x:c r="J41" s="2" t="str">
        <x:v>N2</x:v>
      </x:c>
      <x:c r="K41" s="2" t="str">
        <x:v>売れ行き</x:v>
      </x:c>
      <x:c r="L41" s="2" t="str">
        <x:v>うれゆき</x:v>
      </x:c>
      <x:c r="M41" s="8" t="str">
        <x:v>팔림새, 매출</x:v>
      </x:c>
      <x:c r="N41" s="9" t="n">
        <x:v>3.17</x:v>
      </x:c>
      <x:c r="O41" s="2" t="str">
        <x:v>아니오</x:v>
      </x:c>
      <x:c r="P41" s="2" t="str">
        <x:v>예</x:v>
      </x:c>
    </x:row>
    <x:row r="42">
      <x:c r="A42" s="2" t="str">
        <x:v>vg_019</x:v>
      </x:c>
      <x:c r="B42" s="2" t="str">
        <x:v>same_jmdict_entry,same_reading_meaning</x:v>
      </x:c>
      <x:c r="C42" s="2" t="str">
        <x:v>w_0d74e407f9afe5a5</x:v>
      </x:c>
      <x:c r="D42" s="2" t="str">
        <x:v>売れ行き</x:v>
      </x:c>
      <x:c r="E42" s="2" t="str">
        <x:v>うれゆき</x:v>
      </x:c>
      <x:c r="F42" s="2" t="str">
        <x:v>아니오</x:v>
      </x:c>
      <x:c r="G42" s="2" t="n">
        <x:v>0</x:v>
      </x:c>
      <x:c r="H42" s="2" t="n">
        <x:v>2</x:v>
      </x:c>
      <x:c r="I42" s="2" t="str">
        <x:v>w_7b003e655b3eac1a</x:v>
      </x:c>
      <x:c r="J42" s="2" t="str">
        <x:v>N2</x:v>
      </x:c>
      <x:c r="K42" s="2" t="str">
        <x:v>売行き</x:v>
      </x:c>
      <x:c r="L42" s="2" t="str">
        <x:v>うれゆき</x:v>
      </x:c>
      <x:c r="M42" s="8" t="str">
        <x:v>팔림새, 매출</x:v>
      </x:c>
      <x:c r="N42" s="9" t="n">
        <x:v>1.2</x:v>
      </x:c>
      <x:c r="O42" s="2" t="str">
        <x:v>아니오</x:v>
      </x:c>
      <x:c r="P42" s="2" t="str">
        <x:v>아니오</x:v>
      </x:c>
    </x:row>
    <x:row r="43">
      <x:c r="A43" s="2" t="str">
        <x:v>vg_020</x:v>
      </x:c>
      <x:c r="B43" s="2" t="str">
        <x:v>same_jmdict_entry,same_reading_meaning</x:v>
      </x:c>
      <x:c r="C43" s="2" t="str">
        <x:v>w_141bffd3783912a5</x:v>
      </x:c>
      <x:c r="D43" s="2" t="str">
        <x:v>備わる</x:v>
      </x:c>
      <x:c r="E43" s="2" t="str">
        <x:v>そなわる</x:v>
      </x:c>
      <x:c r="F43" s="2" t="str">
        <x:v>아니오</x:v>
      </x:c>
      <x:c r="G43" s="2" t="n">
        <x:v>0</x:v>
      </x:c>
      <x:c r="H43" s="2" t="n">
        <x:v>2</x:v>
      </x:c>
      <x:c r="I43" s="2" t="str">
        <x:v>w_0dc94c60969cdfdf</x:v>
      </x:c>
      <x:c r="J43" s="2" t="str">
        <x:v>N1</x:v>
      </x:c>
      <x:c r="K43" s="2" t="str">
        <x:v>具わる</x:v>
      </x:c>
      <x:c r="L43" s="2" t="str">
        <x:v>そなわる</x:v>
      </x:c>
      <x:c r="M43" s="8" t="str">
        <x:v>갖추어지다</x:v>
      </x:c>
      <x:c r="N43" s="9" t="n">
        <x:v>1.23</x:v>
      </x:c>
      <x:c r="O43" s="2" t="str">
        <x:v>아니오</x:v>
      </x:c>
      <x:c r="P43" s="2" t="str">
        <x:v>아니오</x:v>
      </x:c>
    </x:row>
    <x:row r="44">
      <x:c r="A44" s="2" t="str">
        <x:v>vg_020</x:v>
      </x:c>
      <x:c r="B44" s="2" t="str">
        <x:v>same_jmdict_entry,same_reading_meaning</x:v>
      </x:c>
      <x:c r="C44" s="2" t="str">
        <x:v>w_141bffd3783912a5</x:v>
      </x:c>
      <x:c r="D44" s="2" t="str">
        <x:v>備わる</x:v>
      </x:c>
      <x:c r="E44" s="2" t="str">
        <x:v>そなわる</x:v>
      </x:c>
      <x:c r="F44" s="2" t="str">
        <x:v>아니오</x:v>
      </x:c>
      <x:c r="G44" s="2" t="n">
        <x:v>0</x:v>
      </x:c>
      <x:c r="H44" s="2" t="n">
        <x:v>2</x:v>
      </x:c>
      <x:c r="I44" s="2" t="str">
        <x:v>w_141bffd3783912a5</x:v>
      </x:c>
      <x:c r="J44" s="2" t="str">
        <x:v>N1</x:v>
      </x:c>
      <x:c r="K44" s="2" t="str">
        <x:v>備わる</x:v>
      </x:c>
      <x:c r="L44" s="2" t="str">
        <x:v>そなわる</x:v>
      </x:c>
      <x:c r="M44" s="8" t="str">
        <x:v>갖추어지다</x:v>
      </x:c>
      <x:c r="N44" s="9" t="n">
        <x:v>2.46</x:v>
      </x:c>
      <x:c r="O44" s="2" t="str">
        <x:v>아니오</x:v>
      </x:c>
      <x:c r="P44" s="2" t="str">
        <x:v>예</x:v>
      </x:c>
    </x:row>
    <x:row r="45">
      <x:c r="A45" s="2" t="str">
        <x:v>vg_021</x:v>
      </x:c>
      <x:c r="B45" s="2" t="str">
        <x:v>same_jmdict_entry</x:v>
      </x:c>
      <x:c r="C45" s="2" t="str">
        <x:v>w_0e66d1e196b285b8</x:v>
      </x:c>
      <x:c r="D45" s="2" t="str">
        <x:v>魚</x:v>
      </x:c>
      <x:c r="E45" s="2" t="str">
        <x:v>さかな</x:v>
      </x:c>
      <x:c r="F45" s="2" t="str">
        <x:v>예</x:v>
      </x:c>
      <x:c r="G45" s="2" t="n">
        <x:v>1</x:v>
      </x:c>
      <x:c r="H45" s="2" t="n">
        <x:v>2</x:v>
      </x:c>
      <x:c r="I45" s="2" t="str">
        <x:v>w_0e66d1e196b285b8</x:v>
      </x:c>
      <x:c r="J45" s="2" t="str">
        <x:v>N5</x:v>
      </x:c>
      <x:c r="K45" s="2" t="str">
        <x:v>魚</x:v>
      </x:c>
      <x:c r="L45" s="2" t="str">
        <x:v>さかな</x:v>
      </x:c>
      <x:c r="M45" s="8" t="str">
        <x:v>생선, 물고기</x:v>
      </x:c>
      <x:c r="N45" s="9" t="n">
        <x:v>4.71</x:v>
      </x:c>
      <x:c r="O45" s="2" t="str">
        <x:v>예</x:v>
      </x:c>
      <x:c r="P45" s="2" t="str">
        <x:v>예</x:v>
      </x:c>
    </x:row>
    <x:row r="46">
      <x:c r="A46" s="2" t="str">
        <x:v>vg_021</x:v>
      </x:c>
      <x:c r="B46" s="2" t="str">
        <x:v>same_jmdict_entry</x:v>
      </x:c>
      <x:c r="C46" s="2" t="str">
        <x:v>w_0e66d1e196b285b8</x:v>
      </x:c>
      <x:c r="D46" s="2" t="str">
        <x:v>魚</x:v>
      </x:c>
      <x:c r="E46" s="2" t="str">
        <x:v>さかな</x:v>
      </x:c>
      <x:c r="F46" s="2" t="str">
        <x:v>예</x:v>
      </x:c>
      <x:c r="G46" s="2" t="n">
        <x:v>1</x:v>
      </x:c>
      <x:c r="H46" s="2" t="n">
        <x:v>2</x:v>
      </x:c>
      <x:c r="I46" s="2" t="str">
        <x:v>w_82adb6170ea8495c</x:v>
      </x:c>
      <x:c r="J46" s="2" t="str">
        <x:v>N3</x:v>
      </x:c>
      <x:c r="K46" s="2" t="str">
        <x:v>魚</x:v>
      </x:c>
      <x:c r="L46" s="2" t="str">
        <x:v>うお</x:v>
      </x:c>
      <x:c r="M46" s="8" t="str">
        <x:v>생선, 물고기</x:v>
      </x:c>
      <x:c r="N46" s="9" t="n">
        <x:v>4.71</x:v>
      </x:c>
      <x:c r="O46" s="2" t="str">
        <x:v>아니오</x:v>
      </x:c>
      <x:c r="P46" s="2" t="str">
        <x:v>아니오</x:v>
      </x:c>
    </x:row>
    <x:row r="47">
      <x:c r="A47" s="2" t="str">
        <x:v>vg_022</x:v>
      </x:c>
      <x:c r="B47" s="2" t="str">
        <x:v>same_jmdict_entry,same_reading_meaning</x:v>
      </x:c>
      <x:c r="C47" s="2" t="str">
        <x:v>w_0ea31b98d247240b</x:v>
      </x:c>
      <x:c r="D47" s="2" t="str">
        <x:v>剥がす</x:v>
      </x:c>
      <x:c r="E47" s="2" t="str">
        <x:v>はがす</x:v>
      </x:c>
      <x:c r="F47" s="2" t="str">
        <x:v>예</x:v>
      </x:c>
      <x:c r="G47" s="2" t="n">
        <x:v>1</x:v>
      </x:c>
      <x:c r="H47" s="2" t="n">
        <x:v>2</x:v>
      </x:c>
      <x:c r="I47" s="2" t="str">
        <x:v>w_0ea31b98d247240b</x:v>
      </x:c>
      <x:c r="J47" s="2" t="str">
        <x:v>N2</x:v>
      </x:c>
      <x:c r="K47" s="2" t="str">
        <x:v>剥がす</x:v>
      </x:c>
      <x:c r="L47" s="2" t="str">
        <x:v>はがす</x:v>
      </x:c>
      <x:c r="M47" s="8" t="str">
        <x:v>떼어 내다, 벗기다</x:v>
      </x:c>
      <x:c r="N47" s="9" t="n">
        <x:v>3.13</x:v>
      </x:c>
      <x:c r="O47" s="2" t="str">
        <x:v>예</x:v>
      </x:c>
      <x:c r="P47" s="2" t="str">
        <x:v>예</x:v>
      </x:c>
    </x:row>
    <x:row r="48">
      <x:c r="A48" s="2" t="str">
        <x:v>vg_022</x:v>
      </x:c>
      <x:c r="B48" s="2" t="str">
        <x:v>same_jmdict_entry,same_reading_meaning</x:v>
      </x:c>
      <x:c r="C48" s="2" t="str">
        <x:v>w_0ea31b98d247240b</x:v>
      </x:c>
      <x:c r="D48" s="2" t="str">
        <x:v>剥がす</x:v>
      </x:c>
      <x:c r="E48" s="2" t="str">
        <x:v>はがす</x:v>
      </x:c>
      <x:c r="F48" s="2" t="str">
        <x:v>예</x:v>
      </x:c>
      <x:c r="G48" s="2" t="n">
        <x:v>1</x:v>
      </x:c>
      <x:c r="H48" s="2" t="n">
        <x:v>2</x:v>
      </x:c>
      <x:c r="I48" s="2" t="str">
        <x:v>w_7ca6b596e606b1f3</x:v>
      </x:c>
      <x:c r="J48" s="2" t="str">
        <x:v>N2</x:v>
      </x:c>
      <x:c r="K48" s="2" t="str">
        <x:v>剥す</x:v>
      </x:c>
      <x:c r="L48" s="2" t="str">
        <x:v>はがす</x:v>
      </x:c>
      <x:c r="M48" s="8" t="str">
        <x:v>벗기다, 떼어 내다</x:v>
      </x:c>
      <x:c r="N48" s="9" t="n">
        <x:v>2.55</x:v>
      </x:c>
      <x:c r="O48" s="2" t="str">
        <x:v>아니오</x:v>
      </x:c>
      <x:c r="P48" s="2" t="str">
        <x:v>아니오</x:v>
      </x:c>
    </x:row>
    <x:row r="49">
      <x:c r="A49" s="2" t="str">
        <x:v>vg_023</x:v>
      </x:c>
      <x:c r="B49" s="2" t="str">
        <x:v>same_jmdict_entry,same_reading_meaning</x:v>
      </x:c>
      <x:c r="C49" s="2" t="str">
        <x:v>w_0f5632f509adb0be</x:v>
      </x:c>
      <x:c r="D49" s="2" t="str">
        <x:v>基準</x:v>
      </x:c>
      <x:c r="E49" s="2" t="str">
        <x:v>きじゅん</x:v>
      </x:c>
      <x:c r="F49" s="2" t="str">
        <x:v>예</x:v>
      </x:c>
      <x:c r="G49" s="2" t="n">
        <x:v>1</x:v>
      </x:c>
      <x:c r="H49" s="2" t="n">
        <x:v>2</x:v>
      </x:c>
      <x:c r="I49" s="2" t="str">
        <x:v>w_0f5632f509adb0be</x:v>
      </x:c>
      <x:c r="J49" s="2" t="str">
        <x:v>N2</x:v>
      </x:c>
      <x:c r="K49" s="2" t="str">
        <x:v>基準</x:v>
      </x:c>
      <x:c r="L49" s="2" t="str">
        <x:v>きじゅん</x:v>
      </x:c>
      <x:c r="M49" s="8" t="str">
        <x:v>기준, 표준</x:v>
      </x:c>
      <x:c r="N49" s="9" t="n">
        <x:v>4.77</x:v>
      </x:c>
      <x:c r="O49" s="2" t="str">
        <x:v>예</x:v>
      </x:c>
      <x:c r="P49" s="2" t="str">
        <x:v>예</x:v>
      </x:c>
    </x:row>
    <x:row r="50">
      <x:c r="A50" s="2" t="str">
        <x:v>vg_023</x:v>
      </x:c>
      <x:c r="B50" s="2" t="str">
        <x:v>same_jmdict_entry,same_reading_meaning</x:v>
      </x:c>
      <x:c r="C50" s="2" t="str">
        <x:v>w_0f5632f509adb0be</x:v>
      </x:c>
      <x:c r="D50" s="2" t="str">
        <x:v>基準</x:v>
      </x:c>
      <x:c r="E50" s="2" t="str">
        <x:v>きじゅん</x:v>
      </x:c>
      <x:c r="F50" s="2" t="str">
        <x:v>예</x:v>
      </x:c>
      <x:c r="G50" s="2" t="n">
        <x:v>1</x:v>
      </x:c>
      <x:c r="H50" s="2" t="n">
        <x:v>2</x:v>
      </x:c>
      <x:c r="I50" s="2" t="str">
        <x:v>w_2c0a3b86789fa920</x:v>
      </x:c>
      <x:c r="J50" s="2" t="str">
        <x:v>N2</x:v>
      </x:c>
      <x:c r="K50" s="2" t="str">
        <x:v>規準</x:v>
      </x:c>
      <x:c r="L50" s="2" t="str">
        <x:v>きじゅん</x:v>
      </x:c>
      <x:c r="M50" s="8" t="str">
        <x:v>기준, 표준</x:v>
      </x:c>
      <x:c r="N50" s="9" t="n">
        <x:v>2.5</x:v>
      </x:c>
      <x:c r="O50" s="2" t="str">
        <x:v>아니오</x:v>
      </x:c>
      <x:c r="P50" s="2" t="str">
        <x:v>아니오</x:v>
      </x:c>
    </x:row>
    <x:row r="51">
      <x:c r="A51" s="2" t="str">
        <x:v>vg_024</x:v>
      </x:c>
      <x:c r="B51" s="2" t="str">
        <x:v>same_jmdict_entry,same_reading_meaning</x:v>
      </x:c>
      <x:c r="C51" s="2" t="str">
        <x:v>w_12cea3640e3f95bb</x:v>
      </x:c>
      <x:c r="D51" s="2" t="str">
        <x:v>出入り口</x:v>
      </x:c>
      <x:c r="E51" s="2" t="str">
        <x:v>でいりぐち</x:v>
      </x:c>
      <x:c r="F51" s="2" t="str">
        <x:v>아니오</x:v>
      </x:c>
      <x:c r="G51" s="2" t="n">
        <x:v>0</x:v>
      </x:c>
      <x:c r="H51" s="2" t="n">
        <x:v>2</x:v>
      </x:c>
      <x:c r="I51" s="2" t="str">
        <x:v>w_12cea3640e3f95bb</x:v>
      </x:c>
      <x:c r="J51" s="2" t="str">
        <x:v>N2</x:v>
      </x:c>
      <x:c r="K51" s="2" t="str">
        <x:v>出入り口</x:v>
      </x:c>
      <x:c r="L51" s="2" t="str">
        <x:v>でいりぐち</x:v>
      </x:c>
      <x:c r="M51" s="8" t="str">
        <x:v>출구 입구</x:v>
      </x:c>
      <x:c r="N51" s="9" t="n">
        <x:v>3.12</x:v>
      </x:c>
      <x:c r="O51" s="2" t="str">
        <x:v>아니오</x:v>
      </x:c>
      <x:c r="P51" s="2" t="str">
        <x:v>예</x:v>
      </x:c>
    </x:row>
    <x:row r="52">
      <x:c r="A52" s="2" t="str">
        <x:v>vg_024</x:v>
      </x:c>
      <x:c r="B52" s="2" t="str">
        <x:v>same_jmdict_entry,same_reading_meaning</x:v>
      </x:c>
      <x:c r="C52" s="2" t="str">
        <x:v>w_12cea3640e3f95bb</x:v>
      </x:c>
      <x:c r="D52" s="2" t="str">
        <x:v>出入り口</x:v>
      </x:c>
      <x:c r="E52" s="2" t="str">
        <x:v>でいりぐち</x:v>
      </x:c>
      <x:c r="F52" s="2" t="str">
        <x:v>아니오</x:v>
      </x:c>
      <x:c r="G52" s="2" t="n">
        <x:v>0</x:v>
      </x:c>
      <x:c r="H52" s="2" t="n">
        <x:v>2</x:v>
      </x:c>
      <x:c r="I52" s="2" t="str">
        <x:v>w_c9eef19134655f9f</x:v>
      </x:c>
      <x:c r="J52" s="2" t="str">
        <x:v>N2</x:v>
      </x:c>
      <x:c r="K52" s="2" t="str">
        <x:v>出入口</x:v>
      </x:c>
      <x:c r="L52" s="2" t="str">
        <x:v>でいりぐち</x:v>
      </x:c>
      <x:c r="M52" s="8" t="str">
        <x:v>출구 입구</x:v>
      </x:c>
      <x:c r="N52" s="9" t="n">
        <x:v>2.91</x:v>
      </x:c>
      <x:c r="O52" s="2" t="str">
        <x:v>아니오</x:v>
      </x:c>
      <x:c r="P52" s="2" t="str">
        <x:v>아니오</x:v>
      </x:c>
    </x:row>
    <x:row r="53">
      <x:c r="A53" s="2" t="str">
        <x:v>vg_025</x:v>
      </x:c>
      <x:c r="B53" s="2" t="str">
        <x:v>same_jmdict_entry</x:v>
      </x:c>
      <x:c r="C53" s="2" t="str">
        <x:v>w_15b6a51d0d12fccc</x:v>
      </x:c>
      <x:c r="D53" s="2" t="str">
        <x:v>絶える</x:v>
      </x:c>
      <x:c r="E53" s="2" t="str">
        <x:v>たえる</x:v>
      </x:c>
      <x:c r="F53" s="2" t="str">
        <x:v>아니오</x:v>
      </x:c>
      <x:c r="G53" s="2" t="n">
        <x:v>0</x:v>
      </x:c>
      <x:c r="H53" s="2" t="n">
        <x:v>2</x:v>
      </x:c>
      <x:c r="I53" s="2" t="str">
        <x:v>w_15b6a51d0d12fccc</x:v>
      </x:c>
      <x:c r="J53" s="2" t="str">
        <x:v>N1</x:v>
      </x:c>
      <x:c r="K53" s="2" t="str">
        <x:v>絶える</x:v>
      </x:c>
      <x:c r="L53" s="2" t="str">
        <x:v>たえる</x:v>
      </x:c>
      <x:c r="M53" s="8" t="str">
        <x:v>끊어지다, 사라지다</x:v>
      </x:c>
      <x:c r="N53" s="9" t="n">
        <x:v>3.02</x:v>
      </x:c>
      <x:c r="O53" s="2" t="str">
        <x:v>아니오</x:v>
      </x:c>
      <x:c r="P53" s="2" t="str">
        <x:v>예</x:v>
      </x:c>
    </x:row>
    <x:row r="54">
      <x:c r="A54" s="2" t="str">
        <x:v>vg_025</x:v>
      </x:c>
      <x:c r="B54" s="2" t="str">
        <x:v>same_jmdict_entry</x:v>
      </x:c>
      <x:c r="C54" s="2" t="str">
        <x:v>w_15b6a51d0d12fccc</x:v>
      </x:c>
      <x:c r="D54" s="2" t="str">
        <x:v>絶える</x:v>
      </x:c>
      <x:c r="E54" s="2" t="str">
        <x:v>たえる</x:v>
      </x:c>
      <x:c r="F54" s="2" t="str">
        <x:v>아니오</x:v>
      </x:c>
      <x:c r="G54" s="2" t="n">
        <x:v>0</x:v>
      </x:c>
      <x:c r="H54" s="2" t="n">
        <x:v>2</x:v>
      </x:c>
      <x:c r="I54" s="2" t="str">
        <x:v>w_3a7105fe1e3761ba</x:v>
      </x:c>
      <x:c r="J54" s="2" t="str">
        <x:v>N1</x:v>
      </x:c>
      <x:c r="K54" s="2" t="str">
        <x:v>断える</x:v>
      </x:c>
      <x:c r="L54" s="2" t="str">
        <x:v>たえる</x:v>
      </x:c>
      <x:c r="M54" s="8" t="str">
        <x:v>끊어지다, 그치다</x:v>
      </x:c>
      <x:c r="N54" s="9" t="n">
        <x:v>3.68</x:v>
      </x:c>
      <x:c r="O54" s="2" t="str">
        <x:v>아니오</x:v>
      </x:c>
      <x:c r="P54" s="2" t="str">
        <x:v>아니오</x:v>
      </x:c>
    </x:row>
    <x:row r="55">
      <x:c r="A55" s="2" t="str">
        <x:v>vg_026</x:v>
      </x:c>
      <x:c r="B55" s="2" t="str">
        <x:v>same_jmdict_entry</x:v>
      </x:c>
      <x:c r="C55" s="2" t="str">
        <x:v>w_713aaa51e13cbeed</x:v>
      </x:c>
      <x:c r="D55" s="2" t="str">
        <x:v>叔父</x:v>
      </x:c>
      <x:c r="E55" s="2" t="str">
        <x:v>おじ</x:v>
      </x:c>
      <x:c r="F55" s="2" t="str">
        <x:v>아니오</x:v>
      </x:c>
      <x:c r="G55" s="2" t="n">
        <x:v>0</x:v>
      </x:c>
      <x:c r="H55" s="2" t="n">
        <x:v>2</x:v>
      </x:c>
      <x:c r="I55" s="2" t="str">
        <x:v>w_188378c15d9c641d</x:v>
      </x:c>
      <x:c r="J55" s="2" t="str">
        <x:v>N2</x:v>
      </x:c>
      <x:c r="K55" s="2" t="str">
        <x:v>伯父</x:v>
      </x:c>
      <x:c r="L55" s="2" t="str">
        <x:v>おじ</x:v>
      </x:c>
      <x:c r="M55" s="8" t="str">
        <x:v>큰아버지, 백부</x:v>
      </x:c>
      <x:c r="N55" s="9" t="n">
        <x:v>3.51</x:v>
      </x:c>
      <x:c r="O55" s="2" t="str">
        <x:v>아니오</x:v>
      </x:c>
      <x:c r="P55" s="2" t="str">
        <x:v>아니오</x:v>
      </x:c>
    </x:row>
    <x:row r="56">
      <x:c r="A56" s="2" t="str">
        <x:v>vg_026</x:v>
      </x:c>
      <x:c r="B56" s="2" t="str">
        <x:v>same_jmdict_entry</x:v>
      </x:c>
      <x:c r="C56" s="2" t="str">
        <x:v>w_713aaa51e13cbeed</x:v>
      </x:c>
      <x:c r="D56" s="2" t="str">
        <x:v>叔父</x:v>
      </x:c>
      <x:c r="E56" s="2" t="str">
        <x:v>おじ</x:v>
      </x:c>
      <x:c r="F56" s="2" t="str">
        <x:v>아니오</x:v>
      </x:c>
      <x:c r="G56" s="2" t="n">
        <x:v>0</x:v>
      </x:c>
      <x:c r="H56" s="2" t="n">
        <x:v>2</x:v>
      </x:c>
      <x:c r="I56" s="2" t="str">
        <x:v>w_713aaa51e13cbeed</x:v>
      </x:c>
      <x:c r="J56" s="2" t="str">
        <x:v>N2</x:v>
      </x:c>
      <x:c r="K56" s="2" t="str">
        <x:v>叔父</x:v>
      </x:c>
      <x:c r="L56" s="2" t="str">
        <x:v>おじ</x:v>
      </x:c>
      <x:c r="M56" s="8" t="str">
        <x:v>작은아버지, 숙부</x:v>
      </x:c>
      <x:c r="N56" s="9" t="n">
        <x:v>3.95</x:v>
      </x:c>
      <x:c r="O56" s="2" t="str">
        <x:v>아니오</x:v>
      </x:c>
      <x:c r="P56" s="2" t="str">
        <x:v>예</x:v>
      </x:c>
    </x:row>
    <x:row r="57">
      <x:c r="A57" s="2" t="str">
        <x:v>vg_027</x:v>
      </x:c>
      <x:c r="B57" s="2" t="str">
        <x:v>same_jmdict_entry</x:v>
      </x:c>
      <x:c r="C57" s="2" t="str">
        <x:v>w_ee3c1ca407d1bb22</x:v>
      </x:c>
      <x:c r="D57" s="2" t="str">
        <x:v>降ろす</x:v>
      </x:c>
      <x:c r="E57" s="2" t="str">
        <x:v>おろす</x:v>
      </x:c>
      <x:c r="F57" s="2" t="str">
        <x:v>아니오</x:v>
      </x:c>
      <x:c r="G57" s="2" t="n">
        <x:v>0</x:v>
      </x:c>
      <x:c r="H57" s="2" t="n">
        <x:v>2</x:v>
      </x:c>
      <x:c r="I57" s="2" t="str">
        <x:v>w_1c1503ab26f6fd96</x:v>
      </x:c>
      <x:c r="J57" s="2" t="str">
        <x:v>N3</x:v>
      </x:c>
      <x:c r="K57" s="2" t="str">
        <x:v>下す</x:v>
      </x:c>
      <x:c r="L57" s="2" t="str">
        <x:v>おろす</x:v>
      </x:c>
      <x:c r="M57" s="8" t="str">
        <x:v>내리다, (판단을) 내리다</x:v>
      </x:c>
      <x:c r="N57" s="9" t="n">
        <x:v>3.66</x:v>
      </x:c>
      <x:c r="O57" s="2" t="str">
        <x:v>아니오</x:v>
      </x:c>
      <x:c r="P57" s="2" t="str">
        <x:v>아니오</x:v>
      </x:c>
    </x:row>
    <x:row r="58">
      <x:c r="A58" s="2" t="str">
        <x:v>vg_027</x:v>
      </x:c>
      <x:c r="B58" s="2" t="str">
        <x:v>same_jmdict_entry</x:v>
      </x:c>
      <x:c r="C58" s="2" t="str">
        <x:v>w_ee3c1ca407d1bb22</x:v>
      </x:c>
      <x:c r="D58" s="2" t="str">
        <x:v>降ろす</x:v>
      </x:c>
      <x:c r="E58" s="2" t="str">
        <x:v>おろす</x:v>
      </x:c>
      <x:c r="F58" s="2" t="str">
        <x:v>아니오</x:v>
      </x:c>
      <x:c r="G58" s="2" t="n">
        <x:v>0</x:v>
      </x:c>
      <x:c r="H58" s="2" t="n">
        <x:v>2</x:v>
      </x:c>
      <x:c r="I58" s="2" t="str">
        <x:v>w_ee3c1ca407d1bb22</x:v>
      </x:c>
      <x:c r="J58" s="2" t="str">
        <x:v>N3</x:v>
      </x:c>
      <x:c r="K58" s="2" t="str">
        <x:v>降ろす</x:v>
      </x:c>
      <x:c r="L58" s="2" t="str">
        <x:v>おろす</x:v>
      </x:c>
      <x:c r="M58" s="8" t="str">
        <x:v>내리다, 떨어뜨리다, 진수하다</x:v>
      </x:c>
      <x:c r="N58" s="9" t="n">
        <x:v>2.95</x:v>
      </x:c>
      <x:c r="O58" s="2" t="str">
        <x:v>아니오</x:v>
      </x:c>
      <x:c r="P58" s="2" t="str">
        <x:v>예</x:v>
      </x:c>
    </x:row>
    <x:row r="59">
      <x:c r="A59" s="2" t="str">
        <x:v>vg_028</x:v>
      </x:c>
      <x:c r="B59" s="2" t="str">
        <x:v>same_jmdict_entry,same_reading_meaning</x:v>
      </x:c>
      <x:c r="C59" s="2" t="str">
        <x:v>w_1d6479a34c016b7b</x:v>
      </x:c>
      <x:c r="D59" s="2" t="str">
        <x:v>腰掛け</x:v>
      </x:c>
      <x:c r="E59" s="2" t="str">
        <x:v>こしかけ</x:v>
      </x:c>
      <x:c r="F59" s="2" t="str">
        <x:v>아니오</x:v>
      </x:c>
      <x:c r="G59" s="2" t="n">
        <x:v>0</x:v>
      </x:c>
      <x:c r="H59" s="2" t="n">
        <x:v>2</x:v>
      </x:c>
      <x:c r="I59" s="2" t="str">
        <x:v>w_1d6479a34c016b7b</x:v>
      </x:c>
      <x:c r="J59" s="2" t="str">
        <x:v>N2</x:v>
      </x:c>
      <x:c r="K59" s="2" t="str">
        <x:v>腰掛け</x:v>
      </x:c>
      <x:c r="L59" s="2" t="str">
        <x:v>こしかけ</x:v>
      </x:c>
      <x:c r="M59" s="8" t="str">
        <x:v>좌석, 벤치</x:v>
      </x:c>
      <x:c r="N59" s="9" t="n">
        <x:v>2.94</x:v>
      </x:c>
      <x:c r="O59" s="2" t="str">
        <x:v>아니오</x:v>
      </x:c>
      <x:c r="P59" s="2" t="str">
        <x:v>예</x:v>
      </x:c>
    </x:row>
    <x:row r="60">
      <x:c r="A60" s="2" t="str">
        <x:v>vg_028</x:v>
      </x:c>
      <x:c r="B60" s="2" t="str">
        <x:v>same_jmdict_entry,same_reading_meaning</x:v>
      </x:c>
      <x:c r="C60" s="2" t="str">
        <x:v>w_1d6479a34c016b7b</x:v>
      </x:c>
      <x:c r="D60" s="2" t="str">
        <x:v>腰掛け</x:v>
      </x:c>
      <x:c r="E60" s="2" t="str">
        <x:v>こしかけ</x:v>
      </x:c>
      <x:c r="F60" s="2" t="str">
        <x:v>아니오</x:v>
      </x:c>
      <x:c r="G60" s="2" t="n">
        <x:v>0</x:v>
      </x:c>
      <x:c r="H60" s="2" t="n">
        <x:v>2</x:v>
      </x:c>
      <x:c r="I60" s="2" t="str">
        <x:v>w_6b9618a530ed3936</x:v>
      </x:c>
      <x:c r="J60" s="2" t="str">
        <x:v>N2</x:v>
      </x:c>
      <x:c r="K60" s="2" t="str">
        <x:v>腰掛</x:v>
      </x:c>
      <x:c r="L60" s="2" t="str">
        <x:v>こしかけ</x:v>
      </x:c>
      <x:c r="M60" s="8" t="str">
        <x:v>좌석, 벤치</x:v>
      </x:c>
      <x:c r="N60" s="9" t="n">
        <x:v>2.21</x:v>
      </x:c>
      <x:c r="O60" s="2" t="str">
        <x:v>아니오</x:v>
      </x:c>
      <x:c r="P60" s="2" t="str">
        <x:v>아니오</x:v>
      </x:c>
    </x:row>
    <x:row r="61">
      <x:c r="A61" s="2" t="str">
        <x:v>vg_029</x:v>
      </x:c>
      <x:c r="B61" s="2" t="str">
        <x:v>same_reading_meaning</x:v>
      </x:c>
      <x:c r="C61" s="2" t="str">
        <x:v>w_de42b53ac78fd7b6</x:v>
      </x:c>
      <x:c r="D61" s="2" t="str">
        <x:v>百科事典</x:v>
      </x:c>
      <x:c r="E61" s="2" t="str">
        <x:v>ひゃっかじてん</x:v>
      </x:c>
      <x:c r="F61" s="2" t="str">
        <x:v>아니오</x:v>
      </x:c>
      <x:c r="G61" s="2" t="n">
        <x:v>0</x:v>
      </x:c>
      <x:c r="H61" s="2" t="n">
        <x:v>2</x:v>
      </x:c>
      <x:c r="I61" s="2" t="str">
        <x:v>w_1ddadf8a748f9f4b</x:v>
      </x:c>
      <x:c r="J61" s="2" t="str">
        <x:v>N2</x:v>
      </x:c>
      <x:c r="K61" s="2" t="str">
        <x:v>ひゃっかじてん</x:v>
      </x:c>
      <x:c r="L61" s="2" t="str">
        <x:v>ひゃっかじてん</x:v>
      </x:c>
      <x:c r="M61" s="8" t="str">
        <x:v>백과사전</x:v>
      </x:c>
      <x:c r="N61" s="9" t="n">
        <x:v>0</x:v>
      </x:c>
      <x:c r="O61" s="2" t="str">
        <x:v>아니오</x:v>
      </x:c>
      <x:c r="P61" s="2" t="str">
        <x:v>아니오</x:v>
      </x:c>
    </x:row>
    <x:row r="62">
      <x:c r="A62" s="2" t="str">
        <x:v>vg_029</x:v>
      </x:c>
      <x:c r="B62" s="2" t="str">
        <x:v>same_reading_meaning</x:v>
      </x:c>
      <x:c r="C62" s="2" t="str">
        <x:v>w_de42b53ac78fd7b6</x:v>
      </x:c>
      <x:c r="D62" s="2" t="str">
        <x:v>百科事典</x:v>
      </x:c>
      <x:c r="E62" s="2" t="str">
        <x:v>ひゃっかじてん</x:v>
      </x:c>
      <x:c r="F62" s="2" t="str">
        <x:v>아니오</x:v>
      </x:c>
      <x:c r="G62" s="2" t="n">
        <x:v>0</x:v>
      </x:c>
      <x:c r="H62" s="2" t="n">
        <x:v>2</x:v>
      </x:c>
      <x:c r="I62" s="2" t="str">
        <x:v>w_de42b53ac78fd7b6</x:v>
      </x:c>
      <x:c r="J62" s="2" t="str">
        <x:v>N2</x:v>
      </x:c>
      <x:c r="K62" s="2" t="str">
        <x:v>百科事典</x:v>
      </x:c>
      <x:c r="L62" s="2" t="str">
        <x:v>ひゃっかじてん</x:v>
      </x:c>
      <x:c r="M62" s="8" t="str">
        <x:v>백과사전</x:v>
      </x:c>
      <x:c r="N62" s="9" t="n">
        <x:v>3.25</x:v>
      </x:c>
      <x:c r="O62" s="2" t="str">
        <x:v>아니오</x:v>
      </x:c>
      <x:c r="P62" s="2" t="str">
        <x:v>예</x:v>
      </x:c>
    </x:row>
    <x:row r="63">
      <x:c r="A63" s="2" t="str">
        <x:v>vg_030</x:v>
      </x:c>
      <x:c r="B63" s="2" t="str">
        <x:v>same_jmdict_entry,same_reading_meaning</x:v>
      </x:c>
      <x:c r="C63" s="2" t="str">
        <x:v>w_213905929b42e976</x:v>
      </x:c>
      <x:c r="D63" s="2" t="str">
        <x:v>始めに</x:v>
      </x:c>
      <x:c r="E63" s="2" t="str">
        <x:v>はじめに</x:v>
      </x:c>
      <x:c r="F63" s="2" t="str">
        <x:v>아니오</x:v>
      </x:c>
      <x:c r="G63" s="2" t="n">
        <x:v>0</x:v>
      </x:c>
      <x:c r="H63" s="2" t="n">
        <x:v>2</x:v>
      </x:c>
      <x:c r="I63" s="2" t="str">
        <x:v>w_213905929b42e976</x:v>
      </x:c>
      <x:c r="J63" s="2" t="str">
        <x:v>N2</x:v>
      </x:c>
      <x:c r="K63" s="2" t="str">
        <x:v>始めに</x:v>
      </x:c>
      <x:c r="L63" s="2" t="str">
        <x:v>はじめに</x:v>
      </x:c>
      <x:c r="M63" s="8" t="str">
        <x:v>처음에, 먼저</x:v>
      </x:c>
      <x:c r="N63" s="9" t="n">
        <x:v>5.35</x:v>
      </x:c>
      <x:c r="O63" s="2" t="str">
        <x:v>아니오</x:v>
      </x:c>
      <x:c r="P63" s="2" t="str">
        <x:v>예</x:v>
      </x:c>
    </x:row>
    <x:row r="64">
      <x:c r="A64" s="2" t="str">
        <x:v>vg_030</x:v>
      </x:c>
      <x:c r="B64" s="2" t="str">
        <x:v>same_jmdict_entry,same_reading_meaning</x:v>
      </x:c>
      <x:c r="C64" s="2" t="str">
        <x:v>w_213905929b42e976</x:v>
      </x:c>
      <x:c r="D64" s="2" t="str">
        <x:v>始めに</x:v>
      </x:c>
      <x:c r="E64" s="2" t="str">
        <x:v>はじめに</x:v>
      </x:c>
      <x:c r="F64" s="2" t="str">
        <x:v>아니오</x:v>
      </x:c>
      <x:c r="G64" s="2" t="n">
        <x:v>0</x:v>
      </x:c>
      <x:c r="H64" s="2" t="n">
        <x:v>2</x:v>
      </x:c>
      <x:c r="I64" s="2" t="str">
        <x:v>w_b6692781d912a8ce</x:v>
      </x:c>
      <x:c r="J64" s="2" t="str">
        <x:v>N2</x:v>
      </x:c>
      <x:c r="K64" s="2" t="str">
        <x:v>初めに</x:v>
      </x:c>
      <x:c r="L64" s="2" t="str">
        <x:v>はじめに</x:v>
      </x:c>
      <x:c r="M64" s="8" t="str">
        <x:v>처음에, 먼저</x:v>
      </x:c>
      <x:c r="N64" s="9" t="n">
        <x:v>4.6</x:v>
      </x:c>
      <x:c r="O64" s="2" t="str">
        <x:v>아니오</x:v>
      </x:c>
      <x:c r="P64" s="2" t="str">
        <x:v>아니오</x:v>
      </x:c>
    </x:row>
    <x:row r="65">
      <x:c r="A65" s="2" t="str">
        <x:v>vg_031</x:v>
      </x:c>
      <x:c r="B65" s="2" t="str">
        <x:v>same_jmdict_entry,same_reading_meaning</x:v>
      </x:c>
      <x:c r="C65" s="2" t="str">
        <x:v>w_2442f06ad4b1e2c1</x:v>
      </x:c>
      <x:c r="D65" s="2" t="str">
        <x:v>炒る</x:v>
      </x:c>
      <x:c r="E65" s="2" t="str">
        <x:v>いる</x:v>
      </x:c>
      <x:c r="F65" s="2" t="str">
        <x:v>아니오</x:v>
      </x:c>
      <x:c r="G65" s="2" t="n">
        <x:v>0</x:v>
      </x:c>
      <x:c r="H65" s="2" t="n">
        <x:v>2</x:v>
      </x:c>
      <x:c r="I65" s="2" t="str">
        <x:v>w_2442f06ad4b1e2c1</x:v>
      </x:c>
      <x:c r="J65" s="2" t="str">
        <x:v>N2</x:v>
      </x:c>
      <x:c r="K65" s="2" t="str">
        <x:v>炒る</x:v>
      </x:c>
      <x:c r="L65" s="2" t="str">
        <x:v>いる</x:v>
      </x:c>
      <x:c r="M65" s="8" t="str">
        <x:v>굽다, 볶다</x:v>
      </x:c>
      <x:c r="N65" s="9" t="n">
        <x:v>1.35</x:v>
      </x:c>
      <x:c r="O65" s="2" t="str">
        <x:v>아니오</x:v>
      </x:c>
      <x:c r="P65" s="2" t="str">
        <x:v>예</x:v>
      </x:c>
    </x:row>
    <x:row r="66">
      <x:c r="A66" s="2" t="str">
        <x:v>vg_031</x:v>
      </x:c>
      <x:c r="B66" s="2" t="str">
        <x:v>same_jmdict_entry,same_reading_meaning</x:v>
      </x:c>
      <x:c r="C66" s="2" t="str">
        <x:v>w_2442f06ad4b1e2c1</x:v>
      </x:c>
      <x:c r="D66" s="2" t="str">
        <x:v>炒る</x:v>
      </x:c>
      <x:c r="E66" s="2" t="str">
        <x:v>いる</x:v>
      </x:c>
      <x:c r="F66" s="2" t="str">
        <x:v>아니오</x:v>
      </x:c>
      <x:c r="G66" s="2" t="n">
        <x:v>0</x:v>
      </x:c>
      <x:c r="H66" s="2" t="n">
        <x:v>2</x:v>
      </x:c>
      <x:c r="I66" s="2" t="str">
        <x:v>w_a02732cc17e7d4fd</x:v>
      </x:c>
      <x:c r="J66" s="2" t="str">
        <x:v>N2</x:v>
      </x:c>
      <x:c r="K66" s="2" t="str">
        <x:v>煎る</x:v>
      </x:c>
      <x:c r="L66" s="2" t="str">
        <x:v>いる</x:v>
      </x:c>
      <x:c r="M66" s="8" t="str">
        <x:v>굽다, 볶다</x:v>
      </x:c>
      <x:c r="N66" s="9" t="n">
        <x:v>1.25</x:v>
      </x:c>
      <x:c r="O66" s="2" t="str">
        <x:v>아니오</x:v>
      </x:c>
      <x:c r="P66" s="2" t="str">
        <x:v>아니오</x:v>
      </x:c>
    </x:row>
    <x:row r="67">
      <x:c r="A67" s="2" t="str">
        <x:v>vg_032</x:v>
      </x:c>
      <x:c r="B67" s="2" t="str">
        <x:v>same_reading_meaning</x:v>
      </x:c>
      <x:c r="C67" s="2" t="str">
        <x:v>w_6b23388275d4251c</x:v>
      </x:c>
      <x:c r="D67" s="2" t="str">
        <x:v>刷る</x:v>
      </x:c>
      <x:c r="E67" s="2" t="str">
        <x:v>する</x:v>
      </x:c>
      <x:c r="F67" s="2" t="str">
        <x:v>아니오</x:v>
      </x:c>
      <x:c r="G67" s="2" t="n">
        <x:v>0</x:v>
      </x:c>
      <x:c r="H67" s="2" t="n">
        <x:v>2</x:v>
      </x:c>
      <x:c r="I67" s="2" t="str">
        <x:v>w_25b648bf778c94cd</x:v>
      </x:c>
      <x:c r="J67" s="2" t="str">
        <x:v>N2</x:v>
      </x:c>
      <x:c r="K67" s="2" t="str">
        <x:v>する</x:v>
      </x:c>
      <x:c r="L67" s="2" t="str">
        <x:v>する</x:v>
      </x:c>
      <x:c r="M67" s="8" t="str">
        <x:v>인쇄하다</x:v>
      </x:c>
      <x:c r="N67" s="9" t="n">
        <x:v>6.76</x:v>
      </x:c>
      <x:c r="O67" s="2" t="str">
        <x:v>아니오</x:v>
      </x:c>
      <x:c r="P67" s="2" t="str">
        <x:v>아니오</x:v>
      </x:c>
    </x:row>
    <x:row r="68">
      <x:c r="A68" s="2" t="str">
        <x:v>vg_032</x:v>
      </x:c>
      <x:c r="B68" s="2" t="str">
        <x:v>same_reading_meaning</x:v>
      </x:c>
      <x:c r="C68" s="2" t="str">
        <x:v>w_6b23388275d4251c</x:v>
      </x:c>
      <x:c r="D68" s="2" t="str">
        <x:v>刷る</x:v>
      </x:c>
      <x:c r="E68" s="2" t="str">
        <x:v>する</x:v>
      </x:c>
      <x:c r="F68" s="2" t="str">
        <x:v>아니오</x:v>
      </x:c>
      <x:c r="G68" s="2" t="n">
        <x:v>0</x:v>
      </x:c>
      <x:c r="H68" s="2" t="n">
        <x:v>2</x:v>
      </x:c>
      <x:c r="I68" s="2" t="str">
        <x:v>w_6b23388275d4251c</x:v>
      </x:c>
      <x:c r="J68" s="2" t="str">
        <x:v>N3</x:v>
      </x:c>
      <x:c r="K68" s="2" t="str">
        <x:v>刷る</x:v>
      </x:c>
      <x:c r="L68" s="2" t="str">
        <x:v>する</x:v>
      </x:c>
      <x:c r="M68" s="8" t="str">
        <x:v>인쇄하다</x:v>
      </x:c>
      <x:c r="N68" s="9" t="n">
        <x:v>2.3</x:v>
      </x:c>
      <x:c r="O68" s="2" t="str">
        <x:v>아니오</x:v>
      </x:c>
      <x:c r="P68" s="2" t="str">
        <x:v>예</x:v>
      </x:c>
    </x:row>
    <x:row r="69">
      <x:c r="A69" s="2" t="str">
        <x:v>vg_033</x:v>
      </x:c>
      <x:c r="B69" s="2" t="str">
        <x:v>same_jmdict_entry</x:v>
      </x:c>
      <x:c r="C69" s="2" t="str">
        <x:v>w_538523d6296c7778</x:v>
      </x:c>
      <x:c r="D69" s="2" t="str">
        <x:v>務め</x:v>
      </x:c>
      <x:c r="E69" s="2" t="str">
        <x:v>つとめ</x:v>
      </x:c>
      <x:c r="F69" s="2" t="str">
        <x:v>아니오</x:v>
      </x:c>
      <x:c r="G69" s="2" t="n">
        <x:v>0</x:v>
      </x:c>
      <x:c r="H69" s="2" t="n">
        <x:v>2</x:v>
      </x:c>
      <x:c r="I69" s="2" t="str">
        <x:v>w_2b4e1d8e18afc8e6</x:v>
      </x:c>
      <x:c r="J69" s="2" t="str">
        <x:v>N3</x:v>
      </x:c>
      <x:c r="K69" s="2" t="str">
        <x:v>勤め</x:v>
      </x:c>
      <x:c r="L69" s="2" t="str">
        <x:v>つとめ</x:v>
      </x:c>
      <x:c r="M69" s="8" t="str">
        <x:v>근무</x:v>
      </x:c>
      <x:c r="N69" s="9" t="n">
        <x:v>4.14</x:v>
      </x:c>
      <x:c r="O69" s="2" t="str">
        <x:v>아니오</x:v>
      </x:c>
      <x:c r="P69" s="2" t="str">
        <x:v>아니오</x:v>
      </x:c>
    </x:row>
    <x:row r="70">
      <x:c r="A70" s="2" t="str">
        <x:v>vg_033</x:v>
      </x:c>
      <x:c r="B70" s="2" t="str">
        <x:v>same_jmdict_entry</x:v>
      </x:c>
      <x:c r="C70" s="2" t="str">
        <x:v>w_538523d6296c7778</x:v>
      </x:c>
      <x:c r="D70" s="2" t="str">
        <x:v>務め</x:v>
      </x:c>
      <x:c r="E70" s="2" t="str">
        <x:v>つとめ</x:v>
      </x:c>
      <x:c r="F70" s="2" t="str">
        <x:v>아니오</x:v>
      </x:c>
      <x:c r="G70" s="2" t="n">
        <x:v>0</x:v>
      </x:c>
      <x:c r="H70" s="2" t="n">
        <x:v>2</x:v>
      </x:c>
      <x:c r="I70" s="2" t="str">
        <x:v>w_538523d6296c7778</x:v>
      </x:c>
      <x:c r="J70" s="2" t="str">
        <x:v>N3</x:v>
      </x:c>
      <x:c r="K70" s="2" t="str">
        <x:v>務め</x:v>
      </x:c>
      <x:c r="L70" s="2" t="str">
        <x:v>つとめ</x:v>
      </x:c>
      <x:c r="M70" s="8" t="str">
        <x:v>임무, 직무</x:v>
      </x:c>
      <x:c r="N70" s="9" t="n">
        <x:v>4.2</x:v>
      </x:c>
      <x:c r="O70" s="2" t="str">
        <x:v>아니오</x:v>
      </x:c>
      <x:c r="P70" s="2" t="str">
        <x:v>예</x:v>
      </x:c>
    </x:row>
    <x:row r="71">
      <x:c r="A71" s="2" t="str">
        <x:v>vg_034</x:v>
      </x:c>
      <x:c r="B71" s="2" t="str">
        <x:v>same_reading_meaning</x:v>
      </x:c>
      <x:c r="C71" s="2" t="str">
        <x:v>w_2f7be60f47f4f39e</x:v>
      </x:c>
      <x:c r="D71" s="2" t="str">
        <x:v>国籍</x:v>
      </x:c>
      <x:c r="E71" s="2" t="str">
        <x:v>こくせき</x:v>
      </x:c>
      <x:c r="F71" s="2" t="str">
        <x:v>아니오</x:v>
      </x:c>
      <x:c r="G71" s="2" t="n">
        <x:v>0</x:v>
      </x:c>
      <x:c r="H71" s="2" t="n">
        <x:v>2</x:v>
      </x:c>
      <x:c r="I71" s="2" t="str">
        <x:v>w_2f7be60f47f4f39e</x:v>
      </x:c>
      <x:c r="J71" s="2" t="str">
        <x:v>N3</x:v>
      </x:c>
      <x:c r="K71" s="2" t="str">
        <x:v>国籍</x:v>
      </x:c>
      <x:c r="L71" s="2" t="str">
        <x:v>こくせき</x:v>
      </x:c>
      <x:c r="M71" s="8" t="str">
        <x:v>국적</x:v>
      </x:c>
      <x:c r="N71" s="9" t="n">
        <x:v>4.2</x:v>
      </x:c>
      <x:c r="O71" s="2" t="str">
        <x:v>아니오</x:v>
      </x:c>
      <x:c r="P71" s="2" t="str">
        <x:v>예</x:v>
      </x:c>
    </x:row>
    <x:row r="72">
      <x:c r="A72" s="2" t="str">
        <x:v>vg_034</x:v>
      </x:c>
      <x:c r="B72" s="2" t="str">
        <x:v>same_reading_meaning</x:v>
      </x:c>
      <x:c r="C72" s="2" t="str">
        <x:v>w_2f7be60f47f4f39e</x:v>
      </x:c>
      <x:c r="D72" s="2" t="str">
        <x:v>国籍</x:v>
      </x:c>
      <x:c r="E72" s="2" t="str">
        <x:v>こくせき</x:v>
      </x:c>
      <x:c r="F72" s="2" t="str">
        <x:v>아니오</x:v>
      </x:c>
      <x:c r="G72" s="2" t="n">
        <x:v>0</x:v>
      </x:c>
      <x:c r="H72" s="2" t="n">
        <x:v>2</x:v>
      </x:c>
      <x:c r="I72" s="2" t="str">
        <x:v>w_74cbf7ffdd4409c9</x:v>
      </x:c>
      <x:c r="J72" s="2" t="str">
        <x:v>N2</x:v>
      </x:c>
      <x:c r="K72" s="2" t="str">
        <x:v>こくせき</x:v>
      </x:c>
      <x:c r="L72" s="2" t="str">
        <x:v>こくせき</x:v>
      </x:c>
      <x:c r="M72" s="8" t="str">
        <x:v>국적</x:v>
      </x:c>
      <x:c r="N72" s="9" t="n">
        <x:v>3.8</x:v>
      </x:c>
      <x:c r="O72" s="2" t="str">
        <x:v>아니오</x:v>
      </x:c>
      <x:c r="P72" s="2" t="str">
        <x:v>아니오</x:v>
      </x:c>
    </x:row>
    <x:row r="73">
      <x:c r="A73" s="2" t="str">
        <x:v>vg_035</x:v>
      </x:c>
      <x:c r="B73" s="2" t="str">
        <x:v>same_jmdict_entry,same_reading_meaning</x:v>
      </x:c>
      <x:c r="C73" s="2" t="str">
        <x:v>w_2fd84a94cccd6a41</x:v>
      </x:c>
      <x:c r="D73" s="2" t="str">
        <x:v>収める</x:v>
      </x:c>
      <x:c r="E73" s="2" t="str">
        <x:v>おさめる</x:v>
      </x:c>
      <x:c r="F73" s="2" t="str">
        <x:v>예</x:v>
      </x:c>
      <x:c r="G73" s="2" t="n">
        <x:v>2</x:v>
      </x:c>
      <x:c r="H73" s="2" t="n">
        <x:v>2</x:v>
      </x:c>
      <x:c r="I73" s="2" t="str">
        <x:v>w_2fd84a94cccd6a41</x:v>
      </x:c>
      <x:c r="J73" s="2" t="str">
        <x:v>N3</x:v>
      </x:c>
      <x:c r="K73" s="2" t="str">
        <x:v>収める</x:v>
      </x:c>
      <x:c r="L73" s="2" t="str">
        <x:v>おさめる</x:v>
      </x:c>
      <x:c r="M73" s="8" t="str">
        <x:v>거두다, 납부하다</x:v>
      </x:c>
      <x:c r="N73" s="9" t="n">
        <x:v>3.46</x:v>
      </x:c>
      <x:c r="O73" s="2" t="str">
        <x:v>예</x:v>
      </x:c>
      <x:c r="P73" s="2" t="str">
        <x:v>예</x:v>
      </x:c>
    </x:row>
    <x:row r="74">
      <x:c r="A74" s="2" t="str">
        <x:v>vg_035</x:v>
      </x:c>
      <x:c r="B74" s="2" t="str">
        <x:v>same_jmdict_entry,same_reading_meaning</x:v>
      </x:c>
      <x:c r="C74" s="2" t="str">
        <x:v>w_2fd84a94cccd6a41</x:v>
      </x:c>
      <x:c r="D74" s="2" t="str">
        <x:v>収める</x:v>
      </x:c>
      <x:c r="E74" s="2" t="str">
        <x:v>おさめる</x:v>
      </x:c>
      <x:c r="F74" s="2" t="str">
        <x:v>예</x:v>
      </x:c>
      <x:c r="G74" s="2" t="n">
        <x:v>2</x:v>
      </x:c>
      <x:c r="H74" s="2" t="n">
        <x:v>2</x:v>
      </x:c>
      <x:c r="I74" s="2" t="str">
        <x:v>w_7aaa0608e48b7324</x:v>
      </x:c>
      <x:c r="J74" s="2" t="str">
        <x:v>N3</x:v>
      </x:c>
      <x:c r="K74" s="2" t="str">
        <x:v>納める</x:v>
      </x:c>
      <x:c r="L74" s="2" t="str">
        <x:v>おさめる</x:v>
      </x:c>
      <x:c r="M74" s="8" t="str">
        <x:v>거두다, 납부하다</x:v>
      </x:c>
      <x:c r="N74" s="9" t="n">
        <x:v>3.2</x:v>
      </x:c>
      <x:c r="O74" s="2" t="str">
        <x:v>예</x:v>
      </x:c>
      <x:c r="P74" s="2" t="str">
        <x:v>아니오</x:v>
      </x:c>
    </x:row>
    <x:row r="75">
      <x:c r="A75" s="2" t="str">
        <x:v>vg_036</x:v>
      </x:c>
      <x:c r="B75" s="2" t="str">
        <x:v>same_jmdict_entry</x:v>
      </x:c>
      <x:c r="C75" s="2" t="str">
        <x:v>w_4aa05cc6aa3c399e</x:v>
      </x:c>
      <x:c r="D75" s="2" t="str">
        <x:v>避ける</x:v>
      </x:c>
      <x:c r="E75" s="2" t="str">
        <x:v>さける</x:v>
      </x:c>
      <x:c r="F75" s="2" t="str">
        <x:v>예</x:v>
      </x:c>
      <x:c r="G75" s="2" t="n">
        <x:v>1</x:v>
      </x:c>
      <x:c r="H75" s="2" t="n">
        <x:v>2</x:v>
      </x:c>
      <x:c r="I75" s="2" t="str">
        <x:v>w_333895c749853e94</x:v>
      </x:c>
      <x:c r="J75" s="2" t="str">
        <x:v>N1</x:v>
      </x:c>
      <x:c r="K75" s="2" t="str">
        <x:v>避ける</x:v>
      </x:c>
      <x:c r="L75" s="2" t="str">
        <x:v>よける</x:v>
      </x:c>
      <x:c r="M75" s="8" t="str">
        <x:v>피하다, 비키다</x:v>
      </x:c>
      <x:c r="N75" s="9" t="n">
        <x:v>4.25</x:v>
      </x:c>
      <x:c r="O75" s="2" t="str">
        <x:v>아니오</x:v>
      </x:c>
      <x:c r="P75" s="2" t="str">
        <x:v>아니오</x:v>
      </x:c>
    </x:row>
    <x:row r="76">
      <x:c r="A76" s="2" t="str">
        <x:v>vg_036</x:v>
      </x:c>
      <x:c r="B76" s="2" t="str">
        <x:v>same_jmdict_entry</x:v>
      </x:c>
      <x:c r="C76" s="2" t="str">
        <x:v>w_4aa05cc6aa3c399e</x:v>
      </x:c>
      <x:c r="D76" s="2" t="str">
        <x:v>避ける</x:v>
      </x:c>
      <x:c r="E76" s="2" t="str">
        <x:v>さける</x:v>
      </x:c>
      <x:c r="F76" s="2" t="str">
        <x:v>예</x:v>
      </x:c>
      <x:c r="G76" s="2" t="n">
        <x:v>1</x:v>
      </x:c>
      <x:c r="H76" s="2" t="n">
        <x:v>2</x:v>
      </x:c>
      <x:c r="I76" s="2" t="str">
        <x:v>w_4aa05cc6aa3c399e</x:v>
      </x:c>
      <x:c r="J76" s="2" t="str">
        <x:v>N3</x:v>
      </x:c>
      <x:c r="K76" s="2" t="str">
        <x:v>避ける</x:v>
      </x:c>
      <x:c r="L76" s="2" t="str">
        <x:v>さける</x:v>
      </x:c>
      <x:c r="M76" s="8" t="str">
        <x:v>피하다, 막다</x:v>
      </x:c>
      <x:c r="N76" s="9" t="n">
        <x:v>4.25</x:v>
      </x:c>
      <x:c r="O76" s="2" t="str">
        <x:v>예</x:v>
      </x:c>
      <x:c r="P76" s="2" t="str">
        <x:v>예</x:v>
      </x:c>
    </x:row>
    <x:row r="77">
      <x:c r="A77" s="2" t="str">
        <x:v>vg_037</x:v>
      </x:c>
      <x:c r="B77" s="2" t="str">
        <x:v>same_jmdict_entry</x:v>
      </x:c>
      <x:c r="C77" s="2" t="str">
        <x:v>w_35d4a46f36f62a2d</x:v>
      </x:c>
      <x:c r="D77" s="2" t="str">
        <x:v>温める</x:v>
      </x:c>
      <x:c r="E77" s="2" t="str">
        <x:v>あたためる</x:v>
      </x:c>
      <x:c r="F77" s="2" t="str">
        <x:v>예</x:v>
      </x:c>
      <x:c r="G77" s="2" t="n">
        <x:v>1</x:v>
      </x:c>
      <x:c r="H77" s="2" t="n">
        <x:v>2</x:v>
      </x:c>
      <x:c r="I77" s="2" t="str">
        <x:v>w_35d4a46f36f62a2d</x:v>
      </x:c>
      <x:c r="J77" s="2" t="str">
        <x:v>N3</x:v>
      </x:c>
      <x:c r="K77" s="2" t="str">
        <x:v>温める</x:v>
      </x:c>
      <x:c r="L77" s="2" t="str">
        <x:v>あたためる</x:v>
      </x:c>
      <x:c r="M77" s="8" t="str">
        <x:v>따뜻하게 하다, 데우다, 가열하다</x:v>
      </x:c>
      <x:c r="N77" s="9" t="n">
        <x:v>3.34</x:v>
      </x:c>
      <x:c r="O77" s="2" t="str">
        <x:v>예</x:v>
      </x:c>
      <x:c r="P77" s="2" t="str">
        <x:v>예</x:v>
      </x:c>
    </x:row>
    <x:row r="78">
      <x:c r="A78" s="2" t="str">
        <x:v>vg_037</x:v>
      </x:c>
      <x:c r="B78" s="2" t="str">
        <x:v>same_jmdict_entry</x:v>
      </x:c>
      <x:c r="C78" s="2" t="str">
        <x:v>w_35d4a46f36f62a2d</x:v>
      </x:c>
      <x:c r="D78" s="2" t="str">
        <x:v>温める</x:v>
      </x:c>
      <x:c r="E78" s="2" t="str">
        <x:v>あたためる</x:v>
      </x:c>
      <x:c r="F78" s="2" t="str">
        <x:v>예</x:v>
      </x:c>
      <x:c r="G78" s="2" t="n">
        <x:v>1</x:v>
      </x:c>
      <x:c r="H78" s="2" t="n">
        <x:v>2</x:v>
      </x:c>
      <x:c r="I78" s="2" t="str">
        <x:v>w_a40a6e3986ccc3b4</x:v>
      </x:c>
      <x:c r="J78" s="2" t="str">
        <x:v>N3</x:v>
      </x:c>
      <x:c r="K78" s="2" t="str">
        <x:v>暖める</x:v>
      </x:c>
      <x:c r="L78" s="2" t="str">
        <x:v>あたためる</x:v>
      </x:c>
      <x:c r="M78" s="8" t="str">
        <x:v>데우다, 따뜻하게 하다</x:v>
      </x:c>
      <x:c r="N78" s="9" t="n">
        <x:v>2.66</x:v>
      </x:c>
      <x:c r="O78" s="2" t="str">
        <x:v>아니오</x:v>
      </x:c>
      <x:c r="P78" s="2" t="str">
        <x:v>아니오</x:v>
      </x:c>
    </x:row>
    <x:row r="79">
      <x:c r="A79" s="2" t="str">
        <x:v>vg_038</x:v>
      </x:c>
      <x:c r="B79" s="2" t="str">
        <x:v>same_jmdict_entry,same_reading_meaning</x:v>
      </x:c>
      <x:c r="C79" s="2" t="str">
        <x:v>w_d69788977c20d14c</x:v>
      </x:c>
      <x:c r="D79" s="2" t="str">
        <x:v>日差し</x:v>
      </x:c>
      <x:c r="E79" s="2" t="str">
        <x:v>ひざし</x:v>
      </x:c>
      <x:c r="F79" s="2" t="str">
        <x:v>아니오</x:v>
      </x:c>
      <x:c r="G79" s="2" t="n">
        <x:v>0</x:v>
      </x:c>
      <x:c r="H79" s="2" t="n">
        <x:v>2</x:v>
      </x:c>
      <x:c r="I79" s="2" t="str">
        <x:v>w_38ac458c94532dec</x:v>
      </x:c>
      <x:c r="J79" s="2" t="str">
        <x:v>N2</x:v>
      </x:c>
      <x:c r="K79" s="2" t="str">
        <x:v>陽射</x:v>
      </x:c>
      <x:c r="L79" s="2" t="str">
        <x:v>ひざし</x:v>
      </x:c>
      <x:c r="M79" s="8" t="str">
        <x:v>햇살</x:v>
      </x:c>
      <x:c r="N79" s="9" t="n">
        <x:v>3.83</x:v>
      </x:c>
      <x:c r="O79" s="2" t="str">
        <x:v>아니오</x:v>
      </x:c>
      <x:c r="P79" s="2" t="str">
        <x:v>아니오</x:v>
      </x:c>
    </x:row>
    <x:row r="80">
      <x:c r="A80" s="2" t="str">
        <x:v>vg_038</x:v>
      </x:c>
      <x:c r="B80" s="2" t="str">
        <x:v>same_jmdict_entry,same_reading_meaning</x:v>
      </x:c>
      <x:c r="C80" s="2" t="str">
        <x:v>w_d69788977c20d14c</x:v>
      </x:c>
      <x:c r="D80" s="2" t="str">
        <x:v>日差し</x:v>
      </x:c>
      <x:c r="E80" s="2" t="str">
        <x:v>ひざし</x:v>
      </x:c>
      <x:c r="F80" s="2" t="str">
        <x:v>아니오</x:v>
      </x:c>
      <x:c r="G80" s="2" t="n">
        <x:v>0</x:v>
      </x:c>
      <x:c r="H80" s="2" t="n">
        <x:v>2</x:v>
      </x:c>
      <x:c r="I80" s="2" t="str">
        <x:v>w_d69788977c20d14c</x:v>
      </x:c>
      <x:c r="J80" s="2" t="str">
        <x:v>N2</x:v>
      </x:c>
      <x:c r="K80" s="2" t="str">
        <x:v>日差し</x:v>
      </x:c>
      <x:c r="L80" s="2" t="str">
        <x:v>ひざし</x:v>
      </x:c>
      <x:c r="M80" s="8" t="str">
        <x:v>햇살</x:v>
      </x:c>
      <x:c r="N80" s="9" t="n">
        <x:v>3.44</x:v>
      </x:c>
      <x:c r="O80" s="2" t="str">
        <x:v>아니오</x:v>
      </x:c>
      <x:c r="P80" s="2" t="str">
        <x:v>예</x:v>
      </x:c>
    </x:row>
    <x:row r="81">
      <x:c r="A81" s="2" t="str">
        <x:v>vg_039</x:v>
      </x:c>
      <x:c r="B81" s="2" t="str">
        <x:v>same_reading_meaning</x:v>
      </x:c>
      <x:c r="C81" s="2" t="str">
        <x:v>w_38ec64286bb042f9</x:v>
      </x:c>
      <x:c r="D81" s="2" t="str">
        <x:v>編み物</x:v>
      </x:c>
      <x:c r="E81" s="2" t="str">
        <x:v>あみもの</x:v>
      </x:c>
      <x:c r="F81" s="2" t="str">
        <x:v>아니오</x:v>
      </x:c>
      <x:c r="G81" s="2" t="n">
        <x:v>0</x:v>
      </x:c>
      <x:c r="H81" s="2" t="n">
        <x:v>2</x:v>
      </x:c>
      <x:c r="I81" s="2" t="str">
        <x:v>w_38ec64286bb042f9</x:v>
      </x:c>
      <x:c r="J81" s="2" t="str">
        <x:v>N2</x:v>
      </x:c>
      <x:c r="K81" s="2" t="str">
        <x:v>編み物</x:v>
      </x:c>
      <x:c r="L81" s="2" t="str">
        <x:v>あみもの</x:v>
      </x:c>
      <x:c r="M81" s="8" t="str">
        <x:v>뜨개질</x:v>
      </x:c>
      <x:c r="N81" s="9" t="n">
        <x:v>3.07</x:v>
      </x:c>
      <x:c r="O81" s="2" t="str">
        <x:v>아니오</x:v>
      </x:c>
      <x:c r="P81" s="2" t="str">
        <x:v>예</x:v>
      </x:c>
    </x:row>
    <x:row r="82">
      <x:c r="A82" s="2" t="str">
        <x:v>vg_039</x:v>
      </x:c>
      <x:c r="B82" s="2" t="str">
        <x:v>same_reading_meaning</x:v>
      </x:c>
      <x:c r="C82" s="2" t="str">
        <x:v>w_38ec64286bb042f9</x:v>
      </x:c>
      <x:c r="D82" s="2" t="str">
        <x:v>編み物</x:v>
      </x:c>
      <x:c r="E82" s="2" t="str">
        <x:v>あみもの</x:v>
      </x:c>
      <x:c r="F82" s="2" t="str">
        <x:v>아니오</x:v>
      </x:c>
      <x:c r="G82" s="2" t="n">
        <x:v>0</x:v>
      </x:c>
      <x:c r="H82" s="2" t="n">
        <x:v>2</x:v>
      </x:c>
      <x:c r="I82" s="2" t="str">
        <x:v>w_55429d3687c58e8f</x:v>
      </x:c>
      <x:c r="J82" s="2" t="str">
        <x:v>N2</x:v>
      </x:c>
      <x:c r="K82" s="2" t="str">
        <x:v>あみもの</x:v>
      </x:c>
      <x:c r="L82" s="2" t="str">
        <x:v>あみもの</x:v>
      </x:c>
      <x:c r="M82" s="8" t="str">
        <x:v>뜨개질</x:v>
      </x:c>
      <x:c r="N82" s="9" t="n">
        <x:v>3.71</x:v>
      </x:c>
      <x:c r="O82" s="2" t="str">
        <x:v>아니오</x:v>
      </x:c>
      <x:c r="P82" s="2" t="str">
        <x:v>아니오</x:v>
      </x:c>
    </x:row>
    <x:row r="83">
      <x:c r="A83" s="2" t="str">
        <x:v>vg_040</x:v>
      </x:c>
      <x:c r="B83" s="2" t="str">
        <x:v>same_jmdict_entry</x:v>
      </x:c>
      <x:c r="C83" s="2" t="str">
        <x:v>w_3b9d9ce93ef60c2e</x:v>
      </x:c>
      <x:c r="D83" s="2" t="str">
        <x:v>玉</x:v>
      </x:c>
      <x:c r="E83" s="2" t="str">
        <x:v>たま</x:v>
      </x:c>
      <x:c r="F83" s="2" t="str">
        <x:v>아니오</x:v>
      </x:c>
      <x:c r="G83" s="2" t="n">
        <x:v>0</x:v>
      </x:c>
      <x:c r="H83" s="2" t="n">
        <x:v>2</x:v>
      </x:c>
      <x:c r="I83" s="2" t="str">
        <x:v>w_3b9d9ce93ef60c2e</x:v>
      </x:c>
      <x:c r="J83" s="2" t="str">
        <x:v>N3</x:v>
      </x:c>
      <x:c r="K83" s="2" t="str">
        <x:v>玉</x:v>
      </x:c>
      <x:c r="L83" s="2" t="str">
        <x:v>たま</x:v>
      </x:c>
      <x:c r="M83" s="8" t="str">
        <x:v>구슬, 공</x:v>
      </x:c>
      <x:c r="N83" s="9" t="n">
        <x:v>4.69</x:v>
      </x:c>
      <x:c r="O83" s="2" t="str">
        <x:v>아니오</x:v>
      </x:c>
      <x:c r="P83" s="2" t="str">
        <x:v>예</x:v>
      </x:c>
    </x:row>
    <x:row r="84">
      <x:c r="A84" s="2" t="str">
        <x:v>vg_040</x:v>
      </x:c>
      <x:c r="B84" s="2" t="str">
        <x:v>same_jmdict_entry</x:v>
      </x:c>
      <x:c r="C84" s="2" t="str">
        <x:v>w_3b9d9ce93ef60c2e</x:v>
      </x:c>
      <x:c r="D84" s="2" t="str">
        <x:v>玉</x:v>
      </x:c>
      <x:c r="E84" s="2" t="str">
        <x:v>たま</x:v>
      </x:c>
      <x:c r="F84" s="2" t="str">
        <x:v>아니오</x:v>
      </x:c>
      <x:c r="G84" s="2" t="n">
        <x:v>0</x:v>
      </x:c>
      <x:c r="H84" s="2" t="n">
        <x:v>2</x:v>
      </x:c>
      <x:c r="I84" s="2" t="str">
        <x:v>w_9a0f257e7a6a025d</x:v>
      </x:c>
      <x:c r="J84" s="2" t="str">
        <x:v>N3</x:v>
      </x:c>
      <x:c r="K84" s="2" t="str">
        <x:v>弾</x:v>
      </x:c>
      <x:c r="L84" s="2" t="str">
        <x:v>たま</x:v>
      </x:c>
      <x:c r="M84" s="8" t="str">
        <x:v>총알, 탄환</x:v>
      </x:c>
      <x:c r="N84" s="9" t="n">
        <x:v>4.92</x:v>
      </x:c>
      <x:c r="O84" s="2" t="str">
        <x:v>아니오</x:v>
      </x:c>
      <x:c r="P84" s="2" t="str">
        <x:v>아니오</x:v>
      </x:c>
    </x:row>
    <x:row r="85">
      <x:c r="A85" s="2" t="str">
        <x:v>vg_041</x:v>
      </x:c>
      <x:c r="B85" s="2" t="str">
        <x:v>same_jmdict_entry</x:v>
      </x:c>
      <x:c r="C85" s="2" t="str">
        <x:v>w_a392e3edd73c3036</x:v>
      </x:c>
      <x:c r="D85" s="2" t="str">
        <x:v>機械</x:v>
      </x:c>
      <x:c r="E85" s="2" t="str">
        <x:v>きかい</x:v>
      </x:c>
      <x:c r="F85" s="2" t="str">
        <x:v>예</x:v>
      </x:c>
      <x:c r="G85" s="2" t="n">
        <x:v>1</x:v>
      </x:c>
      <x:c r="H85" s="2" t="n">
        <x:v>2</x:v>
      </x:c>
      <x:c r="I85" s="2" t="str">
        <x:v>w_3e244d7a11df3ed3</x:v>
      </x:c>
      <x:c r="J85" s="2" t="str">
        <x:v>N3</x:v>
      </x:c>
      <x:c r="K85" s="2" t="str">
        <x:v>器械</x:v>
      </x:c>
      <x:c r="L85" s="2" t="str">
        <x:v>きかい</x:v>
      </x:c>
      <x:c r="M85" s="8" t="str">
        <x:v>기계, 기구</x:v>
      </x:c>
      <x:c r="N85" s="9" t="n">
        <x:v>2.68</x:v>
      </x:c>
      <x:c r="O85" s="2" t="str">
        <x:v>아니오</x:v>
      </x:c>
      <x:c r="P85" s="2" t="str">
        <x:v>아니오</x:v>
      </x:c>
    </x:row>
    <x:row r="86">
      <x:c r="A86" s="2" t="str">
        <x:v>vg_041</x:v>
      </x:c>
      <x:c r="B86" s="2" t="str">
        <x:v>same_jmdict_entry</x:v>
      </x:c>
      <x:c r="C86" s="2" t="str">
        <x:v>w_a392e3edd73c3036</x:v>
      </x:c>
      <x:c r="D86" s="2" t="str">
        <x:v>機械</x:v>
      </x:c>
      <x:c r="E86" s="2" t="str">
        <x:v>きかい</x:v>
      </x:c>
      <x:c r="F86" s="2" t="str">
        <x:v>예</x:v>
      </x:c>
      <x:c r="G86" s="2" t="n">
        <x:v>1</x:v>
      </x:c>
      <x:c r="H86" s="2" t="n">
        <x:v>2</x:v>
      </x:c>
      <x:c r="I86" s="2" t="str">
        <x:v>w_a392e3edd73c3036</x:v>
      </x:c>
      <x:c r="J86" s="2" t="str">
        <x:v>N3</x:v>
      </x:c>
      <x:c r="K86" s="2" t="str">
        <x:v>機械</x:v>
      </x:c>
      <x:c r="L86" s="2" t="str">
        <x:v>きかい</x:v>
      </x:c>
      <x:c r="M86" s="8" t="str">
        <x:v>기계</x:v>
      </x:c>
      <x:c r="N86" s="9" t="n">
        <x:v>4.79</x:v>
      </x:c>
      <x:c r="O86" s="2" t="str">
        <x:v>예</x:v>
      </x:c>
      <x:c r="P86" s="2" t="str">
        <x:v>예</x:v>
      </x:c>
    </x:row>
    <x:row r="87">
      <x:c r="A87" s="2" t="str">
        <x:v>vg_042</x:v>
      </x:c>
      <x:c r="B87" s="2" t="str">
        <x:v>same_jmdict_entry</x:v>
      </x:c>
      <x:c r="C87" s="2" t="str">
        <x:v>w_797e841aee5ee7c0</x:v>
      </x:c>
      <x:c r="D87" s="2" t="str">
        <x:v>開く</x:v>
      </x:c>
      <x:c r="E87" s="2" t="str">
        <x:v>あく</x:v>
      </x:c>
      <x:c r="F87" s="2" t="str">
        <x:v>아니오</x:v>
      </x:c>
      <x:c r="G87" s="2" t="n">
        <x:v>0</x:v>
      </x:c>
      <x:c r="H87" s="2" t="n">
        <x:v>2</x:v>
      </x:c>
      <x:c r="I87" s="2" t="str">
        <x:v>w_3f7cd0c1898ad235</x:v>
      </x:c>
      <x:c r="J87" s="2" t="str">
        <x:v>N4</x:v>
      </x:c>
      <x:c r="K87" s="2" t="str">
        <x:v>空く</x:v>
      </x:c>
      <x:c r="L87" s="2" t="str">
        <x:v>あく</x:v>
      </x:c>
      <x:c r="M87" s="8" t="str">
        <x:v>비다, (자리가) 나다</x:v>
      </x:c>
      <x:c r="N87" s="9" t="n">
        <x:v>3.22</x:v>
      </x:c>
      <x:c r="O87" s="2" t="str">
        <x:v>아니오</x:v>
      </x:c>
      <x:c r="P87" s="2" t="str">
        <x:v>아니오</x:v>
      </x:c>
    </x:row>
    <x:row r="88">
      <x:c r="A88" s="2" t="str">
        <x:v>vg_042</x:v>
      </x:c>
      <x:c r="B88" s="2" t="str">
        <x:v>same_jmdict_entry</x:v>
      </x:c>
      <x:c r="C88" s="2" t="str">
        <x:v>w_797e841aee5ee7c0</x:v>
      </x:c>
      <x:c r="D88" s="2" t="str">
        <x:v>開く</x:v>
      </x:c>
      <x:c r="E88" s="2" t="str">
        <x:v>あく</x:v>
      </x:c>
      <x:c r="F88" s="2" t="str">
        <x:v>아니오</x:v>
      </x:c>
      <x:c r="G88" s="2" t="n">
        <x:v>0</x:v>
      </x:c>
      <x:c r="H88" s="2" t="n">
        <x:v>2</x:v>
      </x:c>
      <x:c r="I88" s="2" t="str">
        <x:v>w_797e841aee5ee7c0</x:v>
      </x:c>
      <x:c r="J88" s="2" t="str">
        <x:v>N5</x:v>
      </x:c>
      <x:c r="K88" s="2" t="str">
        <x:v>開く</x:v>
      </x:c>
      <x:c r="L88" s="2" t="str">
        <x:v>あく</x:v>
      </x:c>
      <x:c r="M88" s="8" t="str">
        <x:v>열리다, 열다</x:v>
      </x:c>
      <x:c r="N88" s="9" t="n">
        <x:v>4.42</x:v>
      </x:c>
      <x:c r="O88" s="2" t="str">
        <x:v>아니오</x:v>
      </x:c>
      <x:c r="P88" s="2" t="str">
        <x:v>예</x:v>
      </x:c>
    </x:row>
    <x:row r="89">
      <x:c r="A89" s="2" t="str">
        <x:v>vg_043</x:v>
      </x:c>
      <x:c r="B89" s="2" t="str">
        <x:v>same_jmdict_entry</x:v>
      </x:c>
      <x:c r="C89" s="2" t="str">
        <x:v>w_6febdabe19861b63</x:v>
      </x:c>
      <x:c r="D89" s="2" t="str">
        <x:v>執着</x:v>
      </x:c>
      <x:c r="E89" s="2" t="str">
        <x:v>しゅうちゃく</x:v>
      </x:c>
      <x:c r="F89" s="2" t="str">
        <x:v>아니오</x:v>
      </x:c>
      <x:c r="G89" s="2" t="n">
        <x:v>0</x:v>
      </x:c>
      <x:c r="H89" s="2" t="n">
        <x:v>2</x:v>
      </x:c>
      <x:c r="I89" s="2" t="str">
        <x:v>w_4105198a2afd7a92</x:v>
      </x:c>
      <x:c r="J89" s="2" t="str">
        <x:v>N1</x:v>
      </x:c>
      <x:c r="K89" s="2" t="str">
        <x:v>執着</x:v>
      </x:c>
      <x:c r="L89" s="2" t="str">
        <x:v>しゅうじゃく</x:v>
      </x:c>
      <x:c r="M89" s="8" t="str">
        <x:v>집착</x:v>
      </x:c>
      <x:c r="N89" s="9" t="n">
        <x:v>3.69</x:v>
      </x:c>
      <x:c r="O89" s="2" t="str">
        <x:v>아니오</x:v>
      </x:c>
      <x:c r="P89" s="2" t="str">
        <x:v>아니오</x:v>
      </x:c>
    </x:row>
    <x:row r="90">
      <x:c r="A90" s="2" t="str">
        <x:v>vg_043</x:v>
      </x:c>
      <x:c r="B90" s="2" t="str">
        <x:v>same_jmdict_entry</x:v>
      </x:c>
      <x:c r="C90" s="2" t="str">
        <x:v>w_6febdabe19861b63</x:v>
      </x:c>
      <x:c r="D90" s="2" t="str">
        <x:v>執着</x:v>
      </x:c>
      <x:c r="E90" s="2" t="str">
        <x:v>しゅうちゃく</x:v>
      </x:c>
      <x:c r="F90" s="2" t="str">
        <x:v>아니오</x:v>
      </x:c>
      <x:c r="G90" s="2" t="n">
        <x:v>0</x:v>
      </x:c>
      <x:c r="H90" s="2" t="n">
        <x:v>2</x:v>
      </x:c>
      <x:c r="I90" s="2" t="str">
        <x:v>w_6febdabe19861b63</x:v>
      </x:c>
      <x:c r="J90" s="2" t="str">
        <x:v>N1</x:v>
      </x:c>
      <x:c r="K90" s="2" t="str">
        <x:v>執着</x:v>
      </x:c>
      <x:c r="L90" s="2" t="str">
        <x:v>しゅうちゃく</x:v>
      </x:c>
      <x:c r="M90" s="8" t="str">
        <x:v>집착</x:v>
      </x:c>
      <x:c r="N90" s="9" t="n">
        <x:v>3.69</x:v>
      </x:c>
      <x:c r="O90" s="2" t="str">
        <x:v>아니오</x:v>
      </x:c>
      <x:c r="P90" s="2" t="str">
        <x:v>예</x:v>
      </x:c>
    </x:row>
    <x:row r="91">
      <x:c r="A91" s="2" t="str">
        <x:v>vg_044</x:v>
      </x:c>
      <x:c r="B91" s="2" t="str">
        <x:v>same_jmdict_entry</x:v>
      </x:c>
      <x:c r="C91" s="2" t="str">
        <x:v>w_d84e0fc1174a7aa0</x:v>
      </x:c>
      <x:c r="D91" s="2" t="str">
        <x:v>撃つ</x:v>
      </x:c>
      <x:c r="E91" s="2" t="str">
        <x:v>うつ</x:v>
      </x:c>
      <x:c r="F91" s="2" t="str">
        <x:v>아니오</x:v>
      </x:c>
      <x:c r="G91" s="2" t="n">
        <x:v>0</x:v>
      </x:c>
      <x:c r="H91" s="2" t="n">
        <x:v>2</x:v>
      </x:c>
      <x:c r="I91" s="2" t="str">
        <x:v>w_42b5ce2223232e9f</x:v>
      </x:c>
      <x:c r="J91" s="2" t="str">
        <x:v>N3</x:v>
      </x:c>
      <x:c r="K91" s="2" t="str">
        <x:v>討つ</x:v>
      </x:c>
      <x:c r="L91" s="2" t="str">
        <x:v>うつ</x:v>
      </x:c>
      <x:c r="M91" s="8" t="str">
        <x:v>공격하다</x:v>
      </x:c>
      <x:c r="N91" s="9" t="n">
        <x:v>3.03</x:v>
      </x:c>
      <x:c r="O91" s="2" t="str">
        <x:v>아니오</x:v>
      </x:c>
      <x:c r="P91" s="2" t="str">
        <x:v>아니오</x:v>
      </x:c>
    </x:row>
    <x:row r="92">
      <x:c r="A92" s="2" t="str">
        <x:v>vg_044</x:v>
      </x:c>
      <x:c r="B92" s="2" t="str">
        <x:v>same_jmdict_entry</x:v>
      </x:c>
      <x:c r="C92" s="2" t="str">
        <x:v>w_d84e0fc1174a7aa0</x:v>
      </x:c>
      <x:c r="D92" s="2" t="str">
        <x:v>撃つ</x:v>
      </x:c>
      <x:c r="E92" s="2" t="str">
        <x:v>うつ</x:v>
      </x:c>
      <x:c r="F92" s="2" t="str">
        <x:v>아니오</x:v>
      </x:c>
      <x:c r="G92" s="2" t="n">
        <x:v>0</x:v>
      </x:c>
      <x:c r="H92" s="2" t="n">
        <x:v>2</x:v>
      </x:c>
      <x:c r="I92" s="2" t="str">
        <x:v>w_d84e0fc1174a7aa0</x:v>
      </x:c>
      <x:c r="J92" s="2" t="str">
        <x:v>N3</x:v>
      </x:c>
      <x:c r="K92" s="2" t="str">
        <x:v>撃つ</x:v>
      </x:c>
      <x:c r="L92" s="2" t="str">
        <x:v>うつ</x:v>
      </x:c>
      <x:c r="M92" s="8" t="str">
        <x:v>공격하다, 쏘다, 촬영하다</x:v>
      </x:c>
      <x:c r="N92" s="9" t="n">
        <x:v>3.75</x:v>
      </x:c>
      <x:c r="O92" s="2" t="str">
        <x:v>아니오</x:v>
      </x:c>
      <x:c r="P92" s="2" t="str">
        <x:v>예</x:v>
      </x:c>
    </x:row>
    <x:row r="93">
      <x:c r="A93" s="2" t="str">
        <x:v>vg_045</x:v>
      </x:c>
      <x:c r="B93" s="2" t="str">
        <x:v>same_jmdict_entry,same_reading_meaning</x:v>
      </x:c>
      <x:c r="C93" s="2" t="str">
        <x:v>w_bee94fbea347ec81</x:v>
      </x:c>
      <x:c r="D93" s="2" t="str">
        <x:v>故郷</x:v>
      </x:c>
      <x:c r="E93" s="2" t="str">
        <x:v>ふるさと</x:v>
      </x:c>
      <x:c r="F93" s="2" t="str">
        <x:v>아니오</x:v>
      </x:c>
      <x:c r="G93" s="2" t="n">
        <x:v>0</x:v>
      </x:c>
      <x:c r="H93" s="2" t="n">
        <x:v>2</x:v>
      </x:c>
      <x:c r="I93" s="2" t="str">
        <x:v>w_4776b316aada823e</x:v>
      </x:c>
      <x:c r="J93" s="2" t="str">
        <x:v>N2</x:v>
      </x:c>
      <x:c r="K93" s="2" t="str">
        <x:v>古里</x:v>
      </x:c>
      <x:c r="L93" s="2" t="str">
        <x:v>ふるさと</x:v>
      </x:c>
      <x:c r="M93" s="8" t="str">
        <x:v>고향</x:v>
      </x:c>
      <x:c r="N93" s="9" t="n">
        <x:v>2.78</x:v>
      </x:c>
      <x:c r="O93" s="2" t="str">
        <x:v>아니오</x:v>
      </x:c>
      <x:c r="P93" s="2" t="str">
        <x:v>아니오</x:v>
      </x:c>
    </x:row>
    <x:row r="94">
      <x:c r="A94" s="2" t="str">
        <x:v>vg_045</x:v>
      </x:c>
      <x:c r="B94" s="2" t="str">
        <x:v>same_jmdict_entry,same_reading_meaning</x:v>
      </x:c>
      <x:c r="C94" s="2" t="str">
        <x:v>w_bee94fbea347ec81</x:v>
      </x:c>
      <x:c r="D94" s="2" t="str">
        <x:v>故郷</x:v>
      </x:c>
      <x:c r="E94" s="2" t="str">
        <x:v>ふるさと</x:v>
      </x:c>
      <x:c r="F94" s="2" t="str">
        <x:v>아니오</x:v>
      </x:c>
      <x:c r="G94" s="2" t="n">
        <x:v>0</x:v>
      </x:c>
      <x:c r="H94" s="2" t="n">
        <x:v>2</x:v>
      </x:c>
      <x:c r="I94" s="2" t="str">
        <x:v>w_bee94fbea347ec81</x:v>
      </x:c>
      <x:c r="J94" s="2" t="str">
        <x:v>N2</x:v>
      </x:c>
      <x:c r="K94" s="2" t="str">
        <x:v>故郷</x:v>
      </x:c>
      <x:c r="L94" s="2" t="str">
        <x:v>ふるさと</x:v>
      </x:c>
      <x:c r="M94" s="8" t="str">
        <x:v>고향</x:v>
      </x:c>
      <x:c r="N94" s="9" t="n">
        <x:v>4.15</x:v>
      </x:c>
      <x:c r="O94" s="2" t="str">
        <x:v>아니오</x:v>
      </x:c>
      <x:c r="P94" s="2" t="str">
        <x:v>예</x:v>
      </x:c>
    </x:row>
    <x:row r="95">
      <x:c r="A95" s="2" t="str">
        <x:v>vg_046</x:v>
      </x:c>
      <x:c r="B95" s="2" t="str">
        <x:v>same_reading_meaning</x:v>
      </x:c>
      <x:c r="C95" s="2" t="str">
        <x:v>w_47be56537c24560e</x:v>
      </x:c>
      <x:c r="D95" s="2" t="str">
        <x:v>代弁</x:v>
      </x:c>
      <x:c r="E95" s="2" t="str">
        <x:v>だいべん</x:v>
      </x:c>
      <x:c r="F95" s="2" t="str">
        <x:v>아니오</x:v>
      </x:c>
      <x:c r="G95" s="2" t="n">
        <x:v>0</x:v>
      </x:c>
      <x:c r="H95" s="2" t="n">
        <x:v>2</x:v>
      </x:c>
      <x:c r="I95" s="2" t="str">
        <x:v>w_47be56537c24560e</x:v>
      </x:c>
      <x:c r="J95" s="2" t="str">
        <x:v>N1</x:v>
      </x:c>
      <x:c r="K95" s="2" t="str">
        <x:v>代弁</x:v>
      </x:c>
      <x:c r="L95" s="2" t="str">
        <x:v>だいべん</x:v>
      </x:c>
      <x:c r="M95" s="8" t="str">
        <x:v>대변</x:v>
      </x:c>
      <x:c r="N95" s="9" t="n">
        <x:v>3.43</x:v>
      </x:c>
      <x:c r="O95" s="2" t="str">
        <x:v>아니오</x:v>
      </x:c>
      <x:c r="P95" s="2" t="str">
        <x:v>예</x:v>
      </x:c>
    </x:row>
    <x:row r="96">
      <x:c r="A96" s="2" t="str">
        <x:v>vg_046</x:v>
      </x:c>
      <x:c r="B96" s="2" t="str">
        <x:v>same_reading_meaning</x:v>
      </x:c>
      <x:c r="C96" s="2" t="str">
        <x:v>w_47be56537c24560e</x:v>
      </x:c>
      <x:c r="D96" s="2" t="str">
        <x:v>代弁</x:v>
      </x:c>
      <x:c r="E96" s="2" t="str">
        <x:v>だいべん</x:v>
      </x:c>
      <x:c r="F96" s="2" t="str">
        <x:v>아니오</x:v>
      </x:c>
      <x:c r="G96" s="2" t="n">
        <x:v>0</x:v>
      </x:c>
      <x:c r="H96" s="2" t="n">
        <x:v>2</x:v>
      </x:c>
      <x:c r="I96" s="2" t="str">
        <x:v>w_860e76f83693f071</x:v>
      </x:c>
      <x:c r="J96" s="2" t="str">
        <x:v>N1</x:v>
      </x:c>
      <x:c r="K96" s="2" t="str">
        <x:v>大便</x:v>
      </x:c>
      <x:c r="L96" s="2" t="str">
        <x:v>だいべん</x:v>
      </x:c>
      <x:c r="M96" s="8" t="str">
        <x:v>대변</x:v>
      </x:c>
      <x:c r="N96" s="9" t="n">
        <x:v>2.74</x:v>
      </x:c>
      <x:c r="O96" s="2" t="str">
        <x:v>아니오</x:v>
      </x:c>
      <x:c r="P96" s="2" t="str">
        <x:v>아니오</x:v>
      </x:c>
    </x:row>
    <x:row r="97">
      <x:c r="A97" s="2" t="str">
        <x:v>vg_047</x:v>
      </x:c>
      <x:c r="B97" s="2" t="str">
        <x:v>same_jmdict_entry,same_reading_meaning</x:v>
      </x:c>
      <x:c r="C97" s="2" t="str">
        <x:v>w_88ac17378fccd5f4</x:v>
      </x:c>
      <x:c r="D97" s="2" t="str">
        <x:v>湯飲み</x:v>
      </x:c>
      <x:c r="E97" s="2" t="str">
        <x:v>ゆのみ</x:v>
      </x:c>
      <x:c r="F97" s="2" t="str">
        <x:v>아니오</x:v>
      </x:c>
      <x:c r="G97" s="2" t="n">
        <x:v>0</x:v>
      </x:c>
      <x:c r="H97" s="2" t="n">
        <x:v>2</x:v>
      </x:c>
      <x:c r="I97" s="2" t="str">
        <x:v>w_4886cebbe81a296f</x:v>
      </x:c>
      <x:c r="J97" s="2" t="str">
        <x:v>N2</x:v>
      </x:c>
      <x:c r="K97" s="2" t="str">
        <x:v>湯飲</x:v>
      </x:c>
      <x:c r="L97" s="2" t="str">
        <x:v>ゆのみ</x:v>
      </x:c>
      <x:c r="M97" s="8" t="str">
        <x:v>찻잔</x:v>
      </x:c>
      <x:c r="N97" s="9" t="n">
        <x:v>3.6</x:v>
      </x:c>
      <x:c r="O97" s="2" t="str">
        <x:v>아니오</x:v>
      </x:c>
      <x:c r="P97" s="2" t="str">
        <x:v>아니오</x:v>
      </x:c>
    </x:row>
    <x:row r="98">
      <x:c r="A98" s="2" t="str">
        <x:v>vg_047</x:v>
      </x:c>
      <x:c r="B98" s="2" t="str">
        <x:v>same_jmdict_entry,same_reading_meaning</x:v>
      </x:c>
      <x:c r="C98" s="2" t="str">
        <x:v>w_88ac17378fccd5f4</x:v>
      </x:c>
      <x:c r="D98" s="2" t="str">
        <x:v>湯飲み</x:v>
      </x:c>
      <x:c r="E98" s="2" t="str">
        <x:v>ゆのみ</x:v>
      </x:c>
      <x:c r="F98" s="2" t="str">
        <x:v>아니오</x:v>
      </x:c>
      <x:c r="G98" s="2" t="n">
        <x:v>0</x:v>
      </x:c>
      <x:c r="H98" s="2" t="n">
        <x:v>2</x:v>
      </x:c>
      <x:c r="I98" s="2" t="str">
        <x:v>w_88ac17378fccd5f4</x:v>
      </x:c>
      <x:c r="J98" s="2" t="str">
        <x:v>N2</x:v>
      </x:c>
      <x:c r="K98" s="2" t="str">
        <x:v>湯飲み</x:v>
      </x:c>
      <x:c r="L98" s="2" t="str">
        <x:v>ゆのみ</x:v>
      </x:c>
      <x:c r="M98" s="8" t="str">
        <x:v>찻잔</x:v>
      </x:c>
      <x:c r="N98" s="9" t="n">
        <x:v>2.15</x:v>
      </x:c>
      <x:c r="O98" s="2" t="str">
        <x:v>아니오</x:v>
      </x:c>
      <x:c r="P98" s="2" t="str">
        <x:v>예</x:v>
      </x:c>
    </x:row>
    <x:row r="99">
      <x:c r="A99" s="2" t="str">
        <x:v>vg_048</x:v>
      </x:c>
      <x:c r="B99" s="2" t="str">
        <x:v>same_jmdict_entry</x:v>
      </x:c>
      <x:c r="C99" s="2" t="str">
        <x:v>w_494f224e459f607c</x:v>
      </x:c>
      <x:c r="D99" s="2" t="str">
        <x:v>手ごろ</x:v>
      </x:c>
      <x:c r="E99" s="2" t="str">
        <x:v>てごろ</x:v>
      </x:c>
      <x:c r="F99" s="2" t="str">
        <x:v>아니오</x:v>
      </x:c>
      <x:c r="G99" s="2" t="n">
        <x:v>0</x:v>
      </x:c>
      <x:c r="H99" s="2" t="n">
        <x:v>2</x:v>
      </x:c>
      <x:c r="I99" s="2" t="str">
        <x:v>w_494f224e459f607c</x:v>
      </x:c>
      <x:c r="J99" s="2" t="str">
        <x:v>N2</x:v>
      </x:c>
      <x:c r="K99" s="2" t="str">
        <x:v>手ごろ</x:v>
      </x:c>
      <x:c r="L99" s="2" t="str">
        <x:v>てごろ</x:v>
      </x:c>
      <x:c r="M99" s="8" t="str">
        <x:v>알맞다, 적당하다</x:v>
      </x:c>
      <x:c r="N99" s="9" t="n">
        <x:v>2.54</x:v>
      </x:c>
      <x:c r="O99" s="2" t="str">
        <x:v>아니오</x:v>
      </x:c>
      <x:c r="P99" s="2" t="str">
        <x:v>예</x:v>
      </x:c>
    </x:row>
    <x:row r="100">
      <x:c r="A100" s="2" t="str">
        <x:v>vg_048</x:v>
      </x:c>
      <x:c r="B100" s="2" t="str">
        <x:v>same_jmdict_entry</x:v>
      </x:c>
      <x:c r="C100" s="2" t="str">
        <x:v>w_494f224e459f607c</x:v>
      </x:c>
      <x:c r="D100" s="2" t="str">
        <x:v>手ごろ</x:v>
      </x:c>
      <x:c r="E100" s="2" t="str">
        <x:v>てごろ</x:v>
      </x:c>
      <x:c r="F100" s="2" t="str">
        <x:v>아니오</x:v>
      </x:c>
      <x:c r="G100" s="2" t="n">
        <x:v>0</x:v>
      </x:c>
      <x:c r="H100" s="2" t="n">
        <x:v>2</x:v>
      </x:c>
      <x:c r="I100" s="2" t="str">
        <x:v>w_5306465650e71486</x:v>
      </x:c>
      <x:c r="J100" s="2" t="str">
        <x:v>N2</x:v>
      </x:c>
      <x:c r="K100" s="2" t="str">
        <x:v>手頃</x:v>
      </x:c>
      <x:c r="L100" s="2" t="str">
        <x:v>てごろ</x:v>
      </x:c>
      <x:c r="M100" s="8" t="str">
        <x:v>적당한, 편리한</x:v>
      </x:c>
      <x:c r="N100" s="9" t="n">
        <x:v>3.39</x:v>
      </x:c>
      <x:c r="O100" s="2" t="str">
        <x:v>아니오</x:v>
      </x:c>
      <x:c r="P100" s="2" t="str">
        <x:v>아니오</x:v>
      </x:c>
    </x:row>
    <x:row r="101">
      <x:c r="A101" s="2" t="str">
        <x:v>vg_049</x:v>
      </x:c>
      <x:c r="B101" s="2" t="str">
        <x:v>same_jmdict_entry</x:v>
      </x:c>
      <x:c r="C101" s="2" t="str">
        <x:v>w_a6b4b27691fedbcb</x:v>
      </x:c>
      <x:c r="D101" s="2" t="str">
        <x:v>明日</x:v>
      </x:c>
      <x:c r="E101" s="2" t="str">
        <x:v>あした</x:v>
      </x:c>
      <x:c r="F101" s="2" t="str">
        <x:v>아니오</x:v>
      </x:c>
      <x:c r="G101" s="2" t="n">
        <x:v>0</x:v>
      </x:c>
      <x:c r="H101" s="2" t="n">
        <x:v>2</x:v>
      </x:c>
      <x:c r="I101" s="2" t="str">
        <x:v>w_49b375af96425cbe</x:v>
      </x:c>
      <x:c r="J101" s="2" t="str">
        <x:v>N4</x:v>
      </x:c>
      <x:c r="K101" s="2" t="str">
        <x:v>明日</x:v>
      </x:c>
      <x:c r="L101" s="2" t="str">
        <x:v>あす</x:v>
      </x:c>
      <x:c r="M101" s="8" t="str">
        <x:v>내일</x:v>
      </x:c>
      <x:c r="N101" s="9" t="n">
        <x:v>5.2</x:v>
      </x:c>
      <x:c r="O101" s="2" t="str">
        <x:v>아니오</x:v>
      </x:c>
      <x:c r="P101" s="2" t="str">
        <x:v>아니오</x:v>
      </x:c>
    </x:row>
    <x:row r="102">
      <x:c r="A102" s="2" t="str">
        <x:v>vg_049</x:v>
      </x:c>
      <x:c r="B102" s="2" t="str">
        <x:v>same_jmdict_entry</x:v>
      </x:c>
      <x:c r="C102" s="2" t="str">
        <x:v>w_a6b4b27691fedbcb</x:v>
      </x:c>
      <x:c r="D102" s="2" t="str">
        <x:v>明日</x:v>
      </x:c>
      <x:c r="E102" s="2" t="str">
        <x:v>あした</x:v>
      </x:c>
      <x:c r="F102" s="2" t="str">
        <x:v>아니오</x:v>
      </x:c>
      <x:c r="G102" s="2" t="n">
        <x:v>0</x:v>
      </x:c>
      <x:c r="H102" s="2" t="n">
        <x:v>2</x:v>
      </x:c>
      <x:c r="I102" s="2" t="str">
        <x:v>w_a6b4b27691fedbcb</x:v>
      </x:c>
      <x:c r="J102" s="2" t="str">
        <x:v>N5</x:v>
      </x:c>
      <x:c r="K102" s="2" t="str">
        <x:v>明日</x:v>
      </x:c>
      <x:c r="L102" s="2" t="str">
        <x:v>あした</x:v>
      </x:c>
      <x:c r="M102" s="8" t="str">
        <x:v>내일</x:v>
      </x:c>
      <x:c r="N102" s="9" t="n">
        <x:v>5.2</x:v>
      </x:c>
      <x:c r="O102" s="2" t="str">
        <x:v>아니오</x:v>
      </x:c>
      <x:c r="P102" s="2" t="str">
        <x:v>예</x:v>
      </x:c>
    </x:row>
    <x:row r="103">
      <x:c r="A103" s="2" t="str">
        <x:v>vg_050</x:v>
      </x:c>
      <x:c r="B103" s="2" t="str">
        <x:v>same_jmdict_entry</x:v>
      </x:c>
      <x:c r="C103" s="2" t="str">
        <x:v>w_5b1a82d3cd393ecb</x:v>
      </x:c>
      <x:c r="D103" s="2" t="str">
        <x:v>手数</x:v>
      </x:c>
      <x:c r="E103" s="2" t="str">
        <x:v>てすう</x:v>
      </x:c>
      <x:c r="F103" s="2" t="str">
        <x:v>아니오</x:v>
      </x:c>
      <x:c r="G103" s="2" t="n">
        <x:v>0</x:v>
      </x:c>
      <x:c r="H103" s="2" t="n">
        <x:v>2</x:v>
      </x:c>
      <x:c r="I103" s="2" t="str">
        <x:v>w_4ef2af90123264d7</x:v>
      </x:c>
      <x:c r="J103" s="2" t="str">
        <x:v>N1</x:v>
      </x:c>
      <x:c r="K103" s="2" t="str">
        <x:v>手数</x:v>
      </x:c>
      <x:c r="L103" s="2" t="str">
        <x:v>てかず</x:v>
      </x:c>
      <x:c r="M103" s="8" t="str">
        <x:v>수고, 폐</x:v>
      </x:c>
      <x:c r="N103" s="9" t="n">
        <x:v>3.01</x:v>
      </x:c>
      <x:c r="O103" s="2" t="str">
        <x:v>아니오</x:v>
      </x:c>
      <x:c r="P103" s="2" t="str">
        <x:v>아니오</x:v>
      </x:c>
    </x:row>
    <x:row r="104">
      <x:c r="A104" s="2" t="str">
        <x:v>vg_050</x:v>
      </x:c>
      <x:c r="B104" s="2" t="str">
        <x:v>same_jmdict_entry</x:v>
      </x:c>
      <x:c r="C104" s="2" t="str">
        <x:v>w_5b1a82d3cd393ecb</x:v>
      </x:c>
      <x:c r="D104" s="2" t="str">
        <x:v>手数</x:v>
      </x:c>
      <x:c r="E104" s="2" t="str">
        <x:v>てすう</x:v>
      </x:c>
      <x:c r="F104" s="2" t="str">
        <x:v>아니오</x:v>
      </x:c>
      <x:c r="G104" s="2" t="n">
        <x:v>0</x:v>
      </x:c>
      <x:c r="H104" s="2" t="n">
        <x:v>2</x:v>
      </x:c>
      <x:c r="I104" s="2" t="str">
        <x:v>w_5b1a82d3cd393ecb</x:v>
      </x:c>
      <x:c r="J104" s="2" t="str">
        <x:v>N1</x:v>
      </x:c>
      <x:c r="K104" s="2" t="str">
        <x:v>手数</x:v>
      </x:c>
      <x:c r="L104" s="2" t="str">
        <x:v>てすう</x:v>
      </x:c>
      <x:c r="M104" s="8" t="str">
        <x:v>수고, 폐</x:v>
      </x:c>
      <x:c r="N104" s="9" t="n">
        <x:v>3.01</x:v>
      </x:c>
      <x:c r="O104" s="2" t="str">
        <x:v>아니오</x:v>
      </x:c>
      <x:c r="P104" s="2" t="str">
        <x:v>예</x:v>
      </x:c>
    </x:row>
    <x:row r="105">
      <x:c r="A105" s="2" t="str">
        <x:v>vg_051</x:v>
      </x:c>
      <x:c r="B105" s="2" t="str">
        <x:v>same_reading_meaning</x:v>
      </x:c>
      <x:c r="C105" s="2" t="str">
        <x:v>w_554c0ea216ecc414</x:v>
      </x:c>
      <x:c r="D105" s="2" t="str">
        <x:v>影</x:v>
      </x:c>
      <x:c r="E105" s="2" t="str">
        <x:v>かげ</x:v>
      </x:c>
      <x:c r="F105" s="2" t="str">
        <x:v>아니오</x:v>
      </x:c>
      <x:c r="G105" s="2" t="n">
        <x:v>0</x:v>
      </x:c>
      <x:c r="H105" s="2" t="n">
        <x:v>2</x:v>
      </x:c>
      <x:c r="I105" s="2" t="str">
        <x:v>w_51b95d78d41ec7ac</x:v>
      </x:c>
      <x:c r="J105" s="2" t="str">
        <x:v>N3</x:v>
      </x:c>
      <x:c r="K105" s="2" t="str">
        <x:v>陰</x:v>
      </x:c>
      <x:c r="L105" s="2" t="str">
        <x:v>かげ</x:v>
      </x:c>
      <x:c r="M105" s="8" t="str">
        <x:v>그늘, 그림자</x:v>
      </x:c>
      <x:c r="N105" s="9" t="n">
        <x:v>4.05</x:v>
      </x:c>
      <x:c r="O105" s="2" t="str">
        <x:v>아니오</x:v>
      </x:c>
      <x:c r="P105" s="2" t="str">
        <x:v>아니오</x:v>
      </x:c>
    </x:row>
    <x:row r="106">
      <x:c r="A106" s="2" t="str">
        <x:v>vg_051</x:v>
      </x:c>
      <x:c r="B106" s="2" t="str">
        <x:v>same_reading_meaning</x:v>
      </x:c>
      <x:c r="C106" s="2" t="str">
        <x:v>w_554c0ea216ecc414</x:v>
      </x:c>
      <x:c r="D106" s="2" t="str">
        <x:v>影</x:v>
      </x:c>
      <x:c r="E106" s="2" t="str">
        <x:v>かげ</x:v>
      </x:c>
      <x:c r="F106" s="2" t="str">
        <x:v>아니오</x:v>
      </x:c>
      <x:c r="G106" s="2" t="n">
        <x:v>0</x:v>
      </x:c>
      <x:c r="H106" s="2" t="n">
        <x:v>2</x:v>
      </x:c>
      <x:c r="I106" s="2" t="str">
        <x:v>w_554c0ea216ecc414</x:v>
      </x:c>
      <x:c r="J106" s="2" t="str">
        <x:v>N3</x:v>
      </x:c>
      <x:c r="K106" s="2" t="str">
        <x:v>影</x:v>
      </x:c>
      <x:c r="L106" s="2" t="str">
        <x:v>かげ</x:v>
      </x:c>
      <x:c r="M106" s="8" t="str">
        <x:v>그늘, 그림자</x:v>
      </x:c>
      <x:c r="N106" s="9" t="n">
        <x:v>4.54</x:v>
      </x:c>
      <x:c r="O106" s="2" t="str">
        <x:v>아니오</x:v>
      </x:c>
      <x:c r="P106" s="2" t="str">
        <x:v>예</x:v>
      </x:c>
    </x:row>
    <x:row r="107">
      <x:c r="A107" s="2" t="str">
        <x:v>vg_052</x:v>
      </x:c>
      <x:c r="B107" s="2" t="str">
        <x:v>same_jmdict_entry</x:v>
      </x:c>
      <x:c r="C107" s="2" t="str">
        <x:v>w_b8c80d155447f46a</x:v>
      </x:c>
      <x:c r="D107" s="2" t="str">
        <x:v>真ん丸い</x:v>
      </x:c>
      <x:c r="E107" s="2" t="str">
        <x:v>まんまるい</x:v>
      </x:c>
      <x:c r="F107" s="2" t="str">
        <x:v>아니오</x:v>
      </x:c>
      <x:c r="G107" s="2" t="n">
        <x:v>0</x:v>
      </x:c>
      <x:c r="H107" s="2" t="n">
        <x:v>2</x:v>
      </x:c>
      <x:c r="I107" s="2" t="str">
        <x:v>w_538b76225c57664f</x:v>
      </x:c>
      <x:c r="J107" s="2" t="str">
        <x:v>N1</x:v>
      </x:c>
      <x:c r="K107" s="2" t="str">
        <x:v>真ん円い</x:v>
      </x:c>
      <x:c r="L107" s="2" t="str">
        <x:v>まんまるい</x:v>
      </x:c>
      <x:c r="M107" s="8" t="str">
        <x:v>동그랗다, 둥글다</x:v>
      </x:c>
      <x:c r="N107" s="9" t="n">
        <x:v>1.88</x:v>
      </x:c>
      <x:c r="O107" s="2" t="str">
        <x:v>아니오</x:v>
      </x:c>
      <x:c r="P107" s="2" t="str">
        <x:v>아니오</x:v>
      </x:c>
    </x:row>
    <x:row r="108">
      <x:c r="A108" s="2" t="str">
        <x:v>vg_052</x:v>
      </x:c>
      <x:c r="B108" s="2" t="str">
        <x:v>same_jmdict_entry</x:v>
      </x:c>
      <x:c r="C108" s="2" t="str">
        <x:v>w_b8c80d155447f46a</x:v>
      </x:c>
      <x:c r="D108" s="2" t="str">
        <x:v>真ん丸い</x:v>
      </x:c>
      <x:c r="E108" s="2" t="str">
        <x:v>まんまるい</x:v>
      </x:c>
      <x:c r="F108" s="2" t="str">
        <x:v>아니오</x:v>
      </x:c>
      <x:c r="G108" s="2" t="n">
        <x:v>0</x:v>
      </x:c>
      <x:c r="H108" s="2" t="n">
        <x:v>2</x:v>
      </x:c>
      <x:c r="I108" s="2" t="str">
        <x:v>w_b8c80d155447f46a</x:v>
      </x:c>
      <x:c r="J108" s="2" t="str">
        <x:v>N1</x:v>
      </x:c>
      <x:c r="K108" s="2" t="str">
        <x:v>真ん丸い</x:v>
      </x:c>
      <x:c r="L108" s="2" t="str">
        <x:v>まんまるい</x:v>
      </x:c>
      <x:c r="M108" s="8" t="str">
        <x:v>둥글디둥글다</x:v>
      </x:c>
      <x:c r="N108" s="9" t="n">
        <x:v>1.93</x:v>
      </x:c>
      <x:c r="O108" s="2" t="str">
        <x:v>아니오</x:v>
      </x:c>
      <x:c r="P108" s="2" t="str">
        <x:v>예</x:v>
      </x:c>
    </x:row>
    <x:row r="109">
      <x:c r="A109" s="2" t="str">
        <x:v>vg_053</x:v>
      </x:c>
      <x:c r="B109" s="2" t="str">
        <x:v>same_jmdict_entry,same_reading_meaning</x:v>
      </x:c>
      <x:c r="C109" s="2" t="str">
        <x:v>w_bdef0744a164ce01</x:v>
      </x:c>
      <x:c r="D109" s="2" t="str">
        <x:v>果たして</x:v>
      </x:c>
      <x:c r="E109" s="2" t="str">
        <x:v>はたして</x:v>
      </x:c>
      <x:c r="F109" s="2" t="str">
        <x:v>예</x:v>
      </x:c>
      <x:c r="G109" s="2" t="n">
        <x:v>1</x:v>
      </x:c>
      <x:c r="H109" s="2" t="n">
        <x:v>2</x:v>
      </x:c>
      <x:c r="I109" s="2" t="str">
        <x:v>w_55c70829a8a13b07</x:v>
      </x:c>
      <x:c r="J109" s="2" t="str">
        <x:v>N2</x:v>
      </x:c>
      <x:c r="K109" s="2" t="str">
        <x:v>果して</x:v>
      </x:c>
      <x:c r="L109" s="2" t="str">
        <x:v>はたして</x:v>
      </x:c>
      <x:c r="M109" s="8" t="str">
        <x:v>과연, 역시</x:v>
      </x:c>
      <x:c r="N109" s="9" t="n">
        <x:v>1.94</x:v>
      </x:c>
      <x:c r="O109" s="2" t="str">
        <x:v>아니오</x:v>
      </x:c>
      <x:c r="P109" s="2" t="str">
        <x:v>아니오</x:v>
      </x:c>
    </x:row>
    <x:row r="110">
      <x:c r="A110" s="2" t="str">
        <x:v>vg_053</x:v>
      </x:c>
      <x:c r="B110" s="2" t="str">
        <x:v>same_jmdict_entry,same_reading_meaning</x:v>
      </x:c>
      <x:c r="C110" s="2" t="str">
        <x:v>w_bdef0744a164ce01</x:v>
      </x:c>
      <x:c r="D110" s="2" t="str">
        <x:v>果たして</x:v>
      </x:c>
      <x:c r="E110" s="2" t="str">
        <x:v>はたして</x:v>
      </x:c>
      <x:c r="F110" s="2" t="str">
        <x:v>예</x:v>
      </x:c>
      <x:c r="G110" s="2" t="n">
        <x:v>1</x:v>
      </x:c>
      <x:c r="H110" s="2" t="n">
        <x:v>2</x:v>
      </x:c>
      <x:c r="I110" s="2" t="str">
        <x:v>w_bdef0744a164ce01</x:v>
      </x:c>
      <x:c r="J110" s="2" t="str">
        <x:v>N2</x:v>
      </x:c>
      <x:c r="K110" s="2" t="str">
        <x:v>果たして</x:v>
      </x:c>
      <x:c r="L110" s="2" t="str">
        <x:v>はたして</x:v>
      </x:c>
      <x:c r="M110" s="8" t="str">
        <x:v>과연, 역시</x:v>
      </x:c>
      <x:c r="N110" s="9" t="n">
        <x:v>4.02</x:v>
      </x:c>
      <x:c r="O110" s="2" t="str">
        <x:v>예</x:v>
      </x:c>
      <x:c r="P110" s="2" t="str">
        <x:v>예</x:v>
      </x:c>
    </x:row>
    <x:row r="111">
      <x:c r="A111" s="2" t="str">
        <x:v>vg_054</x:v>
      </x:c>
      <x:c r="B111" s="2" t="str">
        <x:v>same_jmdict_entry,same_reading_meaning</x:v>
      </x:c>
      <x:c r="C111" s="2" t="str">
        <x:v>w_56afecb4ab165d9c</x:v>
      </x:c>
      <x:c r="D111" s="2" t="str">
        <x:v>知り合い</x:v>
      </x:c>
      <x:c r="E111" s="2" t="str">
        <x:v>しりあい</x:v>
      </x:c>
      <x:c r="F111" s="2" t="str">
        <x:v>아니오</x:v>
      </x:c>
      <x:c r="G111" s="2" t="n">
        <x:v>0</x:v>
      </x:c>
      <x:c r="H111" s="2" t="n">
        <x:v>2</x:v>
      </x:c>
      <x:c r="I111" s="2" t="str">
        <x:v>w_56afecb4ab165d9c</x:v>
      </x:c>
      <x:c r="J111" s="2" t="str">
        <x:v>N2</x:v>
      </x:c>
      <x:c r="K111" s="2" t="str">
        <x:v>知り合い</x:v>
      </x:c>
      <x:c r="L111" s="2" t="str">
        <x:v>しりあい</x:v>
      </x:c>
      <x:c r="M111" s="8" t="str">
        <x:v>아는 사람, 지인</x:v>
      </x:c>
      <x:c r="N111" s="9" t="n">
        <x:v>4.5</x:v>
      </x:c>
      <x:c r="O111" s="2" t="str">
        <x:v>아니오</x:v>
      </x:c>
      <x:c r="P111" s="2" t="str">
        <x:v>예</x:v>
      </x:c>
    </x:row>
    <x:row r="112">
      <x:c r="A112" s="2" t="str">
        <x:v>vg_054</x:v>
      </x:c>
      <x:c r="B112" s="2" t="str">
        <x:v>same_jmdict_entry,same_reading_meaning</x:v>
      </x:c>
      <x:c r="C112" s="2" t="str">
        <x:v>w_56afecb4ab165d9c</x:v>
      </x:c>
      <x:c r="D112" s="2" t="str">
        <x:v>知り合い</x:v>
      </x:c>
      <x:c r="E112" s="2" t="str">
        <x:v>しりあい</x:v>
      </x:c>
      <x:c r="F112" s="2" t="str">
        <x:v>아니오</x:v>
      </x:c>
      <x:c r="G112" s="2" t="n">
        <x:v>0</x:v>
      </x:c>
      <x:c r="H112" s="2" t="n">
        <x:v>2</x:v>
      </x:c>
      <x:c r="I112" s="2" t="str">
        <x:v>w_d15b110e14f8ad30</x:v>
      </x:c>
      <x:c r="J112" s="2" t="str">
        <x:v>N3</x:v>
      </x:c>
      <x:c r="K112" s="2" t="str">
        <x:v>知合い</x:v>
      </x:c>
      <x:c r="L112" s="2" t="str">
        <x:v>しりあい</x:v>
      </x:c>
      <x:c r="M112" s="8" t="str">
        <x:v>아는 사람, 지인</x:v>
      </x:c>
      <x:c r="N112" s="9" t="n">
        <x:v>1.89</x:v>
      </x:c>
      <x:c r="O112" s="2" t="str">
        <x:v>아니오</x:v>
      </x:c>
      <x:c r="P112" s="2" t="str">
        <x:v>아니오</x:v>
      </x:c>
    </x:row>
    <x:row r="113">
      <x:c r="A113" s="2" t="str">
        <x:v>vg_055</x:v>
      </x:c>
      <x:c r="B113" s="2" t="str">
        <x:v>same_jmdict_entry</x:v>
      </x:c>
      <x:c r="C113" s="2" t="str">
        <x:v>w_5785856236145c11</x:v>
      </x:c>
      <x:c r="D113" s="2" t="str">
        <x:v>開ける</x:v>
      </x:c>
      <x:c r="E113" s="2" t="str">
        <x:v>あける</x:v>
      </x:c>
      <x:c r="F113" s="2" t="str">
        <x:v>예</x:v>
      </x:c>
      <x:c r="G113" s="2" t="n">
        <x:v>2</x:v>
      </x:c>
      <x:c r="H113" s="2" t="n">
        <x:v>2</x:v>
      </x:c>
      <x:c r="I113" s="2" t="str">
        <x:v>w_5785856236145c11</x:v>
      </x:c>
      <x:c r="J113" s="2" t="str">
        <x:v>N5</x:v>
      </x:c>
      <x:c r="K113" s="2" t="str">
        <x:v>開ける</x:v>
      </x:c>
      <x:c r="L113" s="2" t="str">
        <x:v>あける</x:v>
      </x:c>
      <x:c r="M113" s="8" t="str">
        <x:v>열다</x:v>
      </x:c>
      <x:c r="N113" s="9" t="n">
        <x:v>4.09</x:v>
      </x:c>
      <x:c r="O113" s="2" t="str">
        <x:v>예</x:v>
      </x:c>
      <x:c r="P113" s="2" t="str">
        <x:v>예</x:v>
      </x:c>
    </x:row>
    <x:row r="114">
      <x:c r="A114" s="2" t="str">
        <x:v>vg_055</x:v>
      </x:c>
      <x:c r="B114" s="2" t="str">
        <x:v>same_jmdict_entry</x:v>
      </x:c>
      <x:c r="C114" s="2" t="str">
        <x:v>w_5785856236145c11</x:v>
      </x:c>
      <x:c r="D114" s="2" t="str">
        <x:v>開ける</x:v>
      </x:c>
      <x:c r="E114" s="2" t="str">
        <x:v>あける</x:v>
      </x:c>
      <x:c r="F114" s="2" t="str">
        <x:v>예</x:v>
      </x:c>
      <x:c r="G114" s="2" t="n">
        <x:v>2</x:v>
      </x:c>
      <x:c r="H114" s="2" t="n">
        <x:v>2</x:v>
      </x:c>
      <x:c r="I114" s="2" t="str">
        <x:v>w_949c210aa0e199be</x:v>
      </x:c>
      <x:c r="J114" s="2" t="str">
        <x:v>N3</x:v>
      </x:c>
      <x:c r="K114" s="2" t="str">
        <x:v>明ける</x:v>
      </x:c>
      <x:c r="L114" s="2" t="str">
        <x:v>あける</x:v>
      </x:c>
      <x:c r="M114" s="8" t="str">
        <x:v>날이 밝다, 새다</x:v>
      </x:c>
      <x:c r="N114" s="9" t="n">
        <x:v>2.99</x:v>
      </x:c>
      <x:c r="O114" s="2" t="str">
        <x:v>예</x:v>
      </x:c>
      <x:c r="P114" s="2" t="str">
        <x:v>아니오</x:v>
      </x:c>
    </x:row>
    <x:row r="115">
      <x:c r="A115" s="2" t="str">
        <x:v>vg_056</x:v>
      </x:c>
      <x:c r="B115" s="2" t="str">
        <x:v>same_jmdict_entry</x:v>
      </x:c>
      <x:c r="C115" s="2" t="str">
        <x:v>w_dbc9be61b1093e8f</x:v>
      </x:c>
      <x:c r="D115" s="2" t="str">
        <x:v>収まる</x:v>
      </x:c>
      <x:c r="E115" s="2" t="str">
        <x:v>おさまる</x:v>
      </x:c>
      <x:c r="F115" s="2" t="str">
        <x:v>아니오</x:v>
      </x:c>
      <x:c r="G115" s="2" t="n">
        <x:v>0</x:v>
      </x:c>
      <x:c r="H115" s="2" t="n">
        <x:v>2</x:v>
      </x:c>
      <x:c r="I115" s="2" t="str">
        <x:v>w_57c108f507b24abb</x:v>
      </x:c>
      <x:c r="J115" s="2" t="str">
        <x:v>N1</x:v>
      </x:c>
      <x:c r="K115" s="2" t="str">
        <x:v>納まる</x:v>
      </x:c>
      <x:c r="L115" s="2" t="str">
        <x:v>おさまる</x:v>
      </x:c>
      <x:c r="M115" s="8" t="str">
        <x:v>수습되다, 납입되다</x:v>
      </x:c>
      <x:c r="N115" s="9" t="n">
        <x:v>2.45</x:v>
      </x:c>
      <x:c r="O115" s="2" t="str">
        <x:v>아니오</x:v>
      </x:c>
      <x:c r="P115" s="2" t="str">
        <x:v>아니오</x:v>
      </x:c>
    </x:row>
    <x:row r="116">
      <x:c r="A116" s="2" t="str">
        <x:v>vg_056</x:v>
      </x:c>
      <x:c r="B116" s="2" t="str">
        <x:v>same_jmdict_entry</x:v>
      </x:c>
      <x:c r="C116" s="2" t="str">
        <x:v>w_dbc9be61b1093e8f</x:v>
      </x:c>
      <x:c r="D116" s="2" t="str">
        <x:v>収まる</x:v>
      </x:c>
      <x:c r="E116" s="2" t="str">
        <x:v>おさまる</x:v>
      </x:c>
      <x:c r="F116" s="2" t="str">
        <x:v>아니오</x:v>
      </x:c>
      <x:c r="G116" s="2" t="n">
        <x:v>0</x:v>
      </x:c>
      <x:c r="H116" s="2" t="n">
        <x:v>2</x:v>
      </x:c>
      <x:c r="I116" s="2" t="str">
        <x:v>w_dbc9be61b1093e8f</x:v>
      </x:c>
      <x:c r="J116" s="2" t="str">
        <x:v>N1</x:v>
      </x:c>
      <x:c r="K116" s="2" t="str">
        <x:v>収まる</x:v>
      </x:c>
      <x:c r="L116" s="2" t="str">
        <x:v>おさまる</x:v>
      </x:c>
      <x:c r="M116" s="8" t="str">
        <x:v>수습되다, 들어맞다</x:v>
      </x:c>
      <x:c r="N116" s="9" t="n">
        <x:v>3.64</x:v>
      </x:c>
      <x:c r="O116" s="2" t="str">
        <x:v>아니오</x:v>
      </x:c>
      <x:c r="P116" s="2" t="str">
        <x:v>예</x:v>
      </x:c>
    </x:row>
    <x:row r="117">
      <x:c r="A117" s="2" t="str">
        <x:v>vg_057</x:v>
      </x:c>
      <x:c r="B117" s="2" t="str">
        <x:v>same_reading_meaning</x:v>
      </x:c>
      <x:c r="C117" s="2" t="str">
        <x:v>w_590d55e05e5f7b6c</x:v>
      </x:c>
      <x:c r="D117" s="2" t="str">
        <x:v>躓く</x:v>
      </x:c>
      <x:c r="E117" s="2" t="str">
        <x:v>つまずく</x:v>
      </x:c>
      <x:c r="F117" s="2" t="str">
        <x:v>아니오</x:v>
      </x:c>
      <x:c r="G117" s="2" t="n">
        <x:v>0</x:v>
      </x:c>
      <x:c r="H117" s="2" t="n">
        <x:v>2</x:v>
      </x:c>
      <x:c r="I117" s="2" t="str">
        <x:v>w_590d55e05e5f7b6c</x:v>
      </x:c>
      <x:c r="J117" s="2" t="str">
        <x:v>N2</x:v>
      </x:c>
      <x:c r="K117" s="2" t="str">
        <x:v>躓く</x:v>
      </x:c>
      <x:c r="L117" s="2" t="str">
        <x:v>つまずく</x:v>
      </x:c>
      <x:c r="M117" s="8" t="str">
        <x:v>발이 걸려 넘어지다</x:v>
      </x:c>
      <x:c r="N117" s="9" t="n">
        <x:v>2.28</x:v>
      </x:c>
      <x:c r="O117" s="2" t="str">
        <x:v>아니오</x:v>
      </x:c>
      <x:c r="P117" s="2" t="str">
        <x:v>예</x:v>
      </x:c>
    </x:row>
    <x:row r="118">
      <x:c r="A118" s="2" t="str">
        <x:v>vg_057</x:v>
      </x:c>
      <x:c r="B118" s="2" t="str">
        <x:v>same_reading_meaning</x:v>
      </x:c>
      <x:c r="C118" s="2" t="str">
        <x:v>w_590d55e05e5f7b6c</x:v>
      </x:c>
      <x:c r="D118" s="2" t="str">
        <x:v>躓く</x:v>
      </x:c>
      <x:c r="E118" s="2" t="str">
        <x:v>つまずく</x:v>
      </x:c>
      <x:c r="F118" s="2" t="str">
        <x:v>아니오</x:v>
      </x:c>
      <x:c r="G118" s="2" t="n">
        <x:v>0</x:v>
      </x:c>
      <x:c r="H118" s="2" t="n">
        <x:v>2</x:v>
      </x:c>
      <x:c r="I118" s="2" t="str">
        <x:v>w_de63da100ac1f50b</x:v>
      </x:c>
      <x:c r="J118" s="2" t="str">
        <x:v>N2</x:v>
      </x:c>
      <x:c r="K118" s="2" t="str">
        <x:v>つまずく</x:v>
      </x:c>
      <x:c r="L118" s="2" t="str">
        <x:v>つまずく</x:v>
      </x:c>
      <x:c r="M118" s="8" t="str">
        <x:v>발이 걸려 넘어지다</x:v>
      </x:c>
      <x:c r="N118" s="9" t="n">
        <x:v>2.61</x:v>
      </x:c>
      <x:c r="O118" s="2" t="str">
        <x:v>아니오</x:v>
      </x:c>
      <x:c r="P118" s="2" t="str">
        <x:v>아니오</x:v>
      </x:c>
    </x:row>
    <x:row r="119">
      <x:c r="A119" s="2" t="str">
        <x:v>vg_058</x:v>
      </x:c>
      <x:c r="B119" s="2" t="str">
        <x:v>same_jmdict_entry</x:v>
      </x:c>
      <x:c r="C119" s="2" t="str">
        <x:v>w_596ec51bc3a84d27</x:v>
      </x:c>
      <x:c r="D119" s="2" t="str">
        <x:v>文字</x:v>
      </x:c>
      <x:c r="E119" s="2" t="str">
        <x:v>もじ</x:v>
      </x:c>
      <x:c r="F119" s="2" t="str">
        <x:v>예</x:v>
      </x:c>
      <x:c r="G119" s="2" t="n">
        <x:v>1</x:v>
      </x:c>
      <x:c r="H119" s="2" t="n">
        <x:v>2</x:v>
      </x:c>
      <x:c r="I119" s="2" t="str">
        <x:v>w_596ec51bc3a84d27</x:v>
      </x:c>
      <x:c r="J119" s="2" t="str">
        <x:v>N3</x:v>
      </x:c>
      <x:c r="K119" s="2" t="str">
        <x:v>文字</x:v>
      </x:c>
      <x:c r="L119" s="2" t="str">
        <x:v>もじ</x:v>
      </x:c>
      <x:c r="M119" s="8" t="str">
        <x:v>글자, 문자</x:v>
      </x:c>
      <x:c r="N119" s="9" t="n">
        <x:v>5.02</x:v>
      </x:c>
      <x:c r="O119" s="2" t="str">
        <x:v>예</x:v>
      </x:c>
      <x:c r="P119" s="2" t="str">
        <x:v>예</x:v>
      </x:c>
    </x:row>
    <x:row r="120">
      <x:c r="A120" s="2" t="str">
        <x:v>vg_058</x:v>
      </x:c>
      <x:c r="B120" s="2" t="str">
        <x:v>same_jmdict_entry</x:v>
      </x:c>
      <x:c r="C120" s="2" t="str">
        <x:v>w_596ec51bc3a84d27</x:v>
      </x:c>
      <x:c r="D120" s="2" t="str">
        <x:v>文字</x:v>
      </x:c>
      <x:c r="E120" s="2" t="str">
        <x:v>もじ</x:v>
      </x:c>
      <x:c r="F120" s="2" t="str">
        <x:v>예</x:v>
      </x:c>
      <x:c r="G120" s="2" t="n">
        <x:v>1</x:v>
      </x:c>
      <x:c r="H120" s="2" t="n">
        <x:v>2</x:v>
      </x:c>
      <x:c r="I120" s="2" t="str">
        <x:v>w_78caf6dd3119f140</x:v>
      </x:c>
      <x:c r="J120" s="2" t="str">
        <x:v>N3</x:v>
      </x:c>
      <x:c r="K120" s="2" t="str">
        <x:v>文字</x:v>
      </x:c>
      <x:c r="L120" s="2" t="str">
        <x:v>もんじ</x:v>
      </x:c>
      <x:c r="M120" s="8" t="str">
        <x:v>글자, 문자</x:v>
      </x:c>
      <x:c r="N120" s="9" t="n">
        <x:v>5.02</x:v>
      </x:c>
      <x:c r="O120" s="2" t="str">
        <x:v>아니오</x:v>
      </x:c>
      <x:c r="P120" s="2" t="str">
        <x:v>아니오</x:v>
      </x:c>
    </x:row>
    <x:row r="121">
      <x:c r="A121" s="2" t="str">
        <x:v>vg_059</x:v>
      </x:c>
      <x:c r="B121" s="2" t="str">
        <x:v>same_jmdict_entry,same_reading_meaning</x:v>
      </x:c>
      <x:c r="C121" s="2" t="str">
        <x:v>w_a204d55f9264a584</x:v>
      </x:c>
      <x:c r="D121" s="2" t="str">
        <x:v>付属</x:v>
      </x:c>
      <x:c r="E121" s="2" t="str">
        <x:v>ふぞく</x:v>
      </x:c>
      <x:c r="F121" s="2" t="str">
        <x:v>아니오</x:v>
      </x:c>
      <x:c r="G121" s="2" t="n">
        <x:v>0</x:v>
      </x:c>
      <x:c r="H121" s="2" t="n">
        <x:v>2</x:v>
      </x:c>
      <x:c r="I121" s="2" t="str">
        <x:v>w_59d0e85886f68ace</x:v>
      </x:c>
      <x:c r="J121" s="2" t="str">
        <x:v>N2</x:v>
      </x:c>
      <x:c r="K121" s="2" t="str">
        <x:v>附属</x:v>
      </x:c>
      <x:c r="L121" s="2" t="str">
        <x:v>ふぞく</x:v>
      </x:c>
      <x:c r="M121" s="8" t="str">
        <x:v>부속, 소속</x:v>
      </x:c>
      <x:c r="N121" s="9" t="n">
        <x:v>3.42</x:v>
      </x:c>
      <x:c r="O121" s="2" t="str">
        <x:v>아니오</x:v>
      </x:c>
      <x:c r="P121" s="2" t="str">
        <x:v>아니오</x:v>
      </x:c>
    </x:row>
    <x:row r="122">
      <x:c r="A122" s="2" t="str">
        <x:v>vg_059</x:v>
      </x:c>
      <x:c r="B122" s="2" t="str">
        <x:v>same_jmdict_entry,same_reading_meaning</x:v>
      </x:c>
      <x:c r="C122" s="2" t="str">
        <x:v>w_a204d55f9264a584</x:v>
      </x:c>
      <x:c r="D122" s="2" t="str">
        <x:v>付属</x:v>
      </x:c>
      <x:c r="E122" s="2" t="str">
        <x:v>ふぞく</x:v>
      </x:c>
      <x:c r="F122" s="2" t="str">
        <x:v>아니오</x:v>
      </x:c>
      <x:c r="G122" s="2" t="n">
        <x:v>0</x:v>
      </x:c>
      <x:c r="H122" s="2" t="n">
        <x:v>2</x:v>
      </x:c>
      <x:c r="I122" s="2" t="str">
        <x:v>w_a204d55f9264a584</x:v>
      </x:c>
      <x:c r="J122" s="2" t="str">
        <x:v>N2</x:v>
      </x:c>
      <x:c r="K122" s="2" t="str">
        <x:v>付属</x:v>
      </x:c>
      <x:c r="L122" s="2" t="str">
        <x:v>ふぞく</x:v>
      </x:c>
      <x:c r="M122" s="8" t="str">
        <x:v>부속, 소속</x:v>
      </x:c>
      <x:c r="N122" s="9" t="n">
        <x:v>4.33</x:v>
      </x:c>
      <x:c r="O122" s="2" t="str">
        <x:v>아니오</x:v>
      </x:c>
      <x:c r="P122" s="2" t="str">
        <x:v>예</x:v>
      </x:c>
    </x:row>
    <x:row r="123">
      <x:c r="A123" s="2" t="str">
        <x:v>vg_060</x:v>
      </x:c>
      <x:c r="B123" s="2" t="str">
        <x:v>same_jmdict_entry,same_reading_meaning</x:v>
      </x:c>
      <x:c r="C123" s="2" t="str">
        <x:v>w_7ea20007b10fcf12</x:v>
      </x:c>
      <x:c r="D123" s="2" t="str">
        <x:v>作り</x:v>
      </x:c>
      <x:c r="E123" s="2" t="str">
        <x:v>つくり</x:v>
      </x:c>
      <x:c r="F123" s="2" t="str">
        <x:v>아니오</x:v>
      </x:c>
      <x:c r="G123" s="2" t="n">
        <x:v>0</x:v>
      </x:c>
      <x:c r="H123" s="2" t="n">
        <x:v>2</x:v>
      </x:c>
      <x:c r="I123" s="2" t="str">
        <x:v>w_5be62d71deeeebf2</x:v>
      </x:c>
      <x:c r="J123" s="2" t="str">
        <x:v>N1</x:v>
      </x:c>
      <x:c r="K123" s="2" t="str">
        <x:v>造り</x:v>
      </x:c>
      <x:c r="L123" s="2" t="str">
        <x:v>つくり</x:v>
      </x:c>
      <x:c r="M123" s="8" t="str">
        <x:v>만듦새, 구조; 체격</x:v>
      </x:c>
      <x:c r="N123" s="9" t="n">
        <x:v>3.8</x:v>
      </x:c>
      <x:c r="O123" s="2" t="str">
        <x:v>아니오</x:v>
      </x:c>
      <x:c r="P123" s="2" t="str">
        <x:v>아니오</x:v>
      </x:c>
    </x:row>
    <x:row r="124">
      <x:c r="A124" s="2" t="str">
        <x:v>vg_060</x:v>
      </x:c>
      <x:c r="B124" s="2" t="str">
        <x:v>same_jmdict_entry,same_reading_meaning</x:v>
      </x:c>
      <x:c r="C124" s="2" t="str">
        <x:v>w_7ea20007b10fcf12</x:v>
      </x:c>
      <x:c r="D124" s="2" t="str">
        <x:v>作り</x:v>
      </x:c>
      <x:c r="E124" s="2" t="str">
        <x:v>つくり</x:v>
      </x:c>
      <x:c r="F124" s="2" t="str">
        <x:v>아니오</x:v>
      </x:c>
      <x:c r="G124" s="2" t="n">
        <x:v>0</x:v>
      </x:c>
      <x:c r="H124" s="2" t="n">
        <x:v>2</x:v>
      </x:c>
      <x:c r="I124" s="2" t="str">
        <x:v>w_7ea20007b10fcf12</x:v>
      </x:c>
      <x:c r="J124" s="2" t="str">
        <x:v>N1</x:v>
      </x:c>
      <x:c r="K124" s="2" t="str">
        <x:v>作り</x:v>
      </x:c>
      <x:c r="L124" s="2" t="str">
        <x:v>つくり</x:v>
      </x:c>
      <x:c r="M124" s="8" t="str">
        <x:v>만듦새, 구조; 체격</x:v>
      </x:c>
      <x:c r="N124" s="9" t="n">
        <x:v>5</x:v>
      </x:c>
      <x:c r="O124" s="2" t="str">
        <x:v>아니오</x:v>
      </x:c>
      <x:c r="P124" s="2" t="str">
        <x:v>예</x:v>
      </x:c>
    </x:row>
    <x:row r="125">
      <x:c r="A125" s="2" t="str">
        <x:v>vg_061</x:v>
      </x:c>
      <x:c r="B125" s="2" t="str">
        <x:v>same_jmdict_entry</x:v>
      </x:c>
      <x:c r="C125" s="2" t="str">
        <x:v>w_65973e3dcc47994c</x:v>
      </x:c>
      <x:c r="D125" s="2" t="str">
        <x:v>耐える</x:v>
      </x:c>
      <x:c r="E125" s="2" t="str">
        <x:v>たえる</x:v>
      </x:c>
      <x:c r="F125" s="2" t="str">
        <x:v>예</x:v>
      </x:c>
      <x:c r="G125" s="2" t="n">
        <x:v>1</x:v>
      </x:c>
      <x:c r="H125" s="2" t="n">
        <x:v>2</x:v>
      </x:c>
      <x:c r="I125" s="2" t="str">
        <x:v>w_5c52557ecb180f3d</x:v>
      </x:c>
      <x:c r="J125" s="2" t="str">
        <x:v>N1</x:v>
      </x:c>
      <x:c r="K125" s="2" t="str">
        <x:v>堪える</x:v>
      </x:c>
      <x:c r="L125" s="2" t="str">
        <x:v>たえる</x:v>
      </x:c>
      <x:c r="M125" s="8" t="str">
        <x:v>견디다, 참다</x:v>
      </x:c>
      <x:c r="N125" s="9" t="n">
        <x:v>3.03</x:v>
      </x:c>
      <x:c r="O125" s="2" t="str">
        <x:v>아니오</x:v>
      </x:c>
      <x:c r="P125" s="2" t="str">
        <x:v>아니오</x:v>
      </x:c>
    </x:row>
    <x:row r="126">
      <x:c r="A126" s="2" t="str">
        <x:v>vg_061</x:v>
      </x:c>
      <x:c r="B126" s="2" t="str">
        <x:v>same_jmdict_entry</x:v>
      </x:c>
      <x:c r="C126" s="2" t="str">
        <x:v>w_65973e3dcc47994c</x:v>
      </x:c>
      <x:c r="D126" s="2" t="str">
        <x:v>耐える</x:v>
      </x:c>
      <x:c r="E126" s="2" t="str">
        <x:v>たえる</x:v>
      </x:c>
      <x:c r="F126" s="2" t="str">
        <x:v>예</x:v>
      </x:c>
      <x:c r="G126" s="2" t="n">
        <x:v>1</x:v>
      </x:c>
      <x:c r="H126" s="2" t="n">
        <x:v>2</x:v>
      </x:c>
      <x:c r="I126" s="2" t="str">
        <x:v>w_65973e3dcc47994c</x:v>
      </x:c>
      <x:c r="J126" s="2" t="str">
        <x:v>N1</x:v>
      </x:c>
      <x:c r="K126" s="2" t="str">
        <x:v>耐える</x:v>
      </x:c>
      <x:c r="L126" s="2" t="str">
        <x:v>たえる</x:v>
      </x:c>
      <x:c r="M126" s="8" t="str">
        <x:v>견디다</x:v>
      </x:c>
      <x:c r="N126" s="9" t="n">
        <x:v>3.7</x:v>
      </x:c>
      <x:c r="O126" s="2" t="str">
        <x:v>예</x:v>
      </x:c>
      <x:c r="P126" s="2" t="str">
        <x:v>예</x:v>
      </x:c>
    </x:row>
    <x:row r="127">
      <x:c r="A127" s="2" t="str">
        <x:v>vg_062</x:v>
      </x:c>
      <x:c r="B127" s="2" t="str">
        <x:v>same_jmdict_entry</x:v>
      </x:c>
      <x:c r="C127" s="2" t="str">
        <x:v>w_631cf27db2365483</x:v>
      </x:c>
      <x:c r="D127" s="2" t="str">
        <x:v>降りる</x:v>
      </x:c>
      <x:c r="E127" s="2" t="str">
        <x:v>おりる</x:v>
      </x:c>
      <x:c r="F127" s="2" t="str">
        <x:v>예</x:v>
      </x:c>
      <x:c r="G127" s="2" t="n">
        <x:v>1</x:v>
      </x:c>
      <x:c r="H127" s="2" t="n">
        <x:v>2</x:v>
      </x:c>
      <x:c r="I127" s="2" t="str">
        <x:v>w_6150d13214b175ad</x:v>
      </x:c>
      <x:c r="J127" s="2" t="str">
        <x:v>N4</x:v>
      </x:c>
      <x:c r="K127" s="2" t="str">
        <x:v>下りる</x:v>
      </x:c>
      <x:c r="L127" s="2" t="str">
        <x:v>おりる</x:v>
      </x:c>
      <x:c r="M127" s="8" t="str">
        <x:v>내려가다, 내리다</x:v>
      </x:c>
      <x:c r="N127" s="9" t="n">
        <x:v>3.07</x:v>
      </x:c>
      <x:c r="O127" s="2" t="str">
        <x:v>아니오</x:v>
      </x:c>
      <x:c r="P127" s="2" t="str">
        <x:v>아니오</x:v>
      </x:c>
    </x:row>
    <x:row r="128">
      <x:c r="A128" s="2" t="str">
        <x:v>vg_062</x:v>
      </x:c>
      <x:c r="B128" s="2" t="str">
        <x:v>same_jmdict_entry</x:v>
      </x:c>
      <x:c r="C128" s="2" t="str">
        <x:v>w_631cf27db2365483</x:v>
      </x:c>
      <x:c r="D128" s="2" t="str">
        <x:v>降りる</x:v>
      </x:c>
      <x:c r="E128" s="2" t="str">
        <x:v>おりる</x:v>
      </x:c>
      <x:c r="F128" s="2" t="str">
        <x:v>예</x:v>
      </x:c>
      <x:c r="G128" s="2" t="n">
        <x:v>1</x:v>
      </x:c>
      <x:c r="H128" s="2" t="n">
        <x:v>2</x:v>
      </x:c>
      <x:c r="I128" s="2" t="str">
        <x:v>w_631cf27db2365483</x:v>
      </x:c>
      <x:c r="J128" s="2" t="str">
        <x:v>N5</x:v>
      </x:c>
      <x:c r="K128" s="2" t="str">
        <x:v>降りる</x:v>
      </x:c>
      <x:c r="L128" s="2" t="str">
        <x:v>おりる</x:v>
      </x:c>
      <x:c r="M128" s="8" t="str">
        <x:v>내리다</x:v>
      </x:c>
      <x:c r="N128" s="9" t="n">
        <x:v>3.79</x:v>
      </x:c>
      <x:c r="O128" s="2" t="str">
        <x:v>예</x:v>
      </x:c>
      <x:c r="P128" s="2" t="str">
        <x:v>예</x:v>
      </x:c>
    </x:row>
    <x:row r="129">
      <x:c r="A129" s="2" t="str">
        <x:v>vg_063</x:v>
      </x:c>
      <x:c r="B129" s="2" t="str">
        <x:v>same_jmdict_entry,same_reading_meaning</x:v>
      </x:c>
      <x:c r="C129" s="2" t="str">
        <x:v>w_6257d89430551d56</x:v>
      </x:c>
      <x:c r="D129" s="2" t="str">
        <x:v>探す</x:v>
      </x:c>
      <x:c r="E129" s="2" t="str">
        <x:v>さがす</x:v>
      </x:c>
      <x:c r="F129" s="2" t="str">
        <x:v>예</x:v>
      </x:c>
      <x:c r="G129" s="2" t="n">
        <x:v>1</x:v>
      </x:c>
      <x:c r="H129" s="2" t="n">
        <x:v>2</x:v>
      </x:c>
      <x:c r="I129" s="2" t="str">
        <x:v>w_6257d89430551d56</x:v>
      </x:c>
      <x:c r="J129" s="2" t="str">
        <x:v>N4</x:v>
      </x:c>
      <x:c r="K129" s="2" t="str">
        <x:v>探す</x:v>
      </x:c>
      <x:c r="L129" s="2" t="str">
        <x:v>さがす</x:v>
      </x:c>
      <x:c r="M129" s="8" t="str">
        <x:v>찾다, 검색하다, 구하다</x:v>
      </x:c>
      <x:c r="N129" s="9" t="n">
        <x:v>4.68</x:v>
      </x:c>
      <x:c r="O129" s="2" t="str">
        <x:v>예</x:v>
      </x:c>
      <x:c r="P129" s="2" t="str">
        <x:v>예</x:v>
      </x:c>
    </x:row>
    <x:row r="130">
      <x:c r="A130" s="2" t="str">
        <x:v>vg_063</x:v>
      </x:c>
      <x:c r="B130" s="2" t="str">
        <x:v>same_jmdict_entry,same_reading_meaning</x:v>
      </x:c>
      <x:c r="C130" s="2" t="str">
        <x:v>w_6257d89430551d56</x:v>
      </x:c>
      <x:c r="D130" s="2" t="str">
        <x:v>探す</x:v>
      </x:c>
      <x:c r="E130" s="2" t="str">
        <x:v>さがす</x:v>
      </x:c>
      <x:c r="F130" s="2" t="str">
        <x:v>예</x:v>
      </x:c>
      <x:c r="G130" s="2" t="n">
        <x:v>1</x:v>
      </x:c>
      <x:c r="H130" s="2" t="n">
        <x:v>2</x:v>
      </x:c>
      <x:c r="I130" s="2" t="str">
        <x:v>w_e74097848962e54a</x:v>
      </x:c>
      <x:c r="J130" s="2" t="str">
        <x:v>N2</x:v>
      </x:c>
      <x:c r="K130" s="2" t="str">
        <x:v>捜す</x:v>
      </x:c>
      <x:c r="L130" s="2" t="str">
        <x:v>さがす</x:v>
      </x:c>
      <x:c r="M130" s="8" t="str">
        <x:v>찾다, 검색하다, 구하다</x:v>
      </x:c>
      <x:c r="N130" s="9" t="n">
        <x:v>2.86</x:v>
      </x:c>
      <x:c r="O130" s="2" t="str">
        <x:v>아니오</x:v>
      </x:c>
      <x:c r="P130" s="2" t="str">
        <x:v>아니오</x:v>
      </x:c>
    </x:row>
    <x:row r="131">
      <x:c r="A131" s="2" t="str">
        <x:v>vg_064</x:v>
      </x:c>
      <x:c r="B131" s="2" t="str">
        <x:v>same_jmdict_entry</x:v>
      </x:c>
      <x:c r="C131" s="2" t="str">
        <x:v>w_f0f96d3189ba7c95</x:v>
      </x:c>
      <x:c r="D131" s="2" t="str">
        <x:v>隅</x:v>
      </x:c>
      <x:c r="E131" s="2" t="str">
        <x:v>すみ</x:v>
      </x:c>
      <x:c r="F131" s="2" t="str">
        <x:v>아니오</x:v>
      </x:c>
      <x:c r="G131" s="2" t="n">
        <x:v>0</x:v>
      </x:c>
      <x:c r="H131" s="2" t="n">
        <x:v>2</x:v>
      </x:c>
      <x:c r="I131" s="2" t="str">
        <x:v>w_63474a91a3ad5d17</x:v>
      </x:c>
      <x:c r="J131" s="2" t="str">
        <x:v>N3</x:v>
      </x:c>
      <x:c r="K131" s="2" t="str">
        <x:v>角</x:v>
      </x:c>
      <x:c r="L131" s="2" t="str">
        <x:v>すみ</x:v>
      </x:c>
      <x:c r="M131" s="8" t="str">
        <x:v>모퉁이, 각</x:v>
      </x:c>
      <x:c r="N131" s="9" t="n">
        <x:v>4.62</x:v>
      </x:c>
      <x:c r="O131" s="2" t="str">
        <x:v>아니오</x:v>
      </x:c>
      <x:c r="P131" s="2" t="str">
        <x:v>아니오</x:v>
      </x:c>
    </x:row>
    <x:row r="132">
      <x:c r="A132" s="2" t="str">
        <x:v>vg_064</x:v>
      </x:c>
      <x:c r="B132" s="2" t="str">
        <x:v>same_jmdict_entry</x:v>
      </x:c>
      <x:c r="C132" s="2" t="str">
        <x:v>w_f0f96d3189ba7c95</x:v>
      </x:c>
      <x:c r="D132" s="2" t="str">
        <x:v>隅</x:v>
      </x:c>
      <x:c r="E132" s="2" t="str">
        <x:v>すみ</x:v>
      </x:c>
      <x:c r="F132" s="2" t="str">
        <x:v>아니오</x:v>
      </x:c>
      <x:c r="G132" s="2" t="n">
        <x:v>0</x:v>
      </x:c>
      <x:c r="H132" s="2" t="n">
        <x:v>2</x:v>
      </x:c>
      <x:c r="I132" s="2" t="str">
        <x:v>w_f0f96d3189ba7c95</x:v>
      </x:c>
      <x:c r="J132" s="2" t="str">
        <x:v>N4</x:v>
      </x:c>
      <x:c r="K132" s="2" t="str">
        <x:v>隅</x:v>
      </x:c>
      <x:c r="L132" s="2" t="str">
        <x:v>すみ</x:v>
      </x:c>
      <x:c r="M132" s="8" t="str">
        <x:v>모서리, 구석</x:v>
      </x:c>
      <x:c r="N132" s="9" t="n">
        <x:v>3.97</x:v>
      </x:c>
      <x:c r="O132" s="2" t="str">
        <x:v>아니오</x:v>
      </x:c>
      <x:c r="P132" s="2" t="str">
        <x:v>예</x:v>
      </x:c>
    </x:row>
    <x:row r="133">
      <x:c r="A133" s="2" t="str">
        <x:v>vg_065</x:v>
      </x:c>
      <x:c r="B133" s="2" t="str">
        <x:v>same_jmdict_entry</x:v>
      </x:c>
      <x:c r="C133" s="2" t="str">
        <x:v>w_7af945b0ed6afe32</x:v>
      </x:c>
      <x:c r="D133" s="2" t="str">
        <x:v>情緒</x:v>
      </x:c>
      <x:c r="E133" s="2" t="str">
        <x:v>じょうちょ</x:v>
      </x:c>
      <x:c r="F133" s="2" t="str">
        <x:v>아니오</x:v>
      </x:c>
      <x:c r="G133" s="2" t="n">
        <x:v>0</x:v>
      </x:c>
      <x:c r="H133" s="2" t="n">
        <x:v>2</x:v>
      </x:c>
      <x:c r="I133" s="2" t="str">
        <x:v>w_644a64eebc47bfe9</x:v>
      </x:c>
      <x:c r="J133" s="2" t="str">
        <x:v>N1</x:v>
      </x:c>
      <x:c r="K133" s="2" t="str">
        <x:v>情緒</x:v>
      </x:c>
      <x:c r="L133" s="2" t="str">
        <x:v>じょうしょ</x:v>
      </x:c>
      <x:c r="M133" s="8" t="str">
        <x:v>정서, 감정</x:v>
      </x:c>
      <x:c r="N133" s="9" t="n">
        <x:v>3.65</x:v>
      </x:c>
      <x:c r="O133" s="2" t="str">
        <x:v>아니오</x:v>
      </x:c>
      <x:c r="P133" s="2" t="str">
        <x:v>아니오</x:v>
      </x:c>
    </x:row>
    <x:row r="134">
      <x:c r="A134" s="2" t="str">
        <x:v>vg_065</x:v>
      </x:c>
      <x:c r="B134" s="2" t="str">
        <x:v>same_jmdict_entry</x:v>
      </x:c>
      <x:c r="C134" s="2" t="str">
        <x:v>w_7af945b0ed6afe32</x:v>
      </x:c>
      <x:c r="D134" s="2" t="str">
        <x:v>情緒</x:v>
      </x:c>
      <x:c r="E134" s="2" t="str">
        <x:v>じょうちょ</x:v>
      </x:c>
      <x:c r="F134" s="2" t="str">
        <x:v>아니오</x:v>
      </x:c>
      <x:c r="G134" s="2" t="n">
        <x:v>0</x:v>
      </x:c>
      <x:c r="H134" s="2" t="n">
        <x:v>2</x:v>
      </x:c>
      <x:c r="I134" s="2" t="str">
        <x:v>w_7af945b0ed6afe32</x:v>
      </x:c>
      <x:c r="J134" s="2" t="str">
        <x:v>N1</x:v>
      </x:c>
      <x:c r="K134" s="2" t="str">
        <x:v>情緒</x:v>
      </x:c>
      <x:c r="L134" s="2" t="str">
        <x:v>じょうちょ</x:v>
      </x:c>
      <x:c r="M134" s="8" t="str">
        <x:v>정서, 감정</x:v>
      </x:c>
      <x:c r="N134" s="9" t="n">
        <x:v>3.65</x:v>
      </x:c>
      <x:c r="O134" s="2" t="str">
        <x:v>아니오</x:v>
      </x:c>
      <x:c r="P134" s="2" t="str">
        <x:v>예</x:v>
      </x:c>
    </x:row>
    <x:row r="135">
      <x:c r="A135" s="2" t="str">
        <x:v>vg_066</x:v>
      </x:c>
      <x:c r="B135" s="2" t="str">
        <x:v>same_reading_meaning</x:v>
      </x:c>
      <x:c r="C135" s="2" t="str">
        <x:v>w_8d1a9456355ab2d7</x:v>
      </x:c>
      <x:c r="D135" s="2" t="str">
        <x:v>成長</x:v>
      </x:c>
      <x:c r="E135" s="2" t="str">
        <x:v>せいちょう</x:v>
      </x:c>
      <x:c r="F135" s="2" t="str">
        <x:v>아니오</x:v>
      </x:c>
      <x:c r="G135" s="2" t="n">
        <x:v>0</x:v>
      </x:c>
      <x:c r="H135" s="2" t="n">
        <x:v>2</x:v>
      </x:c>
      <x:c r="I135" s="2" t="str">
        <x:v>w_654de4aa5b8a5a22</x:v>
      </x:c>
      <x:c r="J135" s="2" t="str">
        <x:v>N3</x:v>
      </x:c>
      <x:c r="K135" s="2" t="str">
        <x:v>生長</x:v>
      </x:c>
      <x:c r="L135" s="2" t="str">
        <x:v>せいちょう</x:v>
      </x:c>
      <x:c r="M135" s="8" t="str">
        <x:v>성장</x:v>
      </x:c>
      <x:c r="N135" s="9" t="n">
        <x:v>2.75</x:v>
      </x:c>
      <x:c r="O135" s="2" t="str">
        <x:v>아니오</x:v>
      </x:c>
      <x:c r="P135" s="2" t="str">
        <x:v>아니오</x:v>
      </x:c>
    </x:row>
    <x:row r="136">
      <x:c r="A136" s="2" t="str">
        <x:v>vg_066</x:v>
      </x:c>
      <x:c r="B136" s="2" t="str">
        <x:v>same_reading_meaning</x:v>
      </x:c>
      <x:c r="C136" s="2" t="str">
        <x:v>w_8d1a9456355ab2d7</x:v>
      </x:c>
      <x:c r="D136" s="2" t="str">
        <x:v>成長</x:v>
      </x:c>
      <x:c r="E136" s="2" t="str">
        <x:v>せいちょう</x:v>
      </x:c>
      <x:c r="F136" s="2" t="str">
        <x:v>아니오</x:v>
      </x:c>
      <x:c r="G136" s="2" t="n">
        <x:v>0</x:v>
      </x:c>
      <x:c r="H136" s="2" t="n">
        <x:v>2</x:v>
      </x:c>
      <x:c r="I136" s="2" t="str">
        <x:v>w_8d1a9456355ab2d7</x:v>
      </x:c>
      <x:c r="J136" s="2" t="str">
        <x:v>N3</x:v>
      </x:c>
      <x:c r="K136" s="2" t="str">
        <x:v>成長</x:v>
      </x:c>
      <x:c r="L136" s="2" t="str">
        <x:v>せいちょう</x:v>
      </x:c>
      <x:c r="M136" s="8" t="str">
        <x:v>성장</x:v>
      </x:c>
      <x:c r="N136" s="9" t="n">
        <x:v>4.88</x:v>
      </x:c>
      <x:c r="O136" s="2" t="str">
        <x:v>아니오</x:v>
      </x:c>
      <x:c r="P136" s="2" t="str">
        <x:v>예</x:v>
      </x:c>
    </x:row>
    <x:row r="137">
      <x:c r="A137" s="2" t="str">
        <x:v>vg_067</x:v>
      </x:c>
      <x:c r="B137" s="2" t="str">
        <x:v>same_reading_meaning</x:v>
      </x:c>
      <x:c r="C137" s="2" t="str">
        <x:v>w_66cb957a1da31bb7</x:v>
      </x:c>
      <x:c r="D137" s="2" t="str">
        <x:v>群衆</x:v>
      </x:c>
      <x:c r="E137" s="2" t="str">
        <x:v>ぐんしゅう</x:v>
      </x:c>
      <x:c r="F137" s="2" t="str">
        <x:v>예</x:v>
      </x:c>
      <x:c r="G137" s="2" t="n">
        <x:v>1</x:v>
      </x:c>
      <x:c r="H137" s="2" t="n">
        <x:v>2</x:v>
      </x:c>
      <x:c r="I137" s="2" t="str">
        <x:v>w_66cb957a1da31bb7</x:v>
      </x:c>
      <x:c r="J137" s="2" t="str">
        <x:v>N1</x:v>
      </x:c>
      <x:c r="K137" s="2" t="str">
        <x:v>群衆</x:v>
      </x:c>
      <x:c r="L137" s="2" t="str">
        <x:v>ぐんしゅう</x:v>
      </x:c>
      <x:c r="M137" s="8" t="str">
        <x:v>군중, 무리</x:v>
      </x:c>
      <x:c r="N137" s="9" t="n">
        <x:v>3.39</x:v>
      </x:c>
      <x:c r="O137" s="2" t="str">
        <x:v>예</x:v>
      </x:c>
      <x:c r="P137" s="2" t="str">
        <x:v>예</x:v>
      </x:c>
    </x:row>
    <x:row r="138">
      <x:c r="A138" s="2" t="str">
        <x:v>vg_067</x:v>
      </x:c>
      <x:c r="B138" s="2" t="str">
        <x:v>same_reading_meaning</x:v>
      </x:c>
      <x:c r="C138" s="2" t="str">
        <x:v>w_66cb957a1da31bb7</x:v>
      </x:c>
      <x:c r="D138" s="2" t="str">
        <x:v>群衆</x:v>
      </x:c>
      <x:c r="E138" s="2" t="str">
        <x:v>ぐんしゅう</x:v>
      </x:c>
      <x:c r="F138" s="2" t="str">
        <x:v>예</x:v>
      </x:c>
      <x:c r="G138" s="2" t="n">
        <x:v>1</x:v>
      </x:c>
      <x:c r="H138" s="2" t="n">
        <x:v>2</x:v>
      </x:c>
      <x:c r="I138" s="2" t="str">
        <x:v>w_f0ba0fc937416985</x:v>
      </x:c>
      <x:c r="J138" s="2" t="str">
        <x:v>N1</x:v>
      </x:c>
      <x:c r="K138" s="2" t="str">
        <x:v>群集</x:v>
      </x:c>
      <x:c r="L138" s="2" t="str">
        <x:v>ぐんしゅう</x:v>
      </x:c>
      <x:c r="M138" s="8" t="str">
        <x:v>군중, 무리</x:v>
      </x:c>
      <x:c r="N138" s="9" t="n">
        <x:v>3</x:v>
      </x:c>
      <x:c r="O138" s="2" t="str">
        <x:v>아니오</x:v>
      </x:c>
      <x:c r="P138" s="2" t="str">
        <x:v>아니오</x:v>
      </x:c>
    </x:row>
    <x:row r="139">
      <x:c r="A139" s="2" t="str">
        <x:v>vg_068</x:v>
      </x:c>
      <x:c r="B139" s="2" t="str">
        <x:v>same_reading_meaning</x:v>
      </x:c>
      <x:c r="C139" s="2" t="str">
        <x:v>w_6790384d17755893</x:v>
      </x:c>
      <x:c r="D139" s="2" t="str">
        <x:v>生育</x:v>
      </x:c>
      <x:c r="E139" s="2" t="str">
        <x:v>せいいく</x:v>
      </x:c>
      <x:c r="F139" s="2" t="str">
        <x:v>아니오</x:v>
      </x:c>
      <x:c r="G139" s="2" t="n">
        <x:v>0</x:v>
      </x:c>
      <x:c r="H139" s="2" t="n">
        <x:v>2</x:v>
      </x:c>
      <x:c r="I139" s="2" t="str">
        <x:v>w_6790384d17755893</x:v>
      </x:c>
      <x:c r="J139" s="2" t="str">
        <x:v>N1</x:v>
      </x:c>
      <x:c r="K139" s="2" t="str">
        <x:v>生育</x:v>
      </x:c>
      <x:c r="L139" s="2" t="str">
        <x:v>せいいく</x:v>
      </x:c>
      <x:c r="M139" s="8" t="str">
        <x:v>생육, 성장</x:v>
      </x:c>
      <x:c r="N139" s="9" t="n">
        <x:v>3.38</x:v>
      </x:c>
      <x:c r="O139" s="2" t="str">
        <x:v>아니오</x:v>
      </x:c>
      <x:c r="P139" s="2" t="str">
        <x:v>예</x:v>
      </x:c>
    </x:row>
    <x:row r="140">
      <x:c r="A140" s="2" t="str">
        <x:v>vg_068</x:v>
      </x:c>
      <x:c r="B140" s="2" t="str">
        <x:v>same_reading_meaning</x:v>
      </x:c>
      <x:c r="C140" s="2" t="str">
        <x:v>w_6790384d17755893</x:v>
      </x:c>
      <x:c r="D140" s="2" t="str">
        <x:v>生育</x:v>
      </x:c>
      <x:c r="E140" s="2" t="str">
        <x:v>せいいく</x:v>
      </x:c>
      <x:c r="F140" s="2" t="str">
        <x:v>아니오</x:v>
      </x:c>
      <x:c r="G140" s="2" t="n">
        <x:v>0</x:v>
      </x:c>
      <x:c r="H140" s="2" t="n">
        <x:v>2</x:v>
      </x:c>
      <x:c r="I140" s="2" t="str">
        <x:v>w_c849a3f0fc65ee8e</x:v>
      </x:c>
      <x:c r="J140" s="2" t="str">
        <x:v>N1</x:v>
      </x:c>
      <x:c r="K140" s="2" t="str">
        <x:v>成育</x:v>
      </x:c>
      <x:c r="L140" s="2" t="str">
        <x:v>せいいく</x:v>
      </x:c>
      <x:c r="M140" s="8" t="str">
        <x:v>생육, 성장</x:v>
      </x:c>
      <x:c r="N140" s="9" t="n">
        <x:v>2.4</x:v>
      </x:c>
      <x:c r="O140" s="2" t="str">
        <x:v>아니오</x:v>
      </x:c>
      <x:c r="P140" s="2" t="str">
        <x:v>아니오</x:v>
      </x:c>
    </x:row>
    <x:row r="141">
      <x:c r="A141" s="2" t="str">
        <x:v>vg_069</x:v>
      </x:c>
      <x:c r="B141" s="2" t="str">
        <x:v>same_jmdict_entry,same_reading_meaning</x:v>
      </x:c>
      <x:c r="C141" s="2" t="str">
        <x:v>w_67ec351f9f370984</x:v>
      </x:c>
      <x:c r="D141" s="2" t="str">
        <x:v>尊い</x:v>
      </x:c>
      <x:c r="E141" s="2" t="str">
        <x:v>とうとい</x:v>
      </x:c>
      <x:c r="F141" s="2" t="str">
        <x:v>예</x:v>
      </x:c>
      <x:c r="G141" s="2" t="n">
        <x:v>1</x:v>
      </x:c>
      <x:c r="H141" s="2" t="n">
        <x:v>2</x:v>
      </x:c>
      <x:c r="I141" s="2" t="str">
        <x:v>w_67ec351f9f370984</x:v>
      </x:c>
      <x:c r="J141" s="2" t="str">
        <x:v>N1</x:v>
      </x:c>
      <x:c r="K141" s="2" t="str">
        <x:v>尊い</x:v>
      </x:c>
      <x:c r="L141" s="2" t="str">
        <x:v>とうとい</x:v>
      </x:c>
      <x:c r="M141" s="8" t="str">
        <x:v>귀중한, 고귀한</x:v>
      </x:c>
      <x:c r="N141" s="9" t="n">
        <x:v>3.53</x:v>
      </x:c>
      <x:c r="O141" s="2" t="str">
        <x:v>예</x:v>
      </x:c>
      <x:c r="P141" s="2" t="str">
        <x:v>예</x:v>
      </x:c>
    </x:row>
    <x:row r="142">
      <x:c r="A142" s="2" t="str">
        <x:v>vg_069</x:v>
      </x:c>
      <x:c r="B142" s="2" t="str">
        <x:v>same_jmdict_entry,same_reading_meaning</x:v>
      </x:c>
      <x:c r="C142" s="2" t="str">
        <x:v>w_67ec351f9f370984</x:v>
      </x:c>
      <x:c r="D142" s="2" t="str">
        <x:v>尊い</x:v>
      </x:c>
      <x:c r="E142" s="2" t="str">
        <x:v>とうとい</x:v>
      </x:c>
      <x:c r="F142" s="2" t="str">
        <x:v>예</x:v>
      </x:c>
      <x:c r="G142" s="2" t="n">
        <x:v>1</x:v>
      </x:c>
      <x:c r="H142" s="2" t="n">
        <x:v>2</x:v>
      </x:c>
      <x:c r="I142" s="2" t="str">
        <x:v>w_f1e8d7483ee776ca</x:v>
      </x:c>
      <x:c r="J142" s="2" t="str">
        <x:v>N1</x:v>
      </x:c>
      <x:c r="K142" s="2" t="str">
        <x:v>貴い</x:v>
      </x:c>
      <x:c r="L142" s="2" t="str">
        <x:v>とうとい</x:v>
      </x:c>
      <x:c r="M142" s="8" t="str">
        <x:v>귀중한, 고귀한</x:v>
      </x:c>
      <x:c r="N142" s="9" t="n">
        <x:v>2.36</x:v>
      </x:c>
      <x:c r="O142" s="2" t="str">
        <x:v>아니오</x:v>
      </x:c>
      <x:c r="P142" s="2" t="str">
        <x:v>아니오</x:v>
      </x:c>
    </x:row>
    <x:row r="143">
      <x:c r="A143" s="2" t="str">
        <x:v>vg_070</x:v>
      </x:c>
      <x:c r="B143" s="2" t="str">
        <x:v>same_jmdict_entry</x:v>
      </x:c>
      <x:c r="C143" s="2" t="str">
        <x:v>w_c5ab894cc1ca5bbb</x:v>
      </x:c>
      <x:c r="D143" s="2" t="str">
        <x:v>思いっきり</x:v>
      </x:c>
      <x:c r="E143" s="2" t="str">
        <x:v>おもいっきり</x:v>
      </x:c>
      <x:c r="F143" s="2" t="str">
        <x:v>아니오</x:v>
      </x:c>
      <x:c r="G143" s="2" t="n">
        <x:v>0</x:v>
      </x:c>
      <x:c r="H143" s="2" t="n">
        <x:v>2</x:v>
      </x:c>
      <x:c r="I143" s="2" t="str">
        <x:v>w_6827f6df872f2504</x:v>
      </x:c>
      <x:c r="J143" s="2" t="str">
        <x:v>N2</x:v>
      </x:c>
      <x:c r="K143" s="2" t="str">
        <x:v>思いっ切り</x:v>
      </x:c>
      <x:c r="L143" s="2" t="str">
        <x:v>おもいっきり</x:v>
      </x:c>
      <x:c r="M143" s="8" t="str">
        <x:v>매우, 많음, 완전히</x:v>
      </x:c>
      <x:c r="N143" s="9" t="n">
        <x:v>2.32</x:v>
      </x:c>
      <x:c r="O143" s="2" t="str">
        <x:v>아니오</x:v>
      </x:c>
      <x:c r="P143" s="2" t="str">
        <x:v>아니오</x:v>
      </x:c>
    </x:row>
    <x:row r="144">
      <x:c r="A144" s="2" t="str">
        <x:v>vg_070</x:v>
      </x:c>
      <x:c r="B144" s="2" t="str">
        <x:v>same_jmdict_entry</x:v>
      </x:c>
      <x:c r="C144" s="2" t="str">
        <x:v>w_c5ab894cc1ca5bbb</x:v>
      </x:c>
      <x:c r="D144" s="2" t="str">
        <x:v>思いっきり</x:v>
      </x:c>
      <x:c r="E144" s="2" t="str">
        <x:v>おもいっきり</x:v>
      </x:c>
      <x:c r="F144" s="2" t="str">
        <x:v>아니오</x:v>
      </x:c>
      <x:c r="G144" s="2" t="n">
        <x:v>0</x:v>
      </x:c>
      <x:c r="H144" s="2" t="n">
        <x:v>2</x:v>
      </x:c>
      <x:c r="I144" s="2" t="str">
        <x:v>w_c5ab894cc1ca5bbb</x:v>
      </x:c>
      <x:c r="J144" s="2" t="str">
        <x:v>N2</x:v>
      </x:c>
      <x:c r="K144" s="2" t="str">
        <x:v>思いっきり</x:v>
      </x:c>
      <x:c r="L144" s="2" t="str">
        <x:v>おもいっきり</x:v>
      </x:c>
      <x:c r="M144" s="8" t="str">
        <x:v>마음껏, 힘껏</x:v>
      </x:c>
      <x:c r="N144" s="9" t="n">
        <x:v>3.92</x:v>
      </x:c>
      <x:c r="O144" s="2" t="str">
        <x:v>아니오</x:v>
      </x:c>
      <x:c r="P144" s="2" t="str">
        <x:v>예</x:v>
      </x:c>
    </x:row>
    <x:row r="145">
      <x:c r="A145" s="2" t="str">
        <x:v>vg_071</x:v>
      </x:c>
      <x:c r="B145" s="2" t="str">
        <x:v>same_jmdict_entry</x:v>
      </x:c>
      <x:c r="C145" s="2" t="str">
        <x:v>w_6adb23638ce7da0e</x:v>
      </x:c>
      <x:c r="D145" s="2" t="str">
        <x:v>レポート</x:v>
      </x:c>
      <x:c r="E145" s="2" t="str">
        <x:v>レポート</x:v>
      </x:c>
      <x:c r="F145" s="2" t="str">
        <x:v>예</x:v>
      </x:c>
      <x:c r="G145" s="2" t="n">
        <x:v>1</x:v>
      </x:c>
      <x:c r="H145" s="2" t="n">
        <x:v>2</x:v>
      </x:c>
      <x:c r="I145" s="2" t="str">
        <x:v>w_6adb23638ce7da0e</x:v>
      </x:c>
      <x:c r="J145" s="2" t="str">
        <x:v>N4</x:v>
      </x:c>
      <x:c r="K145" s="2" t="str">
        <x:v>レポート</x:v>
      </x:c>
      <x:c r="L145" s="2" t="str">
        <x:v>レポート</x:v>
      </x:c>
      <x:c r="M145" s="8" t="str">
        <x:v>리포트, 보고서</x:v>
      </x:c>
      <x:c r="N145" s="9" t="n">
        <x:v>4.33</x:v>
      </x:c>
      <x:c r="O145" s="2" t="str">
        <x:v>예</x:v>
      </x:c>
      <x:c r="P145" s="2" t="str">
        <x:v>예</x:v>
      </x:c>
    </x:row>
    <x:row r="146">
      <x:c r="A146" s="2" t="str">
        <x:v>vg_071</x:v>
      </x:c>
      <x:c r="B146" s="2" t="str">
        <x:v>same_jmdict_entry</x:v>
      </x:c>
      <x:c r="C146" s="2" t="str">
        <x:v>w_6adb23638ce7da0e</x:v>
      </x:c>
      <x:c r="D146" s="2" t="str">
        <x:v>レポート</x:v>
      </x:c>
      <x:c r="E146" s="2" t="str">
        <x:v>レポート</x:v>
      </x:c>
      <x:c r="F146" s="2" t="str">
        <x:v>예</x:v>
      </x:c>
      <x:c r="G146" s="2" t="n">
        <x:v>1</x:v>
      </x:c>
      <x:c r="H146" s="2" t="n">
        <x:v>2</x:v>
      </x:c>
      <x:c r="I146" s="2" t="str">
        <x:v>w_a87c24076fd2ee62</x:v>
      </x:c>
      <x:c r="J146" s="2" t="str">
        <x:v>N2</x:v>
      </x:c>
      <x:c r="K146" s="2" t="str">
        <x:v>リポート</x:v>
      </x:c>
      <x:c r="L146" s="2" t="str">
        <x:v>リポート</x:v>
      </x:c>
      <x:c r="M146" s="8" t="str">
        <x:v>리포트, 보고서</x:v>
      </x:c>
      <x:c r="N146" s="9" t="n">
        <x:v>3.42</x:v>
      </x:c>
      <x:c r="O146" s="2" t="str">
        <x:v>아니오</x:v>
      </x:c>
      <x:c r="P146" s="2" t="str">
        <x:v>아니오</x:v>
      </x:c>
    </x:row>
    <x:row r="147">
      <x:c r="A147" s="2" t="str">
        <x:v>vg_072</x:v>
      </x:c>
      <x:c r="B147" s="2" t="str">
        <x:v>same_jmdict_entry</x:v>
      </x:c>
      <x:c r="C147" s="2" t="str">
        <x:v>w_6c4fceb1976ffbee</x:v>
      </x:c>
      <x:c r="D147" s="2" t="str">
        <x:v>重複</x:v>
      </x:c>
      <x:c r="E147" s="2" t="str">
        <x:v>じゅうふく</x:v>
      </x:c>
      <x:c r="F147" s="2" t="str">
        <x:v>예</x:v>
      </x:c>
      <x:c r="G147" s="2" t="n">
        <x:v>1</x:v>
      </x:c>
      <x:c r="H147" s="2" t="n">
        <x:v>2</x:v>
      </x:c>
      <x:c r="I147" s="2" t="str">
        <x:v>w_6c4fceb1976ffbee</x:v>
      </x:c>
      <x:c r="J147" s="2" t="str">
        <x:v>N1</x:v>
      </x:c>
      <x:c r="K147" s="2" t="str">
        <x:v>重複</x:v>
      </x:c>
      <x:c r="L147" s="2" t="str">
        <x:v>じゅうふく</x:v>
      </x:c>
      <x:c r="M147" s="8" t="str">
        <x:v>중복</x:v>
      </x:c>
      <x:c r="N147" s="9" t="n">
        <x:v>4.01</x:v>
      </x:c>
      <x:c r="O147" s="2" t="str">
        <x:v>예</x:v>
      </x:c>
      <x:c r="P147" s="2" t="str">
        <x:v>예</x:v>
      </x:c>
    </x:row>
    <x:row r="148">
      <x:c r="A148" s="2" t="str">
        <x:v>vg_072</x:v>
      </x:c>
      <x:c r="B148" s="2" t="str">
        <x:v>same_jmdict_entry</x:v>
      </x:c>
      <x:c r="C148" s="2" t="str">
        <x:v>w_6c4fceb1976ffbee</x:v>
      </x:c>
      <x:c r="D148" s="2" t="str">
        <x:v>重複</x:v>
      </x:c>
      <x:c r="E148" s="2" t="str">
        <x:v>じゅうふく</x:v>
      </x:c>
      <x:c r="F148" s="2" t="str">
        <x:v>예</x:v>
      </x:c>
      <x:c r="G148" s="2" t="n">
        <x:v>1</x:v>
      </x:c>
      <x:c r="H148" s="2" t="n">
        <x:v>2</x:v>
      </x:c>
      <x:c r="I148" s="2" t="str">
        <x:v>w_88d4a0016b8cd6a1</x:v>
      </x:c>
      <x:c r="J148" s="2" t="str">
        <x:v>N1</x:v>
      </x:c>
      <x:c r="K148" s="2" t="str">
        <x:v>重複</x:v>
      </x:c>
      <x:c r="L148" s="2" t="str">
        <x:v>ちょうふく</x:v>
      </x:c>
      <x:c r="M148" s="8" t="str">
        <x:v>중복</x:v>
      </x:c>
      <x:c r="N148" s="9" t="n">
        <x:v>4.01</x:v>
      </x:c>
      <x:c r="O148" s="2" t="str">
        <x:v>아니오</x:v>
      </x:c>
      <x:c r="P148" s="2" t="str">
        <x:v>아니오</x:v>
      </x:c>
    </x:row>
    <x:row r="149">
      <x:c r="A149" s="2" t="str">
        <x:v>vg_073</x:v>
      </x:c>
      <x:c r="B149" s="2" t="str">
        <x:v>same_jmdict_entry</x:v>
      </x:c>
      <x:c r="C149" s="2" t="str">
        <x:v>w_821ee8e2dba46f70</x:v>
      </x:c>
      <x:c r="D149" s="2" t="str">
        <x:v>今日</x:v>
      </x:c>
      <x:c r="E149" s="2" t="str">
        <x:v>きょう</x:v>
      </x:c>
      <x:c r="F149" s="2" t="str">
        <x:v>아니오</x:v>
      </x:c>
      <x:c r="G149" s="2" t="n">
        <x:v>0</x:v>
      </x:c>
      <x:c r="H149" s="2" t="n">
        <x:v>2</x:v>
      </x:c>
      <x:c r="I149" s="2" t="str">
        <x:v>w_6cebb24556eb94e7</x:v>
      </x:c>
      <x:c r="J149" s="2" t="str">
        <x:v>N3</x:v>
      </x:c>
      <x:c r="K149" s="2" t="str">
        <x:v>今日</x:v>
      </x:c>
      <x:c r="L149" s="2" t="str">
        <x:v>こんにち</x:v>
      </x:c>
      <x:c r="M149" s="8" t="str">
        <x:v>오늘</x:v>
      </x:c>
      <x:c r="N149" s="9" t="n">
        <x:v>5.57</x:v>
      </x:c>
      <x:c r="O149" s="2" t="str">
        <x:v>아니오</x:v>
      </x:c>
      <x:c r="P149" s="2" t="str">
        <x:v>아니오</x:v>
      </x:c>
    </x:row>
    <x:row r="150">
      <x:c r="A150" s="2" t="str">
        <x:v>vg_073</x:v>
      </x:c>
      <x:c r="B150" s="2" t="str">
        <x:v>same_jmdict_entry</x:v>
      </x:c>
      <x:c r="C150" s="2" t="str">
        <x:v>w_821ee8e2dba46f70</x:v>
      </x:c>
      <x:c r="D150" s="2" t="str">
        <x:v>今日</x:v>
      </x:c>
      <x:c r="E150" s="2" t="str">
        <x:v>きょう</x:v>
      </x:c>
      <x:c r="F150" s="2" t="str">
        <x:v>아니오</x:v>
      </x:c>
      <x:c r="G150" s="2" t="n">
        <x:v>0</x:v>
      </x:c>
      <x:c r="H150" s="2" t="n">
        <x:v>2</x:v>
      </x:c>
      <x:c r="I150" s="2" t="str">
        <x:v>w_821ee8e2dba46f70</x:v>
      </x:c>
      <x:c r="J150" s="2" t="str">
        <x:v>N5</x:v>
      </x:c>
      <x:c r="K150" s="2" t="str">
        <x:v>今日</x:v>
      </x:c>
      <x:c r="L150" s="2" t="str">
        <x:v>きょう</x:v>
      </x:c>
      <x:c r="M150" s="8" t="str">
        <x:v>오늘</x:v>
      </x:c>
      <x:c r="N150" s="9" t="n">
        <x:v>5.57</x:v>
      </x:c>
      <x:c r="O150" s="2" t="str">
        <x:v>아니오</x:v>
      </x:c>
      <x:c r="P150" s="2" t="str">
        <x:v>예</x:v>
      </x:c>
    </x:row>
    <x:row r="151">
      <x:c r="A151" s="2" t="str">
        <x:v>vg_074</x:v>
      </x:c>
      <x:c r="B151" s="2" t="str">
        <x:v>same_jmdict_entry,same_reading_meaning</x:v>
      </x:c>
      <x:c r="C151" s="2" t="str">
        <x:v>w_70ecb3468f47ed85</x:v>
      </x:c>
      <x:c r="D151" s="2" t="str">
        <x:v>交代</x:v>
      </x:c>
      <x:c r="E151" s="2" t="str">
        <x:v>こうたい</x:v>
      </x:c>
      <x:c r="F151" s="2" t="str">
        <x:v>예</x:v>
      </x:c>
      <x:c r="G151" s="2" t="n">
        <x:v>2</x:v>
      </x:c>
      <x:c r="H151" s="2" t="n">
        <x:v>2</x:v>
      </x:c>
      <x:c r="I151" s="2" t="str">
        <x:v>w_70ecb3468f47ed85</x:v>
      </x:c>
      <x:c r="J151" s="2" t="str">
        <x:v>N2</x:v>
      </x:c>
      <x:c r="K151" s="2" t="str">
        <x:v>交代</x:v>
      </x:c>
      <x:c r="L151" s="2" t="str">
        <x:v>こうたい</x:v>
      </x:c>
      <x:c r="M151" s="8" t="str">
        <x:v>교대, 교체</x:v>
      </x:c>
      <x:c r="N151" s="9" t="n">
        <x:v>4.27</x:v>
      </x:c>
      <x:c r="O151" s="2" t="str">
        <x:v>예</x:v>
      </x:c>
      <x:c r="P151" s="2" t="str">
        <x:v>예</x:v>
      </x:c>
    </x:row>
    <x:row r="152">
      <x:c r="A152" s="2" t="str">
        <x:v>vg_074</x:v>
      </x:c>
      <x:c r="B152" s="2" t="str">
        <x:v>same_jmdict_entry,same_reading_meaning</x:v>
      </x:c>
      <x:c r="C152" s="2" t="str">
        <x:v>w_70ecb3468f47ed85</x:v>
      </x:c>
      <x:c r="D152" s="2" t="str">
        <x:v>交代</x:v>
      </x:c>
      <x:c r="E152" s="2" t="str">
        <x:v>こうたい</x:v>
      </x:c>
      <x:c r="F152" s="2" t="str">
        <x:v>예</x:v>
      </x:c>
      <x:c r="G152" s="2" t="n">
        <x:v>2</x:v>
      </x:c>
      <x:c r="H152" s="2" t="n">
        <x:v>2</x:v>
      </x:c>
      <x:c r="I152" s="2" t="str">
        <x:v>w_afe9492907d6e9b6</x:v>
      </x:c>
      <x:c r="J152" s="2" t="str">
        <x:v>N2</x:v>
      </x:c>
      <x:c r="K152" s="2" t="str">
        <x:v>交替</x:v>
      </x:c>
      <x:c r="L152" s="2" t="str">
        <x:v>こうたい</x:v>
      </x:c>
      <x:c r="M152" s="8" t="str">
        <x:v>교대, 교체</x:v>
      </x:c>
      <x:c r="N152" s="9" t="n">
        <x:v>3.22</x:v>
      </x:c>
      <x:c r="O152" s="2" t="str">
        <x:v>예</x:v>
      </x:c>
      <x:c r="P152" s="2" t="str">
        <x:v>아니오</x:v>
      </x:c>
    </x:row>
    <x:row r="153">
      <x:c r="A153" s="2" t="str">
        <x:v>vg_075</x:v>
      </x:c>
      <x:c r="B153" s="2" t="str">
        <x:v>same_jmdict_entry,same_reading_meaning</x:v>
      </x:c>
      <x:c r="C153" s="2" t="str">
        <x:v>w_f4a6e48d03d550d9</x:v>
      </x:c>
      <x:c r="D153" s="2" t="str">
        <x:v>寝間着</x:v>
      </x:c>
      <x:c r="E153" s="2" t="str">
        <x:v>ねまき</x:v>
      </x:c>
      <x:c r="F153" s="2" t="str">
        <x:v>아니오</x:v>
      </x:c>
      <x:c r="G153" s="2" t="n">
        <x:v>0</x:v>
      </x:c>
      <x:c r="H153" s="2" t="n">
        <x:v>2</x:v>
      </x:c>
      <x:c r="I153" s="2" t="str">
        <x:v>w_72d3532d250a8644</x:v>
      </x:c>
      <x:c r="J153" s="2" t="str">
        <x:v>N2</x:v>
      </x:c>
      <x:c r="K153" s="2" t="str">
        <x:v>寝巻</x:v>
      </x:c>
      <x:c r="L153" s="2" t="str">
        <x:v>ねまき</x:v>
      </x:c>
      <x:c r="M153" s="8" t="str">
        <x:v>자다 입다, 착용하다, 잠옷</x:v>
      </x:c>
      <x:c r="N153" s="9" t="n">
        <x:v>1.77</x:v>
      </x:c>
      <x:c r="O153" s="2" t="str">
        <x:v>아니오</x:v>
      </x:c>
      <x:c r="P153" s="2" t="str">
        <x:v>아니오</x:v>
      </x:c>
    </x:row>
    <x:row r="154">
      <x:c r="A154" s="2" t="str">
        <x:v>vg_075</x:v>
      </x:c>
      <x:c r="B154" s="2" t="str">
        <x:v>same_jmdict_entry,same_reading_meaning</x:v>
      </x:c>
      <x:c r="C154" s="2" t="str">
        <x:v>w_f4a6e48d03d550d9</x:v>
      </x:c>
      <x:c r="D154" s="2" t="str">
        <x:v>寝間着</x:v>
      </x:c>
      <x:c r="E154" s="2" t="str">
        <x:v>ねまき</x:v>
      </x:c>
      <x:c r="F154" s="2" t="str">
        <x:v>아니오</x:v>
      </x:c>
      <x:c r="G154" s="2" t="n">
        <x:v>0</x:v>
      </x:c>
      <x:c r="H154" s="2" t="n">
        <x:v>2</x:v>
      </x:c>
      <x:c r="I154" s="2" t="str">
        <x:v>w_f4a6e48d03d550d9</x:v>
      </x:c>
      <x:c r="J154" s="2" t="str">
        <x:v>N2</x:v>
      </x:c>
      <x:c r="K154" s="2" t="str">
        <x:v>寝間着</x:v>
      </x:c>
      <x:c r="L154" s="2" t="str">
        <x:v>ねまき</x:v>
      </x:c>
      <x:c r="M154" s="8" t="str">
        <x:v>자다 입다, 착용하다, 잠옷</x:v>
      </x:c>
      <x:c r="N154" s="9" t="n">
        <x:v>2.49</x:v>
      </x:c>
      <x:c r="O154" s="2" t="str">
        <x:v>아니오</x:v>
      </x:c>
      <x:c r="P154" s="2" t="str">
        <x:v>예</x:v>
      </x:c>
    </x:row>
    <x:row r="155">
      <x:c r="A155" s="2" t="str">
        <x:v>vg_076</x:v>
      </x:c>
      <x:c r="B155" s="2" t="str">
        <x:v>same_jmdict_entry</x:v>
      </x:c>
      <x:c r="C155" s="2" t="str">
        <x:v>w_72e7af00c727acea</x:v>
      </x:c>
      <x:c r="D155" s="2" t="str">
        <x:v>明後日</x:v>
      </x:c>
      <x:c r="E155" s="2" t="str">
        <x:v>あさって</x:v>
      </x:c>
      <x:c r="F155" s="2" t="str">
        <x:v>아니오</x:v>
      </x:c>
      <x:c r="G155" s="2" t="n">
        <x:v>0</x:v>
      </x:c>
      <x:c r="H155" s="2" t="n">
        <x:v>2</x:v>
      </x:c>
      <x:c r="I155" s="2" t="str">
        <x:v>w_72e7af00c727acea</x:v>
      </x:c>
      <x:c r="J155" s="2" t="str">
        <x:v>N5</x:v>
      </x:c>
      <x:c r="K155" s="2" t="str">
        <x:v>明後日</x:v>
      </x:c>
      <x:c r="L155" s="2" t="str">
        <x:v>あさって</x:v>
      </x:c>
      <x:c r="M155" s="8" t="str">
        <x:v>모레</x:v>
      </x:c>
      <x:c r="N155" s="9" t="n">
        <x:v>3.65</x:v>
      </x:c>
      <x:c r="O155" s="2" t="str">
        <x:v>아니오</x:v>
      </x:c>
      <x:c r="P155" s="2" t="str">
        <x:v>예</x:v>
      </x:c>
    </x:row>
    <x:row r="156">
      <x:c r="A156" s="2" t="str">
        <x:v>vg_076</x:v>
      </x:c>
      <x:c r="B156" s="2" t="str">
        <x:v>same_jmdict_entry</x:v>
      </x:c>
      <x:c r="C156" s="2" t="str">
        <x:v>w_72e7af00c727acea</x:v>
      </x:c>
      <x:c r="D156" s="2" t="str">
        <x:v>明後日</x:v>
      </x:c>
      <x:c r="E156" s="2" t="str">
        <x:v>あさって</x:v>
      </x:c>
      <x:c r="F156" s="2" t="str">
        <x:v>아니오</x:v>
      </x:c>
      <x:c r="G156" s="2" t="n">
        <x:v>0</x:v>
      </x:c>
      <x:c r="H156" s="2" t="n">
        <x:v>2</x:v>
      </x:c>
      <x:c r="I156" s="2" t="str">
        <x:v>w_b4b5fbd14fb214b4</x:v>
      </x:c>
      <x:c r="J156" s="2" t="str">
        <x:v>N3</x:v>
      </x:c>
      <x:c r="K156" s="2" t="str">
        <x:v>明後日</x:v>
      </x:c>
      <x:c r="L156" s="2" t="str">
        <x:v>みょうごにち</x:v>
      </x:c>
      <x:c r="M156" s="8" t="str">
        <x:v>모레</x:v>
      </x:c>
      <x:c r="N156" s="9" t="n">
        <x:v>3.65</x:v>
      </x:c>
      <x:c r="O156" s="2" t="str">
        <x:v>아니오</x:v>
      </x:c>
      <x:c r="P156" s="2" t="str">
        <x:v>아니오</x:v>
      </x:c>
    </x:row>
    <x:row r="157">
      <x:c r="A157" s="2" t="str">
        <x:v>vg_077</x:v>
      </x:c>
      <x:c r="B157" s="2" t="str">
        <x:v>same_jmdict_entry</x:v>
      </x:c>
      <x:c r="C157" s="2" t="str">
        <x:v>w_fe4beb5b2e0412ed</x:v>
      </x:c>
      <x:c r="D157" s="2" t="str">
        <x:v>行き</x:v>
      </x:c>
      <x:c r="E157" s="2" t="str">
        <x:v>ゆき</x:v>
      </x:c>
      <x:c r="F157" s="2" t="str">
        <x:v>아니오</x:v>
      </x:c>
      <x:c r="G157" s="2" t="n">
        <x:v>0</x:v>
      </x:c>
      <x:c r="H157" s="2" t="n">
        <x:v>2</x:v>
      </x:c>
      <x:c r="I157" s="2" t="str">
        <x:v>w_73e0fb95b7f90273</x:v>
      </x:c>
      <x:c r="J157" s="2" t="str">
        <x:v>N3</x:v>
      </x:c>
      <x:c r="K157" s="2" t="str">
        <x:v>行き</x:v>
      </x:c>
      <x:c r="L157" s="2" t="str">
        <x:v>いき</x:v>
      </x:c>
      <x:c r="M157" s="8" t="str">
        <x:v>감, (목적지)행</x:v>
      </x:c>
      <x:c r="N157" s="9" t="n">
        <x:v>5.33</x:v>
      </x:c>
      <x:c r="O157" s="2" t="str">
        <x:v>아니오</x:v>
      </x:c>
      <x:c r="P157" s="2" t="str">
        <x:v>아니오</x:v>
      </x:c>
    </x:row>
    <x:row r="158">
      <x:c r="A158" s="2" t="str">
        <x:v>vg_077</x:v>
      </x:c>
      <x:c r="B158" s="2" t="str">
        <x:v>same_jmdict_entry</x:v>
      </x:c>
      <x:c r="C158" s="2" t="str">
        <x:v>w_fe4beb5b2e0412ed</x:v>
      </x:c>
      <x:c r="D158" s="2" t="str">
        <x:v>行き</x:v>
      </x:c>
      <x:c r="E158" s="2" t="str">
        <x:v>ゆき</x:v>
      </x:c>
      <x:c r="F158" s="2" t="str">
        <x:v>아니오</x:v>
      </x:c>
      <x:c r="G158" s="2" t="n">
        <x:v>0</x:v>
      </x:c>
      <x:c r="H158" s="2" t="n">
        <x:v>2</x:v>
      </x:c>
      <x:c r="I158" s="2" t="str">
        <x:v>w_fe4beb5b2e0412ed</x:v>
      </x:c>
      <x:c r="J158" s="2" t="str">
        <x:v>N3</x:v>
      </x:c>
      <x:c r="K158" s="2" t="str">
        <x:v>行き</x:v>
      </x:c>
      <x:c r="L158" s="2" t="str">
        <x:v>ゆき</x:v>
      </x:c>
      <x:c r="M158" s="8" t="str">
        <x:v>감, (목적지)행</x:v>
      </x:c>
      <x:c r="N158" s="9" t="n">
        <x:v>5.33</x:v>
      </x:c>
      <x:c r="O158" s="2" t="str">
        <x:v>아니오</x:v>
      </x:c>
      <x:c r="P158" s="2" t="str">
        <x:v>예</x:v>
      </x:c>
    </x:row>
    <x:row r="159">
      <x:c r="A159" s="2" t="str">
        <x:v>vg_078</x:v>
      </x:c>
      <x:c r="B159" s="2" t="str">
        <x:v>same_jmdict_entry</x:v>
      </x:c>
      <x:c r="C159" s="2" t="str">
        <x:v>w_cc7c486ee55f4e80</x:v>
      </x:c>
      <x:c r="D159" s="2" t="str">
        <x:v>暖かい</x:v>
      </x:c>
      <x:c r="E159" s="2" t="str">
        <x:v>あたたかい</x:v>
      </x:c>
      <x:c r="F159" s="2" t="str">
        <x:v>아니오</x:v>
      </x:c>
      <x:c r="G159" s="2" t="n">
        <x:v>0</x:v>
      </x:c>
      <x:c r="H159" s="2" t="n">
        <x:v>2</x:v>
      </x:c>
      <x:c r="I159" s="2" t="str">
        <x:v>w_743a4812f556804d</x:v>
      </x:c>
      <x:c r="J159" s="2" t="str">
        <x:v>N3</x:v>
      </x:c>
      <x:c r="K159" s="2" t="str">
        <x:v>温かい</x:v>
      </x:c>
      <x:c r="L159" s="2" t="str">
        <x:v>あたたかい</x:v>
      </x:c>
      <x:c r="M159" s="8" t="str">
        <x:v>따뜻한</x:v>
      </x:c>
      <x:c r="N159" s="9" t="n">
        <x:v>3.93</x:v>
      </x:c>
      <x:c r="O159" s="2" t="str">
        <x:v>아니오</x:v>
      </x:c>
      <x:c r="P159" s="2" t="str">
        <x:v>아니오</x:v>
      </x:c>
    </x:row>
    <x:row r="160">
      <x:c r="A160" s="2" t="str">
        <x:v>vg_078</x:v>
      </x:c>
      <x:c r="B160" s="2" t="str">
        <x:v>same_jmdict_entry</x:v>
      </x:c>
      <x:c r="C160" s="2" t="str">
        <x:v>w_cc7c486ee55f4e80</x:v>
      </x:c>
      <x:c r="D160" s="2" t="str">
        <x:v>暖かい</x:v>
      </x:c>
      <x:c r="E160" s="2" t="str">
        <x:v>あたたかい</x:v>
      </x:c>
      <x:c r="F160" s="2" t="str">
        <x:v>아니오</x:v>
      </x:c>
      <x:c r="G160" s="2" t="n">
        <x:v>0</x:v>
      </x:c>
      <x:c r="H160" s="2" t="n">
        <x:v>2</x:v>
      </x:c>
      <x:c r="I160" s="2" t="str">
        <x:v>w_cc7c486ee55f4e80</x:v>
      </x:c>
      <x:c r="J160" s="2" t="str">
        <x:v>N5</x:v>
      </x:c>
      <x:c r="K160" s="2" t="str">
        <x:v>暖かい</x:v>
      </x:c>
      <x:c r="L160" s="2" t="str">
        <x:v>あたたかい</x:v>
      </x:c>
      <x:c r="M160" s="8" t="str">
        <x:v>따뜻하다</x:v>
      </x:c>
      <x:c r="N160" s="9" t="n">
        <x:v>4.06</x:v>
      </x:c>
      <x:c r="O160" s="2" t="str">
        <x:v>아니오</x:v>
      </x:c>
      <x:c r="P160" s="2" t="str">
        <x:v>예</x:v>
      </x:c>
    </x:row>
    <x:row r="161">
      <x:c r="A161" s="2" t="str">
        <x:v>vg_079</x:v>
      </x:c>
      <x:c r="B161" s="2" t="str">
        <x:v>same_jmdict_entry</x:v>
      </x:c>
      <x:c r="C161" s="2" t="str">
        <x:v>w_ef8cc6c70940c388</x:v>
      </x:c>
      <x:c r="D161" s="2" t="str">
        <x:v>喜ぶ</x:v>
      </x:c>
      <x:c r="E161" s="2" t="str">
        <x:v>よろこぶ</x:v>
      </x:c>
      <x:c r="F161" s="2" t="str">
        <x:v>예</x:v>
      </x:c>
      <x:c r="G161" s="2" t="n">
        <x:v>1</x:v>
      </x:c>
      <x:c r="H161" s="2" t="n">
        <x:v>2</x:v>
      </x:c>
      <x:c r="I161" s="2" t="str">
        <x:v>w_752d5bb4d91954b3</x:v>
      </x:c>
      <x:c r="J161" s="2" t="str">
        <x:v>N2</x:v>
      </x:c>
      <x:c r="K161" s="2" t="str">
        <x:v>慶ぶ</x:v>
      </x:c>
      <x:c r="L161" s="2" t="str">
        <x:v>よろこぶ</x:v>
      </x:c>
      <x:c r="M161" s="8" t="str">
        <x:v>기뻐하다, 축하하다</x:v>
      </x:c>
      <x:c r="N161" s="9" t="n">
        <x:v>2.27</x:v>
      </x:c>
      <x:c r="O161" s="2" t="str">
        <x:v>아니오</x:v>
      </x:c>
      <x:c r="P161" s="2" t="str">
        <x:v>아니오</x:v>
      </x:c>
    </x:row>
    <x:row r="162">
      <x:c r="A162" s="2" t="str">
        <x:v>vg_079</x:v>
      </x:c>
      <x:c r="B162" s="2" t="str">
        <x:v>same_jmdict_entry</x:v>
      </x:c>
      <x:c r="C162" s="2" t="str">
        <x:v>w_ef8cc6c70940c388</x:v>
      </x:c>
      <x:c r="D162" s="2" t="str">
        <x:v>喜ぶ</x:v>
      </x:c>
      <x:c r="E162" s="2" t="str">
        <x:v>よろこぶ</x:v>
      </x:c>
      <x:c r="F162" s="2" t="str">
        <x:v>예</x:v>
      </x:c>
      <x:c r="G162" s="2" t="n">
        <x:v>1</x:v>
      </x:c>
      <x:c r="H162" s="2" t="n">
        <x:v>2</x:v>
      </x:c>
      <x:c r="I162" s="2" t="str">
        <x:v>w_ef8cc6c70940c388</x:v>
      </x:c>
      <x:c r="J162" s="2" t="str">
        <x:v>N4</x:v>
      </x:c>
      <x:c r="K162" s="2" t="str">
        <x:v>喜ぶ</x:v>
      </x:c>
      <x:c r="L162" s="2" t="str">
        <x:v>よろこぶ</x:v>
      </x:c>
      <x:c r="M162" s="8" t="str">
        <x:v>기뻐하다</x:v>
      </x:c>
      <x:c r="N162" s="9" t="n">
        <x:v>4.21</x:v>
      </x:c>
      <x:c r="O162" s="2" t="str">
        <x:v>예</x:v>
      </x:c>
      <x:c r="P162" s="2" t="str">
        <x:v>예</x:v>
      </x:c>
    </x:row>
    <x:row r="163">
      <x:c r="A163" s="2" t="str">
        <x:v>vg_080</x:v>
      </x:c>
      <x:c r="B163" s="2" t="str">
        <x:v>same_jmdict_entry,same_reading_meaning</x:v>
      </x:c>
      <x:c r="C163" s="2" t="str">
        <x:v>w_78ac2072100fce3f</x:v>
      </x:c>
      <x:c r="D163" s="2" t="str">
        <x:v>澄ます</x:v>
      </x:c>
      <x:c r="E163" s="2" t="str">
        <x:v>すます</x:v>
      </x:c>
      <x:c r="F163" s="2" t="str">
        <x:v>아니오</x:v>
      </x:c>
      <x:c r="G163" s="2" t="n">
        <x:v>0</x:v>
      </x:c>
      <x:c r="H163" s="2" t="n">
        <x:v>2</x:v>
      </x:c>
      <x:c r="I163" s="2" t="str">
        <x:v>w_78ac2072100fce3f</x:v>
      </x:c>
      <x:c r="J163" s="2" t="str">
        <x:v>N1</x:v>
      </x:c>
      <x:c r="K163" s="2" t="str">
        <x:v>澄ます</x:v>
      </x:c>
      <x:c r="L163" s="2" t="str">
        <x:v>すます</x:v>
      </x:c>
      <x:c r="M163" s="8" t="str">
        <x:v>맑게 하다; (귀를) 기울이다</x:v>
      </x:c>
      <x:c r="N163" s="9" t="n">
        <x:v>1.68</x:v>
      </x:c>
      <x:c r="O163" s="2" t="str">
        <x:v>아니오</x:v>
      </x:c>
      <x:c r="P163" s="2" t="str">
        <x:v>예</x:v>
      </x:c>
    </x:row>
    <x:row r="164">
      <x:c r="A164" s="2" t="str">
        <x:v>vg_080</x:v>
      </x:c>
      <x:c r="B164" s="2" t="str">
        <x:v>same_jmdict_entry,same_reading_meaning</x:v>
      </x:c>
      <x:c r="C164" s="2" t="str">
        <x:v>w_78ac2072100fce3f</x:v>
      </x:c>
      <x:c r="D164" s="2" t="str">
        <x:v>澄ます</x:v>
      </x:c>
      <x:c r="E164" s="2" t="str">
        <x:v>すます</x:v>
      </x:c>
      <x:c r="F164" s="2" t="str">
        <x:v>아니오</x:v>
      </x:c>
      <x:c r="G164" s="2" t="n">
        <x:v>0</x:v>
      </x:c>
      <x:c r="H164" s="2" t="n">
        <x:v>2</x:v>
      </x:c>
      <x:c r="I164" s="2" t="str">
        <x:v>w_f674a6e474771268</x:v>
      </x:c>
      <x:c r="J164" s="2" t="str">
        <x:v>N1</x:v>
      </x:c>
      <x:c r="K164" s="2" t="str">
        <x:v>清ます</x:v>
      </x:c>
      <x:c r="L164" s="2" t="str">
        <x:v>すます</x:v>
      </x:c>
      <x:c r="M164" s="8" t="str">
        <x:v>맑게 하다; (귀를) 기울이다</x:v>
      </x:c>
      <x:c r="N164" s="9" t="n">
        <x:v>5.31</x:v>
      </x:c>
      <x:c r="O164" s="2" t="str">
        <x:v>아니오</x:v>
      </x:c>
      <x:c r="P164" s="2" t="str">
        <x:v>아니오</x:v>
      </x:c>
    </x:row>
    <x:row r="165">
      <x:c r="A165" s="2" t="str">
        <x:v>vg_081</x:v>
      </x:c>
      <x:c r="B165" s="2" t="str">
        <x:v>same_jmdict_entry</x:v>
      </x:c>
      <x:c r="C165" s="2" t="str">
        <x:v>w_78e76c898770f844</x:v>
      </x:c>
      <x:c r="D165" s="2" t="str">
        <x:v>上る</x:v>
      </x:c>
      <x:c r="E165" s="2" t="str">
        <x:v>のぼる</x:v>
      </x:c>
      <x:c r="F165" s="2" t="str">
        <x:v>아니오</x:v>
      </x:c>
      <x:c r="G165" s="2" t="n">
        <x:v>0</x:v>
      </x:c>
      <x:c r="H165" s="2" t="n">
        <x:v>2</x:v>
      </x:c>
      <x:c r="I165" s="2" t="str">
        <x:v>w_78e76c898770f844</x:v>
      </x:c>
      <x:c r="J165" s="2" t="str">
        <x:v>N3</x:v>
      </x:c>
      <x:c r="K165" s="2" t="str">
        <x:v>上る</x:v>
      </x:c>
      <x:c r="L165" s="2" t="str">
        <x:v>のぼる</x:v>
      </x:c>
      <x:c r="M165" s="8" t="str">
        <x:v>오르다</x:v>
      </x:c>
      <x:c r="N165" s="9" t="n">
        <x:v>3.6</x:v>
      </x:c>
      <x:c r="O165" s="2" t="str">
        <x:v>아니오</x:v>
      </x:c>
      <x:c r="P165" s="2" t="str">
        <x:v>예</x:v>
      </x:c>
    </x:row>
    <x:row r="166">
      <x:c r="A166" s="2" t="str">
        <x:v>vg_081</x:v>
      </x:c>
      <x:c r="B166" s="2" t="str">
        <x:v>same_jmdict_entry</x:v>
      </x:c>
      <x:c r="C166" s="2" t="str">
        <x:v>w_78e76c898770f844</x:v>
      </x:c>
      <x:c r="D166" s="2" t="str">
        <x:v>上る</x:v>
      </x:c>
      <x:c r="E166" s="2" t="str">
        <x:v>のぼる</x:v>
      </x:c>
      <x:c r="F166" s="2" t="str">
        <x:v>아니오</x:v>
      </x:c>
      <x:c r="G166" s="2" t="n">
        <x:v>0</x:v>
      </x:c>
      <x:c r="H166" s="2" t="n">
        <x:v>2</x:v>
      </x:c>
      <x:c r="I166" s="2" t="str">
        <x:v>w_b685e7abbe1567a6</x:v>
      </x:c>
      <x:c r="J166" s="2" t="str">
        <x:v>N3</x:v>
      </x:c>
      <x:c r="K166" s="2" t="str">
        <x:v>昇る</x:v>
      </x:c>
      <x:c r="L166" s="2" t="str">
        <x:v>のぼる</x:v>
      </x:c>
      <x:c r="M166" s="8" t="str">
        <x:v>(해가) 뜨다, 오르다</x:v>
      </x:c>
      <x:c r="N166" s="9" t="n">
        <x:v>3.29</x:v>
      </x:c>
      <x:c r="O166" s="2" t="str">
        <x:v>아니오</x:v>
      </x:c>
      <x:c r="P166" s="2" t="str">
        <x:v>아니오</x:v>
      </x:c>
    </x:row>
    <x:row r="167">
      <x:c r="A167" s="2" t="str">
        <x:v>vg_082</x:v>
      </x:c>
      <x:c r="B167" s="2" t="str">
        <x:v>same_jmdict_entry</x:v>
      </x:c>
      <x:c r="C167" s="2" t="str">
        <x:v>w_df20da25c79e74b0</x:v>
      </x:c>
      <x:c r="D167" s="2" t="str">
        <x:v>獣</x:v>
      </x:c>
      <x:c r="E167" s="2" t="str">
        <x:v>けだもの</x:v>
      </x:c>
      <x:c r="F167" s="2" t="str">
        <x:v>아니오</x:v>
      </x:c>
      <x:c r="G167" s="2" t="n">
        <x:v>0</x:v>
      </x:c>
      <x:c r="H167" s="2" t="n">
        <x:v>2</x:v>
      </x:c>
      <x:c r="I167" s="2" t="str">
        <x:v>w_7c846856a25ae36a</x:v>
      </x:c>
      <x:c r="J167" s="2" t="str">
        <x:v>N1</x:v>
      </x:c>
      <x:c r="K167" s="2" t="str">
        <x:v>獣</x:v>
      </x:c>
      <x:c r="L167" s="2" t="str">
        <x:v>けもの</x:v>
      </x:c>
      <x:c r="M167" s="8" t="str">
        <x:v>짐승, 야수</x:v>
      </x:c>
      <x:c r="N167" s="9" t="n">
        <x:v>4.73</x:v>
      </x:c>
      <x:c r="O167" s="2" t="str">
        <x:v>아니오</x:v>
      </x:c>
      <x:c r="P167" s="2" t="str">
        <x:v>아니오</x:v>
      </x:c>
    </x:row>
    <x:row r="168">
      <x:c r="A168" s="2" t="str">
        <x:v>vg_082</x:v>
      </x:c>
      <x:c r="B168" s="2" t="str">
        <x:v>same_jmdict_entry</x:v>
      </x:c>
      <x:c r="C168" s="2" t="str">
        <x:v>w_df20da25c79e74b0</x:v>
      </x:c>
      <x:c r="D168" s="2" t="str">
        <x:v>獣</x:v>
      </x:c>
      <x:c r="E168" s="2" t="str">
        <x:v>けだもの</x:v>
      </x:c>
      <x:c r="F168" s="2" t="str">
        <x:v>아니오</x:v>
      </x:c>
      <x:c r="G168" s="2" t="n">
        <x:v>0</x:v>
      </x:c>
      <x:c r="H168" s="2" t="n">
        <x:v>2</x:v>
      </x:c>
      <x:c r="I168" s="2" t="str">
        <x:v>w_df20da25c79e74b0</x:v>
      </x:c>
      <x:c r="J168" s="2" t="str">
        <x:v>N1</x:v>
      </x:c>
      <x:c r="K168" s="2" t="str">
        <x:v>獣</x:v>
      </x:c>
      <x:c r="L168" s="2" t="str">
        <x:v>けだもの</x:v>
      </x:c>
      <x:c r="M168" s="8" t="str">
        <x:v>짐승, 야수</x:v>
      </x:c>
      <x:c r="N168" s="9" t="n">
        <x:v>4.73</x:v>
      </x:c>
      <x:c r="O168" s="2" t="str">
        <x:v>아니오</x:v>
      </x:c>
      <x:c r="P168" s="2" t="str">
        <x:v>예</x:v>
      </x:c>
    </x:row>
    <x:row r="169">
      <x:c r="A169" s="2" t="str">
        <x:v>vg_083</x:v>
      </x:c>
      <x:c r="B169" s="2" t="str">
        <x:v>same_jmdict_entry</x:v>
      </x:c>
      <x:c r="C169" s="2" t="str">
        <x:v>w_7cd203c92785ebef</x:v>
      </x:c>
      <x:c r="D169" s="2" t="str">
        <x:v>ずっと</x:v>
      </x:c>
      <x:c r="E169" s="2" t="str">
        <x:v>ずっと</x:v>
      </x:c>
      <x:c r="F169" s="2" t="str">
        <x:v>아니오</x:v>
      </x:c>
      <x:c r="G169" s="2" t="n">
        <x:v>0</x:v>
      </x:c>
      <x:c r="H169" s="2" t="n">
        <x:v>2</x:v>
      </x:c>
      <x:c r="I169" s="2" t="str">
        <x:v>w_7cd203c92785ebef</x:v>
      </x:c>
      <x:c r="J169" s="2" t="str">
        <x:v>N3</x:v>
      </x:c>
      <x:c r="K169" s="2" t="str">
        <x:v>ずっと</x:v>
      </x:c>
      <x:c r="L169" s="2" t="str">
        <x:v>ずっと</x:v>
      </x:c>
      <x:c r="M169" s="8" t="str">
        <x:v>쭉, 계속; 훨씬</x:v>
      </x:c>
      <x:c r="N169" s="9" t="n">
        <x:v>5.27</x:v>
      </x:c>
      <x:c r="O169" s="2" t="str">
        <x:v>아니오</x:v>
      </x:c>
      <x:c r="P169" s="2" t="str">
        <x:v>예</x:v>
      </x:c>
    </x:row>
    <x:row r="170">
      <x:c r="A170" s="2" t="str">
        <x:v>vg_083</x:v>
      </x:c>
      <x:c r="B170" s="2" t="str">
        <x:v>same_jmdict_entry</x:v>
      </x:c>
      <x:c r="C170" s="2" t="str">
        <x:v>w_7cd203c92785ebef</x:v>
      </x:c>
      <x:c r="D170" s="2" t="str">
        <x:v>ずっと</x:v>
      </x:c>
      <x:c r="E170" s="2" t="str">
        <x:v>ずっと</x:v>
      </x:c>
      <x:c r="F170" s="2" t="str">
        <x:v>아니오</x:v>
      </x:c>
      <x:c r="G170" s="2" t="n">
        <x:v>0</x:v>
      </x:c>
      <x:c r="H170" s="2" t="n">
        <x:v>2</x:v>
      </x:c>
      <x:c r="I170" s="2" t="str">
        <x:v>w_9a60d1f52c950ad3</x:v>
      </x:c>
      <x:c r="J170" s="2" t="str">
        <x:v>N2</x:v>
      </x:c>
      <x:c r="K170" s="2" t="str">
        <x:v>ずうっと</x:v>
      </x:c>
      <x:c r="L170" s="2" t="str">
        <x:v>ずうっと</x:v>
      </x:c>
      <x:c r="M170" s="8" t="str">
        <x:v>쭉, 줄곧</x:v>
      </x:c>
      <x:c r="N170" s="9" t="n">
        <x:v>4.24</x:v>
      </x:c>
      <x:c r="O170" s="2" t="str">
        <x:v>아니오</x:v>
      </x:c>
      <x:c r="P170" s="2" t="str">
        <x:v>아니오</x:v>
      </x:c>
    </x:row>
    <x:row r="171">
      <x:c r="A171" s="2" t="str">
        <x:v>vg_084</x:v>
      </x:c>
      <x:c r="B171" s="2" t="str">
        <x:v>same_jmdict_entry</x:v>
      </x:c>
      <x:c r="C171" s="2" t="str">
        <x:v>w_e99a3d245db86373</x:v>
      </x:c>
      <x:c r="D171" s="2" t="str">
        <x:v>最中</x:v>
      </x:c>
      <x:c r="E171" s="2" t="str">
        <x:v>さなか</x:v>
      </x:c>
      <x:c r="F171" s="2" t="str">
        <x:v>아니오</x:v>
      </x:c>
      <x:c r="G171" s="2" t="n">
        <x:v>0</x:v>
      </x:c>
      <x:c r="H171" s="2" t="n">
        <x:v>2</x:v>
      </x:c>
      <x:c r="I171" s="2" t="str">
        <x:v>w_7cd2a64b26436658</x:v>
      </x:c>
      <x:c r="J171" s="2" t="str">
        <x:v>N3</x:v>
      </x:c>
      <x:c r="K171" s="2" t="str">
        <x:v>最中</x:v>
      </x:c>
      <x:c r="L171" s="2" t="str">
        <x:v>さいちゅう</x:v>
      </x:c>
      <x:c r="M171" s="8" t="str">
        <x:v>~의 한가운데</x:v>
      </x:c>
      <x:c r="N171" s="9" t="n">
        <x:v>4.21</x:v>
      </x:c>
      <x:c r="O171" s="2" t="str">
        <x:v>아니오</x:v>
      </x:c>
      <x:c r="P171" s="2" t="str">
        <x:v>아니오</x:v>
      </x:c>
    </x:row>
    <x:row r="172">
      <x:c r="A172" s="2" t="str">
        <x:v>vg_084</x:v>
      </x:c>
      <x:c r="B172" s="2" t="str">
        <x:v>same_jmdict_entry</x:v>
      </x:c>
      <x:c r="C172" s="2" t="str">
        <x:v>w_e99a3d245db86373</x:v>
      </x:c>
      <x:c r="D172" s="2" t="str">
        <x:v>最中</x:v>
      </x:c>
      <x:c r="E172" s="2" t="str">
        <x:v>さなか</x:v>
      </x:c>
      <x:c r="F172" s="2" t="str">
        <x:v>아니오</x:v>
      </x:c>
      <x:c r="G172" s="2" t="n">
        <x:v>0</x:v>
      </x:c>
      <x:c r="H172" s="2" t="n">
        <x:v>2</x:v>
      </x:c>
      <x:c r="I172" s="2" t="str">
        <x:v>w_e99a3d245db86373</x:v>
      </x:c>
      <x:c r="J172" s="2" t="str">
        <x:v>N1</x:v>
      </x:c>
      <x:c r="K172" s="2" t="str">
        <x:v>最中</x:v>
      </x:c>
      <x:c r="L172" s="2" t="str">
        <x:v>さなか</x:v>
      </x:c>
      <x:c r="M172" s="8" t="str">
        <x:v>~의 한가운데, 한가운데</x:v>
      </x:c>
      <x:c r="N172" s="9" t="n">
        <x:v>4.21</x:v>
      </x:c>
      <x:c r="O172" s="2" t="str">
        <x:v>아니오</x:v>
      </x:c>
      <x:c r="P172" s="2" t="str">
        <x:v>예</x:v>
      </x:c>
    </x:row>
    <x:row r="173">
      <x:c r="A173" s="2" t="str">
        <x:v>vg_085</x:v>
      </x:c>
      <x:c r="B173" s="2" t="str">
        <x:v>same_reading_meaning</x:v>
      </x:c>
      <x:c r="C173" s="2" t="str">
        <x:v>w_7eee80d45b634bc2</x:v>
      </x:c>
      <x:c r="D173" s="2" t="str">
        <x:v>何しろ</x:v>
      </x:c>
      <x:c r="E173" s="2" t="str">
        <x:v>なにしろ</x:v>
      </x:c>
      <x:c r="F173" s="2" t="str">
        <x:v>예</x:v>
      </x:c>
      <x:c r="G173" s="2" t="n">
        <x:v>1</x:v>
      </x:c>
      <x:c r="H173" s="2" t="n">
        <x:v>2</x:v>
      </x:c>
      <x:c r="I173" s="2" t="str">
        <x:v>w_7eee80d45b634bc2</x:v>
      </x:c>
      <x:c r="J173" s="2" t="str">
        <x:v>N2</x:v>
      </x:c>
      <x:c r="K173" s="2" t="str">
        <x:v>何しろ</x:v>
      </x:c>
      <x:c r="L173" s="2" t="str">
        <x:v>なにしろ</x:v>
      </x:c>
      <x:c r="M173" s="8" t="str">
        <x:v>아무튼, 어쨌든</x:v>
      </x:c>
      <x:c r="N173" s="9" t="n">
        <x:v>3.05</x:v>
      </x:c>
      <x:c r="O173" s="2" t="str">
        <x:v>예</x:v>
      </x:c>
      <x:c r="P173" s="2" t="str">
        <x:v>예</x:v>
      </x:c>
    </x:row>
    <x:row r="174">
      <x:c r="A174" s="2" t="str">
        <x:v>vg_085</x:v>
      </x:c>
      <x:c r="B174" s="2" t="str">
        <x:v>same_reading_meaning</x:v>
      </x:c>
      <x:c r="C174" s="2" t="str">
        <x:v>w_7eee80d45b634bc2</x:v>
      </x:c>
      <x:c r="D174" s="2" t="str">
        <x:v>何しろ</x:v>
      </x:c>
      <x:c r="E174" s="2" t="str">
        <x:v>なにしろ</x:v>
      </x:c>
      <x:c r="F174" s="2" t="str">
        <x:v>예</x:v>
      </x:c>
      <x:c r="G174" s="2" t="n">
        <x:v>1</x:v>
      </x:c>
      <x:c r="H174" s="2" t="n">
        <x:v>2</x:v>
      </x:c>
      <x:c r="I174" s="2" t="str">
        <x:v>w_a015d80e0c488f30</x:v>
      </x:c>
      <x:c r="J174" s="2" t="str">
        <x:v>N2</x:v>
      </x:c>
      <x:c r="K174" s="2" t="str">
        <x:v>なにしろ</x:v>
      </x:c>
      <x:c r="L174" s="2" t="str">
        <x:v>なにしろ</x:v>
      </x:c>
      <x:c r="M174" s="8" t="str">
        <x:v>아무튼, 어쨌든</x:v>
      </x:c>
      <x:c r="N174" s="9" t="n">
        <x:v>3.12</x:v>
      </x:c>
      <x:c r="O174" s="2" t="str">
        <x:v>아니오</x:v>
      </x:c>
      <x:c r="P174" s="2" t="str">
        <x:v>아니오</x:v>
      </x:c>
    </x:row>
    <x:row r="175">
      <x:c r="A175" s="2" t="str">
        <x:v>vg_086</x:v>
      </x:c>
      <x:c r="B175" s="2" t="str">
        <x:v>same_jmdict_entry,same_reading_meaning</x:v>
      </x:c>
      <x:c r="C175" s="2" t="str">
        <x:v>w_831749e2e88001b5</x:v>
      </x:c>
      <x:c r="D175" s="2" t="str">
        <x:v>川</x:v>
      </x:c>
      <x:c r="E175" s="2" t="str">
        <x:v>かわ</x:v>
      </x:c>
      <x:c r="F175" s="2" t="str">
        <x:v>예</x:v>
      </x:c>
      <x:c r="G175" s="2" t="n">
        <x:v>1</x:v>
      </x:c>
      <x:c r="H175" s="2" t="n">
        <x:v>2</x:v>
      </x:c>
      <x:c r="I175" s="2" t="str">
        <x:v>w_831749e2e88001b5</x:v>
      </x:c>
      <x:c r="J175" s="2" t="str">
        <x:v>N5</x:v>
      </x:c>
      <x:c r="K175" s="2" t="str">
        <x:v>川</x:v>
      </x:c>
      <x:c r="L175" s="2" t="str">
        <x:v>かわ</x:v>
      </x:c>
      <x:c r="M175" s="8" t="str">
        <x:v>강</x:v>
      </x:c>
      <x:c r="N175" s="9" t="n">
        <x:v>4.8</x:v>
      </x:c>
      <x:c r="O175" s="2" t="str">
        <x:v>예</x:v>
      </x:c>
      <x:c r="P175" s="2" t="str">
        <x:v>예</x:v>
      </x:c>
    </x:row>
    <x:row r="176">
      <x:c r="A176" s="2" t="str">
        <x:v>vg_086</x:v>
      </x:c>
      <x:c r="B176" s="2" t="str">
        <x:v>same_jmdict_entry,same_reading_meaning</x:v>
      </x:c>
      <x:c r="C176" s="2" t="str">
        <x:v>w_831749e2e88001b5</x:v>
      </x:c>
      <x:c r="D176" s="2" t="str">
        <x:v>川</x:v>
      </x:c>
      <x:c r="E176" s="2" t="str">
        <x:v>かわ</x:v>
      </x:c>
      <x:c r="F176" s="2" t="str">
        <x:v>예</x:v>
      </x:c>
      <x:c r="G176" s="2" t="n">
        <x:v>1</x:v>
      </x:c>
      <x:c r="H176" s="2" t="n">
        <x:v>2</x:v>
      </x:c>
      <x:c r="I176" s="2" t="str">
        <x:v>w_adcd7ec20b945da4</x:v>
      </x:c>
      <x:c r="J176" s="2" t="str">
        <x:v>N3</x:v>
      </x:c>
      <x:c r="K176" s="2" t="str">
        <x:v>河</x:v>
      </x:c>
      <x:c r="L176" s="2" t="str">
        <x:v>かわ</x:v>
      </x:c>
      <x:c r="M176" s="8" t="str">
        <x:v>강</x:v>
      </x:c>
      <x:c r="N176" s="9" t="n">
        <x:v>3.9</x:v>
      </x:c>
      <x:c r="O176" s="2" t="str">
        <x:v>아니오</x:v>
      </x:c>
      <x:c r="P176" s="2" t="str">
        <x:v>아니오</x:v>
      </x:c>
    </x:row>
    <x:row r="177">
      <x:c r="A177" s="2" t="str">
        <x:v>vg_087</x:v>
      </x:c>
      <x:c r="B177" s="2" t="str">
        <x:v>same_jmdict_entry</x:v>
      </x:c>
      <x:c r="C177" s="2" t="str">
        <x:v>w_83de4c2c646b19a2</x:v>
      </x:c>
      <x:c r="D177" s="2" t="str">
        <x:v>最も</x:v>
      </x:c>
      <x:c r="E177" s="2" t="str">
        <x:v>もっとも</x:v>
      </x:c>
      <x:c r="F177" s="2" t="str">
        <x:v>예</x:v>
      </x:c>
      <x:c r="G177" s="2" t="n">
        <x:v>1</x:v>
      </x:c>
      <x:c r="H177" s="2" t="n">
        <x:v>2</x:v>
      </x:c>
      <x:c r="I177" s="2" t="str">
        <x:v>w_83de4c2c646b19a2</x:v>
      </x:c>
      <x:c r="J177" s="2" t="str">
        <x:v>N4</x:v>
      </x:c>
      <x:c r="K177" s="2" t="str">
        <x:v>最も</x:v>
      </x:c>
      <x:c r="L177" s="2" t="str">
        <x:v>もっとも</x:v>
      </x:c>
      <x:c r="M177" s="8" t="str">
        <x:v>가장</x:v>
      </x:c>
      <x:c r="N177" s="9" t="n">
        <x:v>5.02</x:v>
      </x:c>
      <x:c r="O177" s="2" t="str">
        <x:v>예</x:v>
      </x:c>
      <x:c r="P177" s="2" t="str">
        <x:v>예</x:v>
      </x:c>
    </x:row>
    <x:row r="178">
      <x:c r="A178" s="2" t="str">
        <x:v>vg_087</x:v>
      </x:c>
      <x:c r="B178" s="2" t="str">
        <x:v>same_jmdict_entry</x:v>
      </x:c>
      <x:c r="C178" s="2" t="str">
        <x:v>w_83de4c2c646b19a2</x:v>
      </x:c>
      <x:c r="D178" s="2" t="str">
        <x:v>最も</x:v>
      </x:c>
      <x:c r="E178" s="2" t="str">
        <x:v>もっとも</x:v>
      </x:c>
      <x:c r="F178" s="2" t="str">
        <x:v>예</x:v>
      </x:c>
      <x:c r="G178" s="2" t="n">
        <x:v>1</x:v>
      </x:c>
      <x:c r="H178" s="2" t="n">
        <x:v>2</x:v>
      </x:c>
      <x:c r="I178" s="2" t="str">
        <x:v>w_c9624a11c7f3b950</x:v>
      </x:c>
      <x:c r="J178" s="2" t="str">
        <x:v>N3</x:v>
      </x:c>
      <x:c r="K178" s="2" t="str">
        <x:v>尤も</x:v>
      </x:c>
      <x:c r="L178" s="2" t="str">
        <x:v>もっとも</x:v>
      </x:c>
      <x:c r="M178" s="8" t="str">
        <x:v>지당함, 당연함</x:v>
      </x:c>
      <x:c r="N178" s="9" t="n">
        <x:v>2.84</x:v>
      </x:c>
      <x:c r="O178" s="2" t="str">
        <x:v>아니오</x:v>
      </x:c>
      <x:c r="P178" s="2" t="str">
        <x:v>아니오</x:v>
      </x:c>
    </x:row>
    <x:row r="179">
      <x:c r="A179" s="2" t="str">
        <x:v>vg_088</x:v>
      </x:c>
      <x:c r="B179" s="2" t="str">
        <x:v>same_jmdict_entry</x:v>
      </x:c>
      <x:c r="C179" s="2" t="str">
        <x:v>w_8c7c6614e2b0593f</x:v>
      </x:c>
      <x:c r="D179" s="2" t="str">
        <x:v>頭</x:v>
      </x:c>
      <x:c r="E179" s="2" t="str">
        <x:v>あたま</x:v>
      </x:c>
      <x:c r="F179" s="2" t="str">
        <x:v>예</x:v>
      </x:c>
      <x:c r="G179" s="2" t="n">
        <x:v>1</x:v>
      </x:c>
      <x:c r="H179" s="2" t="n">
        <x:v>2</x:v>
      </x:c>
      <x:c r="I179" s="2" t="str">
        <x:v>w_8c7c6614e2b0593f</x:v>
      </x:c>
      <x:c r="J179" s="2" t="str">
        <x:v>N5</x:v>
      </x:c>
      <x:c r="K179" s="2" t="str">
        <x:v>頭</x:v>
      </x:c>
      <x:c r="L179" s="2" t="str">
        <x:v>あたま</x:v>
      </x:c>
      <x:c r="M179" s="8" t="str">
        <x:v>머리</x:v>
      </x:c>
      <x:c r="N179" s="9" t="n">
        <x:v>5.43</x:v>
      </x:c>
      <x:c r="O179" s="2" t="str">
        <x:v>예</x:v>
      </x:c>
      <x:c r="P179" s="2" t="str">
        <x:v>예</x:v>
      </x:c>
    </x:row>
    <x:row r="180">
      <x:c r="A180" s="2" t="str">
        <x:v>vg_088</x:v>
      </x:c>
      <x:c r="B180" s="2" t="str">
        <x:v>same_jmdict_entry</x:v>
      </x:c>
      <x:c r="C180" s="2" t="str">
        <x:v>w_8c7c6614e2b0593f</x:v>
      </x:c>
      <x:c r="D180" s="2" t="str">
        <x:v>頭</x:v>
      </x:c>
      <x:c r="E180" s="2" t="str">
        <x:v>あたま</x:v>
      </x:c>
      <x:c r="F180" s="2" t="str">
        <x:v>예</x:v>
      </x:c>
      <x:c r="G180" s="2" t="n">
        <x:v>1</x:v>
      </x:c>
      <x:c r="H180" s="2" t="n">
        <x:v>2</x:v>
      </x:c>
      <x:c r="I180" s="2" t="str">
        <x:v>w_fe67641683421c77</x:v>
      </x:c>
      <x:c r="J180" s="2" t="str">
        <x:v>N1</x:v>
      </x:c>
      <x:c r="K180" s="2" t="str">
        <x:v>頭</x:v>
      </x:c>
      <x:c r="L180" s="2" t="str">
        <x:v>かしら</x:v>
      </x:c>
      <x:c r="M180" s="8" t="str">
        <x:v>머리</x:v>
      </x:c>
      <x:c r="N180" s="9" t="n">
        <x:v>5.43</x:v>
      </x:c>
      <x:c r="O180" s="2" t="str">
        <x:v>아니오</x:v>
      </x:c>
      <x:c r="P180" s="2" t="str">
        <x:v>아니오</x:v>
      </x:c>
    </x:row>
    <x:row r="181">
      <x:c r="A181" s="2" t="str">
        <x:v>vg_089</x:v>
      </x:c>
      <x:c r="B181" s="2" t="str">
        <x:v>same_jmdict_entry</x:v>
      </x:c>
      <x:c r="C181" s="2" t="str">
        <x:v>w_e7f479187f36afac</x:v>
      </x:c>
      <x:c r="D181" s="2" t="str">
        <x:v>測る</x:v>
      </x:c>
      <x:c r="E181" s="2" t="str">
        <x:v>はかる</x:v>
      </x:c>
      <x:c r="F181" s="2" t="str">
        <x:v>예</x:v>
      </x:c>
      <x:c r="G181" s="2" t="n">
        <x:v>2</x:v>
      </x:c>
      <x:c r="H181" s="2" t="n">
        <x:v>2</x:v>
      </x:c>
      <x:c r="I181" s="2" t="str">
        <x:v>w_950944eda8002bbc</x:v>
      </x:c>
      <x:c r="J181" s="2" t="str">
        <x:v>N3</x:v>
      </x:c>
      <x:c r="K181" s="2" t="str">
        <x:v>量る</x:v>
      </x:c>
      <x:c r="L181" s="2" t="str">
        <x:v>はかる</x:v>
      </x:c>
      <x:c r="M181" s="8" t="str">
        <x:v>재다, 달다</x:v>
      </x:c>
      <x:c r="N181" s="9" t="n">
        <x:v>2.52</x:v>
      </x:c>
      <x:c r="O181" s="2" t="str">
        <x:v>예</x:v>
      </x:c>
      <x:c r="P181" s="2" t="str">
        <x:v>아니오</x:v>
      </x:c>
    </x:row>
    <x:row r="182">
      <x:c r="A182" s="2" t="str">
        <x:v>vg_089</x:v>
      </x:c>
      <x:c r="B182" s="2" t="str">
        <x:v>same_jmdict_entry</x:v>
      </x:c>
      <x:c r="C182" s="2" t="str">
        <x:v>w_e7f479187f36afac</x:v>
      </x:c>
      <x:c r="D182" s="2" t="str">
        <x:v>測る</x:v>
      </x:c>
      <x:c r="E182" s="2" t="str">
        <x:v>はかる</x:v>
      </x:c>
      <x:c r="F182" s="2" t="str">
        <x:v>예</x:v>
      </x:c>
      <x:c r="G182" s="2" t="n">
        <x:v>2</x:v>
      </x:c>
      <x:c r="H182" s="2" t="n">
        <x:v>2</x:v>
      </x:c>
      <x:c r="I182" s="2" t="str">
        <x:v>w_e7f479187f36afac</x:v>
      </x:c>
      <x:c r="J182" s="2" t="str">
        <x:v>N3</x:v>
      </x:c>
      <x:c r="K182" s="2" t="str">
        <x:v>測る</x:v>
      </x:c>
      <x:c r="L182" s="2" t="str">
        <x:v>はかる</x:v>
      </x:c>
      <x:c r="M182" s="8" t="str">
        <x:v>재다, 측정하다</x:v>
      </x:c>
      <x:c r="N182" s="9" t="n">
        <x:v>3.45</x:v>
      </x:c>
      <x:c r="O182" s="2" t="str">
        <x:v>예</x:v>
      </x:c>
      <x:c r="P182" s="2" t="str">
        <x:v>예</x:v>
      </x:c>
    </x:row>
    <x:row r="183">
      <x:c r="A183" s="2" t="str">
        <x:v>vg_090</x:v>
      </x:c>
      <x:c r="B183" s="2" t="str">
        <x:v>same_jmdict_entry</x:v>
      </x:c>
      <x:c r="C183" s="2" t="str">
        <x:v>w_df40eb9087b51ff0</x:v>
      </x:c>
      <x:c r="D183" s="2" t="str">
        <x:v>世論</x:v>
      </x:c>
      <x:c r="E183" s="2" t="str">
        <x:v>よろん</x:v>
      </x:c>
      <x:c r="F183" s="2" t="str">
        <x:v>아니오</x:v>
      </x:c>
      <x:c r="G183" s="2" t="n">
        <x:v>0</x:v>
      </x:c>
      <x:c r="H183" s="2" t="n">
        <x:v>2</x:v>
      </x:c>
      <x:c r="I183" s="2" t="str">
        <x:v>w_951746f7e1a78e82</x:v>
      </x:c>
      <x:c r="J183" s="2" t="str">
        <x:v>N1</x:v>
      </x:c>
      <x:c r="K183" s="2" t="str">
        <x:v>世論</x:v>
      </x:c>
      <x:c r="L183" s="2" t="str">
        <x:v>せろん</x:v>
      </x:c>
      <x:c r="M183" s="8" t="str">
        <x:v>여론</x:v>
      </x:c>
      <x:c r="N183" s="9" t="n">
        <x:v>3.85</x:v>
      </x:c>
      <x:c r="O183" s="2" t="str">
        <x:v>아니오</x:v>
      </x:c>
      <x:c r="P183" s="2" t="str">
        <x:v>아니오</x:v>
      </x:c>
    </x:row>
    <x:row r="184">
      <x:c r="A184" s="2" t="str">
        <x:v>vg_090</x:v>
      </x:c>
      <x:c r="B184" s="2" t="str">
        <x:v>same_jmdict_entry</x:v>
      </x:c>
      <x:c r="C184" s="2" t="str">
        <x:v>w_df40eb9087b51ff0</x:v>
      </x:c>
      <x:c r="D184" s="2" t="str">
        <x:v>世論</x:v>
      </x:c>
      <x:c r="E184" s="2" t="str">
        <x:v>よろん</x:v>
      </x:c>
      <x:c r="F184" s="2" t="str">
        <x:v>아니오</x:v>
      </x:c>
      <x:c r="G184" s="2" t="n">
        <x:v>0</x:v>
      </x:c>
      <x:c r="H184" s="2" t="n">
        <x:v>2</x:v>
      </x:c>
      <x:c r="I184" s="2" t="str">
        <x:v>w_df40eb9087b51ff0</x:v>
      </x:c>
      <x:c r="J184" s="2" t="str">
        <x:v>N1</x:v>
      </x:c>
      <x:c r="K184" s="2" t="str">
        <x:v>世論</x:v>
      </x:c>
      <x:c r="L184" s="2" t="str">
        <x:v>よろん</x:v>
      </x:c>
      <x:c r="M184" s="8" t="str">
        <x:v>여론</x:v>
      </x:c>
      <x:c r="N184" s="9" t="n">
        <x:v>3.85</x:v>
      </x:c>
      <x:c r="O184" s="2" t="str">
        <x:v>아니오</x:v>
      </x:c>
      <x:c r="P184" s="2" t="str">
        <x:v>예</x:v>
      </x:c>
    </x:row>
    <x:row r="185">
      <x:c r="A185" s="2" t="str">
        <x:v>vg_091</x:v>
      </x:c>
      <x:c r="B185" s="2" t="str">
        <x:v>same_reading_meaning</x:v>
      </x:c>
      <x:c r="C185" s="2" t="str">
        <x:v>w_95dcb750dac183f7</x:v>
      </x:c>
      <x:c r="D185" s="2" t="str">
        <x:v>少なくとも</x:v>
      </x:c>
      <x:c r="E185" s="2" t="str">
        <x:v>すくなくとも</x:v>
      </x:c>
      <x:c r="F185" s="2" t="str">
        <x:v>예</x:v>
      </x:c>
      <x:c r="G185" s="2" t="n">
        <x:v>1</x:v>
      </x:c>
      <x:c r="H185" s="2" t="n">
        <x:v>2</x:v>
      </x:c>
      <x:c r="I185" s="2" t="str">
        <x:v>w_95dcb750dac183f7</x:v>
      </x:c>
      <x:c r="J185" s="2" t="str">
        <x:v>N2</x:v>
      </x:c>
      <x:c r="K185" s="2" t="str">
        <x:v>少なくとも</x:v>
      </x:c>
      <x:c r="L185" s="2" t="str">
        <x:v>すくなくとも</x:v>
      </x:c>
      <x:c r="M185" s="8" t="str">
        <x:v>적어도</x:v>
      </x:c>
      <x:c r="N185" s="9" t="n">
        <x:v>4.62</x:v>
      </x:c>
      <x:c r="O185" s="2" t="str">
        <x:v>예</x:v>
      </x:c>
      <x:c r="P185" s="2" t="str">
        <x:v>예</x:v>
      </x:c>
    </x:row>
    <x:row r="186">
      <x:c r="A186" s="2" t="str">
        <x:v>vg_091</x:v>
      </x:c>
      <x:c r="B186" s="2" t="str">
        <x:v>same_reading_meaning</x:v>
      </x:c>
      <x:c r="C186" s="2" t="str">
        <x:v>w_95dcb750dac183f7</x:v>
      </x:c>
      <x:c r="D186" s="2" t="str">
        <x:v>少なくとも</x:v>
      </x:c>
      <x:c r="E186" s="2" t="str">
        <x:v>すくなくとも</x:v>
      </x:c>
      <x:c r="F186" s="2" t="str">
        <x:v>예</x:v>
      </x:c>
      <x:c r="G186" s="2" t="n">
        <x:v>1</x:v>
      </x:c>
      <x:c r="H186" s="2" t="n">
        <x:v>2</x:v>
      </x:c>
      <x:c r="I186" s="2" t="str">
        <x:v>w_f56c74b2555e2887</x:v>
      </x:c>
      <x:c r="J186" s="2" t="str">
        <x:v>N3</x:v>
      </x:c>
      <x:c r="K186" s="2" t="str">
        <x:v>すくなくとも</x:v>
      </x:c>
      <x:c r="L186" s="2" t="str">
        <x:v>すくなくとも</x:v>
      </x:c>
      <x:c r="M186" s="8" t="str">
        <x:v>적어도</x:v>
      </x:c>
      <x:c r="N186" s="9" t="n">
        <x:v>2.59</x:v>
      </x:c>
      <x:c r="O186" s="2" t="str">
        <x:v>아니오</x:v>
      </x:c>
      <x:c r="P186" s="2" t="str">
        <x:v>아니오</x:v>
      </x:c>
    </x:row>
    <x:row r="187">
      <x:c r="A187" s="2" t="str">
        <x:v>vg_092</x:v>
      </x:c>
      <x:c r="B187" s="2" t="str">
        <x:v>same_reading_meaning</x:v>
      </x:c>
      <x:c r="C187" s="2" t="str">
        <x:v>w_e880d8a6de524d47</x:v>
      </x:c>
      <x:c r="D187" s="2" t="str">
        <x:v>片付く</x:v>
      </x:c>
      <x:c r="E187" s="2" t="str">
        <x:v>かたづく</x:v>
      </x:c>
      <x:c r="F187" s="2" t="str">
        <x:v>아니오</x:v>
      </x:c>
      <x:c r="G187" s="2" t="n">
        <x:v>0</x:v>
      </x:c>
      <x:c r="H187" s="2" t="n">
        <x:v>2</x:v>
      </x:c>
      <x:c r="I187" s="2" t="str">
        <x:v>w_974ee5fbfe542c3a</x:v>
      </x:c>
      <x:c r="J187" s="2" t="str">
        <x:v>N2</x:v>
      </x:c>
      <x:c r="K187" s="2" t="str">
        <x:v>かたづく</x:v>
      </x:c>
      <x:c r="L187" s="2" t="str">
        <x:v>かたづく</x:v>
      </x:c>
      <x:c r="M187" s="8" t="str">
        <x:v>정리되다, 해결되다</x:v>
      </x:c>
      <x:c r="N187" s="9" t="n">
        <x:v>0</x:v>
      </x:c>
      <x:c r="O187" s="2" t="str">
        <x:v>아니오</x:v>
      </x:c>
      <x:c r="P187" s="2" t="str">
        <x:v>아니오</x:v>
      </x:c>
    </x:row>
    <x:row r="188">
      <x:c r="A188" s="2" t="str">
        <x:v>vg_092</x:v>
      </x:c>
      <x:c r="B188" s="2" t="str">
        <x:v>same_reading_meaning</x:v>
      </x:c>
      <x:c r="C188" s="2" t="str">
        <x:v>w_e880d8a6de524d47</x:v>
      </x:c>
      <x:c r="D188" s="2" t="str">
        <x:v>片付く</x:v>
      </x:c>
      <x:c r="E188" s="2" t="str">
        <x:v>かたづく</x:v>
      </x:c>
      <x:c r="F188" s="2" t="str">
        <x:v>아니오</x:v>
      </x:c>
      <x:c r="G188" s="2" t="n">
        <x:v>0</x:v>
      </x:c>
      <x:c r="H188" s="2" t="n">
        <x:v>2</x:v>
      </x:c>
      <x:c r="I188" s="2" t="str">
        <x:v>w_e880d8a6de524d47</x:v>
      </x:c>
      <x:c r="J188" s="2" t="str">
        <x:v>N3</x:v>
      </x:c>
      <x:c r="K188" s="2" t="str">
        <x:v>片付く</x:v>
      </x:c>
      <x:c r="L188" s="2" t="str">
        <x:v>かたづく</x:v>
      </x:c>
      <x:c r="M188" s="8" t="str">
        <x:v>정리되다, 해결되다</x:v>
      </x:c>
      <x:c r="N188" s="9" t="n">
        <x:v>2.72</x:v>
      </x:c>
      <x:c r="O188" s="2" t="str">
        <x:v>아니오</x:v>
      </x:c>
      <x:c r="P188" s="2" t="str">
        <x:v>예</x:v>
      </x:c>
    </x:row>
    <x:row r="189">
      <x:c r="A189" s="2" t="str">
        <x:v>vg_093</x:v>
      </x:c>
      <x:c r="B189" s="2" t="str">
        <x:v>same_jmdict_entry</x:v>
      </x:c>
      <x:c r="C189" s="2" t="str">
        <x:v>w_9ea346dbfdc4c768</x:v>
      </x:c>
      <x:c r="D189" s="2" t="str">
        <x:v>叔母</x:v>
      </x:c>
      <x:c r="E189" s="2" t="str">
        <x:v>おば</x:v>
      </x:c>
      <x:c r="F189" s="2" t="str">
        <x:v>아니오</x:v>
      </x:c>
      <x:c r="G189" s="2" t="n">
        <x:v>0</x:v>
      </x:c>
      <x:c r="H189" s="2" t="n">
        <x:v>2</x:v>
      </x:c>
      <x:c r="I189" s="2" t="str">
        <x:v>w_97db66ffd893f4b5</x:v>
      </x:c>
      <x:c r="J189" s="2" t="str">
        <x:v>N2</x:v>
      </x:c>
      <x:c r="K189" s="2" t="str">
        <x:v>伯母</x:v>
      </x:c>
      <x:c r="L189" s="2" t="str">
        <x:v>おば</x:v>
      </x:c>
      <x:c r="M189" s="8" t="str">
        <x:v>큰어머니, 백모, 이모/고모</x:v>
      </x:c>
      <x:c r="N189" s="9" t="n">
        <x:v>3.07</x:v>
      </x:c>
      <x:c r="O189" s="2" t="str">
        <x:v>아니오</x:v>
      </x:c>
      <x:c r="P189" s="2" t="str">
        <x:v>아니오</x:v>
      </x:c>
    </x:row>
    <x:row r="190">
      <x:c r="A190" s="2" t="str">
        <x:v>vg_093</x:v>
      </x:c>
      <x:c r="B190" s="2" t="str">
        <x:v>same_jmdict_entry</x:v>
      </x:c>
      <x:c r="C190" s="2" t="str">
        <x:v>w_9ea346dbfdc4c768</x:v>
      </x:c>
      <x:c r="D190" s="2" t="str">
        <x:v>叔母</x:v>
      </x:c>
      <x:c r="E190" s="2" t="str">
        <x:v>おば</x:v>
      </x:c>
      <x:c r="F190" s="2" t="str">
        <x:v>아니오</x:v>
      </x:c>
      <x:c r="G190" s="2" t="n">
        <x:v>0</x:v>
      </x:c>
      <x:c r="H190" s="2" t="n">
        <x:v>2</x:v>
      </x:c>
      <x:c r="I190" s="2" t="str">
        <x:v>w_9ea346dbfdc4c768</x:v>
      </x:c>
      <x:c r="J190" s="2" t="str">
        <x:v>N2</x:v>
      </x:c>
      <x:c r="K190" s="2" t="str">
        <x:v>叔母</x:v>
      </x:c>
      <x:c r="L190" s="2" t="str">
        <x:v>おば</x:v>
      </x:c>
      <x:c r="M190" s="8" t="str">
        <x:v>작은어머니, 숙모, 이모/고모</x:v>
      </x:c>
      <x:c r="N190" s="9" t="n">
        <x:v>3.57</x:v>
      </x:c>
      <x:c r="O190" s="2" t="str">
        <x:v>아니오</x:v>
      </x:c>
      <x:c r="P190" s="2" t="str">
        <x:v>예</x:v>
      </x:c>
    </x:row>
    <x:row r="191">
      <x:c r="A191" s="2" t="str">
        <x:v>vg_094</x:v>
      </x:c>
      <x:c r="B191" s="2" t="str">
        <x:v>same_jmdict_entry</x:v>
      </x:c>
      <x:c r="C191" s="2" t="str">
        <x:v>w_e3f8ae1ac4c6e455</x:v>
      </x:c>
      <x:c r="D191" s="2" t="str">
        <x:v>そっと</x:v>
      </x:c>
      <x:c r="E191" s="2" t="str">
        <x:v>そっと</x:v>
      </x:c>
      <x:c r="F191" s="2" t="str">
        <x:v>예</x:v>
      </x:c>
      <x:c r="G191" s="2" t="n">
        <x:v>1</x:v>
      </x:c>
      <x:c r="H191" s="2" t="n">
        <x:v>2</x:v>
      </x:c>
      <x:c r="I191" s="2" t="str">
        <x:v>w_98d39ac0388c03a9</x:v>
      </x:c>
      <x:c r="J191" s="2" t="str">
        <x:v>N2</x:v>
      </x:c>
      <x:c r="K191" s="2" t="str">
        <x:v>そうっと</x:v>
      </x:c>
      <x:c r="L191" s="2" t="str">
        <x:v>そうっと</x:v>
      </x:c>
      <x:c r="M191" s="8" t="str">
        <x:v>살며시, 조심스럽게</x:v>
      </x:c>
      <x:c r="N191" s="9" t="n">
        <x:v>1.75</x:v>
      </x:c>
      <x:c r="O191" s="2" t="str">
        <x:v>아니오</x:v>
      </x:c>
      <x:c r="P191" s="2" t="str">
        <x:v>아니오</x:v>
      </x:c>
    </x:row>
    <x:row r="192">
      <x:c r="A192" s="2" t="str">
        <x:v>vg_094</x:v>
      </x:c>
      <x:c r="B192" s="2" t="str">
        <x:v>same_jmdict_entry</x:v>
      </x:c>
      <x:c r="C192" s="2" t="str">
        <x:v>w_e3f8ae1ac4c6e455</x:v>
      </x:c>
      <x:c r="D192" s="2" t="str">
        <x:v>そっと</x:v>
      </x:c>
      <x:c r="E192" s="2" t="str">
        <x:v>そっと</x:v>
      </x:c>
      <x:c r="F192" s="2" t="str">
        <x:v>예</x:v>
      </x:c>
      <x:c r="G192" s="2" t="n">
        <x:v>1</x:v>
      </x:c>
      <x:c r="H192" s="2" t="n">
        <x:v>2</x:v>
      </x:c>
      <x:c r="I192" s="2" t="str">
        <x:v>w_e3f8ae1ac4c6e455</x:v>
      </x:c>
      <x:c r="J192" s="2" t="str">
        <x:v>N3</x:v>
      </x:c>
      <x:c r="K192" s="2" t="str">
        <x:v>そっと</x:v>
      </x:c>
      <x:c r="L192" s="2" t="str">
        <x:v>そっと</x:v>
      </x:c>
      <x:c r="M192" s="8" t="str">
        <x:v>살짝, 가만히</x:v>
      </x:c>
      <x:c r="N192" s="9" t="n">
        <x:v>4.02</x:v>
      </x:c>
      <x:c r="O192" s="2" t="str">
        <x:v>예</x:v>
      </x:c>
      <x:c r="P192" s="2" t="str">
        <x:v>예</x:v>
      </x:c>
    </x:row>
    <x:row r="193">
      <x:c r="A193" s="2" t="str">
        <x:v>vg_095</x:v>
      </x:c>
      <x:c r="B193" s="2" t="str">
        <x:v>same_jmdict_entry</x:v>
      </x:c>
      <x:c r="C193" s="2" t="str">
        <x:v>w_9a69e415985ac07b</x:v>
      </x:c>
      <x:c r="D193" s="2" t="str">
        <x:v>柔らかい</x:v>
      </x:c>
      <x:c r="E193" s="2" t="str">
        <x:v>やわらかい</x:v>
      </x:c>
      <x:c r="F193" s="2" t="str">
        <x:v>예</x:v>
      </x:c>
      <x:c r="G193" s="2" t="n">
        <x:v>1</x:v>
      </x:c>
      <x:c r="H193" s="2" t="n">
        <x:v>2</x:v>
      </x:c>
      <x:c r="I193" s="2" t="str">
        <x:v>w_9a69e415985ac07b</x:v>
      </x:c>
      <x:c r="J193" s="2" t="str">
        <x:v>N4</x:v>
      </x:c>
      <x:c r="K193" s="2" t="str">
        <x:v>柔らかい</x:v>
      </x:c>
      <x:c r="L193" s="2" t="str">
        <x:v>やわらかい</x:v>
      </x:c>
      <x:c r="M193" s="8" t="str">
        <x:v>부드럽다</x:v>
      </x:c>
      <x:c r="N193" s="9" t="n">
        <x:v>3.84</x:v>
      </x:c>
      <x:c r="O193" s="2" t="str">
        <x:v>예</x:v>
      </x:c>
      <x:c r="P193" s="2" t="str">
        <x:v>예</x:v>
      </x:c>
    </x:row>
    <x:row r="194">
      <x:c r="A194" s="2" t="str">
        <x:v>vg_095</x:v>
      </x:c>
      <x:c r="B194" s="2" t="str">
        <x:v>same_jmdict_entry</x:v>
      </x:c>
      <x:c r="C194" s="2" t="str">
        <x:v>w_9a69e415985ac07b</x:v>
      </x:c>
      <x:c r="D194" s="2" t="str">
        <x:v>柔らかい</x:v>
      </x:c>
      <x:c r="E194" s="2" t="str">
        <x:v>やわらかい</x:v>
      </x:c>
      <x:c r="F194" s="2" t="str">
        <x:v>예</x:v>
      </x:c>
      <x:c r="G194" s="2" t="n">
        <x:v>1</x:v>
      </x:c>
      <x:c r="H194" s="2" t="n">
        <x:v>2</x:v>
      </x:c>
      <x:c r="I194" s="2" t="str">
        <x:v>w_d31df7952b5b8ddb</x:v>
      </x:c>
      <x:c r="J194" s="2" t="str">
        <x:v>N2</x:v>
      </x:c>
      <x:c r="K194" s="2" t="str">
        <x:v>軟らかい</x:v>
      </x:c>
      <x:c r="L194" s="2" t="str">
        <x:v>やわらかい</x:v>
      </x:c>
      <x:c r="M194" s="8" t="str">
        <x:v>부드럽다, 말랑하다</x:v>
      </x:c>
      <x:c r="N194" s="9" t="n">
        <x:v>2.42</x:v>
      </x:c>
      <x:c r="O194" s="2" t="str">
        <x:v>아니오</x:v>
      </x:c>
      <x:c r="P194" s="2" t="str">
        <x:v>아니오</x:v>
      </x:c>
    </x:row>
    <x:row r="195">
      <x:c r="A195" s="2" t="str">
        <x:v>vg_096</x:v>
      </x:c>
      <x:c r="B195" s="2" t="str">
        <x:v>same_jmdict_entry,same_reading_meaning</x:v>
      </x:c>
      <x:c r="C195" s="2" t="str">
        <x:v>w_fbd02e3a324e16c5</x:v>
      </x:c>
      <x:c r="D195" s="2" t="str">
        <x:v>乗り換え</x:v>
      </x:c>
      <x:c r="E195" s="2" t="str">
        <x:v>のりかえ</x:v>
      </x:c>
      <x:c r="F195" s="2" t="str">
        <x:v>아니오</x:v>
      </x:c>
      <x:c r="G195" s="2" t="n">
        <x:v>0</x:v>
      </x:c>
      <x:c r="H195" s="2" t="n">
        <x:v>2</x:v>
      </x:c>
      <x:c r="I195" s="2" t="str">
        <x:v>w_9d2f5c112f059ee4</x:v>
      </x:c>
      <x:c r="J195" s="2" t="str">
        <x:v>N2</x:v>
      </x:c>
      <x:c r="K195" s="2" t="str">
        <x:v>乗換</x:v>
      </x:c>
      <x:c r="L195" s="2" t="str">
        <x:v>のりかえ</x:v>
      </x:c>
      <x:c r="M195" s="8" t="str">
        <x:v>환승, 갈아탐</x:v>
      </x:c>
      <x:c r="N195" s="9" t="n">
        <x:v>3.13</x:v>
      </x:c>
      <x:c r="O195" s="2" t="str">
        <x:v>아니오</x:v>
      </x:c>
      <x:c r="P195" s="2" t="str">
        <x:v>아니오</x:v>
      </x:c>
    </x:row>
    <x:row r="196">
      <x:c r="A196" s="2" t="str">
        <x:v>vg_096</x:v>
      </x:c>
      <x:c r="B196" s="2" t="str">
        <x:v>same_jmdict_entry,same_reading_meaning</x:v>
      </x:c>
      <x:c r="C196" s="2" t="str">
        <x:v>w_fbd02e3a324e16c5</x:v>
      </x:c>
      <x:c r="D196" s="2" t="str">
        <x:v>乗り換え</x:v>
      </x:c>
      <x:c r="E196" s="2" t="str">
        <x:v>のりかえ</x:v>
      </x:c>
      <x:c r="F196" s="2" t="str">
        <x:v>아니오</x:v>
      </x:c>
      <x:c r="G196" s="2" t="n">
        <x:v>0</x:v>
      </x:c>
      <x:c r="H196" s="2" t="n">
        <x:v>2</x:v>
      </x:c>
      <x:c r="I196" s="2" t="str">
        <x:v>w_fbd02e3a324e16c5</x:v>
      </x:c>
      <x:c r="J196" s="2" t="str">
        <x:v>N2</x:v>
      </x:c>
      <x:c r="K196" s="2" t="str">
        <x:v>乗り換え</x:v>
      </x:c>
      <x:c r="L196" s="2" t="str">
        <x:v>のりかえ</x:v>
      </x:c>
      <x:c r="M196" s="8" t="str">
        <x:v>환승, 갈아탐</x:v>
      </x:c>
      <x:c r="N196" s="9" t="n">
        <x:v>4.1</x:v>
      </x:c>
      <x:c r="O196" s="2" t="str">
        <x:v>아니오</x:v>
      </x:c>
      <x:c r="P196" s="2" t="str">
        <x:v>예</x:v>
      </x:c>
    </x:row>
    <x:row r="197">
      <x:c r="A197" s="2" t="str">
        <x:v>vg_097</x:v>
      </x:c>
      <x:c r="B197" s="2" t="str">
        <x:v>same_jmdict_entry</x:v>
      </x:c>
      <x:c r="C197" s="2" t="str">
        <x:v>w_fac30bc019ff0119</x:v>
      </x:c>
      <x:c r="D197" s="2" t="str">
        <x:v>腿</x:v>
      </x:c>
      <x:c r="E197" s="2" t="str">
        <x:v>もも</x:v>
      </x:c>
      <x:c r="F197" s="2" t="str">
        <x:v>아니오</x:v>
      </x:c>
      <x:c r="G197" s="2" t="n">
        <x:v>0</x:v>
      </x:c>
      <x:c r="H197" s="2" t="n">
        <x:v>2</x:v>
      </x:c>
      <x:c r="I197" s="2" t="str">
        <x:v>w_9da5d3e318f2c437</x:v>
      </x:c>
      <x:c r="J197" s="2" t="str">
        <x:v>N1</x:v>
      </x:c>
      <x:c r="K197" s="2" t="str">
        <x:v>股</x:v>
      </x:c>
      <x:c r="L197" s="2" t="str">
        <x:v>もも</x:v>
      </x:c>
      <x:c r="M197" s="8" t="str">
        <x:v>넓적다리, 허벅지</x:v>
      </x:c>
      <x:c r="N197" s="9" t="n">
        <x:v>3.81</x:v>
      </x:c>
      <x:c r="O197" s="2" t="str">
        <x:v>아니오</x:v>
      </x:c>
      <x:c r="P197" s="2" t="str">
        <x:v>아니오</x:v>
      </x:c>
    </x:row>
    <x:row r="198">
      <x:c r="A198" s="2" t="str">
        <x:v>vg_097</x:v>
      </x:c>
      <x:c r="B198" s="2" t="str">
        <x:v>same_jmdict_entry</x:v>
      </x:c>
      <x:c r="C198" s="2" t="str">
        <x:v>w_fac30bc019ff0119</x:v>
      </x:c>
      <x:c r="D198" s="2" t="str">
        <x:v>腿</x:v>
      </x:c>
      <x:c r="E198" s="2" t="str">
        <x:v>もも</x:v>
      </x:c>
      <x:c r="F198" s="2" t="str">
        <x:v>아니오</x:v>
      </x:c>
      <x:c r="G198" s="2" t="n">
        <x:v>0</x:v>
      </x:c>
      <x:c r="H198" s="2" t="n">
        <x:v>2</x:v>
      </x:c>
      <x:c r="I198" s="2" t="str">
        <x:v>w_fac30bc019ff0119</x:v>
      </x:c>
      <x:c r="J198" s="2" t="str">
        <x:v>N1</x:v>
      </x:c>
      <x:c r="K198" s="2" t="str">
        <x:v>腿</x:v>
      </x:c>
      <x:c r="L198" s="2" t="str">
        <x:v>もも</x:v>
      </x:c>
      <x:c r="M198" s="8" t="str">
        <x:v>넓적다리</x:v>
      </x:c>
      <x:c r="N198" s="9" t="n">
        <x:v>3.21</x:v>
      </x:c>
      <x:c r="O198" s="2" t="str">
        <x:v>아니오</x:v>
      </x:c>
      <x:c r="P198" s="2" t="str">
        <x:v>예</x:v>
      </x:c>
    </x:row>
    <x:row r="199">
      <x:c r="A199" s="2" t="str">
        <x:v>vg_098</x:v>
      </x:c>
      <x:c r="B199" s="2" t="str">
        <x:v>same_jmdict_entry</x:v>
      </x:c>
      <x:c r="C199" s="2" t="str">
        <x:v>w_d91ab097e9b1fc5f</x:v>
      </x:c>
      <x:c r="D199" s="2" t="str">
        <x:v>面目</x:v>
      </x:c>
      <x:c r="E199" s="2" t="str">
        <x:v>めんもく</x:v>
      </x:c>
      <x:c r="F199" s="2" t="str">
        <x:v>아니오</x:v>
      </x:c>
      <x:c r="G199" s="2" t="n">
        <x:v>0</x:v>
      </x:c>
      <x:c r="H199" s="2" t="n">
        <x:v>2</x:v>
      </x:c>
      <x:c r="I199" s="2" t="str">
        <x:v>w_9f483af3f38eaacd</x:v>
      </x:c>
      <x:c r="J199" s="2" t="str">
        <x:v>N1</x:v>
      </x:c>
      <x:c r="K199" s="2" t="str">
        <x:v>面目</x:v>
      </x:c>
      <x:c r="L199" s="2" t="str">
        <x:v>めんぼく</x:v>
      </x:c>
      <x:c r="M199" s="8" t="str">
        <x:v>체면, 면목</x:v>
      </x:c>
      <x:c r="N199" s="9" t="n">
        <x:v>3.02</x:v>
      </x:c>
      <x:c r="O199" s="2" t="str">
        <x:v>아니오</x:v>
      </x:c>
      <x:c r="P199" s="2" t="str">
        <x:v>아니오</x:v>
      </x:c>
    </x:row>
    <x:row r="200">
      <x:c r="A200" s="2" t="str">
        <x:v>vg_098</x:v>
      </x:c>
      <x:c r="B200" s="2" t="str">
        <x:v>same_jmdict_entry</x:v>
      </x:c>
      <x:c r="C200" s="2" t="str">
        <x:v>w_d91ab097e9b1fc5f</x:v>
      </x:c>
      <x:c r="D200" s="2" t="str">
        <x:v>面目</x:v>
      </x:c>
      <x:c r="E200" s="2" t="str">
        <x:v>めんもく</x:v>
      </x:c>
      <x:c r="F200" s="2" t="str">
        <x:v>아니오</x:v>
      </x:c>
      <x:c r="G200" s="2" t="n">
        <x:v>0</x:v>
      </x:c>
      <x:c r="H200" s="2" t="n">
        <x:v>2</x:v>
      </x:c>
      <x:c r="I200" s="2" t="str">
        <x:v>w_d91ab097e9b1fc5f</x:v>
      </x:c>
      <x:c r="J200" s="2" t="str">
        <x:v>N1</x:v>
      </x:c>
      <x:c r="K200" s="2" t="str">
        <x:v>面目</x:v>
      </x:c>
      <x:c r="L200" s="2" t="str">
        <x:v>めんもく</x:v>
      </x:c>
      <x:c r="M200" s="8" t="str">
        <x:v>체면, 면목</x:v>
      </x:c>
      <x:c r="N200" s="9" t="n">
        <x:v>3.02</x:v>
      </x:c>
      <x:c r="O200" s="2" t="str">
        <x:v>아니오</x:v>
      </x:c>
      <x:c r="P200" s="2" t="str">
        <x:v>예</x:v>
      </x:c>
    </x:row>
    <x:row r="201">
      <x:c r="A201" s="2" t="str">
        <x:v>vg_099</x:v>
      </x:c>
      <x:c r="B201" s="2" t="str">
        <x:v>same_jmdict_entry,same_reading_meaning</x:v>
      </x:c>
      <x:c r="C201" s="2" t="str">
        <x:v>w_bb59d051bed3ec91</x:v>
      </x:c>
      <x:c r="D201" s="2" t="str">
        <x:v>替える</x:v>
      </x:c>
      <x:c r="E201" s="2" t="str">
        <x:v>かえる</x:v>
      </x:c>
      <x:c r="F201" s="2" t="str">
        <x:v>예</x:v>
      </x:c>
      <x:c r="G201" s="2" t="n">
        <x:v>1</x:v>
      </x:c>
      <x:c r="H201" s="2" t="n">
        <x:v>3</x:v>
      </x:c>
      <x:c r="I201" s="2" t="str">
        <x:v>w_a1af5d3d26a5e7b2</x:v>
      </x:c>
      <x:c r="J201" s="2" t="str">
        <x:v>N3</x:v>
      </x:c>
      <x:c r="K201" s="2" t="str">
        <x:v>換える</x:v>
      </x:c>
      <x:c r="L201" s="2" t="str">
        <x:v>かえる</x:v>
      </x:c>
      <x:c r="M201" s="8" t="str">
        <x:v>교환하다, 교환, 대체하다</x:v>
      </x:c>
      <x:c r="N201" s="9" t="n">
        <x:v>2.71</x:v>
      </x:c>
      <x:c r="O201" s="2" t="str">
        <x:v>아니오</x:v>
      </x:c>
      <x:c r="P201" s="2" t="str">
        <x:v>아니오</x:v>
      </x:c>
    </x:row>
    <x:row r="202">
      <x:c r="A202" s="2" t="str">
        <x:v>vg_099</x:v>
      </x:c>
      <x:c r="B202" s="2" t="str">
        <x:v>same_jmdict_entry,same_reading_meaning</x:v>
      </x:c>
      <x:c r="C202" s="2" t="str">
        <x:v>w_bb59d051bed3ec91</x:v>
      </x:c>
      <x:c r="D202" s="2" t="str">
        <x:v>替える</x:v>
      </x:c>
      <x:c r="E202" s="2" t="str">
        <x:v>かえる</x:v>
      </x:c>
      <x:c r="F202" s="2" t="str">
        <x:v>예</x:v>
      </x:c>
      <x:c r="G202" s="2" t="n">
        <x:v>1</x:v>
      </x:c>
      <x:c r="H202" s="2" t="n">
        <x:v>3</x:v>
      </x:c>
      <x:c r="I202" s="2" t="str">
        <x:v>w_bb59d051bed3ec91</x:v>
      </x:c>
      <x:c r="J202" s="2" t="str">
        <x:v>N3</x:v>
      </x:c>
      <x:c r="K202" s="2" t="str">
        <x:v>替える</x:v>
      </x:c>
      <x:c r="L202" s="2" t="str">
        <x:v>かえる</x:v>
      </x:c>
      <x:c r="M202" s="8" t="str">
        <x:v>교환하다, 교환, 대체하다</x:v>
      </x:c>
      <x:c r="N202" s="9" t="n">
        <x:v>3.39</x:v>
      </x:c>
      <x:c r="O202" s="2" t="str">
        <x:v>예</x:v>
      </x:c>
      <x:c r="P202" s="2" t="str">
        <x:v>예</x:v>
      </x:c>
    </x:row>
    <x:row r="203">
      <x:c r="A203" s="2" t="str">
        <x:v>vg_099</x:v>
      </x:c>
      <x:c r="B203" s="2" t="str">
        <x:v>same_jmdict_entry,same_reading_meaning</x:v>
      </x:c>
      <x:c r="C203" s="2" t="str">
        <x:v>w_bb59d051bed3ec91</x:v>
      </x:c>
      <x:c r="D203" s="2" t="str">
        <x:v>替える</x:v>
      </x:c>
      <x:c r="E203" s="2" t="str">
        <x:v>かえる</x:v>
      </x:c>
      <x:c r="F203" s="2" t="str">
        <x:v>예</x:v>
      </x:c>
      <x:c r="G203" s="2" t="n">
        <x:v>1</x:v>
      </x:c>
      <x:c r="H203" s="2" t="n">
        <x:v>3</x:v>
      </x:c>
      <x:c r="I203" s="2" t="str">
        <x:v>w_f3c36a6b1c35c8d8</x:v>
      </x:c>
      <x:c r="J203" s="2" t="str">
        <x:v>N3</x:v>
      </x:c>
      <x:c r="K203" s="2" t="str">
        <x:v>代える</x:v>
      </x:c>
      <x:c r="L203" s="2" t="str">
        <x:v>かえる</x:v>
      </x:c>
      <x:c r="M203" s="8" t="str">
        <x:v>교환하다, 교환, 대체하다</x:v>
      </x:c>
      <x:c r="N203" s="9" t="n">
        <x:v>2.61</x:v>
      </x:c>
      <x:c r="O203" s="2" t="str">
        <x:v>아니오</x:v>
      </x:c>
      <x:c r="P203" s="2" t="str">
        <x:v>아니오</x:v>
      </x:c>
    </x:row>
    <x:row r="204">
      <x:c r="A204" s="2" t="str">
        <x:v>vg_100</x:v>
      </x:c>
      <x:c r="B204" s="2" t="str">
        <x:v>same_jmdict_entry</x:v>
      </x:c>
      <x:c r="C204" s="2" t="str">
        <x:v>w_c34cf13bb75d6d66</x:v>
      </x:c>
      <x:c r="D204" s="2" t="str">
        <x:v>描く</x:v>
      </x:c>
      <x:c r="E204" s="2" t="str">
        <x:v>かく</x:v>
      </x:c>
      <x:c r="F204" s="2" t="str">
        <x:v>아니오</x:v>
      </x:c>
      <x:c r="G204" s="2" t="n">
        <x:v>0</x:v>
      </x:c>
      <x:c r="H204" s="2" t="n">
        <x:v>2</x:v>
      </x:c>
      <x:c r="I204" s="2" t="str">
        <x:v>w_a2cf2915e143c029</x:v>
      </x:c>
      <x:c r="J204" s="2" t="str">
        <x:v>N3</x:v>
      </x:c>
      <x:c r="K204" s="2" t="str">
        <x:v>描く</x:v>
      </x:c>
      <x:c r="L204" s="2" t="str">
        <x:v>えがく</x:v>
      </x:c>
      <x:c r="M204" s="8" t="str">
        <x:v>그리다, 묘사하다</x:v>
      </x:c>
      <x:c r="N204" s="9" t="n">
        <x:v>4.52</x:v>
      </x:c>
      <x:c r="O204" s="2" t="str">
        <x:v>아니오</x:v>
      </x:c>
      <x:c r="P204" s="2" t="str">
        <x:v>아니오</x:v>
      </x:c>
    </x:row>
    <x:row r="205">
      <x:c r="A205" s="2" t="str">
        <x:v>vg_100</x:v>
      </x:c>
      <x:c r="B205" s="2" t="str">
        <x:v>same_jmdict_entry</x:v>
      </x:c>
      <x:c r="C205" s="2" t="str">
        <x:v>w_c34cf13bb75d6d66</x:v>
      </x:c>
      <x:c r="D205" s="2" t="str">
        <x:v>描く</x:v>
      </x:c>
      <x:c r="E205" s="2" t="str">
        <x:v>かく</x:v>
      </x:c>
      <x:c r="F205" s="2" t="str">
        <x:v>아니오</x:v>
      </x:c>
      <x:c r="G205" s="2" t="n">
        <x:v>0</x:v>
      </x:c>
      <x:c r="H205" s="2" t="n">
        <x:v>2</x:v>
      </x:c>
      <x:c r="I205" s="2" t="str">
        <x:v>w_c34cf13bb75d6d66</x:v>
      </x:c>
      <x:c r="J205" s="2" t="str">
        <x:v>N3</x:v>
      </x:c>
      <x:c r="K205" s="2" t="str">
        <x:v>描く</x:v>
      </x:c>
      <x:c r="L205" s="2" t="str">
        <x:v>かく</x:v>
      </x:c>
      <x:c r="M205" s="8" t="str">
        <x:v>그리다, 묘사하다</x:v>
      </x:c>
      <x:c r="N205" s="9" t="n">
        <x:v>4.52</x:v>
      </x:c>
      <x:c r="O205" s="2" t="str">
        <x:v>아니오</x:v>
      </x:c>
      <x:c r="P205" s="2" t="str">
        <x:v>예</x:v>
      </x:c>
    </x:row>
    <x:row r="206">
      <x:c r="A206" s="2" t="str">
        <x:v>vg_101</x:v>
      </x:c>
      <x:c r="B206" s="2" t="str">
        <x:v>same_jmdict_entry,same_reading_meaning</x:v>
      </x:c>
      <x:c r="C206" s="2" t="str">
        <x:v>w_bd2507b9f1f1be15</x:v>
      </x:c>
      <x:c r="D206" s="2" t="str">
        <x:v>超える</x:v>
      </x:c>
      <x:c r="E206" s="2" t="str">
        <x:v>こえる</x:v>
      </x:c>
      <x:c r="F206" s="2" t="str">
        <x:v>예</x:v>
      </x:c>
      <x:c r="G206" s="2" t="n">
        <x:v>1</x:v>
      </x:c>
      <x:c r="H206" s="2" t="n">
        <x:v>2</x:v>
      </x:c>
      <x:c r="I206" s="2" t="str">
        <x:v>w_a607d0d4b4d7b1a2</x:v>
      </x:c>
      <x:c r="J206" s="2" t="str">
        <x:v>N3</x:v>
      </x:c>
      <x:c r="K206" s="2" t="str">
        <x:v>越える</x:v>
      </x:c>
      <x:c r="L206" s="2" t="str">
        <x:v>こえる</x:v>
      </x:c>
      <x:c r="M206" s="8" t="str">
        <x:v>넘다, 넘어서다</x:v>
      </x:c>
      <x:c r="N206" s="9" t="n">
        <x:v>3.88</x:v>
      </x:c>
      <x:c r="O206" s="2" t="str">
        <x:v>아니오</x:v>
      </x:c>
      <x:c r="P206" s="2" t="str">
        <x:v>아니오</x:v>
      </x:c>
    </x:row>
    <x:row r="207">
      <x:c r="A207" s="2" t="str">
        <x:v>vg_101</x:v>
      </x:c>
      <x:c r="B207" s="2" t="str">
        <x:v>same_jmdict_entry,same_reading_meaning</x:v>
      </x:c>
      <x:c r="C207" s="2" t="str">
        <x:v>w_bd2507b9f1f1be15</x:v>
      </x:c>
      <x:c r="D207" s="2" t="str">
        <x:v>超える</x:v>
      </x:c>
      <x:c r="E207" s="2" t="str">
        <x:v>こえる</x:v>
      </x:c>
      <x:c r="F207" s="2" t="str">
        <x:v>예</x:v>
      </x:c>
      <x:c r="G207" s="2" t="n">
        <x:v>1</x:v>
      </x:c>
      <x:c r="H207" s="2" t="n">
        <x:v>2</x:v>
      </x:c>
      <x:c r="I207" s="2" t="str">
        <x:v>w_bd2507b9f1f1be15</x:v>
      </x:c>
      <x:c r="J207" s="2" t="str">
        <x:v>N3</x:v>
      </x:c>
      <x:c r="K207" s="2" t="str">
        <x:v>超える</x:v>
      </x:c>
      <x:c r="L207" s="2" t="str">
        <x:v>こえる</x:v>
      </x:c>
      <x:c r="M207" s="8" t="str">
        <x:v>넘다, 넘어서다</x:v>
      </x:c>
      <x:c r="N207" s="9" t="n">
        <x:v>4.52</x:v>
      </x:c>
      <x:c r="O207" s="2" t="str">
        <x:v>예</x:v>
      </x:c>
      <x:c r="P207" s="2" t="str">
        <x:v>예</x:v>
      </x:c>
    </x:row>
    <x:row r="208">
      <x:c r="A208" s="2" t="str">
        <x:v>vg_102</x:v>
      </x:c>
      <x:c r="B208" s="2" t="str">
        <x:v>same_reading_meaning</x:v>
      </x:c>
      <x:c r="C208" s="2" t="str">
        <x:v>w_be7b504a9dae8c48</x:v>
      </x:c>
      <x:c r="D208" s="2" t="str">
        <x:v>混じる</x:v>
      </x:c>
      <x:c r="E208" s="2" t="str">
        <x:v>まじる</x:v>
      </x:c>
      <x:c r="F208" s="2" t="str">
        <x:v>아니오</x:v>
      </x:c>
      <x:c r="G208" s="2" t="n">
        <x:v>0</x:v>
      </x:c>
      <x:c r="H208" s="2" t="n">
        <x:v>2</x:v>
      </x:c>
      <x:c r="I208" s="2" t="str">
        <x:v>w_b71640e718ced668</x:v>
      </x:c>
      <x:c r="J208" s="2" t="str">
        <x:v>N2</x:v>
      </x:c>
      <x:c r="K208" s="2" t="str">
        <x:v>まじる</x:v>
      </x:c>
      <x:c r="L208" s="2" t="str">
        <x:v>まじる</x:v>
      </x:c>
      <x:c r="M208" s="8" t="str">
        <x:v>섞이다</x:v>
      </x:c>
      <x:c r="N208" s="9" t="n">
        <x:v>1.53</x:v>
      </x:c>
      <x:c r="O208" s="2" t="str">
        <x:v>아니오</x:v>
      </x:c>
      <x:c r="P208" s="2" t="str">
        <x:v>아니오</x:v>
      </x:c>
    </x:row>
    <x:row r="209">
      <x:c r="A209" s="2" t="str">
        <x:v>vg_102</x:v>
      </x:c>
      <x:c r="B209" s="2" t="str">
        <x:v>same_reading_meaning</x:v>
      </x:c>
      <x:c r="C209" s="2" t="str">
        <x:v>w_be7b504a9dae8c48</x:v>
      </x:c>
      <x:c r="D209" s="2" t="str">
        <x:v>混じる</x:v>
      </x:c>
      <x:c r="E209" s="2" t="str">
        <x:v>まじる</x:v>
      </x:c>
      <x:c r="F209" s="2" t="str">
        <x:v>아니오</x:v>
      </x:c>
      <x:c r="G209" s="2" t="n">
        <x:v>0</x:v>
      </x:c>
      <x:c r="H209" s="2" t="n">
        <x:v>2</x:v>
      </x:c>
      <x:c r="I209" s="2" t="str">
        <x:v>w_be7b504a9dae8c48</x:v>
      </x:c>
      <x:c r="J209" s="2" t="str">
        <x:v>N3</x:v>
      </x:c>
      <x:c r="K209" s="2" t="str">
        <x:v>混じる</x:v>
      </x:c>
      <x:c r="L209" s="2" t="str">
        <x:v>まじる</x:v>
      </x:c>
      <x:c r="M209" s="8" t="str">
        <x:v>섞이다</x:v>
      </x:c>
      <x:c r="N209" s="9" t="n">
        <x:v>2.97</x:v>
      </x:c>
      <x:c r="O209" s="2" t="str">
        <x:v>아니오</x:v>
      </x:c>
      <x:c r="P209" s="2" t="str">
        <x:v>예</x:v>
      </x:c>
    </x:row>
    <x:row r="210">
      <x:c r="A210" s="2" t="str">
        <x:v>vg_103</x:v>
      </x:c>
      <x:c r="B210" s="2" t="str">
        <x:v>same_jmdict_entry,same_reading_meaning</x:v>
      </x:c>
      <x:c r="C210" s="2" t="str">
        <x:v>w_dcf81ee7c767ed7f</x:v>
      </x:c>
      <x:c r="D210" s="2" t="str">
        <x:v>売上</x:v>
      </x:c>
      <x:c r="E210" s="2" t="str">
        <x:v>うりあげ</x:v>
      </x:c>
      <x:c r="F210" s="2" t="str">
        <x:v>예</x:v>
      </x:c>
      <x:c r="G210" s="2" t="n">
        <x:v>1</x:v>
      </x:c>
      <x:c r="H210" s="2" t="n">
        <x:v>2</x:v>
      </x:c>
      <x:c r="I210" s="2" t="str">
        <x:v>w_b971f5fb52c159d9</x:v>
      </x:c>
      <x:c r="J210" s="2" t="str">
        <x:v>N2</x:v>
      </x:c>
      <x:c r="K210" s="2" t="str">
        <x:v>売り上げ</x:v>
      </x:c>
      <x:c r="L210" s="2" t="str">
        <x:v>うりあげ</x:v>
      </x:c>
      <x:c r="M210" s="8" t="str">
        <x:v>매상, 매출</x:v>
      </x:c>
      <x:c r="N210" s="9" t="n">
        <x:v>4.09</x:v>
      </x:c>
      <x:c r="O210" s="2" t="str">
        <x:v>아니오</x:v>
      </x:c>
      <x:c r="P210" s="2" t="str">
        <x:v>아니오</x:v>
      </x:c>
    </x:row>
    <x:row r="211">
      <x:c r="A211" s="2" t="str">
        <x:v>vg_103</x:v>
      </x:c>
      <x:c r="B211" s="2" t="str">
        <x:v>same_jmdict_entry,same_reading_meaning</x:v>
      </x:c>
      <x:c r="C211" s="2" t="str">
        <x:v>w_dcf81ee7c767ed7f</x:v>
      </x:c>
      <x:c r="D211" s="2" t="str">
        <x:v>売上</x:v>
      </x:c>
      <x:c r="E211" s="2" t="str">
        <x:v>うりあげ</x:v>
      </x:c>
      <x:c r="F211" s="2" t="str">
        <x:v>예</x:v>
      </x:c>
      <x:c r="G211" s="2" t="n">
        <x:v>1</x:v>
      </x:c>
      <x:c r="H211" s="2" t="n">
        <x:v>2</x:v>
      </x:c>
      <x:c r="I211" s="2" t="str">
        <x:v>w_dcf81ee7c767ed7f</x:v>
      </x:c>
      <x:c r="J211" s="2" t="str">
        <x:v>N2</x:v>
      </x:c>
      <x:c r="K211" s="2" t="str">
        <x:v>売上</x:v>
      </x:c>
      <x:c r="L211" s="2" t="str">
        <x:v>うりあげ</x:v>
      </x:c>
      <x:c r="M211" s="8" t="str">
        <x:v>매상, 매출</x:v>
      </x:c>
      <x:c r="N211" s="9" t="n">
        <x:v>4.26</x:v>
      </x:c>
      <x:c r="O211" s="2" t="str">
        <x:v>예</x:v>
      </x:c>
      <x:c r="P211" s="2" t="str">
        <x:v>예</x:v>
      </x:c>
    </x:row>
    <x:row r="212">
      <x:c r="A212" s="2" t="str">
        <x:v>vg_104</x:v>
      </x:c>
      <x:c r="B212" s="2" t="str">
        <x:v>same_jmdict_entry</x:v>
      </x:c>
      <x:c r="C212" s="2" t="str">
        <x:v>w_ba5c28cac9377917</x:v>
      </x:c>
      <x:c r="D212" s="2" t="str">
        <x:v>濯ぐ</x:v>
      </x:c>
      <x:c r="E212" s="2" t="str">
        <x:v>すすぐ</x:v>
      </x:c>
      <x:c r="F212" s="2" t="str">
        <x:v>아니오</x:v>
      </x:c>
      <x:c r="G212" s="2" t="n">
        <x:v>0</x:v>
      </x:c>
      <x:c r="H212" s="2" t="n">
        <x:v>2</x:v>
      </x:c>
      <x:c r="I212" s="2" t="str">
        <x:v>w_ba5c28cac9377917</x:v>
      </x:c>
      <x:c r="J212" s="2" t="str">
        <x:v>N1</x:v>
      </x:c>
      <x:c r="K212" s="2" t="str">
        <x:v>濯ぐ</x:v>
      </x:c>
      <x:c r="L212" s="2" t="str">
        <x:v>すすぐ</x:v>
      </x:c>
      <x:c r="M212" s="8" t="str">
        <x:v>헹구다, 씻어내다</x:v>
      </x:c>
      <x:c r="N212" s="9" t="n">
        <x:v>2.31</x:v>
      </x:c>
      <x:c r="O212" s="2" t="str">
        <x:v>아니오</x:v>
      </x:c>
      <x:c r="P212" s="2" t="str">
        <x:v>예</x:v>
      </x:c>
    </x:row>
    <x:row r="213">
      <x:c r="A213" s="2" t="str">
        <x:v>vg_104</x:v>
      </x:c>
      <x:c r="B213" s="2" t="str">
        <x:v>same_jmdict_entry</x:v>
      </x:c>
      <x:c r="C213" s="2" t="str">
        <x:v>w_ba5c28cac9377917</x:v>
      </x:c>
      <x:c r="D213" s="2" t="str">
        <x:v>濯ぐ</x:v>
      </x:c>
      <x:c r="E213" s="2" t="str">
        <x:v>すすぐ</x:v>
      </x:c>
      <x:c r="F213" s="2" t="str">
        <x:v>아니오</x:v>
      </x:c>
      <x:c r="G213" s="2" t="n">
        <x:v>0</x:v>
      </x:c>
      <x:c r="H213" s="2" t="n">
        <x:v>2</x:v>
      </x:c>
      <x:c r="I213" s="2" t="str">
        <x:v>w_c2cc27b9a22c206e</x:v>
      </x:c>
      <x:c r="J213" s="2" t="str">
        <x:v>N1</x:v>
      </x:c>
      <x:c r="K213" s="2" t="str">
        <x:v>濯ぐ</x:v>
      </x:c>
      <x:c r="L213" s="2" t="str">
        <x:v>ゆすぐ</x:v>
      </x:c>
      <x:c r="M213" s="8" t="str">
        <x:v>헹구다, 씻어내다</x:v>
      </x:c>
      <x:c r="N213" s="9" t="n">
        <x:v>1.43</x:v>
      </x:c>
      <x:c r="O213" s="2" t="str">
        <x:v>아니오</x:v>
      </x:c>
      <x:c r="P213" s="2" t="str">
        <x:v>아니오</x:v>
      </x:c>
    </x:row>
    <x:row r="214">
      <x:c r="A214" s="2" t="str">
        <x:v>vg_105</x:v>
      </x:c>
      <x:c r="B214" s="2" t="str">
        <x:v>same_jmdict_entry,same_reading_meaning</x:v>
      </x:c>
      <x:c r="C214" s="2" t="str">
        <x:v>w_bae098e6bbe74e8f</x:v>
      </x:c>
      <x:c r="D214" s="2" t="str">
        <x:v>的確</x:v>
      </x:c>
      <x:c r="E214" s="2" t="str">
        <x:v>てきかく</x:v>
      </x:c>
      <x:c r="F214" s="2" t="str">
        <x:v>아니오</x:v>
      </x:c>
      <x:c r="G214" s="2" t="n">
        <x:v>0</x:v>
      </x:c>
      <x:c r="H214" s="2" t="n">
        <x:v>2</x:v>
      </x:c>
      <x:c r="I214" s="2" t="str">
        <x:v>w_bae098e6bbe74e8f</x:v>
      </x:c>
      <x:c r="J214" s="2" t="str">
        <x:v>N2</x:v>
      </x:c>
      <x:c r="K214" s="2" t="str">
        <x:v>的確</x:v>
      </x:c>
      <x:c r="L214" s="2" t="str">
        <x:v>てきかく</x:v>
      </x:c>
      <x:c r="M214" s="8" t="str">
        <x:v>정확한</x:v>
      </x:c>
      <x:c r="N214" s="9" t="n">
        <x:v>3.76</x:v>
      </x:c>
      <x:c r="O214" s="2" t="str">
        <x:v>아니오</x:v>
      </x:c>
      <x:c r="P214" s="2" t="str">
        <x:v>예</x:v>
      </x:c>
    </x:row>
    <x:row r="215">
      <x:c r="A215" s="2" t="str">
        <x:v>vg_105</x:v>
      </x:c>
      <x:c r="B215" s="2" t="str">
        <x:v>same_jmdict_entry,same_reading_meaning</x:v>
      </x:c>
      <x:c r="C215" s="2" t="str">
        <x:v>w_bae098e6bbe74e8f</x:v>
      </x:c>
      <x:c r="D215" s="2" t="str">
        <x:v>的確</x:v>
      </x:c>
      <x:c r="E215" s="2" t="str">
        <x:v>てきかく</x:v>
      </x:c>
      <x:c r="F215" s="2" t="str">
        <x:v>아니오</x:v>
      </x:c>
      <x:c r="G215" s="2" t="n">
        <x:v>0</x:v>
      </x:c>
      <x:c r="H215" s="2" t="n">
        <x:v>2</x:v>
      </x:c>
      <x:c r="I215" s="2" t="str">
        <x:v>w_ccebc0afac8fc3a9</x:v>
      </x:c>
      <x:c r="J215" s="2" t="str">
        <x:v>N2</x:v>
      </x:c>
      <x:c r="K215" s="2" t="str">
        <x:v>適確</x:v>
      </x:c>
      <x:c r="L215" s="2" t="str">
        <x:v>てきかく</x:v>
      </x:c>
      <x:c r="M215" s="8" t="str">
        <x:v>정확한</x:v>
      </x:c>
      <x:c r="N215" s="9" t="n">
        <x:v>3.08</x:v>
      </x:c>
      <x:c r="O215" s="2" t="str">
        <x:v>아니오</x:v>
      </x:c>
      <x:c r="P215" s="2" t="str">
        <x:v>아니오</x:v>
      </x:c>
    </x:row>
    <x:row r="216">
      <x:c r="A216" s="2" t="str">
        <x:v>vg_106</x:v>
      </x:c>
      <x:c r="B216" s="2" t="str">
        <x:v>same_jmdict_entry,same_reading_meaning</x:v>
      </x:c>
      <x:c r="C216" s="2" t="str">
        <x:v>w_c1d96f9e53c5c773</x:v>
      </x:c>
      <x:c r="D216" s="2" t="str">
        <x:v>肝心</x:v>
      </x:c>
      <x:c r="E216" s="2" t="str">
        <x:v>かんじん</x:v>
      </x:c>
      <x:c r="F216" s="2" t="str">
        <x:v>아니오</x:v>
      </x:c>
      <x:c r="G216" s="2" t="n">
        <x:v>0</x:v>
      </x:c>
      <x:c r="H216" s="2" t="n">
        <x:v>2</x:v>
      </x:c>
      <x:c r="I216" s="2" t="str">
        <x:v>w_bec36ef217b20be6</x:v>
      </x:c>
      <x:c r="J216" s="2" t="str">
        <x:v>N1</x:v>
      </x:c>
      <x:c r="K216" s="2" t="str">
        <x:v>肝腎</x:v>
      </x:c>
      <x:c r="L216" s="2" t="str">
        <x:v>かんじん</x:v>
      </x:c>
      <x:c r="M216" s="8" t="str">
        <x:v>중요함, 핵심임</x:v>
      </x:c>
      <x:c r="N216" s="9" t="n">
        <x:v>1.53</x:v>
      </x:c>
      <x:c r="O216" s="2" t="str">
        <x:v>아니오</x:v>
      </x:c>
      <x:c r="P216" s="2" t="str">
        <x:v>아니오</x:v>
      </x:c>
    </x:row>
    <x:row r="217">
      <x:c r="A217" s="2" t="str">
        <x:v>vg_106</x:v>
      </x:c>
      <x:c r="B217" s="2" t="str">
        <x:v>same_jmdict_entry,same_reading_meaning</x:v>
      </x:c>
      <x:c r="C217" s="2" t="str">
        <x:v>w_c1d96f9e53c5c773</x:v>
      </x:c>
      <x:c r="D217" s="2" t="str">
        <x:v>肝心</x:v>
      </x:c>
      <x:c r="E217" s="2" t="str">
        <x:v>かんじん</x:v>
      </x:c>
      <x:c r="F217" s="2" t="str">
        <x:v>아니오</x:v>
      </x:c>
      <x:c r="G217" s="2" t="n">
        <x:v>0</x:v>
      </x:c>
      <x:c r="H217" s="2" t="n">
        <x:v>2</x:v>
      </x:c>
      <x:c r="I217" s="2" t="str">
        <x:v>w_c1d96f9e53c5c773</x:v>
      </x:c>
      <x:c r="J217" s="2" t="str">
        <x:v>N1</x:v>
      </x:c>
      <x:c r="K217" s="2" t="str">
        <x:v>肝心</x:v>
      </x:c>
      <x:c r="L217" s="2" t="str">
        <x:v>かんじん</x:v>
      </x:c>
      <x:c r="M217" s="8" t="str">
        <x:v>중요함, 핵심임</x:v>
      </x:c>
      <x:c r="N217" s="9" t="n">
        <x:v>4.05</x:v>
      </x:c>
      <x:c r="O217" s="2" t="str">
        <x:v>아니오</x:v>
      </x:c>
      <x:c r="P217" s="2" t="str">
        <x:v>예</x:v>
      </x:c>
    </x:row>
    <x:row r="218">
      <x:c r="A218" s="2" t="str">
        <x:v>vg_107</x:v>
      </x:c>
      <x:c r="B218" s="2" t="str">
        <x:v>same_jmdict_entry</x:v>
      </x:c>
      <x:c r="C218" s="2" t="str">
        <x:v>w_dc5c65175e51fda2</x:v>
      </x:c>
      <x:c r="D218" s="2" t="str">
        <x:v>出生</x:v>
      </x:c>
      <x:c r="E218" s="2" t="str">
        <x:v>しゅっせい</x:v>
      </x:c>
      <x:c r="F218" s="2" t="str">
        <x:v>아니오</x:v>
      </x:c>
      <x:c r="G218" s="2" t="n">
        <x:v>0</x:v>
      </x:c>
      <x:c r="H218" s="2" t="n">
        <x:v>2</x:v>
      </x:c>
      <x:c r="I218" s="2" t="str">
        <x:v>w_c3f7e5d635243522</x:v>
      </x:c>
      <x:c r="J218" s="2" t="str">
        <x:v>N1</x:v>
      </x:c>
      <x:c r="K218" s="2" t="str">
        <x:v>出生</x:v>
      </x:c>
      <x:c r="L218" s="2" t="str">
        <x:v>しゅっしょう</x:v>
      </x:c>
      <x:c r="M218" s="8" t="str">
        <x:v>출생</x:v>
      </x:c>
      <x:c r="N218" s="9" t="n">
        <x:v>3.83</x:v>
      </x:c>
      <x:c r="O218" s="2" t="str">
        <x:v>아니오</x:v>
      </x:c>
      <x:c r="P218" s="2" t="str">
        <x:v>아니오</x:v>
      </x:c>
    </x:row>
    <x:row r="219">
      <x:c r="A219" s="2" t="str">
        <x:v>vg_107</x:v>
      </x:c>
      <x:c r="B219" s="2" t="str">
        <x:v>same_jmdict_entry</x:v>
      </x:c>
      <x:c r="C219" s="2" t="str">
        <x:v>w_dc5c65175e51fda2</x:v>
      </x:c>
      <x:c r="D219" s="2" t="str">
        <x:v>出生</x:v>
      </x:c>
      <x:c r="E219" s="2" t="str">
        <x:v>しゅっせい</x:v>
      </x:c>
      <x:c r="F219" s="2" t="str">
        <x:v>아니오</x:v>
      </x:c>
      <x:c r="G219" s="2" t="n">
        <x:v>0</x:v>
      </x:c>
      <x:c r="H219" s="2" t="n">
        <x:v>2</x:v>
      </x:c>
      <x:c r="I219" s="2" t="str">
        <x:v>w_dc5c65175e51fda2</x:v>
      </x:c>
      <x:c r="J219" s="2" t="str">
        <x:v>N1</x:v>
      </x:c>
      <x:c r="K219" s="2" t="str">
        <x:v>出生</x:v>
      </x:c>
      <x:c r="L219" s="2" t="str">
        <x:v>しゅっせい</x:v>
      </x:c>
      <x:c r="M219" s="8" t="str">
        <x:v>출생</x:v>
      </x:c>
      <x:c r="N219" s="9" t="n">
        <x:v>3.83</x:v>
      </x:c>
      <x:c r="O219" s="2" t="str">
        <x:v>아니오</x:v>
      </x:c>
      <x:c r="P219" s="2" t="str">
        <x:v>예</x:v>
      </x:c>
    </x:row>
    <x:row r="220">
      <x:c r="A220" s="2" t="str">
        <x:v>vg_108</x:v>
      </x:c>
      <x:c r="B220" s="2" t="str">
        <x:v>same_reading_meaning</x:v>
      </x:c>
      <x:c r="C220" s="2" t="str">
        <x:v>w_c482266ac0be4b91</x:v>
      </x:c>
      <x:c r="D220" s="2" t="str">
        <x:v>掛け算</x:v>
      </x:c>
      <x:c r="E220" s="2" t="str">
        <x:v>かけざん</x:v>
      </x:c>
      <x:c r="F220" s="2" t="str">
        <x:v>아니오</x:v>
      </x:c>
      <x:c r="G220" s="2" t="n">
        <x:v>0</x:v>
      </x:c>
      <x:c r="H220" s="2" t="n">
        <x:v>2</x:v>
      </x:c>
      <x:c r="I220" s="2" t="str">
        <x:v>w_c482266ac0be4b91</x:v>
      </x:c>
      <x:c r="J220" s="2" t="str">
        <x:v>N2</x:v>
      </x:c>
      <x:c r="K220" s="2" t="str">
        <x:v>掛け算</x:v>
      </x:c>
      <x:c r="L220" s="2" t="str">
        <x:v>かけざん</x:v>
      </x:c>
      <x:c r="M220" s="8" t="str">
        <x:v>곱셈</x:v>
      </x:c>
      <x:c r="N220" s="9" t="n">
        <x:v>2.75</x:v>
      </x:c>
      <x:c r="O220" s="2" t="str">
        <x:v>아니오</x:v>
      </x:c>
      <x:c r="P220" s="2" t="str">
        <x:v>예</x:v>
      </x:c>
    </x:row>
    <x:row r="221">
      <x:c r="A221" s="2" t="str">
        <x:v>vg_108</x:v>
      </x:c>
      <x:c r="B221" s="2" t="str">
        <x:v>same_reading_meaning</x:v>
      </x:c>
      <x:c r="C221" s="2" t="str">
        <x:v>w_c482266ac0be4b91</x:v>
      </x:c>
      <x:c r="D221" s="2" t="str">
        <x:v>掛け算</x:v>
      </x:c>
      <x:c r="E221" s="2" t="str">
        <x:v>かけざん</x:v>
      </x:c>
      <x:c r="F221" s="2" t="str">
        <x:v>아니오</x:v>
      </x:c>
      <x:c r="G221" s="2" t="n">
        <x:v>0</x:v>
      </x:c>
      <x:c r="H221" s="2" t="n">
        <x:v>2</x:v>
      </x:c>
      <x:c r="I221" s="2" t="str">
        <x:v>w_de76ea12bc756bce</x:v>
      </x:c>
      <x:c r="J221" s="2" t="str">
        <x:v>N2</x:v>
      </x:c>
      <x:c r="K221" s="2" t="str">
        <x:v>かけざん</x:v>
      </x:c>
      <x:c r="L221" s="2" t="str">
        <x:v>かけざん</x:v>
      </x:c>
      <x:c r="M221" s="8" t="str">
        <x:v>곱셈</x:v>
      </x:c>
      <x:c r="N221" s="9" t="n">
        <x:v>2.75</x:v>
      </x:c>
      <x:c r="O221" s="2" t="str">
        <x:v>아니오</x:v>
      </x:c>
      <x:c r="P221" s="2" t="str">
        <x:v>아니오</x:v>
      </x:c>
    </x:row>
    <x:row r="222">
      <x:c r="A222" s="2" t="str">
        <x:v>vg_109</x:v>
      </x:c>
      <x:c r="B222" s="2" t="str">
        <x:v>same_jmdict_entry</x:v>
      </x:c>
      <x:c r="C222" s="2" t="str">
        <x:v>w_c6659c1fa6c5b3cc</x:v>
      </x:c>
      <x:c r="D222" s="2" t="str">
        <x:v>工場</x:v>
      </x:c>
      <x:c r="E222" s="2" t="str">
        <x:v>こうじょう</x:v>
      </x:c>
      <x:c r="F222" s="2" t="str">
        <x:v>예</x:v>
      </x:c>
      <x:c r="G222" s="2" t="n">
        <x:v>1</x:v>
      </x:c>
      <x:c r="H222" s="2" t="n">
        <x:v>2</x:v>
      </x:c>
      <x:c r="I222" s="2" t="str">
        <x:v>w_c6659c1fa6c5b3cc</x:v>
      </x:c>
      <x:c r="J222" s="2" t="str">
        <x:v>N4</x:v>
      </x:c>
      <x:c r="K222" s="2" t="str">
        <x:v>工場</x:v>
      </x:c>
      <x:c r="L222" s="2" t="str">
        <x:v>こうじょう</x:v>
      </x:c>
      <x:c r="M222" s="8" t="str">
        <x:v>공장</x:v>
      </x:c>
      <x:c r="N222" s="9" t="n">
        <x:v>4.73</x:v>
      </x:c>
      <x:c r="O222" s="2" t="str">
        <x:v>예</x:v>
      </x:c>
      <x:c r="P222" s="2" t="str">
        <x:v>예</x:v>
      </x:c>
    </x:row>
    <x:row r="223">
      <x:c r="A223" s="2" t="str">
        <x:v>vg_109</x:v>
      </x:c>
      <x:c r="B223" s="2" t="str">
        <x:v>same_jmdict_entry</x:v>
      </x:c>
      <x:c r="C223" s="2" t="str">
        <x:v>w_c6659c1fa6c5b3cc</x:v>
      </x:c>
      <x:c r="D223" s="2" t="str">
        <x:v>工場</x:v>
      </x:c>
      <x:c r="E223" s="2" t="str">
        <x:v>こうじょう</x:v>
      </x:c>
      <x:c r="F223" s="2" t="str">
        <x:v>예</x:v>
      </x:c>
      <x:c r="G223" s="2" t="n">
        <x:v>1</x:v>
      </x:c>
      <x:c r="H223" s="2" t="n">
        <x:v>2</x:v>
      </x:c>
      <x:c r="I223" s="2" t="str">
        <x:v>w_e79c8ba878e30a15</x:v>
      </x:c>
      <x:c r="J223" s="2" t="str">
        <x:v>N3</x:v>
      </x:c>
      <x:c r="K223" s="2" t="str">
        <x:v>工場</x:v>
      </x:c>
      <x:c r="L223" s="2" t="str">
        <x:v>こうば</x:v>
      </x:c>
      <x:c r="M223" s="8" t="str">
        <x:v>공장</x:v>
      </x:c>
      <x:c r="N223" s="9" t="n">
        <x:v>4.73</x:v>
      </x:c>
      <x:c r="O223" s="2" t="str">
        <x:v>아니오</x:v>
      </x:c>
      <x:c r="P223" s="2" t="str">
        <x:v>아니오</x:v>
      </x:c>
    </x:row>
    <x:row r="224">
      <x:c r="A224" s="2" t="str">
        <x:v>vg_110</x:v>
      </x:c>
      <x:c r="B224" s="2" t="str">
        <x:v>same_jmdict_entry</x:v>
      </x:c>
      <x:c r="C224" s="2" t="str">
        <x:v>w_c754546c7b68fe8e</x:v>
      </x:c>
      <x:c r="D224" s="2" t="str">
        <x:v>率直</x:v>
      </x:c>
      <x:c r="E224" s="2" t="str">
        <x:v>そっちょく</x:v>
      </x:c>
      <x:c r="F224" s="2" t="str">
        <x:v>아니오</x:v>
      </x:c>
      <x:c r="G224" s="2" t="n">
        <x:v>0</x:v>
      </x:c>
      <x:c r="H224" s="2" t="n">
        <x:v>2</x:v>
      </x:c>
      <x:c r="I224" s="2" t="str">
        <x:v>w_c754546c7b68fe8e</x:v>
      </x:c>
      <x:c r="J224" s="2" t="str">
        <x:v>N2</x:v>
      </x:c>
      <x:c r="K224" s="2" t="str">
        <x:v>率直</x:v>
      </x:c>
      <x:c r="L224" s="2" t="str">
        <x:v>そっちょく</x:v>
      </x:c>
      <x:c r="M224" s="8" t="str">
        <x:v>솔직함</x:v>
      </x:c>
      <x:c r="N224" s="9" t="n">
        <x:v>3.64</x:v>
      </x:c>
      <x:c r="O224" s="2" t="str">
        <x:v>아니오</x:v>
      </x:c>
      <x:c r="P224" s="2" t="str">
        <x:v>예</x:v>
      </x:c>
    </x:row>
    <x:row r="225">
      <x:c r="A225" s="2" t="str">
        <x:v>vg_110</x:v>
      </x:c>
      <x:c r="B225" s="2" t="str">
        <x:v>same_jmdict_entry</x:v>
      </x:c>
      <x:c r="C225" s="2" t="str">
        <x:v>w_c754546c7b68fe8e</x:v>
      </x:c>
      <x:c r="D225" s="2" t="str">
        <x:v>率直</x:v>
      </x:c>
      <x:c r="E225" s="2" t="str">
        <x:v>そっちょく</x:v>
      </x:c>
      <x:c r="F225" s="2" t="str">
        <x:v>아니오</x:v>
      </x:c>
      <x:c r="G225" s="2" t="n">
        <x:v>0</x:v>
      </x:c>
      <x:c r="H225" s="2" t="n">
        <x:v>2</x:v>
      </x:c>
      <x:c r="I225" s="2" t="str">
        <x:v>w_d38bcdd07657b230</x:v>
      </x:c>
      <x:c r="J225" s="2" t="str">
        <x:v>N2</x:v>
      </x:c>
      <x:c r="K225" s="2" t="str">
        <x:v>卒直</x:v>
      </x:c>
      <x:c r="L225" s="2" t="str">
        <x:v>そっちょく</x:v>
      </x:c>
      <x:c r="M225" s="8" t="str">
        <x:v>솔직함, 솔직한</x:v>
      </x:c>
      <x:c r="N225" s="9" t="n">
        <x:v>4.04</x:v>
      </x:c>
      <x:c r="O225" s="2" t="str">
        <x:v>아니오</x:v>
      </x:c>
      <x:c r="P225" s="2" t="str">
        <x:v>아니오</x:v>
      </x:c>
    </x:row>
    <x:row r="226">
      <x:c r="A226" s="2" t="str">
        <x:v>vg_111</x:v>
      </x:c>
      <x:c r="B226" s="2" t="str">
        <x:v>same_jmdict_entry</x:v>
      </x:c>
      <x:c r="C226" s="2" t="str">
        <x:v>w_d4c49a2343b8feb2</x:v>
      </x:c>
      <x:c r="D226" s="2" t="str">
        <x:v>越す</x:v>
      </x:c>
      <x:c r="E226" s="2" t="str">
        <x:v>こす</x:v>
      </x:c>
      <x:c r="F226" s="2" t="str">
        <x:v>아니오</x:v>
      </x:c>
      <x:c r="G226" s="2" t="n">
        <x:v>0</x:v>
      </x:c>
      <x:c r="H226" s="2" t="n">
        <x:v>2</x:v>
      </x:c>
      <x:c r="I226" s="2" t="str">
        <x:v>w_d4c49a2343b8feb2</x:v>
      </x:c>
      <x:c r="J226" s="2" t="str">
        <x:v>N3</x:v>
      </x:c>
      <x:c r="K226" s="2" t="str">
        <x:v>越す</x:v>
      </x:c>
      <x:c r="L226" s="2" t="str">
        <x:v>こす</x:v>
      </x:c>
      <x:c r="M226" s="8" t="str">
        <x:v>넘다, 건너다</x:v>
      </x:c>
      <x:c r="N226" s="9" t="n">
        <x:v>2.96</x:v>
      </x:c>
      <x:c r="O226" s="2" t="str">
        <x:v>아니오</x:v>
      </x:c>
      <x:c r="P226" s="2" t="str">
        <x:v>예</x:v>
      </x:c>
    </x:row>
    <x:row r="227">
      <x:c r="A227" s="2" t="str">
        <x:v>vg_111</x:v>
      </x:c>
      <x:c r="B227" s="2" t="str">
        <x:v>same_jmdict_entry</x:v>
      </x:c>
      <x:c r="C227" s="2" t="str">
        <x:v>w_d4c49a2343b8feb2</x:v>
      </x:c>
      <x:c r="D227" s="2" t="str">
        <x:v>越す</x:v>
      </x:c>
      <x:c r="E227" s="2" t="str">
        <x:v>こす</x:v>
      </x:c>
      <x:c r="F227" s="2" t="str">
        <x:v>아니오</x:v>
      </x:c>
      <x:c r="G227" s="2" t="n">
        <x:v>0</x:v>
      </x:c>
      <x:c r="H227" s="2" t="n">
        <x:v>2</x:v>
      </x:c>
      <x:c r="I227" s="2" t="str">
        <x:v>w_f7ccae9d8e37b9be</x:v>
      </x:c>
      <x:c r="J227" s="2" t="str">
        <x:v>N3</x:v>
      </x:c>
      <x:c r="K227" s="2" t="str">
        <x:v>超す</x:v>
      </x:c>
      <x:c r="L227" s="2" t="str">
        <x:v>こす</x:v>
      </x:c>
      <x:c r="M227" s="8" t="str">
        <x:v>넘다, 넘어서다</x:v>
      </x:c>
      <x:c r="N227" s="9" t="n">
        <x:v>2.93</x:v>
      </x:c>
      <x:c r="O227" s="2" t="str">
        <x:v>아니오</x:v>
      </x:c>
      <x:c r="P227" s="2" t="str">
        <x:v>아니오</x:v>
      </x:c>
    </x:row>
    <x:row r="228">
      <x:c r="A228" s="2" t="str">
        <x:v>vg_112</x:v>
      </x:c>
      <x:c r="B228" s="2" t="str">
        <x:v>same_jmdict_entry</x:v>
      </x:c>
      <x:c r="C228" s="2" t="str">
        <x:v>w_fbd76b713b13039a</x:v>
      </x:c>
      <x:c r="D228" s="2" t="str">
        <x:v>湿気</x:v>
      </x:c>
      <x:c r="E228" s="2" t="str">
        <x:v>しっき</x:v>
      </x:c>
      <x:c r="F228" s="2" t="str">
        <x:v>아니오</x:v>
      </x:c>
      <x:c r="G228" s="2" t="n">
        <x:v>0</x:v>
      </x:c>
      <x:c r="H228" s="2" t="n">
        <x:v>2</x:v>
      </x:c>
      <x:c r="I228" s="2" t="str">
        <x:v>w_d563b8ed71bad118</x:v>
      </x:c>
      <x:c r="J228" s="2" t="str">
        <x:v>N3</x:v>
      </x:c>
      <x:c r="K228" s="2" t="str">
        <x:v>湿気</x:v>
      </x:c>
      <x:c r="L228" s="2" t="str">
        <x:v>しっけ</x:v>
      </x:c>
      <x:c r="M228" s="8" t="str">
        <x:v>수분, 습도, 습기</x:v>
      </x:c>
      <x:c r="N228" s="9" t="n">
        <x:v>3.49</x:v>
      </x:c>
      <x:c r="O228" s="2" t="str">
        <x:v>아니오</x:v>
      </x:c>
      <x:c r="P228" s="2" t="str">
        <x:v>아니오</x:v>
      </x:c>
    </x:row>
    <x:row r="229">
      <x:c r="A229" s="2" t="str">
        <x:v>vg_112</x:v>
      </x:c>
      <x:c r="B229" s="2" t="str">
        <x:v>same_jmdict_entry</x:v>
      </x:c>
      <x:c r="C229" s="2" t="str">
        <x:v>w_fbd76b713b13039a</x:v>
      </x:c>
      <x:c r="D229" s="2" t="str">
        <x:v>湿気</x:v>
      </x:c>
      <x:c r="E229" s="2" t="str">
        <x:v>しっき</x:v>
      </x:c>
      <x:c r="F229" s="2" t="str">
        <x:v>아니오</x:v>
      </x:c>
      <x:c r="G229" s="2" t="n">
        <x:v>0</x:v>
      </x:c>
      <x:c r="H229" s="2" t="n">
        <x:v>2</x:v>
      </x:c>
      <x:c r="I229" s="2" t="str">
        <x:v>w_fbd76b713b13039a</x:v>
      </x:c>
      <x:c r="J229" s="2" t="str">
        <x:v>N2</x:v>
      </x:c>
      <x:c r="K229" s="2" t="str">
        <x:v>湿気</x:v>
      </x:c>
      <x:c r="L229" s="2" t="str">
        <x:v>しっき</x:v>
      </x:c>
      <x:c r="M229" s="8" t="str">
        <x:v>수분, 습도, 습기</x:v>
      </x:c>
      <x:c r="N229" s="9" t="n">
        <x:v>3.49</x:v>
      </x:c>
      <x:c r="O229" s="2" t="str">
        <x:v>아니오</x:v>
      </x:c>
      <x:c r="P229" s="2" t="str">
        <x:v>예</x:v>
      </x:c>
    </x:row>
    <x:row r="230">
      <x:c r="A230" s="2" t="str">
        <x:v>vg_113</x:v>
      </x:c>
      <x:c r="B230" s="2" t="str">
        <x:v>same_jmdict_entry</x:v>
      </x:c>
      <x:c r="C230" s="2" t="str">
        <x:v>w_fb0af263d0cf8d1e</x:v>
      </x:c>
      <x:c r="D230" s="2" t="str">
        <x:v>会う</x:v>
      </x:c>
      <x:c r="E230" s="2" t="str">
        <x:v>あう</x:v>
      </x:c>
      <x:c r="F230" s="2" t="str">
        <x:v>예</x:v>
      </x:c>
      <x:c r="G230" s="2" t="n">
        <x:v>1</x:v>
      </x:c>
      <x:c r="H230" s="2" t="n">
        <x:v>2</x:v>
      </x:c>
      <x:c r="I230" s="2" t="str">
        <x:v>w_d728d1f32a31b6f6</x:v>
      </x:c>
      <x:c r="J230" s="2" t="str">
        <x:v>N3</x:v>
      </x:c>
      <x:c r="K230" s="2" t="str">
        <x:v>遭う</x:v>
      </x:c>
      <x:c r="L230" s="2" t="str">
        <x:v>あう</x:v>
      </x:c>
      <x:c r="M230" s="8" t="str">
        <x:v>마주치다, 당하다</x:v>
      </x:c>
      <x:c r="N230" s="9" t="n">
        <x:v>3.56</x:v>
      </x:c>
      <x:c r="O230" s="2" t="str">
        <x:v>아니오</x:v>
      </x:c>
      <x:c r="P230" s="2" t="str">
        <x:v>아니오</x:v>
      </x:c>
    </x:row>
    <x:row r="231">
      <x:c r="A231" s="2" t="str">
        <x:v>vg_113</x:v>
      </x:c>
      <x:c r="B231" s="2" t="str">
        <x:v>same_jmdict_entry</x:v>
      </x:c>
      <x:c r="C231" s="2" t="str">
        <x:v>w_fb0af263d0cf8d1e</x:v>
      </x:c>
      <x:c r="D231" s="2" t="str">
        <x:v>会う</x:v>
      </x:c>
      <x:c r="E231" s="2" t="str">
        <x:v>あう</x:v>
      </x:c>
      <x:c r="F231" s="2" t="str">
        <x:v>예</x:v>
      </x:c>
      <x:c r="G231" s="2" t="n">
        <x:v>1</x:v>
      </x:c>
      <x:c r="H231" s="2" t="n">
        <x:v>2</x:v>
      </x:c>
      <x:c r="I231" s="2" t="str">
        <x:v>w_fb0af263d0cf8d1e</x:v>
      </x:c>
      <x:c r="J231" s="2" t="str">
        <x:v>N5</x:v>
      </x:c>
      <x:c r="K231" s="2" t="str">
        <x:v>会う</x:v>
      </x:c>
      <x:c r="L231" s="2" t="str">
        <x:v>あう</x:v>
      </x:c>
      <x:c r="M231" s="8" t="str">
        <x:v>만나다</x:v>
      </x:c>
      <x:c r="N231" s="9" t="n">
        <x:v>4.56</x:v>
      </x:c>
      <x:c r="O231" s="2" t="str">
        <x:v>예</x:v>
      </x:c>
      <x:c r="P231" s="2" t="str">
        <x:v>예</x:v>
      </x:c>
    </x:row>
    <x:row r="232">
      <x:c r="A232" s="2" t="str">
        <x:v>vg_114</x:v>
      </x:c>
      <x:c r="B232" s="2" t="str">
        <x:v>same_jmdict_entry</x:v>
      </x:c>
      <x:c r="C232" s="2" t="str">
        <x:v>w_df7a287483888d5b</x:v>
      </x:c>
      <x:c r="D232" s="2" t="str">
        <x:v>表す</x:v>
      </x:c>
      <x:c r="E232" s="2" t="str">
        <x:v>あらわす</x:v>
      </x:c>
      <x:c r="F232" s="2" t="str">
        <x:v>예</x:v>
      </x:c>
      <x:c r="G232" s="2" t="n">
        <x:v>1</x:v>
      </x:c>
      <x:c r="H232" s="2" t="n">
        <x:v>2</x:v>
      </x:c>
      <x:c r="I232" s="2" t="str">
        <x:v>w_df7a287483888d5b</x:v>
      </x:c>
      <x:c r="J232" s="2" t="str">
        <x:v>N3</x:v>
      </x:c>
      <x:c r="K232" s="2" t="str">
        <x:v>表す</x:v>
      </x:c>
      <x:c r="L232" s="2" t="str">
        <x:v>あらわす</x:v>
      </x:c>
      <x:c r="M232" s="8" t="str">
        <x:v>표현하다, 보여주다</x:v>
      </x:c>
      <x:c r="N232" s="9" t="n">
        <x:v>4.09</x:v>
      </x:c>
      <x:c r="O232" s="2" t="str">
        <x:v>예</x:v>
      </x:c>
      <x:c r="P232" s="2" t="str">
        <x:v>예</x:v>
      </x:c>
    </x:row>
    <x:row r="233">
      <x:c r="A233" s="2" t="str">
        <x:v>vg_114</x:v>
      </x:c>
      <x:c r="B233" s="2" t="str">
        <x:v>same_jmdict_entry</x:v>
      </x:c>
      <x:c r="C233" s="2" t="str">
        <x:v>w_df7a287483888d5b</x:v>
      </x:c>
      <x:c r="D233" s="2" t="str">
        <x:v>表す</x:v>
      </x:c>
      <x:c r="E233" s="2" t="str">
        <x:v>あらわす</x:v>
      </x:c>
      <x:c r="F233" s="2" t="str">
        <x:v>예</x:v>
      </x:c>
      <x:c r="G233" s="2" t="n">
        <x:v>1</x:v>
      </x:c>
      <x:c r="H233" s="2" t="n">
        <x:v>2</x:v>
      </x:c>
      <x:c r="I233" s="2" t="str">
        <x:v>w_f372d394a0a4c4e1</x:v>
      </x:c>
      <x:c r="J233" s="2" t="str">
        <x:v>N3</x:v>
      </x:c>
      <x:c r="K233" s="2" t="str">
        <x:v>現す</x:v>
      </x:c>
      <x:c r="L233" s="2" t="str">
        <x:v>あらわす</x:v>
      </x:c>
      <x:c r="M233" s="8" t="str">
        <x:v>보여주다, 나타나다, 드러내다</x:v>
      </x:c>
      <x:c r="N233" s="9" t="n">
        <x:v>3.33</x:v>
      </x:c>
      <x:c r="O233" s="2" t="str">
        <x:v>아니오</x:v>
      </x:c>
      <x:c r="P233" s="2" t="str">
        <x:v>아니오</x:v>
      </x:c>
    </x:row>
  </x:sheetData>
  <x:pageMargins left="0.7" right="0.7" top="0.75" bottom="0.75" header="0.3" footer="0.3"/>
  <x:tableParts count="1">
    <x:tablePart xmlns:r="http://schemas.openxmlformats.org/officeDocument/2006/relationships" r:id="R320266ab7f634e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13" hidden="0" customWidth="1"/>
    <x:col min="4" max="4" width="15" hidden="0" customWidth="1"/>
    <x:col min="5" max="5" width="11" hidden="0" customWidth="1"/>
    <x:col min="6" max="6" width="13" hidden="0" customWidth="1"/>
    <x:col min="7" max="7" width="11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</x:cols>
  <x:sheetData>
    <x:row r="1" ht="32" customHeight="1">
      <x:c r="A1" s="7" t="str">
        <x:v>단어ID</x:v>
      </x:c>
      <x:c r="B1" s="7" t="str">
        <x:v>변형</x:v>
      </x:c>
      <x:c r="C1" s="7" t="str">
        <x:v>JMdict표기</x:v>
      </x:c>
      <x:c r="D1" s="7" t="str">
        <x:v>JMdict불일치</x:v>
      </x:c>
      <x:c r="E1" s="7" t="str">
        <x:v>빈도</x:v>
      </x:c>
      <x:c r="F1" s="7" t="str">
        <x:v>우선태그</x:v>
      </x:c>
      <x:c r="G1" s="7" t="str">
        <x:v>예문</x:v>
      </x:c>
      <x:c r="H1" s="7" t="str">
        <x:v>freq-core</x:v>
      </x:c>
      <x:c r="I1" s="7" t="str">
        <x:v>기존콘텐츠</x:v>
      </x:c>
      <x:c r="J1" s="7" t="str">
        <x:v>뜻감사</x:v>
      </x:c>
      <x:c r="K1" s="7" t="str">
        <x:v>수식점수</x:v>
      </x:c>
      <x:c r="L1" s="7" t="str">
        <x:v>분석점수</x:v>
      </x:c>
      <x:c r="M1" s="7" t="str">
        <x:v>검증</x:v>
      </x:c>
    </x:row>
    <x:row r="2">
      <x:c r="A2" s="2" t="str">
        <x:f>'제외 후보'!G2</x:f>
        <x:v>w_9a60d1f52c950ad3</x:v>
      </x:c>
      <x:c r="B2" s="11" t="n">
        <x:f>IF('제외 후보'!Q2&lt;&gt;"",'선정 규칙'!$B$4,0)</x:f>
        <x:v>60</x:v>
      </x:c>
      <x:c r="C2" s="11" t="n">
        <x:f>IF(ISNUMBER(SEARCH("jmdict_uncommon_or_irregular",'제외 후보'!P2)),'선정 규칙'!$B$5,IF(ISNUMBER(SEARCH("jmdict_rare_or_dated",'제외 후보'!P2)),'선정 규칙'!$B$6,0))</x:f>
        <x:v>50</x:v>
      </x:c>
      <x:c r="D2" s="11" t="n">
        <x:f>IF(ISNUMBER(SEARCH("jmdict_exact_pair_not_found",'제외 후보'!P2)),'선정 규칙'!$B$7,0)</x:f>
        <x:v>0</x:v>
      </x:c>
      <x:c r="E2" s="11" t="n">
        <x:f>IF(OR('제외 후보'!L2="",'제외 후보'!L2&lt;=0),'선정 규칙'!$B$8,IF('제외 후보'!L2&lt;=1.5,'선정 규칙'!$B$9,IF('제외 후보'!L2&lt;=2,'선정 규칙'!$B$10,IF('제외 후보'!L2&lt;=2.5,'선정 규칙'!$B$11,IF('제외 후보'!L2&lt;=3,'선정 규칙'!$B$12,IF('제외 후보'!L2&lt;=3.5,'선정 규칙'!$B$13,IF('제외 후보'!L2&gt;=4.5,'선정 규칙'!$B$14,0)))))))</x:f>
        <x:v>0</x:v>
      </x:c>
      <x:c r="F2" s="11" t="n">
        <x:f>IF('제외 후보'!Y2=0,'선정 규칙'!$B$15,IF('제외 후보'!Y2&gt;=100,'선정 규칙'!$B$16,'선정 규칙'!$B$17))</x:f>
        <x:v>12</x:v>
      </x:c>
      <x:c r="G2" s="11" t="n">
        <x:f>IF('제외 후보'!M2="있음",'선정 규칙'!$B$18,'선정 규칙'!$B$19)</x:f>
        <x:v>6</x:v>
      </x:c>
      <x:c r="H2" s="11" t="n">
        <x:f>IF(ISNUMBER(SEARCH("freq-core",'제외 후보'!AD2)),'선정 규칙'!$B$20,0)</x:f>
        <x:v>0</x:v>
      </x:c>
      <x:c r="I2" s="11" t="n">
        <x:f>IF(ISNUMBER(SEARCH("weak_legacy_content",'제외 후보'!P2)),'선정 규칙'!$B$21,0)</x:f>
        <x:v>5</x:v>
      </x:c>
      <x:c r="J2" s="11" t="n">
        <x:f>IF('제외 후보'!AC2&lt;&gt;"",'선정 규칙'!$B$22,0)</x:f>
        <x:v>0</x:v>
      </x:c>
      <x:c r="K2" s="11" t="n">
        <x:f>SUM(B2:J2)</x:f>
        <x:v>133</x:v>
      </x:c>
      <x:c r="L2" s="11" t="n">
        <x:f>'제외 후보'!N2</x:f>
        <x:v>133</x:v>
      </x:c>
      <x:c r="M2" s="2" t="str">
        <x:f>IF(K2=L2,"OK","MISMATCH")</x:f>
        <x:v>OK</x:v>
      </x:c>
    </x:row>
    <x:row r="3">
      <x:c r="A3" s="2" t="str">
        <x:f>'제외 후보'!G3</x:f>
        <x:v>w_7b003e655b3eac1a</x:v>
      </x:c>
      <x:c r="B3" s="11" t="n">
        <x:f>IF('제외 후보'!Q3&lt;&gt;"",'선정 규칙'!$B$4,0)</x:f>
        <x:v>60</x:v>
      </x:c>
      <x:c r="C3" s="11" t="n">
        <x:f>IF(ISNUMBER(SEARCH("jmdict_uncommon_or_irregular",'제외 후보'!P3)),'선정 규칙'!$B$5,IF(ISNUMBER(SEARCH("jmdict_rare_or_dated",'제외 후보'!P3)),'선정 규칙'!$B$6,0))</x:f>
        <x:v>50</x:v>
      </x:c>
      <x:c r="D3" s="11" t="n">
        <x:f>IF(ISNUMBER(SEARCH("jmdict_exact_pair_not_found",'제외 후보'!P3)),'선정 규칙'!$B$7,0)</x:f>
        <x:v>0</x:v>
      </x:c>
      <x:c r="E3" s="11" t="n">
        <x:f>IF(OR('제외 후보'!L3="",'제외 후보'!L3&lt;=0),'선정 규칙'!$B$8,IF('제외 후보'!L3&lt;=1.5,'선정 규칙'!$B$9,IF('제외 후보'!L3&lt;=2,'선정 규칙'!$B$10,IF('제외 후보'!L3&lt;=2.5,'선정 규칙'!$B$11,IF('제외 후보'!L3&lt;=3,'선정 규칙'!$B$12,IF('제외 후보'!L3&lt;=3.5,'선정 규칙'!$B$13,IF('제외 후보'!L3&gt;=4.5,'선정 규칙'!$B$14,0)))))))</x:f>
        <x:v>32</x:v>
      </x:c>
      <x:c r="F3" s="11" t="n">
        <x:f>IF('제외 후보'!Y3=0,'선정 규칙'!$B$15,IF('제외 후보'!Y3&gt;=100,'선정 규칙'!$B$16,'선정 규칙'!$B$17))</x:f>
        <x:v>-25</x:v>
      </x:c>
      <x:c r="G3" s="11" t="n">
        <x:f>IF('제외 후보'!M3="있음",'선정 규칙'!$B$18,'선정 규칙'!$B$19)</x:f>
        <x:v>6</x:v>
      </x:c>
      <x:c r="H3" s="11" t="n">
        <x:f>IF(ISNUMBER(SEARCH("freq-core",'제외 후보'!AD3)),'선정 규칙'!$B$20,0)</x:f>
        <x:v>0</x:v>
      </x:c>
      <x:c r="I3" s="11" t="n">
        <x:f>IF(ISNUMBER(SEARCH("weak_legacy_content",'제외 후보'!P3)),'선정 규칙'!$B$21,0)</x:f>
        <x:v>5</x:v>
      </x:c>
      <x:c r="J3" s="11" t="n">
        <x:f>IF('제외 후보'!AC3&lt;&gt;"",'선정 규칙'!$B$22,0)</x:f>
        <x:v>0</x:v>
      </x:c>
      <x:c r="K3" s="11" t="n">
        <x:f>SUM(B3:J3)</x:f>
        <x:v>128</x:v>
      </x:c>
      <x:c r="L3" s="11" t="n">
        <x:f>'제외 후보'!N3</x:f>
        <x:v>128</x:v>
      </x:c>
      <x:c r="M3" s="2" t="str">
        <x:f>IF(K3=L3,"OK","MISMATCH")</x:f>
        <x:v>OK</x:v>
      </x:c>
    </x:row>
    <x:row r="4">
      <x:c r="A4" s="2" t="str">
        <x:f>'제외 후보'!G4</x:f>
        <x:v>w_1ddadf8a748f9f4b</x:v>
      </x:c>
      <x:c r="B4" s="11" t="n">
        <x:f>IF('제외 후보'!Q4&lt;&gt;"",'선정 규칙'!$B$4,0)</x:f>
        <x:v>60</x:v>
      </x:c>
      <x:c r="C4" s="11" t="n">
        <x:f>IF(ISNUMBER(SEARCH("jmdict_uncommon_or_irregular",'제외 후보'!P4)),'선정 규칙'!$B$5,IF(ISNUMBER(SEARCH("jmdict_rare_or_dated",'제외 후보'!P4)),'선정 규칙'!$B$6,0))</x:f>
        <x:v>0</x:v>
      </x:c>
      <x:c r="D4" s="11" t="n">
        <x:f>IF(ISNUMBER(SEARCH("jmdict_exact_pair_not_found",'제외 후보'!P4)),'선정 규칙'!$B$7,0)</x:f>
        <x:v>0</x:v>
      </x:c>
      <x:c r="E4" s="11" t="n">
        <x:f>IF(OR('제외 후보'!L4="",'제외 후보'!L4&lt;=0),'선정 규칙'!$B$8,IF('제외 후보'!L4&lt;=1.5,'선정 규칙'!$B$9,IF('제외 후보'!L4&lt;=2,'선정 규칙'!$B$10,IF('제외 후보'!L4&lt;=2.5,'선정 규칙'!$B$11,IF('제외 후보'!L4&lt;=3,'선정 규칙'!$B$12,IF('제외 후보'!L4&lt;=3.5,'선정 규칙'!$B$13,IF('제외 후보'!L4&gt;=4.5,'선정 규칙'!$B$14,0)))))))</x:f>
        <x:v>40</x:v>
      </x:c>
      <x:c r="F4" s="11" t="n">
        <x:f>IF('제외 후보'!Y4=0,'선정 규칙'!$B$15,IF('제외 후보'!Y4&gt;=100,'선정 규칙'!$B$16,'선정 규칙'!$B$17))</x:f>
        <x:v>12</x:v>
      </x:c>
      <x:c r="G4" s="11" t="n">
        <x:f>IF('제외 후보'!M4="있음",'선정 규칙'!$B$18,'선정 규칙'!$B$19)</x:f>
        <x:v>6</x:v>
      </x:c>
      <x:c r="H4" s="11" t="n">
        <x:f>IF(ISNUMBER(SEARCH("freq-core",'제외 후보'!AD4)),'선정 규칙'!$B$20,0)</x:f>
        <x:v>0</x:v>
      </x:c>
      <x:c r="I4" s="11" t="n">
        <x:f>IF(ISNUMBER(SEARCH("weak_legacy_content",'제외 후보'!P4)),'선정 규칙'!$B$21,0)</x:f>
        <x:v>5</x:v>
      </x:c>
      <x:c r="J4" s="11" t="n">
        <x:f>IF('제외 후보'!AC4&lt;&gt;"",'선정 규칙'!$B$22,0)</x:f>
        <x:v>0</x:v>
      </x:c>
      <x:c r="K4" s="11" t="n">
        <x:f>SUM(B4:J4)</x:f>
        <x:v>123</x:v>
      </x:c>
      <x:c r="L4" s="11" t="n">
        <x:f>'제외 후보'!N4</x:f>
        <x:v>123</x:v>
      </x:c>
      <x:c r="M4" s="2" t="str">
        <x:f>IF(K4=L4,"OK","MISMATCH")</x:f>
        <x:v>OK</x:v>
      </x:c>
    </x:row>
    <x:row r="5">
      <x:c r="A5" s="2" t="str">
        <x:f>'제외 후보'!G5</x:f>
        <x:v>w_bec36ef217b20be6</x:v>
      </x:c>
      <x:c r="B5" s="11" t="n">
        <x:f>IF('제외 후보'!Q5&lt;&gt;"",'선정 규칙'!$B$4,0)</x:f>
        <x:v>60</x:v>
      </x:c>
      <x:c r="C5" s="11" t="n">
        <x:f>IF(ISNUMBER(SEARCH("jmdict_uncommon_or_irregular",'제외 후보'!P5)),'선정 규칙'!$B$5,IF(ISNUMBER(SEARCH("jmdict_rare_or_dated",'제외 후보'!P5)),'선정 규칙'!$B$6,0))</x:f>
        <x:v>50</x:v>
      </x:c>
      <x:c r="D5" s="11" t="n">
        <x:f>IF(ISNUMBER(SEARCH("jmdict_exact_pair_not_found",'제외 후보'!P5)),'선정 규칙'!$B$7,0)</x:f>
        <x:v>0</x:v>
      </x:c>
      <x:c r="E5" s="11" t="n">
        <x:f>IF(OR('제외 후보'!L5="",'제외 후보'!L5&lt;=0),'선정 규칙'!$B$8,IF('제외 후보'!L5&lt;=1.5,'선정 규칙'!$B$9,IF('제외 후보'!L5&lt;=2,'선정 규칙'!$B$10,IF('제외 후보'!L5&lt;=2.5,'선정 규칙'!$B$11,IF('제외 후보'!L5&lt;=3,'선정 규칙'!$B$12,IF('제외 후보'!L5&lt;=3.5,'선정 규칙'!$B$13,IF('제외 후보'!L5&gt;=4.5,'선정 규칙'!$B$14,0)))))))</x:f>
        <x:v>26</x:v>
      </x:c>
      <x:c r="F5" s="11" t="n">
        <x:f>IF('제외 후보'!Y5=0,'선정 규칙'!$B$15,IF('제외 후보'!Y5&gt;=100,'선정 규칙'!$B$16,'선정 규칙'!$B$17))</x:f>
        <x:v>-25</x:v>
      </x:c>
      <x:c r="G5" s="11" t="n">
        <x:f>IF('제외 후보'!M5="있음",'선정 규칙'!$B$18,'선정 규칙'!$B$19)</x:f>
        <x:v>6</x:v>
      </x:c>
      <x:c r="H5" s="11" t="n">
        <x:f>IF(ISNUMBER(SEARCH("freq-core",'제외 후보'!AD5)),'선정 규칙'!$B$20,0)</x:f>
        <x:v>0</x:v>
      </x:c>
      <x:c r="I5" s="11" t="n">
        <x:f>IF(ISNUMBER(SEARCH("weak_legacy_content",'제외 후보'!P5)),'선정 규칙'!$B$21,0)</x:f>
        <x:v>5</x:v>
      </x:c>
      <x:c r="J5" s="11" t="n">
        <x:f>IF('제외 후보'!AC5&lt;&gt;"",'선정 규칙'!$B$22,0)</x:f>
        <x:v>0</x:v>
      </x:c>
      <x:c r="K5" s="11" t="n">
        <x:f>SUM(B5:J5)</x:f>
        <x:v>122</x:v>
      </x:c>
      <x:c r="L5" s="11" t="n">
        <x:f>'제외 후보'!N5</x:f>
        <x:v>122</x:v>
      </x:c>
      <x:c r="M5" s="2" t="str">
        <x:f>IF(K5=L5,"OK","MISMATCH")</x:f>
        <x:v>OK</x:v>
      </x:c>
    </x:row>
    <x:row r="6">
      <x:c r="A6" s="2" t="str">
        <x:f>'제외 후보'!G6</x:f>
        <x:v>w_d15b110e14f8ad30</x:v>
      </x:c>
      <x:c r="B6" s="11" t="n">
        <x:f>IF('제외 후보'!Q6&lt;&gt;"",'선정 규칙'!$B$4,0)</x:f>
        <x:v>60</x:v>
      </x:c>
      <x:c r="C6" s="11" t="n">
        <x:f>IF(ISNUMBER(SEARCH("jmdict_uncommon_or_irregular",'제외 후보'!P6)),'선정 규칙'!$B$5,IF(ISNUMBER(SEARCH("jmdict_rare_or_dated",'제외 후보'!P6)),'선정 규칙'!$B$6,0))</x:f>
        <x:v>50</x:v>
      </x:c>
      <x:c r="D6" s="11" t="n">
        <x:f>IF(ISNUMBER(SEARCH("jmdict_exact_pair_not_found",'제외 후보'!P6)),'선정 규칙'!$B$7,0)</x:f>
        <x:v>0</x:v>
      </x:c>
      <x:c r="E6" s="11" t="n">
        <x:f>IF(OR('제외 후보'!L6="",'제외 후보'!L6&lt;=0),'선정 규칙'!$B$8,IF('제외 후보'!L6&lt;=1.5,'선정 규칙'!$B$9,IF('제외 후보'!L6&lt;=2,'선정 규칙'!$B$10,IF('제외 후보'!L6&lt;=2.5,'선정 규칙'!$B$11,IF('제외 후보'!L6&lt;=3,'선정 규칙'!$B$12,IF('제외 후보'!L6&lt;=3.5,'선정 규칙'!$B$13,IF('제외 후보'!L6&gt;=4.5,'선정 규칙'!$B$14,0)))))))</x:f>
        <x:v>26</x:v>
      </x:c>
      <x:c r="F6" s="11" t="n">
        <x:f>IF('제외 후보'!Y6=0,'선정 규칙'!$B$15,IF('제외 후보'!Y6&gt;=100,'선정 규칙'!$B$16,'선정 규칙'!$B$17))</x:f>
        <x:v>-25</x:v>
      </x:c>
      <x:c r="G6" s="11" t="n">
        <x:f>IF('제외 후보'!M6="있음",'선정 규칙'!$B$18,'선정 규칙'!$B$19)</x:f>
        <x:v>6</x:v>
      </x:c>
      <x:c r="H6" s="11" t="n">
        <x:f>IF(ISNUMBER(SEARCH("freq-core",'제외 후보'!AD6)),'선정 규칙'!$B$20,0)</x:f>
        <x:v>0</x:v>
      </x:c>
      <x:c r="I6" s="11" t="n">
        <x:f>IF(ISNUMBER(SEARCH("weak_legacy_content",'제외 후보'!P6)),'선정 규칙'!$B$21,0)</x:f>
        <x:v>5</x:v>
      </x:c>
      <x:c r="J6" s="11" t="n">
        <x:f>IF('제외 후보'!AC6&lt;&gt;"",'선정 규칙'!$B$22,0)</x:f>
        <x:v>0</x:v>
      </x:c>
      <x:c r="K6" s="11" t="n">
        <x:f>SUM(B6:J6)</x:f>
        <x:v>122</x:v>
      </x:c>
      <x:c r="L6" s="11" t="n">
        <x:f>'제외 후보'!N6</x:f>
        <x:v>122</x:v>
      </x:c>
      <x:c r="M6" s="2" t="str">
        <x:f>IF(K6=L6,"OK","MISMATCH")</x:f>
        <x:v>OK</x:v>
      </x:c>
    </x:row>
    <x:row r="7">
      <x:c r="A7" s="2" t="str">
        <x:f>'제외 후보'!G7</x:f>
        <x:v>w_974ee5fbfe542c3a</x:v>
      </x:c>
      <x:c r="B7" s="11" t="n">
        <x:f>IF('제외 후보'!Q7&lt;&gt;"",'선정 규칙'!$B$4,0)</x:f>
        <x:v>60</x:v>
      </x:c>
      <x:c r="C7" s="11" t="n">
        <x:f>IF(ISNUMBER(SEARCH("jmdict_uncommon_or_irregular",'제외 후보'!P7)),'선정 규칙'!$B$5,IF(ISNUMBER(SEARCH("jmdict_rare_or_dated",'제외 후보'!P7)),'선정 규칙'!$B$6,0))</x:f>
        <x:v>0</x:v>
      </x:c>
      <x:c r="D7" s="11" t="n">
        <x:f>IF(ISNUMBER(SEARCH("jmdict_exact_pair_not_found",'제외 후보'!P7)),'선정 규칙'!$B$7,0)</x:f>
        <x:v>0</x:v>
      </x:c>
      <x:c r="E7" s="11" t="n">
        <x:f>IF(OR('제외 후보'!L7="",'제외 후보'!L7&lt;=0),'선정 규칙'!$B$8,IF('제외 후보'!L7&lt;=1.5,'선정 규칙'!$B$9,IF('제외 후보'!L7&lt;=2,'선정 규칙'!$B$10,IF('제외 후보'!L7&lt;=2.5,'선정 규칙'!$B$11,IF('제외 후보'!L7&lt;=3,'선정 규칙'!$B$12,IF('제외 후보'!L7&lt;=3.5,'선정 규칙'!$B$13,IF('제외 후보'!L7&gt;=4.5,'선정 규칙'!$B$14,0)))))))</x:f>
        <x:v>40</x:v>
      </x:c>
      <x:c r="F7" s="11" t="n">
        <x:f>IF('제외 후보'!Y7=0,'선정 규칙'!$B$15,IF('제외 후보'!Y7&gt;=100,'선정 규칙'!$B$16,'선정 규칙'!$B$17))</x:f>
        <x:v>12</x:v>
      </x:c>
      <x:c r="G7" s="11" t="n">
        <x:f>IF('제외 후보'!M7="있음",'선정 규칙'!$B$18,'선정 규칙'!$B$19)</x:f>
        <x:v>6</x:v>
      </x:c>
      <x:c r="H7" s="11" t="n">
        <x:f>IF(ISNUMBER(SEARCH("freq-core",'제외 후보'!AD7)),'선정 규칙'!$B$20,0)</x:f>
        <x:v>0</x:v>
      </x:c>
      <x:c r="I7" s="11" t="n">
        <x:f>IF(ISNUMBER(SEARCH("weak_legacy_content",'제외 후보'!P7)),'선정 규칙'!$B$21,0)</x:f>
        <x:v>0</x:v>
      </x:c>
      <x:c r="J7" s="11" t="n">
        <x:f>IF('제외 후보'!AC7&lt;&gt;"",'선정 규칙'!$B$22,0)</x:f>
        <x:v>0</x:v>
      </x:c>
      <x:c r="K7" s="11" t="n">
        <x:f>SUM(B7:J7)</x:f>
        <x:v>118</x:v>
      </x:c>
      <x:c r="L7" s="11" t="n">
        <x:f>'제외 후보'!N7</x:f>
        <x:v>118</x:v>
      </x:c>
      <x:c r="M7" s="2" t="str">
        <x:f>IF(K7=L7,"OK","MISMATCH")</x:f>
        <x:v>OK</x:v>
      </x:c>
    </x:row>
    <x:row r="8">
      <x:c r="A8" s="2" t="str">
        <x:f>'제외 후보'!G8</x:f>
        <x:v>w_7ca6b596e606b1f3</x:v>
      </x:c>
      <x:c r="B8" s="11" t="n">
        <x:f>IF('제외 후보'!Q8&lt;&gt;"",'선정 규칙'!$B$4,0)</x:f>
        <x:v>60</x:v>
      </x:c>
      <x:c r="C8" s="11" t="n">
        <x:f>IF(ISNUMBER(SEARCH("jmdict_uncommon_or_irregular",'제외 후보'!P8)),'선정 규칙'!$B$5,IF(ISNUMBER(SEARCH("jmdict_rare_or_dated",'제외 후보'!P8)),'선정 규칙'!$B$6,0))</x:f>
        <x:v>50</x:v>
      </x:c>
      <x:c r="D8" s="11" t="n">
        <x:f>IF(ISNUMBER(SEARCH("jmdict_exact_pair_not_found",'제외 후보'!P8)),'선정 규칙'!$B$7,0)</x:f>
        <x:v>0</x:v>
      </x:c>
      <x:c r="E8" s="11" t="n">
        <x:f>IF(OR('제외 후보'!L8="",'제외 후보'!L8&lt;=0),'선정 규칙'!$B$8,IF('제외 후보'!L8&lt;=1.5,'선정 규칙'!$B$9,IF('제외 후보'!L8&lt;=2,'선정 규칙'!$B$10,IF('제외 후보'!L8&lt;=2.5,'선정 규칙'!$B$11,IF('제외 후보'!L8&lt;=3,'선정 규칙'!$B$12,IF('제외 후보'!L8&lt;=3.5,'선정 규칙'!$B$13,IF('제외 후보'!L8&gt;=4.5,'선정 규칙'!$B$14,0)))))))</x:f>
        <x:v>12</x:v>
      </x:c>
      <x:c r="F8" s="11" t="n">
        <x:f>IF('제외 후보'!Y8=0,'선정 규칙'!$B$15,IF('제외 후보'!Y8&gt;=100,'선정 규칙'!$B$16,'선정 규칙'!$B$17))</x:f>
        <x:v>-25</x:v>
      </x:c>
      <x:c r="G8" s="11" t="n">
        <x:f>IF('제외 후보'!M8="있음",'선정 규칙'!$B$18,'선정 규칙'!$B$19)</x:f>
        <x:v>6</x:v>
      </x:c>
      <x:c r="H8" s="11" t="n">
        <x:f>IF(ISNUMBER(SEARCH("freq-core",'제외 후보'!AD8)),'선정 규칙'!$B$20,0)</x:f>
        <x:v>0</x:v>
      </x:c>
      <x:c r="I8" s="11" t="n">
        <x:f>IF(ISNUMBER(SEARCH("weak_legacy_content",'제외 후보'!P8)),'선정 규칙'!$B$21,0)</x:f>
        <x:v>5</x:v>
      </x:c>
      <x:c r="J8" s="11" t="n">
        <x:f>IF('제외 후보'!AC8&lt;&gt;"",'선정 규칙'!$B$22,0)</x:f>
        <x:v>10</x:v>
      </x:c>
      <x:c r="K8" s="11" t="n">
        <x:f>SUM(B8:J8)</x:f>
        <x:v>118</x:v>
      </x:c>
      <x:c r="L8" s="11" t="n">
        <x:f>'제외 후보'!N8</x:f>
        <x:v>118</x:v>
      </x:c>
      <x:c r="M8" s="2" t="str">
        <x:f>IF(K8=L8,"OK","MISMATCH")</x:f>
        <x:v>OK</x:v>
      </x:c>
    </x:row>
    <x:row r="9">
      <x:c r="A9" s="2" t="str">
        <x:f>'제외 후보'!G9</x:f>
        <x:v>w_c9624a11c7f3b950</x:v>
      </x:c>
      <x:c r="B9" s="11" t="n">
        <x:f>IF('제외 후보'!Q9&lt;&gt;"",'선정 규칙'!$B$4,0)</x:f>
        <x:v>60</x:v>
      </x:c>
      <x:c r="C9" s="11" t="n">
        <x:f>IF(ISNUMBER(SEARCH("jmdict_uncommon_or_irregular",'제외 후보'!P9)),'선정 규칙'!$B$5,IF(ISNUMBER(SEARCH("jmdict_rare_or_dated",'제외 후보'!P9)),'선정 규칙'!$B$6,0))</x:f>
        <x:v>50</x:v>
      </x:c>
      <x:c r="D9" s="11" t="n">
        <x:f>IF(ISNUMBER(SEARCH("jmdict_exact_pair_not_found",'제외 후보'!P9)),'선정 규칙'!$B$7,0)</x:f>
        <x:v>0</x:v>
      </x:c>
      <x:c r="E9" s="11" t="n">
        <x:f>IF(OR('제외 후보'!L9="",'제외 후보'!L9&lt;=0),'선정 규칙'!$B$8,IF('제외 후보'!L9&lt;=1.5,'선정 규칙'!$B$9,IF('제외 후보'!L9&lt;=2,'선정 규칙'!$B$10,IF('제외 후보'!L9&lt;=2.5,'선정 규칙'!$B$11,IF('제외 후보'!L9&lt;=3,'선정 규칙'!$B$12,IF('제외 후보'!L9&lt;=3.5,'선정 규칙'!$B$13,IF('제외 후보'!L9&gt;=4.5,'선정 규칙'!$B$14,0)))))))</x:f>
        <x:v>12</x:v>
      </x:c>
      <x:c r="F9" s="11" t="n">
        <x:f>IF('제외 후보'!Y9=0,'선정 규칙'!$B$15,IF('제외 후보'!Y9&gt;=100,'선정 규칙'!$B$16,'선정 규칙'!$B$17))</x:f>
        <x:v>-25</x:v>
      </x:c>
      <x:c r="G9" s="11" t="n">
        <x:f>IF('제외 후보'!M9="있음",'선정 규칙'!$B$18,'선정 규칙'!$B$19)</x:f>
        <x:v>6</x:v>
      </x:c>
      <x:c r="H9" s="11" t="n">
        <x:f>IF(ISNUMBER(SEARCH("freq-core",'제외 후보'!AD9)),'선정 규칙'!$B$20,0)</x:f>
        <x:v>0</x:v>
      </x:c>
      <x:c r="I9" s="11" t="n">
        <x:f>IF(ISNUMBER(SEARCH("weak_legacy_content",'제외 후보'!P9)),'선정 규칙'!$B$21,0)</x:f>
        <x:v>5</x:v>
      </x:c>
      <x:c r="J9" s="11" t="n">
        <x:f>IF('제외 후보'!AC9&lt;&gt;"",'선정 규칙'!$B$22,0)</x:f>
        <x:v>10</x:v>
      </x:c>
      <x:c r="K9" s="11" t="n">
        <x:f>SUM(B9:J9)</x:f>
        <x:v>118</x:v>
      </x:c>
      <x:c r="L9" s="11" t="n">
        <x:f>'제외 후보'!N9</x:f>
        <x:v>118</x:v>
      </x:c>
      <x:c r="M9" s="2" t="str">
        <x:f>IF(K9=L9,"OK","MISMATCH")</x:f>
        <x:v>OK</x:v>
      </x:c>
    </x:row>
    <x:row r="10">
      <x:c r="A10" s="2" t="str">
        <x:f>'제외 후보'!G10</x:f>
        <x:v>w_6827f6df872f2504</x:v>
      </x:c>
      <x:c r="B10" s="11" t="n">
        <x:f>IF('제외 후보'!Q10&lt;&gt;"",'선정 규칙'!$B$4,0)</x:f>
        <x:v>60</x:v>
      </x:c>
      <x:c r="C10" s="11" t="n">
        <x:f>IF(ISNUMBER(SEARCH("jmdict_uncommon_or_irregular",'제외 후보'!P10)),'선정 규칙'!$B$5,IF(ISNUMBER(SEARCH("jmdict_rare_or_dated",'제외 후보'!P10)),'선정 규칙'!$B$6,0))</x:f>
        <x:v>50</x:v>
      </x:c>
      <x:c r="D10" s="11" t="n">
        <x:f>IF(ISNUMBER(SEARCH("jmdict_exact_pair_not_found",'제외 후보'!P10)),'선정 규칙'!$B$7,0)</x:f>
        <x:v>0</x:v>
      </x:c>
      <x:c r="E10" s="11" t="n">
        <x:f>IF(OR('제외 후보'!L10="",'제외 후보'!L10&lt;=0),'선정 규칙'!$B$8,IF('제외 후보'!L10&lt;=1.5,'선정 규칙'!$B$9,IF('제외 후보'!L10&lt;=2,'선정 규칙'!$B$10,IF('제외 후보'!L10&lt;=2.5,'선정 규칙'!$B$11,IF('제외 후보'!L10&lt;=3,'선정 규칙'!$B$12,IF('제외 후보'!L10&lt;=3.5,'선정 규칙'!$B$13,IF('제외 후보'!L10&gt;=4.5,'선정 규칙'!$B$14,0)))))))</x:f>
        <x:v>20</x:v>
      </x:c>
      <x:c r="F10" s="11" t="n">
        <x:f>IF('제외 후보'!Y10=0,'선정 규칙'!$B$15,IF('제외 후보'!Y10&gt;=100,'선정 규칙'!$B$16,'선정 규칙'!$B$17))</x:f>
        <x:v>-25</x:v>
      </x:c>
      <x:c r="G10" s="11" t="n">
        <x:f>IF('제외 후보'!M10="있음",'선정 규칙'!$B$18,'선정 규칙'!$B$19)</x:f>
        <x:v>6</x:v>
      </x:c>
      <x:c r="H10" s="11" t="n">
        <x:f>IF(ISNUMBER(SEARCH("freq-core",'제외 후보'!AD10)),'선정 규칙'!$B$20,0)</x:f>
        <x:v>0</x:v>
      </x:c>
      <x:c r="I10" s="11" t="n">
        <x:f>IF(ISNUMBER(SEARCH("weak_legacy_content",'제외 후보'!P10)),'선정 규칙'!$B$21,0)</x:f>
        <x:v>5</x:v>
      </x:c>
      <x:c r="J10" s="11" t="n">
        <x:f>IF('제외 후보'!AC10&lt;&gt;"",'선정 규칙'!$B$22,0)</x:f>
        <x:v>0</x:v>
      </x:c>
      <x:c r="K10" s="11" t="n">
        <x:f>SUM(B10:J10)</x:f>
        <x:v>116</x:v>
      </x:c>
      <x:c r="L10" s="11" t="n">
        <x:f>'제외 후보'!N10</x:f>
        <x:v>116</x:v>
      </x:c>
      <x:c r="M10" s="2" t="str">
        <x:f>IF(K10=L10,"OK","MISMATCH")</x:f>
        <x:v>OK</x:v>
      </x:c>
    </x:row>
    <x:row r="11">
      <x:c r="A11" s="2" t="str">
        <x:f>'제외 후보'!G11</x:f>
        <x:v>w_752d5bb4d91954b3</x:v>
      </x:c>
      <x:c r="B11" s="11" t="n">
        <x:f>IF('제외 후보'!Q11&lt;&gt;"",'선정 규칙'!$B$4,0)</x:f>
        <x:v>60</x:v>
      </x:c>
      <x:c r="C11" s="11" t="n">
        <x:f>IF(ISNUMBER(SEARCH("jmdict_uncommon_or_irregular",'제외 후보'!P11)),'선정 규칙'!$B$5,IF(ISNUMBER(SEARCH("jmdict_rare_or_dated",'제외 후보'!P11)),'선정 규칙'!$B$6,0))</x:f>
        <x:v>50</x:v>
      </x:c>
      <x:c r="D11" s="11" t="n">
        <x:f>IF(ISNUMBER(SEARCH("jmdict_exact_pair_not_found",'제외 후보'!P11)),'선정 규칙'!$B$7,0)</x:f>
        <x:v>0</x:v>
      </x:c>
      <x:c r="E11" s="11" t="n">
        <x:f>IF(OR('제외 후보'!L11="",'제외 후보'!L11&lt;=0),'선정 규칙'!$B$8,IF('제외 후보'!L11&lt;=1.5,'선정 규칙'!$B$9,IF('제외 후보'!L11&lt;=2,'선정 규칙'!$B$10,IF('제외 후보'!L11&lt;=2.5,'선정 규칙'!$B$11,IF('제외 후보'!L11&lt;=3,'선정 규칙'!$B$12,IF('제외 후보'!L11&lt;=3.5,'선정 규칙'!$B$13,IF('제외 후보'!L11&gt;=4.5,'선정 규칙'!$B$14,0)))))))</x:f>
        <x:v>20</x:v>
      </x:c>
      <x:c r="F11" s="11" t="n">
        <x:f>IF('제외 후보'!Y11=0,'선정 규칙'!$B$15,IF('제외 후보'!Y11&gt;=100,'선정 규칙'!$B$16,'선정 규칙'!$B$17))</x:f>
        <x:v>-25</x:v>
      </x:c>
      <x:c r="G11" s="11" t="n">
        <x:f>IF('제외 후보'!M11="있음",'선정 규칙'!$B$18,'선정 규칙'!$B$19)</x:f>
        <x:v>6</x:v>
      </x:c>
      <x:c r="H11" s="11" t="n">
        <x:f>IF(ISNUMBER(SEARCH("freq-core",'제외 후보'!AD11)),'선정 규칙'!$B$20,0)</x:f>
        <x:v>0</x:v>
      </x:c>
      <x:c r="I11" s="11" t="n">
        <x:f>IF(ISNUMBER(SEARCH("weak_legacy_content",'제외 후보'!P11)),'선정 규칙'!$B$21,0)</x:f>
        <x:v>0</x:v>
      </x:c>
      <x:c r="J11" s="11" t="n">
        <x:f>IF('제외 후보'!AC11&lt;&gt;"",'선정 규칙'!$B$22,0)</x:f>
        <x:v>0</x:v>
      </x:c>
      <x:c r="K11" s="11" t="n">
        <x:f>SUM(B11:J11)</x:f>
        <x:v>111</x:v>
      </x:c>
      <x:c r="L11" s="11" t="n">
        <x:f>'제외 후보'!N11</x:f>
        <x:v>111</x:v>
      </x:c>
      <x:c r="M11" s="2" t="str">
        <x:f>IF(K11=L11,"OK","MISMATCH")</x:f>
        <x:v>OK</x:v>
      </x:c>
    </x:row>
    <x:row r="12">
      <x:c r="A12" s="2" t="str">
        <x:f>'제외 후보'!G12</x:f>
        <x:v>w_c2cc27b9a22c206e</x:v>
      </x:c>
      <x:c r="B12" s="11" t="n">
        <x:f>IF('제외 후보'!Q12&lt;&gt;"",'선정 규칙'!$B$4,0)</x:f>
        <x:v>60</x:v>
      </x:c>
      <x:c r="C12" s="11" t="n">
        <x:f>IF(ISNUMBER(SEARCH("jmdict_uncommon_or_irregular",'제외 후보'!P12)),'선정 규칙'!$B$5,IF(ISNUMBER(SEARCH("jmdict_rare_or_dated",'제외 후보'!P12)),'선정 규칙'!$B$6,0))</x:f>
        <x:v>0</x:v>
      </x:c>
      <x:c r="D12" s="11" t="n">
        <x:f>IF(ISNUMBER(SEARCH("jmdict_exact_pair_not_found",'제외 후보'!P12)),'선정 규칙'!$B$7,0)</x:f>
        <x:v>0</x:v>
      </x:c>
      <x:c r="E12" s="11" t="n">
        <x:f>IF(OR('제외 후보'!L12="",'제외 후보'!L12&lt;=0),'선정 규칙'!$B$8,IF('제외 후보'!L12&lt;=1.5,'선정 규칙'!$B$9,IF('제외 후보'!L12&lt;=2,'선정 규칙'!$B$10,IF('제외 후보'!L12&lt;=2.5,'선정 규칙'!$B$11,IF('제외 후보'!L12&lt;=3,'선정 규칙'!$B$12,IF('제외 후보'!L12&lt;=3.5,'선정 규칙'!$B$13,IF('제외 후보'!L12&gt;=4.5,'선정 규칙'!$B$14,0)))))))</x:f>
        <x:v>32</x:v>
      </x:c>
      <x:c r="F12" s="11" t="n">
        <x:f>IF('제외 후보'!Y12=0,'선정 규칙'!$B$15,IF('제외 후보'!Y12&gt;=100,'선정 규칙'!$B$16,'선정 규칙'!$B$17))</x:f>
        <x:v>12</x:v>
      </x:c>
      <x:c r="G12" s="11" t="n">
        <x:f>IF('제외 후보'!M12="있음",'선정 규칙'!$B$18,'선정 규칙'!$B$19)</x:f>
        <x:v>6</x:v>
      </x:c>
      <x:c r="H12" s="11" t="n">
        <x:f>IF(ISNUMBER(SEARCH("freq-core",'제외 후보'!AD12)),'선정 규칙'!$B$20,0)</x:f>
        <x:v>0</x:v>
      </x:c>
      <x:c r="I12" s="11" t="n">
        <x:f>IF(ISNUMBER(SEARCH("weak_legacy_content",'제외 후보'!P12)),'선정 규칙'!$B$21,0)</x:f>
        <x:v>0</x:v>
      </x:c>
      <x:c r="J12" s="11" t="n">
        <x:f>IF('제외 후보'!AC12&lt;&gt;"",'선정 규칙'!$B$22,0)</x:f>
        <x:v>0</x:v>
      </x:c>
      <x:c r="K12" s="11" t="n">
        <x:f>SUM(B12:J12)</x:f>
        <x:v>110</x:v>
      </x:c>
      <x:c r="L12" s="11" t="n">
        <x:f>'제외 후보'!N12</x:f>
        <x:v>110</x:v>
      </x:c>
      <x:c r="M12" s="2" t="str">
        <x:f>IF(K12=L12,"OK","MISMATCH")</x:f>
        <x:v>OK</x:v>
      </x:c>
    </x:row>
    <x:row r="13">
      <x:c r="A13" s="2" t="str">
        <x:f>'제외 후보'!G13</x:f>
        <x:v>w_538b76225c57664f</x:v>
      </x:c>
      <x:c r="B13" s="11" t="n">
        <x:f>IF('제외 후보'!Q13&lt;&gt;"",'선정 규칙'!$B$4,0)</x:f>
        <x:v>60</x:v>
      </x:c>
      <x:c r="C13" s="11" t="n">
        <x:f>IF(ISNUMBER(SEARCH("jmdict_uncommon_or_irregular",'제외 후보'!P13)),'선정 규칙'!$B$5,IF(ISNUMBER(SEARCH("jmdict_rare_or_dated",'제외 후보'!P13)),'선정 규칙'!$B$6,0))</x:f>
        <x:v>0</x:v>
      </x:c>
      <x:c r="D13" s="11" t="n">
        <x:f>IF(ISNUMBER(SEARCH("jmdict_exact_pair_not_found",'제외 후보'!P13)),'선정 규칙'!$B$7,0)</x:f>
        <x:v>0</x:v>
      </x:c>
      <x:c r="E13" s="11" t="n">
        <x:f>IF(OR('제외 후보'!L13="",'제외 후보'!L13&lt;=0),'선정 규칙'!$B$8,IF('제외 후보'!L13&lt;=1.5,'선정 규칙'!$B$9,IF('제외 후보'!L13&lt;=2,'선정 규칙'!$B$10,IF('제외 후보'!L13&lt;=2.5,'선정 규칙'!$B$11,IF('제외 후보'!L13&lt;=3,'선정 규칙'!$B$12,IF('제외 후보'!L13&lt;=3.5,'선정 규칙'!$B$13,IF('제외 후보'!L13&gt;=4.5,'선정 규칙'!$B$14,0)))))))</x:f>
        <x:v>26</x:v>
      </x:c>
      <x:c r="F13" s="11" t="n">
        <x:f>IF('제외 후보'!Y13=0,'선정 규칙'!$B$15,IF('제외 후보'!Y13&gt;=100,'선정 규칙'!$B$16,'선정 규칙'!$B$17))</x:f>
        <x:v>12</x:v>
      </x:c>
      <x:c r="G13" s="11" t="n">
        <x:f>IF('제외 후보'!M13="있음",'선정 규칙'!$B$18,'선정 규칙'!$B$19)</x:f>
        <x:v>6</x:v>
      </x:c>
      <x:c r="H13" s="11" t="n">
        <x:f>IF(ISNUMBER(SEARCH("freq-core",'제외 후보'!AD13)),'선정 규칙'!$B$20,0)</x:f>
        <x:v>0</x:v>
      </x:c>
      <x:c r="I13" s="11" t="n">
        <x:f>IF(ISNUMBER(SEARCH("weak_legacy_content",'제외 후보'!P13)),'선정 규칙'!$B$21,0)</x:f>
        <x:v>5</x:v>
      </x:c>
      <x:c r="J13" s="11" t="n">
        <x:f>IF('제외 후보'!AC13&lt;&gt;"",'선정 규칙'!$B$22,0)</x:f>
        <x:v>0</x:v>
      </x:c>
      <x:c r="K13" s="11" t="n">
        <x:f>SUM(B13:J13)</x:f>
        <x:v>109</x:v>
      </x:c>
      <x:c r="L13" s="11" t="n">
        <x:f>'제외 후보'!N13</x:f>
        <x:v>109</x:v>
      </x:c>
      <x:c r="M13" s="2" t="str">
        <x:f>IF(K13=L13,"OK","MISMATCH")</x:f>
        <x:v>OK</x:v>
      </x:c>
    </x:row>
    <x:row r="14">
      <x:c r="A14" s="2" t="str">
        <x:f>'제외 후보'!G14</x:f>
        <x:v>w_df9ada6a3bbb5a4e</x:v>
      </x:c>
      <x:c r="B14" s="11" t="n">
        <x:f>IF('제외 후보'!Q14&lt;&gt;"",'선정 규칙'!$B$4,0)</x:f>
        <x:v>0</x:v>
      </x:c>
      <x:c r="C14" s="11" t="n">
        <x:f>IF(ISNUMBER(SEARCH("jmdict_uncommon_or_irregular",'제외 후보'!P14)),'선정 규칙'!$B$5,IF(ISNUMBER(SEARCH("jmdict_rare_or_dated",'제외 후보'!P14)),'선정 규칙'!$B$6,0))</x:f>
        <x:v>50</x:v>
      </x:c>
      <x:c r="D14" s="11" t="n">
        <x:f>IF(ISNUMBER(SEARCH("jmdict_exact_pair_not_found",'제외 후보'!P14)),'선정 규칙'!$B$7,0)</x:f>
        <x:v>0</x:v>
      </x:c>
      <x:c r="E14" s="11" t="n">
        <x:f>IF(OR('제외 후보'!L14="",'제외 후보'!L14&lt;=0),'선정 규칙'!$B$8,IF('제외 후보'!L14&lt;=1.5,'선정 규칙'!$B$9,IF('제외 후보'!L14&lt;=2,'선정 규칙'!$B$10,IF('제외 후보'!L14&lt;=2.5,'선정 규칙'!$B$11,IF('제외 후보'!L14&lt;=3,'선정 규칙'!$B$12,IF('제외 후보'!L14&lt;=3.5,'선정 규칙'!$B$13,IF('제외 후보'!L14&gt;=4.5,'선정 규칙'!$B$14,0)))))))</x:f>
        <x:v>40</x:v>
      </x:c>
      <x:c r="F14" s="11" t="n">
        <x:f>IF('제외 후보'!Y14=0,'선정 규칙'!$B$15,IF('제외 후보'!Y14&gt;=100,'선정 규칙'!$B$16,'선정 규칙'!$B$17))</x:f>
        <x:v>12</x:v>
      </x:c>
      <x:c r="G14" s="11" t="n">
        <x:f>IF('제외 후보'!M14="있음",'선정 규칙'!$B$18,'선정 규칙'!$B$19)</x:f>
        <x:v>6</x:v>
      </x:c>
      <x:c r="H14" s="11" t="n">
        <x:f>IF(ISNUMBER(SEARCH("freq-core",'제외 후보'!AD14)),'선정 규칙'!$B$20,0)</x:f>
        <x:v>0</x:v>
      </x:c>
      <x:c r="I14" s="11" t="n">
        <x:f>IF(ISNUMBER(SEARCH("weak_legacy_content",'제외 후보'!P14)),'선정 규칙'!$B$21,0)</x:f>
        <x:v>0</x:v>
      </x:c>
      <x:c r="J14" s="11" t="n">
        <x:f>IF('제외 후보'!AC14&lt;&gt;"",'선정 규칙'!$B$22,0)</x:f>
        <x:v>0</x:v>
      </x:c>
      <x:c r="K14" s="11" t="n">
        <x:f>SUM(B14:J14)</x:f>
        <x:v>108</x:v>
      </x:c>
      <x:c r="L14" s="11" t="n">
        <x:f>'제외 후보'!N14</x:f>
        <x:v>108</x:v>
      </x:c>
      <x:c r="M14" s="2" t="str">
        <x:f>IF(K14=L14,"OK","MISMATCH")</x:f>
        <x:v>OK</x:v>
      </x:c>
    </x:row>
    <x:row r="15">
      <x:c r="A15" s="2" t="str">
        <x:f>'제외 후보'!G15</x:f>
        <x:v>w_b71640e718ced668</x:v>
      </x:c>
      <x:c r="B15" s="11" t="n">
        <x:f>IF('제외 후보'!Q15&lt;&gt;"",'선정 규칙'!$B$4,0)</x:f>
        <x:v>60</x:v>
      </x:c>
      <x:c r="C15" s="11" t="n">
        <x:f>IF(ISNUMBER(SEARCH("jmdict_uncommon_or_irregular",'제외 후보'!P15)),'선정 규칙'!$B$5,IF(ISNUMBER(SEARCH("jmdict_rare_or_dated",'제외 후보'!P15)),'선정 규칙'!$B$6,0))</x:f>
        <x:v>0</x:v>
      </x:c>
      <x:c r="D15" s="11" t="n">
        <x:f>IF(ISNUMBER(SEARCH("jmdict_exact_pair_not_found",'제외 후보'!P15)),'선정 규칙'!$B$7,0)</x:f>
        <x:v>0</x:v>
      </x:c>
      <x:c r="E15" s="11" t="n">
        <x:f>IF(OR('제외 후보'!L15="",'제외 후보'!L15&lt;=0),'선정 규칙'!$B$8,IF('제외 후보'!L15&lt;=1.5,'선정 규칙'!$B$9,IF('제외 후보'!L15&lt;=2,'선정 규칙'!$B$10,IF('제외 후보'!L15&lt;=2.5,'선정 규칙'!$B$11,IF('제외 후보'!L15&lt;=3,'선정 규칙'!$B$12,IF('제외 후보'!L15&lt;=3.5,'선정 규칙'!$B$13,IF('제외 후보'!L15&gt;=4.5,'선정 규칙'!$B$14,0)))))))</x:f>
        <x:v>26</x:v>
      </x:c>
      <x:c r="F15" s="11" t="n">
        <x:f>IF('제외 후보'!Y15=0,'선정 규칙'!$B$15,IF('제외 후보'!Y15&gt;=100,'선정 규칙'!$B$16,'선정 규칙'!$B$17))</x:f>
        <x:v>12</x:v>
      </x:c>
      <x:c r="G15" s="11" t="n">
        <x:f>IF('제외 후보'!M15="있음",'선정 규칙'!$B$18,'선정 규칙'!$B$19)</x:f>
        <x:v>6</x:v>
      </x:c>
      <x:c r="H15" s="11" t="n">
        <x:f>IF(ISNUMBER(SEARCH("freq-core",'제외 후보'!AD15)),'선정 규칙'!$B$20,0)</x:f>
        <x:v>0</x:v>
      </x:c>
      <x:c r="I15" s="11" t="n">
        <x:f>IF(ISNUMBER(SEARCH("weak_legacy_content",'제외 후보'!P15)),'선정 규칙'!$B$21,0)</x:f>
        <x:v>0</x:v>
      </x:c>
      <x:c r="J15" s="11" t="n">
        <x:f>IF('제외 후보'!AC15&lt;&gt;"",'선정 규칙'!$B$22,0)</x:f>
        <x:v>0</x:v>
      </x:c>
      <x:c r="K15" s="11" t="n">
        <x:f>SUM(B15:J15)</x:f>
        <x:v>104</x:v>
      </x:c>
      <x:c r="L15" s="11" t="n">
        <x:f>'제외 후보'!N15</x:f>
        <x:v>104</x:v>
      </x:c>
      <x:c r="M15" s="2" t="str">
        <x:f>IF(K15=L15,"OK","MISMATCH")</x:f>
        <x:v>OK</x:v>
      </x:c>
    </x:row>
    <x:row r="16">
      <x:c r="A16" s="2" t="str">
        <x:f>'제외 후보'!G16</x:f>
        <x:v>w_98d39ac0388c03a9</x:v>
      </x:c>
      <x:c r="B16" s="11" t="n">
        <x:f>IF('제외 후보'!Q16&lt;&gt;"",'선정 규칙'!$B$4,0)</x:f>
        <x:v>60</x:v>
      </x:c>
      <x:c r="C16" s="11" t="n">
        <x:f>IF(ISNUMBER(SEARCH("jmdict_uncommon_or_irregular",'제외 후보'!P16)),'선정 규칙'!$B$5,IF(ISNUMBER(SEARCH("jmdict_rare_or_dated",'제외 후보'!P16)),'선정 규칙'!$B$6,0))</x:f>
        <x:v>0</x:v>
      </x:c>
      <x:c r="D16" s="11" t="n">
        <x:f>IF(ISNUMBER(SEARCH("jmdict_exact_pair_not_found",'제외 후보'!P16)),'선정 규칙'!$B$7,0)</x:f>
        <x:v>0</x:v>
      </x:c>
      <x:c r="E16" s="11" t="n">
        <x:f>IF(OR('제외 후보'!L16="",'제외 후보'!L16&lt;=0),'선정 규칙'!$B$8,IF('제외 후보'!L16&lt;=1.5,'선정 규칙'!$B$9,IF('제외 후보'!L16&lt;=2,'선정 규칙'!$B$10,IF('제외 후보'!L16&lt;=2.5,'선정 규칙'!$B$11,IF('제외 후보'!L16&lt;=3,'선정 규칙'!$B$12,IF('제외 후보'!L16&lt;=3.5,'선정 규칙'!$B$13,IF('제외 후보'!L16&gt;=4.5,'선정 규칙'!$B$14,0)))))))</x:f>
        <x:v>26</x:v>
      </x:c>
      <x:c r="F16" s="11" t="n">
        <x:f>IF('제외 후보'!Y16=0,'선정 규칙'!$B$15,IF('제외 후보'!Y16&gt;=100,'선정 규칙'!$B$16,'선정 규칙'!$B$17))</x:f>
        <x:v>12</x:v>
      </x:c>
      <x:c r="G16" s="11" t="n">
        <x:f>IF('제외 후보'!M16="있음",'선정 규칙'!$B$18,'선정 규칙'!$B$19)</x:f>
        <x:v>6</x:v>
      </x:c>
      <x:c r="H16" s="11" t="n">
        <x:f>IF(ISNUMBER(SEARCH("freq-core",'제외 후보'!AD16)),'선정 규칙'!$B$20,0)</x:f>
        <x:v>0</x:v>
      </x:c>
      <x:c r="I16" s="11" t="n">
        <x:f>IF(ISNUMBER(SEARCH("weak_legacy_content",'제외 후보'!P16)),'선정 규칙'!$B$21,0)</x:f>
        <x:v>0</x:v>
      </x:c>
      <x:c r="J16" s="11" t="n">
        <x:f>IF('제외 후보'!AC16&lt;&gt;"",'선정 규칙'!$B$22,0)</x:f>
        <x:v>0</x:v>
      </x:c>
      <x:c r="K16" s="11" t="n">
        <x:f>SUM(B16:J16)</x:f>
        <x:v>104</x:v>
      </x:c>
      <x:c r="L16" s="11" t="n">
        <x:f>'제외 후보'!N16</x:f>
        <x:v>104</x:v>
      </x:c>
      <x:c r="M16" s="2" t="str">
        <x:f>IF(K16=L16,"OK","MISMATCH")</x:f>
        <x:v>OK</x:v>
      </x:c>
    </x:row>
    <x:row r="17">
      <x:c r="A17" s="2" t="str">
        <x:f>'제외 후보'!G17</x:f>
        <x:v>w_783eefeaaefb6a0d</x:v>
      </x:c>
      <x:c r="B17" s="11" t="n">
        <x:f>IF('제외 후보'!Q17&lt;&gt;"",'선정 규칙'!$B$4,0)</x:f>
        <x:v>60</x:v>
      </x:c>
      <x:c r="C17" s="11" t="n">
        <x:f>IF(ISNUMBER(SEARCH("jmdict_uncommon_or_irregular",'제외 후보'!P17)),'선정 규칙'!$B$5,IF(ISNUMBER(SEARCH("jmdict_rare_or_dated",'제외 후보'!P17)),'선정 규칙'!$B$6,0))</x:f>
        <x:v>0</x:v>
      </x:c>
      <x:c r="D17" s="11" t="n">
        <x:f>IF(ISNUMBER(SEARCH("jmdict_exact_pair_not_found",'제외 후보'!P17)),'선정 규칙'!$B$7,0)</x:f>
        <x:v>0</x:v>
      </x:c>
      <x:c r="E17" s="11" t="n">
        <x:f>IF(OR('제외 후보'!L17="",'제외 후보'!L17&lt;=0),'선정 규칙'!$B$8,IF('제외 후보'!L17&lt;=1.5,'선정 규칙'!$B$9,IF('제외 후보'!L17&lt;=2,'선정 규칙'!$B$10,IF('제외 후보'!L17&lt;=2.5,'선정 규칙'!$B$11,IF('제외 후보'!L17&lt;=3,'선정 규칙'!$B$12,IF('제외 후보'!L17&lt;=3.5,'선정 규칙'!$B$13,IF('제외 후보'!L17&gt;=4.5,'선정 규칙'!$B$14,0)))))))</x:f>
        <x:v>20</x:v>
      </x:c>
      <x:c r="F17" s="11" t="n">
        <x:f>IF('제외 후보'!Y17=0,'선정 규칙'!$B$15,IF('제외 후보'!Y17&gt;=100,'선정 규칙'!$B$16,'선정 규칙'!$B$17))</x:f>
        <x:v>12</x:v>
      </x:c>
      <x:c r="G17" s="11" t="n">
        <x:f>IF('제외 후보'!M17="있음",'선정 규칙'!$B$18,'선정 규칙'!$B$19)</x:f>
        <x:v>6</x:v>
      </x:c>
      <x:c r="H17" s="11" t="n">
        <x:f>IF(ISNUMBER(SEARCH("freq-core",'제외 후보'!AD17)),'선정 규칙'!$B$20,0)</x:f>
        <x:v>0</x:v>
      </x:c>
      <x:c r="I17" s="11" t="n">
        <x:f>IF(ISNUMBER(SEARCH("weak_legacy_content",'제외 후보'!P17)),'선정 규칙'!$B$21,0)</x:f>
        <x:v>5</x:v>
      </x:c>
      <x:c r="J17" s="11" t="n">
        <x:f>IF('제외 후보'!AC17&lt;&gt;"",'선정 규칙'!$B$22,0)</x:f>
        <x:v>0</x:v>
      </x:c>
      <x:c r="K17" s="11" t="n">
        <x:f>SUM(B17:J17)</x:f>
        <x:v>103</x:v>
      </x:c>
      <x:c r="L17" s="11" t="n">
        <x:f>'제외 후보'!N17</x:f>
        <x:v>103</x:v>
      </x:c>
      <x:c r="M17" s="2" t="str">
        <x:f>IF(K17=L17,"OK","MISMATCH")</x:f>
        <x:v>OK</x:v>
      </x:c>
    </x:row>
    <x:row r="18">
      <x:c r="A18" s="2" t="str">
        <x:f>'제외 후보'!G18</x:f>
        <x:v>w_0edc5f4d78d15ddd</x:v>
      </x:c>
      <x:c r="B18" s="11" t="n">
        <x:f>IF('제외 후보'!Q18&lt;&gt;"",'선정 규칙'!$B$4,0)</x:f>
        <x:v>60</x:v>
      </x:c>
      <x:c r="C18" s="11" t="n">
        <x:f>IF(ISNUMBER(SEARCH("jmdict_uncommon_or_irregular",'제외 후보'!P18)),'선정 규칙'!$B$5,IF(ISNUMBER(SEARCH("jmdict_rare_or_dated",'제외 후보'!P18)),'선정 규칙'!$B$6,0))</x:f>
        <x:v>0</x:v>
      </x:c>
      <x:c r="D18" s="11" t="n">
        <x:f>IF(ISNUMBER(SEARCH("jmdict_exact_pair_not_found",'제외 후보'!P18)),'선정 규칙'!$B$7,0)</x:f>
        <x:v>0</x:v>
      </x:c>
      <x:c r="E18" s="11" t="n">
        <x:f>IF(OR('제외 후보'!L18="",'제외 후보'!L18&lt;=0),'선정 규칙'!$B$8,IF('제외 후보'!L18&lt;=1.5,'선정 규칙'!$B$9,IF('제외 후보'!L18&lt;=2,'선정 규칙'!$B$10,IF('제외 후보'!L18&lt;=2.5,'선정 규칙'!$B$11,IF('제외 후보'!L18&lt;=3,'선정 규칙'!$B$12,IF('제외 후보'!L18&lt;=3.5,'선정 규칙'!$B$13,IF('제외 후보'!L18&gt;=4.5,'선정 규칙'!$B$14,0)))))))</x:f>
        <x:v>20</x:v>
      </x:c>
      <x:c r="F18" s="11" t="n">
        <x:f>IF('제외 후보'!Y18=0,'선정 규칙'!$B$15,IF('제외 후보'!Y18&gt;=100,'선정 규칙'!$B$16,'선정 규칙'!$B$17))</x:f>
        <x:v>12</x:v>
      </x:c>
      <x:c r="G18" s="11" t="n">
        <x:f>IF('제외 후보'!M18="있음",'선정 규칙'!$B$18,'선정 규칙'!$B$19)</x:f>
        <x:v>6</x:v>
      </x:c>
      <x:c r="H18" s="11" t="n">
        <x:f>IF(ISNUMBER(SEARCH("freq-core",'제외 후보'!AD18)),'선정 규칙'!$B$20,0)</x:f>
        <x:v>0</x:v>
      </x:c>
      <x:c r="I18" s="11" t="n">
        <x:f>IF(ISNUMBER(SEARCH("weak_legacy_content",'제외 후보'!P18)),'선정 규칙'!$B$21,0)</x:f>
        <x:v>5</x:v>
      </x:c>
      <x:c r="J18" s="11" t="n">
        <x:f>IF('제외 후보'!AC18&lt;&gt;"",'선정 규칙'!$B$22,0)</x:f>
        <x:v>0</x:v>
      </x:c>
      <x:c r="K18" s="11" t="n">
        <x:f>SUM(B18:J18)</x:f>
        <x:v>103</x:v>
      </x:c>
      <x:c r="L18" s="11" t="n">
        <x:f>'제외 후보'!N18</x:f>
        <x:v>103</x:v>
      </x:c>
      <x:c r="M18" s="2" t="str">
        <x:f>IF(K18=L18,"OK","MISMATCH")</x:f>
        <x:v>OK</x:v>
      </x:c>
    </x:row>
    <x:row r="19">
      <x:c r="A19" s="2" t="str">
        <x:f>'제외 후보'!G19</x:f>
        <x:v>w_8934d6c8263dfd61</x:v>
      </x:c>
      <x:c r="B19" s="11" t="n">
        <x:f>IF('제외 후보'!Q19&lt;&gt;"",'선정 규칙'!$B$4,0)</x:f>
        <x:v>0</x:v>
      </x:c>
      <x:c r="C19" s="11" t="n">
        <x:f>IF(ISNUMBER(SEARCH("jmdict_uncommon_or_irregular",'제외 후보'!P19)),'선정 규칙'!$B$5,IF(ISNUMBER(SEARCH("jmdict_rare_or_dated",'제외 후보'!P19)),'선정 규칙'!$B$6,0))</x:f>
        <x:v>50</x:v>
      </x:c>
      <x:c r="D19" s="11" t="n">
        <x:f>IF(ISNUMBER(SEARCH("jmdict_exact_pair_not_found",'제외 후보'!P19)),'선정 규칙'!$B$7,0)</x:f>
        <x:v>0</x:v>
      </x:c>
      <x:c r="E19" s="11" t="n">
        <x:f>IF(OR('제외 후보'!L19="",'제외 후보'!L19&lt;=0),'선정 규칙'!$B$8,IF('제외 후보'!L19&lt;=1.5,'선정 규칙'!$B$9,IF('제외 후보'!L19&lt;=2,'선정 규칙'!$B$10,IF('제외 후보'!L19&lt;=2.5,'선정 규칙'!$B$11,IF('제외 후보'!L19&lt;=3,'선정 규칙'!$B$12,IF('제외 후보'!L19&lt;=3.5,'선정 규칙'!$B$13,IF('제외 후보'!L19&gt;=4.5,'선정 규칙'!$B$14,0)))))))</x:f>
        <x:v>32</x:v>
      </x:c>
      <x:c r="F19" s="11" t="n">
        <x:f>IF('제외 후보'!Y19=0,'선정 규칙'!$B$15,IF('제외 후보'!Y19&gt;=100,'선정 규칙'!$B$16,'선정 규칙'!$B$17))</x:f>
        <x:v>12</x:v>
      </x:c>
      <x:c r="G19" s="11" t="n">
        <x:f>IF('제외 후보'!M19="있음",'선정 규칙'!$B$18,'선정 규칙'!$B$19)</x:f>
        <x:v>6</x:v>
      </x:c>
      <x:c r="H19" s="11" t="n">
        <x:f>IF(ISNUMBER(SEARCH("freq-core",'제외 후보'!AD19)),'선정 규칙'!$B$20,0)</x:f>
        <x:v>0</x:v>
      </x:c>
      <x:c r="I19" s="11" t="n">
        <x:f>IF(ISNUMBER(SEARCH("weak_legacy_content",'제외 후보'!P19)),'선정 규칙'!$B$21,0)</x:f>
        <x:v>0</x:v>
      </x:c>
      <x:c r="J19" s="11" t="n">
        <x:f>IF('제외 후보'!AC19&lt;&gt;"",'선정 규칙'!$B$22,0)</x:f>
        <x:v>0</x:v>
      </x:c>
      <x:c r="K19" s="11" t="n">
        <x:f>SUM(B19:J19)</x:f>
        <x:v>100</x:v>
      </x:c>
      <x:c r="L19" s="11" t="n">
        <x:f>'제외 후보'!N19</x:f>
        <x:v>100</x:v>
      </x:c>
      <x:c r="M19" s="2" t="str">
        <x:f>IF(K19=L19,"OK","MISMATCH")</x:f>
        <x:v>OK</x:v>
      </x:c>
    </x:row>
    <x:row r="20">
      <x:c r="A20" s="2" t="str">
        <x:f>'제외 후보'!G20</x:f>
        <x:v>w_b68082aedaf58a82</x:v>
      </x:c>
      <x:c r="B20" s="11" t="n">
        <x:f>IF('제외 후보'!Q20&lt;&gt;"",'선정 규칙'!$B$4,0)</x:f>
        <x:v>0</x:v>
      </x:c>
      <x:c r="C20" s="11" t="n">
        <x:f>IF(ISNUMBER(SEARCH("jmdict_uncommon_or_irregular",'제외 후보'!P20)),'선정 규칙'!$B$5,IF(ISNUMBER(SEARCH("jmdict_rare_or_dated",'제외 후보'!P20)),'선정 규칙'!$B$6,0))</x:f>
        <x:v>50</x:v>
      </x:c>
      <x:c r="D20" s="11" t="n">
        <x:f>IF(ISNUMBER(SEARCH("jmdict_exact_pair_not_found",'제외 후보'!P20)),'선정 규칙'!$B$7,0)</x:f>
        <x:v>0</x:v>
      </x:c>
      <x:c r="E20" s="11" t="n">
        <x:f>IF(OR('제외 후보'!L20="",'제외 후보'!L20&lt;=0),'선정 규칙'!$B$8,IF('제외 후보'!L20&lt;=1.5,'선정 규칙'!$B$9,IF('제외 후보'!L20&lt;=2,'선정 규칙'!$B$10,IF('제외 후보'!L20&lt;=2.5,'선정 규칙'!$B$11,IF('제외 후보'!L20&lt;=3,'선정 규칙'!$B$12,IF('제외 후보'!L20&lt;=3.5,'선정 규칙'!$B$13,IF('제외 후보'!L20&gt;=4.5,'선정 규칙'!$B$14,0)))))))</x:f>
        <x:v>32</x:v>
      </x:c>
      <x:c r="F20" s="11" t="n">
        <x:f>IF('제외 후보'!Y20=0,'선정 규칙'!$B$15,IF('제외 후보'!Y20&gt;=100,'선정 규칙'!$B$16,'선정 규칙'!$B$17))</x:f>
        <x:v>12</x:v>
      </x:c>
      <x:c r="G20" s="11" t="n">
        <x:f>IF('제외 후보'!M20="있음",'선정 규칙'!$B$18,'선정 규칙'!$B$19)</x:f>
        <x:v>6</x:v>
      </x:c>
      <x:c r="H20" s="11" t="n">
        <x:f>IF(ISNUMBER(SEARCH("freq-core",'제외 후보'!AD20)),'선정 규칙'!$B$20,0)</x:f>
        <x:v>0</x:v>
      </x:c>
      <x:c r="I20" s="11" t="n">
        <x:f>IF(ISNUMBER(SEARCH("weak_legacy_content",'제외 후보'!P20)),'선정 규칙'!$B$21,0)</x:f>
        <x:v>0</x:v>
      </x:c>
      <x:c r="J20" s="11" t="n">
        <x:f>IF('제외 후보'!AC20&lt;&gt;"",'선정 규칙'!$B$22,0)</x:f>
        <x:v>0</x:v>
      </x:c>
      <x:c r="K20" s="11" t="n">
        <x:f>SUM(B20:J20)</x:f>
        <x:v>100</x:v>
      </x:c>
      <x:c r="L20" s="11" t="n">
        <x:f>'제외 후보'!N20</x:f>
        <x:v>100</x:v>
      </x:c>
      <x:c r="M20" s="2" t="str">
        <x:f>IF(K20=L20,"OK","MISMATCH")</x:f>
        <x:v>OK</x:v>
      </x:c>
    </x:row>
    <x:row r="21">
      <x:c r="A21" s="2" t="str">
        <x:f>'제외 후보'!G21</x:f>
        <x:v>w_0c65051e7fb4fb1f</x:v>
      </x:c>
      <x:c r="B21" s="11" t="n">
        <x:f>IF('제외 후보'!Q21&lt;&gt;"",'선정 규칙'!$B$4,0)</x:f>
        <x:v>0</x:v>
      </x:c>
      <x:c r="C21" s="11" t="n">
        <x:f>IF(ISNUMBER(SEARCH("jmdict_uncommon_or_irregular",'제외 후보'!P21)),'선정 규칙'!$B$5,IF(ISNUMBER(SEARCH("jmdict_rare_or_dated",'제외 후보'!P21)),'선정 규칙'!$B$6,0))</x:f>
        <x:v>50</x:v>
      </x:c>
      <x:c r="D21" s="11" t="n">
        <x:f>IF(ISNUMBER(SEARCH("jmdict_exact_pair_not_found",'제외 후보'!P21)),'선정 규칙'!$B$7,0)</x:f>
        <x:v>0</x:v>
      </x:c>
      <x:c r="E21" s="11" t="n">
        <x:f>IF(OR('제외 후보'!L21="",'제외 후보'!L21&lt;=0),'선정 규칙'!$B$8,IF('제외 후보'!L21&lt;=1.5,'선정 규칙'!$B$9,IF('제외 후보'!L21&lt;=2,'선정 규칙'!$B$10,IF('제외 후보'!L21&lt;=2.5,'선정 규칙'!$B$11,IF('제외 후보'!L21&lt;=3,'선정 규칙'!$B$12,IF('제외 후보'!L21&lt;=3.5,'선정 규칙'!$B$13,IF('제외 후보'!L21&gt;=4.5,'선정 규칙'!$B$14,0)))))))</x:f>
        <x:v>26</x:v>
      </x:c>
      <x:c r="F21" s="11" t="n">
        <x:f>IF('제외 후보'!Y21=0,'선정 규칙'!$B$15,IF('제외 후보'!Y21&gt;=100,'선정 규칙'!$B$16,'선정 규칙'!$B$17))</x:f>
        <x:v>12</x:v>
      </x:c>
      <x:c r="G21" s="11" t="n">
        <x:f>IF('제외 후보'!M21="있음",'선정 규칙'!$B$18,'선정 규칙'!$B$19)</x:f>
        <x:v>6</x:v>
      </x:c>
      <x:c r="H21" s="11" t="n">
        <x:f>IF(ISNUMBER(SEARCH("freq-core",'제외 후보'!AD21)),'선정 규칙'!$B$20,0)</x:f>
        <x:v>0</x:v>
      </x:c>
      <x:c r="I21" s="11" t="n">
        <x:f>IF(ISNUMBER(SEARCH("weak_legacy_content",'제외 후보'!P21)),'선정 규칙'!$B$21,0)</x:f>
        <x:v>5</x:v>
      </x:c>
      <x:c r="J21" s="11" t="n">
        <x:f>IF('제외 후보'!AC21&lt;&gt;"",'선정 규칙'!$B$22,0)</x:f>
        <x:v>0</x:v>
      </x:c>
      <x:c r="K21" s="11" t="n">
        <x:f>SUM(B21:J21)</x:f>
        <x:v>99</x:v>
      </x:c>
      <x:c r="L21" s="11" t="n">
        <x:f>'제외 후보'!N21</x:f>
        <x:v>99</x:v>
      </x:c>
      <x:c r="M21" s="2" t="str">
        <x:f>IF(K21=L21,"OK","MISMATCH")</x:f>
        <x:v>OK</x:v>
      </x:c>
    </x:row>
    <x:row r="22">
      <x:c r="A22" s="2" t="str">
        <x:f>'제외 후보'!G22</x:f>
        <x:v>w_0adc20f77143546a</x:v>
      </x:c>
      <x:c r="B22" s="11" t="n">
        <x:f>IF('제외 후보'!Q22&lt;&gt;"",'선정 규칙'!$B$4,0)</x:f>
        <x:v>60</x:v>
      </x:c>
      <x:c r="C22" s="11" t="n">
        <x:f>IF(ISNUMBER(SEARCH("jmdict_uncommon_or_irregular",'제외 후보'!P22)),'선정 규칙'!$B$5,IF(ISNUMBER(SEARCH("jmdict_rare_or_dated",'제외 후보'!P22)),'선정 규칙'!$B$6,0))</x:f>
        <x:v>0</x:v>
      </x:c>
      <x:c r="D22" s="11" t="n">
        <x:f>IF(ISNUMBER(SEARCH("jmdict_exact_pair_not_found",'제외 후보'!P22)),'선정 규칙'!$B$7,0)</x:f>
        <x:v>35</x:v>
      </x:c>
      <x:c r="E22" s="11" t="n">
        <x:f>IF(OR('제외 후보'!L22="",'제외 후보'!L22&lt;=0),'선정 규칙'!$B$8,IF('제외 후보'!L22&lt;=1.5,'선정 규칙'!$B$9,IF('제외 후보'!L22&lt;=2,'선정 규칙'!$B$10,IF('제외 후보'!L22&lt;=2.5,'선정 규칙'!$B$11,IF('제외 후보'!L22&lt;=3,'선정 규칙'!$B$12,IF('제외 후보'!L22&lt;=3.5,'선정 규칙'!$B$13,IF('제외 후보'!L22&gt;=4.5,'선정 규칙'!$B$14,0)))))))</x:f>
        <x:v>-20</x:v>
      </x:c>
      <x:c r="F22" s="11" t="n">
        <x:f>IF('제외 후보'!Y22=0,'선정 규칙'!$B$15,IF('제외 후보'!Y22&gt;=100,'선정 규칙'!$B$16,'선정 규칙'!$B$17))</x:f>
        <x:v>12</x:v>
      </x:c>
      <x:c r="G22" s="11" t="n">
        <x:f>IF('제외 후보'!M22="있음",'선정 규칙'!$B$18,'선정 규칙'!$B$19)</x:f>
        <x:v>6</x:v>
      </x:c>
      <x:c r="H22" s="11" t="n">
        <x:f>IF(ISNUMBER(SEARCH("freq-core",'제외 후보'!AD22)),'선정 규칙'!$B$20,0)</x:f>
        <x:v>0</x:v>
      </x:c>
      <x:c r="I22" s="11" t="n">
        <x:f>IF(ISNUMBER(SEARCH("weak_legacy_content",'제외 후보'!P22)),'선정 규칙'!$B$21,0)</x:f>
        <x:v>5</x:v>
      </x:c>
      <x:c r="J22" s="11" t="n">
        <x:f>IF('제외 후보'!AC22&lt;&gt;"",'선정 규칙'!$B$22,0)</x:f>
        <x:v>0</x:v>
      </x:c>
      <x:c r="K22" s="11" t="n">
        <x:f>SUM(B22:J22)</x:f>
        <x:v>98</x:v>
      </x:c>
      <x:c r="L22" s="11" t="n">
        <x:f>'제외 후보'!N22</x:f>
        <x:v>98</x:v>
      </x:c>
      <x:c r="M22" s="2" t="str">
        <x:f>IF(K22=L22,"OK","MISMATCH")</x:f>
        <x:v>OK</x:v>
      </x:c>
    </x:row>
    <x:row r="23">
      <x:c r="A23" s="2" t="str">
        <x:f>'제외 후보'!G23</x:f>
        <x:v>w_1c1503ab26f6fd96</x:v>
      </x:c>
      <x:c r="B23" s="11" t="n">
        <x:f>IF('제외 후보'!Q23&lt;&gt;"",'선정 규칙'!$B$4,0)</x:f>
        <x:v>60</x:v>
      </x:c>
      <x:c r="C23" s="11" t="n">
        <x:f>IF(ISNUMBER(SEARCH("jmdict_uncommon_or_irregular",'제외 후보'!P23)),'선정 규칙'!$B$5,IF(ISNUMBER(SEARCH("jmdict_rare_or_dated",'제외 후보'!P23)),'선정 규칙'!$B$6,0))</x:f>
        <x:v>50</x:v>
      </x:c>
      <x:c r="D23" s="11" t="n">
        <x:f>IF(ISNUMBER(SEARCH("jmdict_exact_pair_not_found",'제외 후보'!P23)),'선정 규칙'!$B$7,0)</x:f>
        <x:v>0</x:v>
      </x:c>
      <x:c r="E23" s="11" t="n">
        <x:f>IF(OR('제외 후보'!L23="",'제외 후보'!L23&lt;=0),'선정 규칙'!$B$8,IF('제외 후보'!L23&lt;=1.5,'선정 규칙'!$B$9,IF('제외 후보'!L23&lt;=2,'선정 규칙'!$B$10,IF('제외 후보'!L23&lt;=2.5,'선정 규칙'!$B$11,IF('제외 후보'!L23&lt;=3,'선정 규칙'!$B$12,IF('제외 후보'!L23&lt;=3.5,'선정 규칙'!$B$13,IF('제외 후보'!L23&gt;=4.5,'선정 규칙'!$B$14,0)))))))</x:f>
        <x:v>0</x:v>
      </x:c>
      <x:c r="F23" s="11" t="n">
        <x:f>IF('제외 후보'!Y23=0,'선정 규칙'!$B$15,IF('제외 후보'!Y23&gt;=100,'선정 규칙'!$B$16,'선정 규칙'!$B$17))</x:f>
        <x:v>-25</x:v>
      </x:c>
      <x:c r="G23" s="11" t="n">
        <x:f>IF('제외 후보'!M23="있음",'선정 규칙'!$B$18,'선정 규칙'!$B$19)</x:f>
        <x:v>6</x:v>
      </x:c>
      <x:c r="H23" s="11" t="n">
        <x:f>IF(ISNUMBER(SEARCH("freq-core",'제외 후보'!AD23)),'선정 규칙'!$B$20,0)</x:f>
        <x:v>0</x:v>
      </x:c>
      <x:c r="I23" s="11" t="n">
        <x:f>IF(ISNUMBER(SEARCH("weak_legacy_content",'제외 후보'!P23)),'선정 규칙'!$B$21,0)</x:f>
        <x:v>5</x:v>
      </x:c>
      <x:c r="J23" s="11" t="n">
        <x:f>IF('제외 후보'!AC23&lt;&gt;"",'선정 규칙'!$B$22,0)</x:f>
        <x:v>0</x:v>
      </x:c>
      <x:c r="K23" s="11" t="n">
        <x:f>SUM(B23:J23)</x:f>
        <x:v>96</x:v>
      </x:c>
      <x:c r="L23" s="11" t="n">
        <x:f>'제외 후보'!N23</x:f>
        <x:v>96</x:v>
      </x:c>
      <x:c r="M23" s="2" t="str">
        <x:f>IF(K23=L23,"OK","MISMATCH")</x:f>
        <x:v>OK</x:v>
      </x:c>
    </x:row>
    <x:row r="24">
      <x:c r="A24" s="2" t="str">
        <x:f>'제외 후보'!G24</x:f>
        <x:v>w_f56c74b2555e2887</x:v>
      </x:c>
      <x:c r="B24" s="11" t="n">
        <x:f>IF('제외 후보'!Q24&lt;&gt;"",'선정 규칙'!$B$4,0)</x:f>
        <x:v>60</x:v>
      </x:c>
      <x:c r="C24" s="11" t="n">
        <x:f>IF(ISNUMBER(SEARCH("jmdict_uncommon_or_irregular",'제외 후보'!P24)),'선정 규칙'!$B$5,IF(ISNUMBER(SEARCH("jmdict_rare_or_dated",'제외 후보'!P24)),'선정 규칙'!$B$6,0))</x:f>
        <x:v>0</x:v>
      </x:c>
      <x:c r="D24" s="11" t="n">
        <x:f>IF(ISNUMBER(SEARCH("jmdict_exact_pair_not_found",'제외 후보'!P24)),'선정 규칙'!$B$7,0)</x:f>
        <x:v>0</x:v>
      </x:c>
      <x:c r="E24" s="11" t="n">
        <x:f>IF(OR('제외 후보'!L24="",'제외 후보'!L24&lt;=0),'선정 규칙'!$B$8,IF('제외 후보'!L24&lt;=1.5,'선정 규칙'!$B$9,IF('제외 후보'!L24&lt;=2,'선정 규칙'!$B$10,IF('제외 후보'!L24&lt;=2.5,'선정 규칙'!$B$11,IF('제외 후보'!L24&lt;=3,'선정 규칙'!$B$12,IF('제외 후보'!L24&lt;=3.5,'선정 규칙'!$B$13,IF('제외 후보'!L24&gt;=4.5,'선정 규칙'!$B$14,0)))))))</x:f>
        <x:v>12</x:v>
      </x:c>
      <x:c r="F24" s="11" t="n">
        <x:f>IF('제외 후보'!Y24=0,'선정 규칙'!$B$15,IF('제외 후보'!Y24&gt;=100,'선정 규칙'!$B$16,'선정 규칙'!$B$17))</x:f>
        <x:v>12</x:v>
      </x:c>
      <x:c r="G24" s="11" t="n">
        <x:f>IF('제외 후보'!M24="있음",'선정 규칙'!$B$18,'선정 규칙'!$B$19)</x:f>
        <x:v>6</x:v>
      </x:c>
      <x:c r="H24" s="11" t="n">
        <x:f>IF(ISNUMBER(SEARCH("freq-core",'제외 후보'!AD24)),'선정 규칙'!$B$20,0)</x:f>
        <x:v>0</x:v>
      </x:c>
      <x:c r="I24" s="11" t="n">
        <x:f>IF(ISNUMBER(SEARCH("weak_legacy_content",'제외 후보'!P24)),'선정 규칙'!$B$21,0)</x:f>
        <x:v>5</x:v>
      </x:c>
      <x:c r="J24" s="11" t="n">
        <x:f>IF('제외 후보'!AC24&lt;&gt;"",'선정 규칙'!$B$22,0)</x:f>
        <x:v>0</x:v>
      </x:c>
      <x:c r="K24" s="11" t="n">
        <x:f>SUM(B24:J24)</x:f>
        <x:v>95</x:v>
      </x:c>
      <x:c r="L24" s="11" t="n">
        <x:f>'제외 후보'!N24</x:f>
        <x:v>95</x:v>
      </x:c>
      <x:c r="M24" s="2" t="str">
        <x:f>IF(K24=L24,"OK","MISMATCH")</x:f>
        <x:v>OK</x:v>
      </x:c>
    </x:row>
    <x:row r="25">
      <x:c r="A25" s="2" t="str">
        <x:f>'제외 후보'!G25</x:f>
        <x:v>w_de63da100ac1f50b</x:v>
      </x:c>
      <x:c r="B25" s="11" t="n">
        <x:f>IF('제외 후보'!Q25&lt;&gt;"",'선정 규칙'!$B$4,0)</x:f>
        <x:v>60</x:v>
      </x:c>
      <x:c r="C25" s="11" t="n">
        <x:f>IF(ISNUMBER(SEARCH("jmdict_uncommon_or_irregular",'제외 후보'!P25)),'선정 규칙'!$B$5,IF(ISNUMBER(SEARCH("jmdict_rare_or_dated",'제외 후보'!P25)),'선정 규칙'!$B$6,0))</x:f>
        <x:v>0</x:v>
      </x:c>
      <x:c r="D25" s="11" t="n">
        <x:f>IF(ISNUMBER(SEARCH("jmdict_exact_pair_not_found",'제외 후보'!P25)),'선정 규칙'!$B$7,0)</x:f>
        <x:v>0</x:v>
      </x:c>
      <x:c r="E25" s="11" t="n">
        <x:f>IF(OR('제외 후보'!L25="",'제외 후보'!L25&lt;=0),'선정 규칙'!$B$8,IF('제외 후보'!L25&lt;=1.5,'선정 규칙'!$B$9,IF('제외 후보'!L25&lt;=2,'선정 규칙'!$B$10,IF('제외 후보'!L25&lt;=2.5,'선정 규칙'!$B$11,IF('제외 후보'!L25&lt;=3,'선정 규칙'!$B$12,IF('제외 후보'!L25&lt;=3.5,'선정 규칙'!$B$13,IF('제외 후보'!L25&gt;=4.5,'선정 규칙'!$B$14,0)))))))</x:f>
        <x:v>12</x:v>
      </x:c>
      <x:c r="F25" s="11" t="n">
        <x:f>IF('제외 후보'!Y25=0,'선정 규칙'!$B$15,IF('제외 후보'!Y25&gt;=100,'선정 규칙'!$B$16,'선정 규칙'!$B$17))</x:f>
        <x:v>12</x:v>
      </x:c>
      <x:c r="G25" s="11" t="n">
        <x:f>IF('제외 후보'!M25="있음",'선정 규칙'!$B$18,'선정 규칙'!$B$19)</x:f>
        <x:v>6</x:v>
      </x:c>
      <x:c r="H25" s="11" t="n">
        <x:f>IF(ISNUMBER(SEARCH("freq-core",'제외 후보'!AD25)),'선정 규칙'!$B$20,0)</x:f>
        <x:v>0</x:v>
      </x:c>
      <x:c r="I25" s="11" t="n">
        <x:f>IF(ISNUMBER(SEARCH("weak_legacy_content",'제외 후보'!P25)),'선정 규칙'!$B$21,0)</x:f>
        <x:v>5</x:v>
      </x:c>
      <x:c r="J25" s="11" t="n">
        <x:f>IF('제외 후보'!AC25&lt;&gt;"",'선정 규칙'!$B$22,0)</x:f>
        <x:v>0</x:v>
      </x:c>
      <x:c r="K25" s="11" t="n">
        <x:f>SUM(B25:J25)</x:f>
        <x:v>95</x:v>
      </x:c>
      <x:c r="L25" s="11" t="n">
        <x:f>'제외 후보'!N25</x:f>
        <x:v>95</x:v>
      </x:c>
      <x:c r="M25" s="2" t="str">
        <x:f>IF(K25=L25,"OK","MISMATCH")</x:f>
        <x:v>OK</x:v>
      </x:c>
    </x:row>
    <x:row r="26">
      <x:c r="A26" s="2" t="str">
        <x:f>'제외 후보'!G26</x:f>
        <x:v>w_de76ea12bc756bce</x:v>
      </x:c>
      <x:c r="B26" s="11" t="n">
        <x:f>IF('제외 후보'!Q26&lt;&gt;"",'선정 규칙'!$B$4,0)</x:f>
        <x:v>60</x:v>
      </x:c>
      <x:c r="C26" s="11" t="n">
        <x:f>IF(ISNUMBER(SEARCH("jmdict_uncommon_or_irregular",'제외 후보'!P26)),'선정 규칙'!$B$5,IF(ISNUMBER(SEARCH("jmdict_rare_or_dated",'제외 후보'!P26)),'선정 규칙'!$B$6,0))</x:f>
        <x:v>0</x:v>
      </x:c>
      <x:c r="D26" s="11" t="n">
        <x:f>IF(ISNUMBER(SEARCH("jmdict_exact_pair_not_found",'제외 후보'!P26)),'선정 규칙'!$B$7,0)</x:f>
        <x:v>0</x:v>
      </x:c>
      <x:c r="E26" s="11" t="n">
        <x:f>IF(OR('제외 후보'!L26="",'제외 후보'!L26&lt;=0),'선정 규칙'!$B$8,IF('제외 후보'!L26&lt;=1.5,'선정 규칙'!$B$9,IF('제외 후보'!L26&lt;=2,'선정 규칙'!$B$10,IF('제외 후보'!L26&lt;=2.5,'선정 규칙'!$B$11,IF('제외 후보'!L26&lt;=3,'선정 규칙'!$B$12,IF('제외 후보'!L26&lt;=3.5,'선정 규칙'!$B$13,IF('제외 후보'!L26&gt;=4.5,'선정 규칙'!$B$14,0)))))))</x:f>
        <x:v>12</x:v>
      </x:c>
      <x:c r="F26" s="11" t="n">
        <x:f>IF('제외 후보'!Y26=0,'선정 규칙'!$B$15,IF('제외 후보'!Y26&gt;=100,'선정 규칙'!$B$16,'선정 규칙'!$B$17))</x:f>
        <x:v>12</x:v>
      </x:c>
      <x:c r="G26" s="11" t="n">
        <x:f>IF('제외 후보'!M26="있음",'선정 규칙'!$B$18,'선정 규칙'!$B$19)</x:f>
        <x:v>6</x:v>
      </x:c>
      <x:c r="H26" s="11" t="n">
        <x:f>IF(ISNUMBER(SEARCH("freq-core",'제외 후보'!AD26)),'선정 규칙'!$B$20,0)</x:f>
        <x:v>0</x:v>
      </x:c>
      <x:c r="I26" s="11" t="n">
        <x:f>IF(ISNUMBER(SEARCH("weak_legacy_content",'제외 후보'!P26)),'선정 규칙'!$B$21,0)</x:f>
        <x:v>5</x:v>
      </x:c>
      <x:c r="J26" s="11" t="n">
        <x:f>IF('제외 후보'!AC26&lt;&gt;"",'선정 규칙'!$B$22,0)</x:f>
        <x:v>0</x:v>
      </x:c>
      <x:c r="K26" s="11" t="n">
        <x:f>SUM(B26:J26)</x:f>
        <x:v>95</x:v>
      </x:c>
      <x:c r="L26" s="11" t="n">
        <x:f>'제외 후보'!N26</x:f>
        <x:v>95</x:v>
      </x:c>
      <x:c r="M26" s="2" t="str">
        <x:f>IF(K26=L26,"OK","MISMATCH")</x:f>
        <x:v>OK</x:v>
      </x:c>
    </x:row>
    <x:row r="27">
      <x:c r="A27" s="2" t="str">
        <x:f>'제외 후보'!G27</x:f>
        <x:v>w_ed0aaec22c22bcb4</x:v>
      </x:c>
      <x:c r="B27" s="11" t="n">
        <x:f>IF('제외 후보'!Q27&lt;&gt;"",'선정 규칙'!$B$4,0)</x:f>
        <x:v>0</x:v>
      </x:c>
      <x:c r="C27" s="11" t="n">
        <x:f>IF(ISNUMBER(SEARCH("jmdict_uncommon_or_irregular",'제외 후보'!P27)),'선정 규칙'!$B$5,IF(ISNUMBER(SEARCH("jmdict_rare_or_dated",'제외 후보'!P27)),'선정 규칙'!$B$6,0))</x:f>
        <x:v>0</x:v>
      </x:c>
      <x:c r="D27" s="11" t="n">
        <x:f>IF(ISNUMBER(SEARCH("jmdict_exact_pair_not_found",'제외 후보'!P27)),'선정 규칙'!$B$7,0)</x:f>
        <x:v>35</x:v>
      </x:c>
      <x:c r="E27" s="11" t="n">
        <x:f>IF(OR('제외 후보'!L27="",'제외 후보'!L27&lt;=0),'선정 규칙'!$B$8,IF('제외 후보'!L27&lt;=1.5,'선정 규칙'!$B$9,IF('제외 후보'!L27&lt;=2,'선정 규칙'!$B$10,IF('제외 후보'!L27&lt;=2.5,'선정 규칙'!$B$11,IF('제외 후보'!L27&lt;=3,'선정 규칙'!$B$12,IF('제외 후보'!L27&lt;=3.5,'선정 규칙'!$B$13,IF('제외 후보'!L27&gt;=4.5,'선정 규칙'!$B$14,0)))))))</x:f>
        <x:v>40</x:v>
      </x:c>
      <x:c r="F27" s="11" t="n">
        <x:f>IF('제외 후보'!Y27=0,'선정 규칙'!$B$15,IF('제외 후보'!Y27&gt;=100,'선정 규칙'!$B$16,'선정 규칙'!$B$17))</x:f>
        <x:v>12</x:v>
      </x:c>
      <x:c r="G27" s="11" t="n">
        <x:f>IF('제외 후보'!M27="있음",'선정 규칙'!$B$18,'선정 규칙'!$B$19)</x:f>
        <x:v>6</x:v>
      </x:c>
      <x:c r="H27" s="11" t="n">
        <x:f>IF(ISNUMBER(SEARCH("freq-core",'제외 후보'!AD27)),'선정 규칙'!$B$20,0)</x:f>
        <x:v>0</x:v>
      </x:c>
      <x:c r="I27" s="11" t="n">
        <x:f>IF(ISNUMBER(SEARCH("weak_legacy_content",'제외 후보'!P27)),'선정 규칙'!$B$21,0)</x:f>
        <x:v>0</x:v>
      </x:c>
      <x:c r="J27" s="11" t="n">
        <x:f>IF('제외 후보'!AC27&lt;&gt;"",'선정 규칙'!$B$22,0)</x:f>
        <x:v>0</x:v>
      </x:c>
      <x:c r="K27" s="11" t="n">
        <x:f>SUM(B27:J27)</x:f>
        <x:v>93</x:v>
      </x:c>
      <x:c r="L27" s="11" t="n">
        <x:f>'제외 후보'!N27</x:f>
        <x:v>93</x:v>
      </x:c>
      <x:c r="M27" s="2" t="str">
        <x:f>IF(K27=L27,"OK","MISMATCH")</x:f>
        <x:v>OK</x:v>
      </x:c>
    </x:row>
    <x:row r="28">
      <x:c r="A28" s="2" t="str">
        <x:f>'제외 후보'!G28</x:f>
        <x:v>w_a02732cc17e7d4fd</x:v>
      </x:c>
      <x:c r="B28" s="11" t="n">
        <x:f>IF('제외 후보'!Q28&lt;&gt;"",'선정 규칙'!$B$4,0)</x:f>
        <x:v>60</x:v>
      </x:c>
      <x:c r="C28" s="11" t="n">
        <x:f>IF(ISNUMBER(SEARCH("jmdict_uncommon_or_irregular",'제외 후보'!P28)),'선정 규칙'!$B$5,IF(ISNUMBER(SEARCH("jmdict_rare_or_dated",'제외 후보'!P28)),'선정 규칙'!$B$6,0))</x:f>
        <x:v>0</x:v>
      </x:c>
      <x:c r="D28" s="11" t="n">
        <x:f>IF(ISNUMBER(SEARCH("jmdict_exact_pair_not_found",'제외 후보'!P28)),'선정 규칙'!$B$7,0)</x:f>
        <x:v>0</x:v>
      </x:c>
      <x:c r="E28" s="11" t="n">
        <x:f>IF(OR('제외 후보'!L28="",'제외 후보'!L28&lt;=0),'선정 규칙'!$B$8,IF('제외 후보'!L28&lt;=1.5,'선정 규칙'!$B$9,IF('제외 후보'!L28&lt;=2,'선정 규칙'!$B$10,IF('제외 후보'!L28&lt;=2.5,'선정 규칙'!$B$11,IF('제외 후보'!L28&lt;=3,'선정 규칙'!$B$12,IF('제외 후보'!L28&lt;=3.5,'선정 규칙'!$B$13,IF('제외 후보'!L28&gt;=4.5,'선정 규칙'!$B$14,0)))))))</x:f>
        <x:v>32</x:v>
      </x:c>
      <x:c r="F28" s="11" t="n">
        <x:f>IF('제외 후보'!Y28=0,'선정 규칙'!$B$15,IF('제외 후보'!Y28&gt;=100,'선정 규칙'!$B$16,'선정 규칙'!$B$17))</x:f>
        <x:v>-12</x:v>
      </x:c>
      <x:c r="G28" s="11" t="n">
        <x:f>IF('제외 후보'!M28="있음",'선정 규칙'!$B$18,'선정 규칙'!$B$19)</x:f>
        <x:v>6</x:v>
      </x:c>
      <x:c r="H28" s="11" t="n">
        <x:f>IF(ISNUMBER(SEARCH("freq-core",'제외 후보'!AD28)),'선정 규칙'!$B$20,0)</x:f>
        <x:v>0</x:v>
      </x:c>
      <x:c r="I28" s="11" t="n">
        <x:f>IF(ISNUMBER(SEARCH("weak_legacy_content",'제외 후보'!P28)),'선정 규칙'!$B$21,0)</x:f>
        <x:v>5</x:v>
      </x:c>
      <x:c r="J28" s="11" t="n">
        <x:f>IF('제외 후보'!AC28&lt;&gt;"",'선정 규칙'!$B$22,0)</x:f>
        <x:v>0</x:v>
      </x:c>
      <x:c r="K28" s="11" t="n">
        <x:f>SUM(B28:J28)</x:f>
        <x:v>91</x:v>
      </x:c>
      <x:c r="L28" s="11" t="n">
        <x:f>'제외 후보'!N28</x:f>
        <x:v>91</x:v>
      </x:c>
      <x:c r="M28" s="2" t="str">
        <x:f>IF(K28=L28,"OK","MISMATCH")</x:f>
        <x:v>OK</x:v>
      </x:c>
    </x:row>
    <x:row r="29">
      <x:c r="A29" s="2" t="str">
        <x:f>'제외 후보'!G29</x:f>
        <x:v>w_3a7105fe1e3761ba</x:v>
      </x:c>
      <x:c r="B29" s="11" t="n">
        <x:f>IF('제외 후보'!Q29&lt;&gt;"",'선정 규칙'!$B$4,0)</x:f>
        <x:v>60</x:v>
      </x:c>
      <x:c r="C29" s="11" t="n">
        <x:f>IF(ISNUMBER(SEARCH("jmdict_uncommon_or_irregular",'제외 후보'!P29)),'선정 규칙'!$B$5,IF(ISNUMBER(SEARCH("jmdict_rare_or_dated",'제외 후보'!P29)),'선정 규칙'!$B$6,0))</x:f>
        <x:v>50</x:v>
      </x:c>
      <x:c r="D29" s="11" t="n">
        <x:f>IF(ISNUMBER(SEARCH("jmdict_exact_pair_not_found",'제외 후보'!P29)),'선정 규칙'!$B$7,0)</x:f>
        <x:v>0</x:v>
      </x:c>
      <x:c r="E29" s="11" t="n">
        <x:f>IF(OR('제외 후보'!L29="",'제외 후보'!L29&lt;=0),'선정 규칙'!$B$8,IF('제외 후보'!L29&lt;=1.5,'선정 규칙'!$B$9,IF('제외 후보'!L29&lt;=2,'선정 규칙'!$B$10,IF('제외 후보'!L29&lt;=2.5,'선정 규칙'!$B$11,IF('제외 후보'!L29&lt;=3,'선정 규칙'!$B$12,IF('제외 후보'!L29&lt;=3.5,'선정 규칙'!$B$13,IF('제외 후보'!L29&gt;=4.5,'선정 규칙'!$B$14,0)))))))</x:f>
        <x:v>0</x:v>
      </x:c>
      <x:c r="F29" s="11" t="n">
        <x:f>IF('제외 후보'!Y29=0,'선정 규칙'!$B$15,IF('제외 후보'!Y29&gt;=100,'선정 규칙'!$B$16,'선정 규칙'!$B$17))</x:f>
        <x:v>-25</x:v>
      </x:c>
      <x:c r="G29" s="11" t="n">
        <x:f>IF('제외 후보'!M29="있음",'선정 규칙'!$B$18,'선정 규칙'!$B$19)</x:f>
        <x:v>6</x:v>
      </x:c>
      <x:c r="H29" s="11" t="n">
        <x:f>IF(ISNUMBER(SEARCH("freq-core",'제외 후보'!AD29)),'선정 규칙'!$B$20,0)</x:f>
        <x:v>0</x:v>
      </x:c>
      <x:c r="I29" s="11" t="n">
        <x:f>IF(ISNUMBER(SEARCH("weak_legacy_content",'제외 후보'!P29)),'선정 규칙'!$B$21,0)</x:f>
        <x:v>0</x:v>
      </x:c>
      <x:c r="J29" s="11" t="n">
        <x:f>IF('제외 후보'!AC29&lt;&gt;"",'선정 규칙'!$B$22,0)</x:f>
        <x:v>0</x:v>
      </x:c>
      <x:c r="K29" s="11" t="n">
        <x:f>SUM(B29:J29)</x:f>
        <x:v>91</x:v>
      </x:c>
      <x:c r="L29" s="11" t="n">
        <x:f>'제외 후보'!N29</x:f>
        <x:v>91</x:v>
      </x:c>
      <x:c r="M29" s="2" t="str">
        <x:f>IF(K29=L29,"OK","MISMATCH")</x:f>
        <x:v>OK</x:v>
      </x:c>
    </x:row>
    <x:row r="30">
      <x:c r="A30" s="2" t="str">
        <x:f>'제외 후보'!G30</x:f>
        <x:v>w_38ac458c94532dec</x:v>
      </x:c>
      <x:c r="B30" s="11" t="n">
        <x:f>IF('제외 후보'!Q30&lt;&gt;"",'선정 규칙'!$B$4,0)</x:f>
        <x:v>60</x:v>
      </x:c>
      <x:c r="C30" s="11" t="n">
        <x:f>IF(ISNUMBER(SEARCH("jmdict_uncommon_or_irregular",'제외 후보'!P30)),'선정 규칙'!$B$5,IF(ISNUMBER(SEARCH("jmdict_rare_or_dated",'제외 후보'!P30)),'선정 규칙'!$B$6,0))</x:f>
        <x:v>50</x:v>
      </x:c>
      <x:c r="D30" s="11" t="n">
        <x:f>IF(ISNUMBER(SEARCH("jmdict_exact_pair_not_found",'제외 후보'!P30)),'선정 규칙'!$B$7,0)</x:f>
        <x:v>0</x:v>
      </x:c>
      <x:c r="E30" s="11" t="n">
        <x:f>IF(OR('제외 후보'!L30="",'제외 후보'!L30&lt;=0),'선정 규칙'!$B$8,IF('제외 후보'!L30&lt;=1.5,'선정 규칙'!$B$9,IF('제외 후보'!L30&lt;=2,'선정 규칙'!$B$10,IF('제외 후보'!L30&lt;=2.5,'선정 규칙'!$B$11,IF('제외 후보'!L30&lt;=3,'선정 규칙'!$B$12,IF('제외 후보'!L30&lt;=3.5,'선정 규칙'!$B$13,IF('제외 후보'!L30&gt;=4.5,'선정 규칙'!$B$14,0)))))))</x:f>
        <x:v>0</x:v>
      </x:c>
      <x:c r="F30" s="11" t="n">
        <x:f>IF('제외 후보'!Y30=0,'선정 규칙'!$B$15,IF('제외 후보'!Y30&gt;=100,'선정 규칙'!$B$16,'선정 규칙'!$B$17))</x:f>
        <x:v>-25</x:v>
      </x:c>
      <x:c r="G30" s="11" t="n">
        <x:f>IF('제외 후보'!M30="있음",'선정 규칙'!$B$18,'선정 규칙'!$B$19)</x:f>
        <x:v>6</x:v>
      </x:c>
      <x:c r="H30" s="11" t="n">
        <x:f>IF(ISNUMBER(SEARCH("freq-core",'제외 후보'!AD30)),'선정 규칙'!$B$20,0)</x:f>
        <x:v>0</x:v>
      </x:c>
      <x:c r="I30" s="11" t="n">
        <x:f>IF(ISNUMBER(SEARCH("weak_legacy_content",'제외 후보'!P30)),'선정 규칙'!$B$21,0)</x:f>
        <x:v>0</x:v>
      </x:c>
      <x:c r="J30" s="11" t="n">
        <x:f>IF('제외 후보'!AC30&lt;&gt;"",'선정 규칙'!$B$22,0)</x:f>
        <x:v>0</x:v>
      </x:c>
      <x:c r="K30" s="11" t="n">
        <x:f>SUM(B30:J30)</x:f>
        <x:v>91</x:v>
      </x:c>
      <x:c r="L30" s="11" t="n">
        <x:f>'제외 후보'!N30</x:f>
        <x:v>91</x:v>
      </x:c>
      <x:c r="M30" s="2" t="str">
        <x:f>IF(K30=L30,"OK","MISMATCH")</x:f>
        <x:v>OK</x:v>
      </x:c>
    </x:row>
    <x:row r="31">
      <x:c r="A31" s="2" t="str">
        <x:f>'제외 후보'!G31</x:f>
        <x:v>w_d38bcdd07657b230</x:v>
      </x:c>
      <x:c r="B31" s="11" t="n">
        <x:f>IF('제외 후보'!Q31&lt;&gt;"",'선정 규칙'!$B$4,0)</x:f>
        <x:v>60</x:v>
      </x:c>
      <x:c r="C31" s="11" t="n">
        <x:f>IF(ISNUMBER(SEARCH("jmdict_uncommon_or_irregular",'제외 후보'!P31)),'선정 규칙'!$B$5,IF(ISNUMBER(SEARCH("jmdict_rare_or_dated",'제외 후보'!P31)),'선정 규칙'!$B$6,0))</x:f>
        <x:v>50</x:v>
      </x:c>
      <x:c r="D31" s="11" t="n">
        <x:f>IF(ISNUMBER(SEARCH("jmdict_exact_pair_not_found",'제외 후보'!P31)),'선정 규칙'!$B$7,0)</x:f>
        <x:v>0</x:v>
      </x:c>
      <x:c r="E31" s="11" t="n">
        <x:f>IF(OR('제외 후보'!L31="",'제외 후보'!L31&lt;=0),'선정 규칙'!$B$8,IF('제외 후보'!L31&lt;=1.5,'선정 규칙'!$B$9,IF('제외 후보'!L31&lt;=2,'선정 규칙'!$B$10,IF('제외 후보'!L31&lt;=2.5,'선정 규칙'!$B$11,IF('제외 후보'!L31&lt;=3,'선정 규칙'!$B$12,IF('제외 후보'!L31&lt;=3.5,'선정 규칙'!$B$13,IF('제외 후보'!L31&gt;=4.5,'선정 규칙'!$B$14,0)))))))</x:f>
        <x:v>0</x:v>
      </x:c>
      <x:c r="F31" s="11" t="n">
        <x:f>IF('제외 후보'!Y31=0,'선정 규칙'!$B$15,IF('제외 후보'!Y31&gt;=100,'선정 규칙'!$B$16,'선정 규칙'!$B$17))</x:f>
        <x:v>-25</x:v>
      </x:c>
      <x:c r="G31" s="11" t="n">
        <x:f>IF('제외 후보'!M31="있음",'선정 규칙'!$B$18,'선정 규칙'!$B$19)</x:f>
        <x:v>6</x:v>
      </x:c>
      <x:c r="H31" s="11" t="n">
        <x:f>IF(ISNUMBER(SEARCH("freq-core",'제외 후보'!AD31)),'선정 규칙'!$B$20,0)</x:f>
        <x:v>0</x:v>
      </x:c>
      <x:c r="I31" s="11" t="n">
        <x:f>IF(ISNUMBER(SEARCH("weak_legacy_content",'제외 후보'!P31)),'선정 규칙'!$B$21,0)</x:f>
        <x:v>0</x:v>
      </x:c>
      <x:c r="J31" s="11" t="n">
        <x:f>IF('제외 후보'!AC31&lt;&gt;"",'선정 규칙'!$B$22,0)</x:f>
        <x:v>0</x:v>
      </x:c>
      <x:c r="K31" s="11" t="n">
        <x:f>SUM(B31:J31)</x:f>
        <x:v>91</x:v>
      </x:c>
      <x:c r="L31" s="11" t="n">
        <x:f>'제외 후보'!N31</x:f>
        <x:v>91</x:v>
      </x:c>
      <x:c r="M31" s="2" t="str">
        <x:f>IF(K31=L31,"OK","MISMATCH")</x:f>
        <x:v>OK</x:v>
      </x:c>
    </x:row>
    <x:row r="32">
      <x:c r="A32" s="2" t="str">
        <x:f>'제외 후보'!G32</x:f>
        <x:v>w_1a8c0155532e3245</x:v>
      </x:c>
      <x:c r="B32" s="11" t="n">
        <x:f>IF('제외 후보'!Q32&lt;&gt;"",'선정 규칙'!$B$4,0)</x:f>
        <x:v>0</x:v>
      </x:c>
      <x:c r="C32" s="11" t="n">
        <x:f>IF(ISNUMBER(SEARCH("jmdict_uncommon_or_irregular",'제외 후보'!P32)),'선정 규칙'!$B$5,IF(ISNUMBER(SEARCH("jmdict_rare_or_dated",'제외 후보'!P32)),'선정 규칙'!$B$6,0))</x:f>
        <x:v>50</x:v>
      </x:c>
      <x:c r="D32" s="11" t="n">
        <x:f>IF(ISNUMBER(SEARCH("jmdict_exact_pair_not_found",'제외 후보'!P32)),'선정 규칙'!$B$7,0)</x:f>
        <x:v>0</x:v>
      </x:c>
      <x:c r="E32" s="11" t="n">
        <x:f>IF(OR('제외 후보'!L32="",'제외 후보'!L32&lt;=0),'선정 규칙'!$B$8,IF('제외 후보'!L32&lt;=1.5,'선정 규칙'!$B$9,IF('제외 후보'!L32&lt;=2,'선정 규칙'!$B$10,IF('제외 후보'!L32&lt;=2.5,'선정 규칙'!$B$11,IF('제외 후보'!L32&lt;=3,'선정 규칙'!$B$12,IF('제외 후보'!L32&lt;=3.5,'선정 규칙'!$B$13,IF('제외 후보'!L32&gt;=4.5,'선정 규칙'!$B$14,0)))))))</x:f>
        <x:v>20</x:v>
      </x:c>
      <x:c r="F32" s="11" t="n">
        <x:f>IF('제외 후보'!Y32=0,'선정 규칙'!$B$15,IF('제외 후보'!Y32&gt;=100,'선정 규칙'!$B$16,'선정 규칙'!$B$17))</x:f>
        <x:v>12</x:v>
      </x:c>
      <x:c r="G32" s="11" t="n">
        <x:f>IF('제외 후보'!M32="있음",'선정 규칙'!$B$18,'선정 규칙'!$B$19)</x:f>
        <x:v>6</x:v>
      </x:c>
      <x:c r="H32" s="11" t="n">
        <x:f>IF(ISNUMBER(SEARCH("freq-core",'제외 후보'!AD32)),'선정 규칙'!$B$20,0)</x:f>
        <x:v>0</x:v>
      </x:c>
      <x:c r="I32" s="11" t="n">
        <x:f>IF(ISNUMBER(SEARCH("weak_legacy_content",'제외 후보'!P32)),'선정 규칙'!$B$21,0)</x:f>
        <x:v>0</x:v>
      </x:c>
      <x:c r="J32" s="11" t="n">
        <x:f>IF('제외 후보'!AC32&lt;&gt;"",'선정 규칙'!$B$22,0)</x:f>
        <x:v>0</x:v>
      </x:c>
      <x:c r="K32" s="11" t="n">
        <x:f>SUM(B32:J32)</x:f>
        <x:v>88</x:v>
      </x:c>
      <x:c r="L32" s="11" t="n">
        <x:f>'제외 후보'!N32</x:f>
        <x:v>88</x:v>
      </x:c>
      <x:c r="M32" s="2" t="str">
        <x:f>IF(K32=L32,"OK","MISMATCH")</x:f>
        <x:v>OK</x:v>
      </x:c>
    </x:row>
    <x:row r="33">
      <x:c r="A33" s="2" t="str">
        <x:f>'제외 후보'!G33</x:f>
        <x:v>w_a015d80e0c488f30</x:v>
      </x:c>
      <x:c r="B33" s="11" t="n">
        <x:f>IF('제외 후보'!Q33&lt;&gt;"",'선정 규칙'!$B$4,0)</x:f>
        <x:v>60</x:v>
      </x:c>
      <x:c r="C33" s="11" t="n">
        <x:f>IF(ISNUMBER(SEARCH("jmdict_uncommon_or_irregular",'제외 후보'!P33)),'선정 규칙'!$B$5,IF(ISNUMBER(SEARCH("jmdict_rare_or_dated",'제외 후보'!P33)),'선정 규칙'!$B$6,0))</x:f>
        <x:v>0</x:v>
      </x:c>
      <x:c r="D33" s="11" t="n">
        <x:f>IF(ISNUMBER(SEARCH("jmdict_exact_pair_not_found",'제외 후보'!P33)),'선정 규칙'!$B$7,0)</x:f>
        <x:v>0</x:v>
      </x:c>
      <x:c r="E33" s="11" t="n">
        <x:f>IF(OR('제외 후보'!L33="",'제외 후보'!L33&lt;=0),'선정 규칙'!$B$8,IF('제외 후보'!L33&lt;=1.5,'선정 규칙'!$B$9,IF('제외 후보'!L33&lt;=2,'선정 규칙'!$B$10,IF('제외 후보'!L33&lt;=2.5,'선정 규칙'!$B$11,IF('제외 후보'!L33&lt;=3,'선정 규칙'!$B$12,IF('제외 후보'!L33&lt;=3.5,'선정 규칙'!$B$13,IF('제외 후보'!L33&gt;=4.5,'선정 규칙'!$B$14,0)))))))</x:f>
        <x:v>6</x:v>
      </x:c>
      <x:c r="F33" s="11" t="n">
        <x:f>IF('제외 후보'!Y33=0,'선정 규칙'!$B$15,IF('제외 후보'!Y33&gt;=100,'선정 규칙'!$B$16,'선정 규칙'!$B$17))</x:f>
        <x:v>12</x:v>
      </x:c>
      <x:c r="G33" s="11" t="n">
        <x:f>IF('제외 후보'!M33="있음",'선정 규칙'!$B$18,'선정 규칙'!$B$19)</x:f>
        <x:v>6</x:v>
      </x:c>
      <x:c r="H33" s="11" t="n">
        <x:f>IF(ISNUMBER(SEARCH("freq-core",'제외 후보'!AD33)),'선정 규칙'!$B$20,0)</x:f>
        <x:v>0</x:v>
      </x:c>
      <x:c r="I33" s="11" t="n">
        <x:f>IF(ISNUMBER(SEARCH("weak_legacy_content",'제외 후보'!P33)),'선정 규칙'!$B$21,0)</x:f>
        <x:v>0</x:v>
      </x:c>
      <x:c r="J33" s="11" t="n">
        <x:f>IF('제외 후보'!AC33&lt;&gt;"",'선정 규칙'!$B$22,0)</x:f>
        <x:v>0</x:v>
      </x:c>
      <x:c r="K33" s="11" t="n">
        <x:f>SUM(B33:J33)</x:f>
        <x:v>84</x:v>
      </x:c>
      <x:c r="L33" s="11" t="n">
        <x:f>'제외 후보'!N33</x:f>
        <x:v>84</x:v>
      </x:c>
      <x:c r="M33" s="2" t="str">
        <x:f>IF(K33=L33,"OK","MISMATCH")</x:f>
        <x:v>OK</x:v>
      </x:c>
    </x:row>
    <x:row r="34">
      <x:c r="A34" s="2" t="str">
        <x:f>'제외 후보'!G34</x:f>
        <x:v>w_01f119facf6e9d97</x:v>
      </x:c>
      <x:c r="B34" s="11" t="n">
        <x:f>IF('제외 후보'!Q34&lt;&gt;"",'선정 규칙'!$B$4,0)</x:f>
        <x:v>60</x:v>
      </x:c>
      <x:c r="C34" s="11" t="n">
        <x:f>IF(ISNUMBER(SEARCH("jmdict_uncommon_or_irregular",'제외 후보'!P34)),'선정 규칙'!$B$5,IF(ISNUMBER(SEARCH("jmdict_rare_or_dated",'제외 후보'!P34)),'선정 규칙'!$B$6,0))</x:f>
        <x:v>0</x:v>
      </x:c>
      <x:c r="D34" s="11" t="n">
        <x:f>IF(ISNUMBER(SEARCH("jmdict_exact_pair_not_found",'제외 후보'!P34)),'선정 규칙'!$B$7,0)</x:f>
        <x:v>0</x:v>
      </x:c>
      <x:c r="E34" s="11" t="n">
        <x:f>IF(OR('제외 후보'!L34="",'제외 후보'!L34&lt;=0),'선정 규칙'!$B$8,IF('제외 후보'!L34&lt;=1.5,'선정 규칙'!$B$9,IF('제외 후보'!L34&lt;=2,'선정 규칙'!$B$10,IF('제외 후보'!L34&lt;=2.5,'선정 규칙'!$B$11,IF('제외 후보'!L34&lt;=3,'선정 규칙'!$B$12,IF('제외 후보'!L34&lt;=3.5,'선정 규칙'!$B$13,IF('제외 후보'!L34&gt;=4.5,'선정 규칙'!$B$14,0)))))))</x:f>
        <x:v>0</x:v>
      </x:c>
      <x:c r="F34" s="11" t="n">
        <x:f>IF('제외 후보'!Y34=0,'선정 규칙'!$B$15,IF('제외 후보'!Y34&gt;=100,'선정 규칙'!$B$16,'선정 규칙'!$B$17))</x:f>
        <x:v>12</x:v>
      </x:c>
      <x:c r="G34" s="11" t="n">
        <x:f>IF('제외 후보'!M34="있음",'선정 규칙'!$B$18,'선정 규칙'!$B$19)</x:f>
        <x:v>6</x:v>
      </x:c>
      <x:c r="H34" s="11" t="n">
        <x:f>IF(ISNUMBER(SEARCH("freq-core",'제외 후보'!AD34)),'선정 규칙'!$B$20,0)</x:f>
        <x:v>0</x:v>
      </x:c>
      <x:c r="I34" s="11" t="n">
        <x:f>IF(ISNUMBER(SEARCH("weak_legacy_content",'제외 후보'!P34)),'선정 규칙'!$B$21,0)</x:f>
        <x:v>5</x:v>
      </x:c>
      <x:c r="J34" s="11" t="n">
        <x:f>IF('제외 후보'!AC34&lt;&gt;"",'선정 규칙'!$B$22,0)</x:f>
        <x:v>0</x:v>
      </x:c>
      <x:c r="K34" s="11" t="n">
        <x:f>SUM(B34:J34)</x:f>
        <x:v>83</x:v>
      </x:c>
      <x:c r="L34" s="11" t="n">
        <x:f>'제외 후보'!N34</x:f>
        <x:v>83</x:v>
      </x:c>
      <x:c r="M34" s="2" t="str">
        <x:f>IF(K34=L34,"OK","MISMATCH")</x:f>
        <x:v>OK</x:v>
      </x:c>
    </x:row>
    <x:row r="35">
      <x:c r="A35" s="2" t="str">
        <x:f>'제외 후보'!G35</x:f>
        <x:v>w_a430acefffcd0bfe</x:v>
      </x:c>
      <x:c r="B35" s="11" t="n">
        <x:f>IF('제외 후보'!Q35&lt;&gt;"",'선정 규칙'!$B$4,0)</x:f>
        <x:v>60</x:v>
      </x:c>
      <x:c r="C35" s="11" t="n">
        <x:f>IF(ISNUMBER(SEARCH("jmdict_uncommon_or_irregular",'제외 후보'!P35)),'선정 규칙'!$B$5,IF(ISNUMBER(SEARCH("jmdict_rare_or_dated",'제외 후보'!P35)),'선정 규칙'!$B$6,0))</x:f>
        <x:v>0</x:v>
      </x:c>
      <x:c r="D35" s="11" t="n">
        <x:f>IF(ISNUMBER(SEARCH("jmdict_exact_pair_not_found",'제외 후보'!P35)),'선정 규칙'!$B$7,0)</x:f>
        <x:v>0</x:v>
      </x:c>
      <x:c r="E35" s="11" t="n">
        <x:f>IF(OR('제외 후보'!L35="",'제외 후보'!L35&lt;=0),'선정 규칙'!$B$8,IF('제외 후보'!L35&lt;=1.5,'선정 규칙'!$B$9,IF('제외 후보'!L35&lt;=2,'선정 규칙'!$B$10,IF('제외 후보'!L35&lt;=2.5,'선정 규칙'!$B$11,IF('제외 후보'!L35&lt;=3,'선정 규칙'!$B$12,IF('제외 후보'!L35&lt;=3.5,'선정 규칙'!$B$13,IF('제외 후보'!L35&gt;=4.5,'선정 규칙'!$B$14,0)))))))</x:f>
        <x:v>0</x:v>
      </x:c>
      <x:c r="F35" s="11" t="n">
        <x:f>IF('제외 후보'!Y35=0,'선정 규칙'!$B$15,IF('제외 후보'!Y35&gt;=100,'선정 규칙'!$B$16,'선정 규칙'!$B$17))</x:f>
        <x:v>12</x:v>
      </x:c>
      <x:c r="G35" s="11" t="n">
        <x:f>IF('제외 후보'!M35="있음",'선정 규칙'!$B$18,'선정 규칙'!$B$19)</x:f>
        <x:v>6</x:v>
      </x:c>
      <x:c r="H35" s="11" t="n">
        <x:f>IF(ISNUMBER(SEARCH("freq-core",'제외 후보'!AD35)),'선정 규칙'!$B$20,0)</x:f>
        <x:v>0</x:v>
      </x:c>
      <x:c r="I35" s="11" t="n">
        <x:f>IF(ISNUMBER(SEARCH("weak_legacy_content",'제외 후보'!P35)),'선정 규칙'!$B$21,0)</x:f>
        <x:v>5</x:v>
      </x:c>
      <x:c r="J35" s="11" t="n">
        <x:f>IF('제외 후보'!AC35&lt;&gt;"",'선정 규칙'!$B$22,0)</x:f>
        <x:v>0</x:v>
      </x:c>
      <x:c r="K35" s="11" t="n">
        <x:f>SUM(B35:J35)</x:f>
        <x:v>83</x:v>
      </x:c>
      <x:c r="L35" s="11" t="n">
        <x:f>'제외 후보'!N35</x:f>
        <x:v>83</x:v>
      </x:c>
      <x:c r="M35" s="2" t="str">
        <x:f>IF(K35=L35,"OK","MISMATCH")</x:f>
        <x:v>OK</x:v>
      </x:c>
    </x:row>
    <x:row r="36">
      <x:c r="A36" s="2" t="str">
        <x:f>'제외 후보'!G36</x:f>
        <x:v>w_55429d3687c58e8f</x:v>
      </x:c>
      <x:c r="B36" s="11" t="n">
        <x:f>IF('제외 후보'!Q36&lt;&gt;"",'선정 규칙'!$B$4,0)</x:f>
        <x:v>60</x:v>
      </x:c>
      <x:c r="C36" s="11" t="n">
        <x:f>IF(ISNUMBER(SEARCH("jmdict_uncommon_or_irregular",'제외 후보'!P36)),'선정 규칙'!$B$5,IF(ISNUMBER(SEARCH("jmdict_rare_or_dated",'제외 후보'!P36)),'선정 규칙'!$B$6,0))</x:f>
        <x:v>0</x:v>
      </x:c>
      <x:c r="D36" s="11" t="n">
        <x:f>IF(ISNUMBER(SEARCH("jmdict_exact_pair_not_found",'제외 후보'!P36)),'선정 규칙'!$B$7,0)</x:f>
        <x:v>0</x:v>
      </x:c>
      <x:c r="E36" s="11" t="n">
        <x:f>IF(OR('제외 후보'!L36="",'제외 후보'!L36&lt;=0),'선정 규칙'!$B$8,IF('제외 후보'!L36&lt;=1.5,'선정 규칙'!$B$9,IF('제외 후보'!L36&lt;=2,'선정 규칙'!$B$10,IF('제외 후보'!L36&lt;=2.5,'선정 규칙'!$B$11,IF('제외 후보'!L36&lt;=3,'선정 규칙'!$B$12,IF('제외 후보'!L36&lt;=3.5,'선정 규칙'!$B$13,IF('제외 후보'!L36&gt;=4.5,'선정 규칙'!$B$14,0)))))))</x:f>
        <x:v>0</x:v>
      </x:c>
      <x:c r="F36" s="11" t="n">
        <x:f>IF('제외 후보'!Y36=0,'선정 규칙'!$B$15,IF('제외 후보'!Y36&gt;=100,'선정 규칙'!$B$16,'선정 규칙'!$B$17))</x:f>
        <x:v>12</x:v>
      </x:c>
      <x:c r="G36" s="11" t="n">
        <x:f>IF('제외 후보'!M36="있음",'선정 규칙'!$B$18,'선정 규칙'!$B$19)</x:f>
        <x:v>6</x:v>
      </x:c>
      <x:c r="H36" s="11" t="n">
        <x:f>IF(ISNUMBER(SEARCH("freq-core",'제외 후보'!AD36)),'선정 규칙'!$B$20,0)</x:f>
        <x:v>0</x:v>
      </x:c>
      <x:c r="I36" s="11" t="n">
        <x:f>IF(ISNUMBER(SEARCH("weak_legacy_content",'제외 후보'!P36)),'선정 규칙'!$B$21,0)</x:f>
        <x:v>5</x:v>
      </x:c>
      <x:c r="J36" s="11" t="n">
        <x:f>IF('제외 후보'!AC36&lt;&gt;"",'선정 규칙'!$B$22,0)</x:f>
        <x:v>0</x:v>
      </x:c>
      <x:c r="K36" s="11" t="n">
        <x:f>SUM(B36:J36)</x:f>
        <x:v>83</x:v>
      </x:c>
      <x:c r="L36" s="11" t="n">
        <x:f>'제외 후보'!N36</x:f>
        <x:v>83</x:v>
      </x:c>
      <x:c r="M36" s="2" t="str">
        <x:f>IF(K36=L36,"OK","MISMATCH")</x:f>
        <x:v>OK</x:v>
      </x:c>
    </x:row>
    <x:row r="37">
      <x:c r="A37" s="2" t="str">
        <x:f>'제외 후보'!G37</x:f>
        <x:v>w_74cbf7ffdd4409c9</x:v>
      </x:c>
      <x:c r="B37" s="11" t="n">
        <x:f>IF('제외 후보'!Q37&lt;&gt;"",'선정 규칙'!$B$4,0)</x:f>
        <x:v>60</x:v>
      </x:c>
      <x:c r="C37" s="11" t="n">
        <x:f>IF(ISNUMBER(SEARCH("jmdict_uncommon_or_irregular",'제외 후보'!P37)),'선정 규칙'!$B$5,IF(ISNUMBER(SEARCH("jmdict_rare_or_dated",'제외 후보'!P37)),'선정 규칙'!$B$6,0))</x:f>
        <x:v>0</x:v>
      </x:c>
      <x:c r="D37" s="11" t="n">
        <x:f>IF(ISNUMBER(SEARCH("jmdict_exact_pair_not_found",'제외 후보'!P37)),'선정 규칙'!$B$7,0)</x:f>
        <x:v>0</x:v>
      </x:c>
      <x:c r="E37" s="11" t="n">
        <x:f>IF(OR('제외 후보'!L37="",'제외 후보'!L37&lt;=0),'선정 규칙'!$B$8,IF('제외 후보'!L37&lt;=1.5,'선정 규칙'!$B$9,IF('제외 후보'!L37&lt;=2,'선정 규칙'!$B$10,IF('제외 후보'!L37&lt;=2.5,'선정 규칙'!$B$11,IF('제외 후보'!L37&lt;=3,'선정 규칙'!$B$12,IF('제외 후보'!L37&lt;=3.5,'선정 규칙'!$B$13,IF('제외 후보'!L37&gt;=4.5,'선정 규칙'!$B$14,0)))))))</x:f>
        <x:v>0</x:v>
      </x:c>
      <x:c r="F37" s="11" t="n">
        <x:f>IF('제외 후보'!Y37=0,'선정 규칙'!$B$15,IF('제외 후보'!Y37&gt;=100,'선정 규칙'!$B$16,'선정 규칙'!$B$17))</x:f>
        <x:v>12</x:v>
      </x:c>
      <x:c r="G37" s="11" t="n">
        <x:f>IF('제외 후보'!M37="있음",'선정 규칙'!$B$18,'선정 규칙'!$B$19)</x:f>
        <x:v>6</x:v>
      </x:c>
      <x:c r="H37" s="11" t="n">
        <x:f>IF(ISNUMBER(SEARCH("freq-core",'제외 후보'!AD37)),'선정 규칙'!$B$20,0)</x:f>
        <x:v>0</x:v>
      </x:c>
      <x:c r="I37" s="11" t="n">
        <x:f>IF(ISNUMBER(SEARCH("weak_legacy_content",'제외 후보'!P37)),'선정 규칙'!$B$21,0)</x:f>
        <x:v>5</x:v>
      </x:c>
      <x:c r="J37" s="11" t="n">
        <x:f>IF('제외 후보'!AC37&lt;&gt;"",'선정 규칙'!$B$22,0)</x:f>
        <x:v>0</x:v>
      </x:c>
      <x:c r="K37" s="11" t="n">
        <x:f>SUM(B37:J37)</x:f>
        <x:v>83</x:v>
      </x:c>
      <x:c r="L37" s="11" t="n">
        <x:f>'제외 후보'!N37</x:f>
        <x:v>83</x:v>
      </x:c>
      <x:c r="M37" s="2" t="str">
        <x:f>IF(K37=L37,"OK","MISMATCH")</x:f>
        <x:v>OK</x:v>
      </x:c>
    </x:row>
    <x:row r="38">
      <x:c r="A38" s="2" t="str">
        <x:f>'제외 후보'!G38</x:f>
        <x:v>w_608682452546b0df</x:v>
      </x:c>
      <x:c r="B38" s="11" t="n">
        <x:f>IF('제외 후보'!Q38&lt;&gt;"",'선정 규칙'!$B$4,0)</x:f>
        <x:v>0</x:v>
      </x:c>
      <x:c r="C38" s="11" t="n">
        <x:f>IF(ISNUMBER(SEARCH("jmdict_uncommon_or_irregular",'제외 후보'!P38)),'선정 규칙'!$B$5,IF(ISNUMBER(SEARCH("jmdict_rare_or_dated",'제외 후보'!P38)),'선정 규칙'!$B$6,0))</x:f>
        <x:v>50</x:v>
      </x:c>
      <x:c r="D38" s="11" t="n">
        <x:f>IF(ISNUMBER(SEARCH("jmdict_exact_pair_not_found",'제외 후보'!P38)),'선정 규칙'!$B$7,0)</x:f>
        <x:v>0</x:v>
      </x:c>
      <x:c r="E38" s="11" t="n">
        <x:f>IF(OR('제외 후보'!L38="",'제외 후보'!L38&lt;=0),'선정 규칙'!$B$8,IF('제외 후보'!L38&lt;=1.5,'선정 규칙'!$B$9,IF('제외 후보'!L38&lt;=2,'선정 규칙'!$B$10,IF('제외 후보'!L38&lt;=2.5,'선정 규칙'!$B$11,IF('제외 후보'!L38&lt;=3,'선정 규칙'!$B$12,IF('제외 후보'!L38&lt;=3.5,'선정 규칙'!$B$13,IF('제외 후보'!L38&gt;=4.5,'선정 규칙'!$B$14,0)))))))</x:f>
        <x:v>32</x:v>
      </x:c>
      <x:c r="F38" s="11" t="n">
        <x:f>IF('제외 후보'!Y38=0,'선정 규칙'!$B$15,IF('제외 후보'!Y38&gt;=100,'선정 규칙'!$B$16,'선정 규칙'!$B$17))</x:f>
        <x:v>-12</x:v>
      </x:c>
      <x:c r="G38" s="11" t="n">
        <x:f>IF('제외 후보'!M38="있음",'선정 규칙'!$B$18,'선정 규칙'!$B$19)</x:f>
        <x:v>6</x:v>
      </x:c>
      <x:c r="H38" s="11" t="n">
        <x:f>IF(ISNUMBER(SEARCH("freq-core",'제외 후보'!AD38)),'선정 규칙'!$B$20,0)</x:f>
        <x:v>0</x:v>
      </x:c>
      <x:c r="I38" s="11" t="n">
        <x:f>IF(ISNUMBER(SEARCH("weak_legacy_content",'제외 후보'!P38)),'선정 규칙'!$B$21,0)</x:f>
        <x:v>5</x:v>
      </x:c>
      <x:c r="J38" s="11" t="n">
        <x:f>IF('제외 후보'!AC38&lt;&gt;"",'선정 규칙'!$B$22,0)</x:f>
        <x:v>0</x:v>
      </x:c>
      <x:c r="K38" s="11" t="n">
        <x:f>SUM(B38:J38)</x:f>
        <x:v>81</x:v>
      </x:c>
      <x:c r="L38" s="11" t="n">
        <x:f>'제외 후보'!N38</x:f>
        <x:v>81</x:v>
      </x:c>
      <x:c r="M38" s="2" t="str">
        <x:f>IF(K38=L38,"OK","MISMATCH")</x:f>
        <x:v>OK</x:v>
      </x:c>
    </x:row>
    <x:row r="39">
      <x:c r="A39" s="2" t="str">
        <x:f>'제외 후보'!G39</x:f>
        <x:v>w_c849a3f0fc65ee8e</x:v>
      </x:c>
      <x:c r="B39" s="11" t="n">
        <x:f>IF('제외 후보'!Q39&lt;&gt;"",'선정 규칙'!$B$4,0)</x:f>
        <x:v>60</x:v>
      </x:c>
      <x:c r="C39" s="11" t="n">
        <x:f>IF(ISNUMBER(SEARCH("jmdict_uncommon_or_irregular",'제외 후보'!P39)),'선정 규칙'!$B$5,IF(ISNUMBER(SEARCH("jmdict_rare_or_dated",'제외 후보'!P39)),'선정 규칙'!$B$6,0))</x:f>
        <x:v>0</x:v>
      </x:c>
      <x:c r="D39" s="11" t="n">
        <x:f>IF(ISNUMBER(SEARCH("jmdict_exact_pair_not_found",'제외 후보'!P39)),'선정 규칙'!$B$7,0)</x:f>
        <x:v>0</x:v>
      </x:c>
      <x:c r="E39" s="11" t="n">
        <x:f>IF(OR('제외 후보'!L39="",'제외 후보'!L39&lt;=0),'선정 규칙'!$B$8,IF('제외 후보'!L39&lt;=1.5,'선정 규칙'!$B$9,IF('제외 후보'!L39&lt;=2,'선정 규칙'!$B$10,IF('제외 후보'!L39&lt;=2.5,'선정 규칙'!$B$11,IF('제외 후보'!L39&lt;=3,'선정 규칙'!$B$12,IF('제외 후보'!L39&lt;=3.5,'선정 규칙'!$B$13,IF('제외 후보'!L39&gt;=4.5,'선정 규칙'!$B$14,0)))))))</x:f>
        <x:v>20</x:v>
      </x:c>
      <x:c r="F39" s="11" t="n">
        <x:f>IF('제외 후보'!Y39=0,'선정 규칙'!$B$15,IF('제외 후보'!Y39&gt;=100,'선정 규칙'!$B$16,'선정 규칙'!$B$17))</x:f>
        <x:v>-12</x:v>
      </x:c>
      <x:c r="G39" s="11" t="n">
        <x:f>IF('제외 후보'!M39="있음",'선정 규칙'!$B$18,'선정 규칙'!$B$19)</x:f>
        <x:v>6</x:v>
      </x:c>
      <x:c r="H39" s="11" t="n">
        <x:f>IF(ISNUMBER(SEARCH("freq-core",'제외 후보'!AD39)),'선정 규칙'!$B$20,0)</x:f>
        <x:v>0</x:v>
      </x:c>
      <x:c r="I39" s="11" t="n">
        <x:f>IF(ISNUMBER(SEARCH("weak_legacy_content",'제외 후보'!P39)),'선정 규칙'!$B$21,0)</x:f>
        <x:v>5</x:v>
      </x:c>
      <x:c r="J39" s="11" t="n">
        <x:f>IF('제외 후보'!AC39&lt;&gt;"",'선정 규칙'!$B$22,0)</x:f>
        <x:v>0</x:v>
      </x:c>
      <x:c r="K39" s="11" t="n">
        <x:f>SUM(B39:J39)</x:f>
        <x:v>79</x:v>
      </x:c>
      <x:c r="L39" s="11" t="n">
        <x:f>'제외 후보'!N39</x:f>
        <x:v>79</x:v>
      </x:c>
      <x:c r="M39" s="2" t="str">
        <x:f>IF(K39=L39,"OK","MISMATCH")</x:f>
        <x:v>OK</x:v>
      </x:c>
    </x:row>
    <x:row r="40">
      <x:c r="A40" s="2" t="str">
        <x:f>'제외 후보'!G40</x:f>
        <x:v>w_035b26cd8b353d8d</x:v>
      </x:c>
      <x:c r="B40" s="11" t="n">
        <x:f>IF('제외 후보'!Q40&lt;&gt;"",'선정 규칙'!$B$4,0)</x:f>
        <x:v>60</x:v>
      </x:c>
      <x:c r="C40" s="11" t="n">
        <x:f>IF(ISNUMBER(SEARCH("jmdict_uncommon_or_irregular",'제외 후보'!P40)),'선정 규칙'!$B$5,IF(ISNUMBER(SEARCH("jmdict_rare_or_dated",'제외 후보'!P40)),'선정 규칙'!$B$6,0))</x:f>
        <x:v>0</x:v>
      </x:c>
      <x:c r="D40" s="11" t="n">
        <x:f>IF(ISNUMBER(SEARCH("jmdict_exact_pair_not_found",'제외 후보'!P40)),'선정 규칙'!$B$7,0)</x:f>
        <x:v>0</x:v>
      </x:c>
      <x:c r="E40" s="11" t="n">
        <x:f>IF(OR('제외 후보'!L40="",'제외 후보'!L40&lt;=0),'선정 규칙'!$B$8,IF('제외 후보'!L40&lt;=1.5,'선정 규칙'!$B$9,IF('제외 후보'!L40&lt;=2,'선정 규칙'!$B$10,IF('제외 후보'!L40&lt;=2.5,'선정 규칙'!$B$11,IF('제외 후보'!L40&lt;=3,'선정 규칙'!$B$12,IF('제외 후보'!L40&lt;=3.5,'선정 규칙'!$B$13,IF('제외 후보'!L40&gt;=4.5,'선정 규칙'!$B$14,0)))))))</x:f>
        <x:v>32</x:v>
      </x:c>
      <x:c r="F40" s="11" t="n">
        <x:f>IF('제외 후보'!Y40=0,'선정 규칙'!$B$15,IF('제외 후보'!Y40&gt;=100,'선정 규칙'!$B$16,'선정 규칙'!$B$17))</x:f>
        <x:v>-25</x:v>
      </x:c>
      <x:c r="G40" s="11" t="n">
        <x:f>IF('제외 후보'!M40="있음",'선정 규칙'!$B$18,'선정 규칙'!$B$19)</x:f>
        <x:v>6</x:v>
      </x:c>
      <x:c r="H40" s="11" t="n">
        <x:f>IF(ISNUMBER(SEARCH("freq-core",'제외 후보'!AD40)),'선정 규칙'!$B$20,0)</x:f>
        <x:v>0</x:v>
      </x:c>
      <x:c r="I40" s="11" t="n">
        <x:f>IF(ISNUMBER(SEARCH("weak_legacy_content",'제외 후보'!P40)),'선정 규칙'!$B$21,0)</x:f>
        <x:v>5</x:v>
      </x:c>
      <x:c r="J40" s="11" t="n">
        <x:f>IF('제외 후보'!AC40&lt;&gt;"",'선정 규칙'!$B$22,0)</x:f>
        <x:v>0</x:v>
      </x:c>
      <x:c r="K40" s="11" t="n">
        <x:f>SUM(B40:J40)</x:f>
        <x:v>78</x:v>
      </x:c>
      <x:c r="L40" s="11" t="n">
        <x:f>'제외 후보'!N40</x:f>
        <x:v>78</x:v>
      </x:c>
      <x:c r="M40" s="2" t="str">
        <x:f>IF(K40=L40,"OK","MISMATCH")</x:f>
        <x:v>OK</x:v>
      </x:c>
    </x:row>
    <x:row r="41">
      <x:c r="A41" s="2" t="str">
        <x:f>'제외 후보'!G41</x:f>
        <x:v>w_ccdf99549e31659b</x:v>
      </x:c>
      <x:c r="B41" s="11" t="n">
        <x:f>IF('제외 후보'!Q41&lt;&gt;"",'선정 규칙'!$B$4,0)</x:f>
        <x:v>0</x:v>
      </x:c>
      <x:c r="C41" s="11" t="n">
        <x:f>IF(ISNUMBER(SEARCH("jmdict_uncommon_or_irregular",'제외 후보'!P41)),'선정 규칙'!$B$5,IF(ISNUMBER(SEARCH("jmdict_rare_or_dated",'제외 후보'!P41)),'선정 규칙'!$B$6,0))</x:f>
        <x:v>50</x:v>
      </x:c>
      <x:c r="D41" s="11" t="n">
        <x:f>IF(ISNUMBER(SEARCH("jmdict_exact_pair_not_found",'제외 후보'!P41)),'선정 규칙'!$B$7,0)</x:f>
        <x:v>0</x:v>
      </x:c>
      <x:c r="E41" s="11" t="n">
        <x:f>IF(OR('제외 후보'!L41="",'제외 후보'!L41&lt;=0),'선정 규칙'!$B$8,IF('제외 후보'!L41&lt;=1.5,'선정 규칙'!$B$9,IF('제외 후보'!L41&lt;=2,'선정 규칙'!$B$10,IF('제외 후보'!L41&lt;=2.5,'선정 규칙'!$B$11,IF('제외 후보'!L41&lt;=3,'선정 규칙'!$B$12,IF('제외 후보'!L41&lt;=3.5,'선정 규칙'!$B$13,IF('제외 후보'!L41&gt;=4.5,'선정 규칙'!$B$14,0)))))))</x:f>
        <x:v>40</x:v>
      </x:c>
      <x:c r="F41" s="11" t="n">
        <x:f>IF('제외 후보'!Y41=0,'선정 규칙'!$B$15,IF('제외 후보'!Y41&gt;=100,'선정 규칙'!$B$16,'선정 규칙'!$B$17))</x:f>
        <x:v>-25</x:v>
      </x:c>
      <x:c r="G41" s="11" t="n">
        <x:f>IF('제외 후보'!M41="있음",'선정 규칙'!$B$18,'선정 규칙'!$B$19)</x:f>
        <x:v>6</x:v>
      </x:c>
      <x:c r="H41" s="11" t="n">
        <x:f>IF(ISNUMBER(SEARCH("freq-core",'제외 후보'!AD41)),'선정 규칙'!$B$20,0)</x:f>
        <x:v>0</x:v>
      </x:c>
      <x:c r="I41" s="11" t="n">
        <x:f>IF(ISNUMBER(SEARCH("weak_legacy_content",'제외 후보'!P41)),'선정 규칙'!$B$21,0)</x:f>
        <x:v>5</x:v>
      </x:c>
      <x:c r="J41" s="11" t="n">
        <x:f>IF('제외 후보'!AC41&lt;&gt;"",'선정 규칙'!$B$22,0)</x:f>
        <x:v>0</x:v>
      </x:c>
      <x:c r="K41" s="11" t="n">
        <x:f>SUM(B41:J41)</x:f>
        <x:v>76</x:v>
      </x:c>
      <x:c r="L41" s="11" t="n">
        <x:f>'제외 후보'!N41</x:f>
        <x:v>76</x:v>
      </x:c>
      <x:c r="M41" s="2" t="str">
        <x:f>IF(K41=L41,"OK","MISMATCH")</x:f>
        <x:v>OK</x:v>
      </x:c>
    </x:row>
    <x:row r="42">
      <x:c r="A42" s="2" t="str">
        <x:f>'제외 후보'!G42</x:f>
        <x:v>w_5e5058232b1bd8cc</x:v>
      </x:c>
      <x:c r="B42" s="11" t="n">
        <x:f>IF('제외 후보'!Q42&lt;&gt;"",'선정 규칙'!$B$4,0)</x:f>
        <x:v>0</x:v>
      </x:c>
      <x:c r="C42" s="11" t="n">
        <x:f>IF(ISNUMBER(SEARCH("jmdict_uncommon_or_irregular",'제외 후보'!P42)),'선정 규칙'!$B$5,IF(ISNUMBER(SEARCH("jmdict_rare_or_dated",'제외 후보'!P42)),'선정 규칙'!$B$6,0))</x:f>
        <x:v>0</x:v>
      </x:c>
      <x:c r="D42" s="11" t="n">
        <x:f>IF(ISNUMBER(SEARCH("jmdict_exact_pair_not_found",'제외 후보'!P42)),'선정 규칙'!$B$7,0)</x:f>
        <x:v>0</x:v>
      </x:c>
      <x:c r="E42" s="11" t="n">
        <x:f>IF(OR('제외 후보'!L42="",'제외 후보'!L42&lt;=0),'선정 규칙'!$B$8,IF('제외 후보'!L42&lt;=1.5,'선정 규칙'!$B$9,IF('제외 후보'!L42&lt;=2,'선정 규칙'!$B$10,IF('제외 후보'!L42&lt;=2.5,'선정 규칙'!$B$11,IF('제외 후보'!L42&lt;=3,'선정 규칙'!$B$12,IF('제외 후보'!L42&lt;=3.5,'선정 규칙'!$B$13,IF('제외 후보'!L42&gt;=4.5,'선정 규칙'!$B$14,0)))))))</x:f>
        <x:v>40</x:v>
      </x:c>
      <x:c r="F42" s="11" t="n">
        <x:f>IF('제외 후보'!Y42=0,'선정 규칙'!$B$15,IF('제외 후보'!Y42&gt;=100,'선정 규칙'!$B$16,'선정 규칙'!$B$17))</x:f>
        <x:v>12</x:v>
      </x:c>
      <x:c r="G42" s="11" t="n">
        <x:f>IF('제외 후보'!M42="있음",'선정 규칙'!$B$18,'선정 규칙'!$B$19)</x:f>
        <x:v>6</x:v>
      </x:c>
      <x:c r="H42" s="11" t="n">
        <x:f>IF(ISNUMBER(SEARCH("freq-core",'제외 후보'!AD42)),'선정 규칙'!$B$20,0)</x:f>
        <x:v>0</x:v>
      </x:c>
      <x:c r="I42" s="11" t="n">
        <x:f>IF(ISNUMBER(SEARCH("weak_legacy_content",'제외 후보'!P42)),'선정 규칙'!$B$21,0)</x:f>
        <x:v>5</x:v>
      </x:c>
      <x:c r="J42" s="11" t="n">
        <x:f>IF('제외 후보'!AC42&lt;&gt;"",'선정 규칙'!$B$22,0)</x:f>
        <x:v>10</x:v>
      </x:c>
      <x:c r="K42" s="11" t="n">
        <x:f>SUM(B42:J42)</x:f>
        <x:v>73</x:v>
      </x:c>
      <x:c r="L42" s="11" t="n">
        <x:f>'제외 후보'!N42</x:f>
        <x:v>73</x:v>
      </x:c>
      <x:c r="M42" s="2" t="str">
        <x:f>IF(K42=L42,"OK","MISMATCH")</x:f>
        <x:v>OK</x:v>
      </x:c>
    </x:row>
    <x:row r="43">
      <x:c r="A43" s="2" t="str">
        <x:f>'제외 후보'!G43</x:f>
        <x:v>w_0dc94c60969cdfdf</x:v>
      </x:c>
      <x:c r="B43" s="11" t="n">
        <x:f>IF('제외 후보'!Q43&lt;&gt;"",'선정 규칙'!$B$4,0)</x:f>
        <x:v>60</x:v>
      </x:c>
      <x:c r="C43" s="11" t="n">
        <x:f>IF(ISNUMBER(SEARCH("jmdict_uncommon_or_irregular",'제외 후보'!P43)),'선정 규칙'!$B$5,IF(ISNUMBER(SEARCH("jmdict_rare_or_dated",'제외 후보'!P43)),'선정 규칙'!$B$6,0))</x:f>
        <x:v>0</x:v>
      </x:c>
      <x:c r="D43" s="11" t="n">
        <x:f>IF(ISNUMBER(SEARCH("jmdict_exact_pair_not_found",'제외 후보'!P43)),'선정 규칙'!$B$7,0)</x:f>
        <x:v>0</x:v>
      </x:c>
      <x:c r="E43" s="11" t="n">
        <x:f>IF(OR('제외 후보'!L43="",'제외 후보'!L43&lt;=0),'선정 규칙'!$B$8,IF('제외 후보'!L43&lt;=1.5,'선정 규칙'!$B$9,IF('제외 후보'!L43&lt;=2,'선정 규칙'!$B$10,IF('제외 후보'!L43&lt;=2.5,'선정 규칙'!$B$11,IF('제외 후보'!L43&lt;=3,'선정 규칙'!$B$12,IF('제외 후보'!L43&lt;=3.5,'선정 규칙'!$B$13,IF('제외 후보'!L43&gt;=4.5,'선정 규칙'!$B$14,0)))))))</x:f>
        <x:v>32</x:v>
      </x:c>
      <x:c r="F43" s="11" t="n">
        <x:f>IF('제외 후보'!Y43=0,'선정 규칙'!$B$15,IF('제외 후보'!Y43&gt;=100,'선정 규칙'!$B$16,'선정 규칙'!$B$17))</x:f>
        <x:v>-25</x:v>
      </x:c>
      <x:c r="G43" s="11" t="n">
        <x:f>IF('제외 후보'!M43="있음",'선정 규칙'!$B$18,'선정 규칙'!$B$19)</x:f>
        <x:v>6</x:v>
      </x:c>
      <x:c r="H43" s="11" t="n">
        <x:f>IF(ISNUMBER(SEARCH("freq-core",'제외 후보'!AD43)),'선정 규칙'!$B$20,0)</x:f>
        <x:v>0</x:v>
      </x:c>
      <x:c r="I43" s="11" t="n">
        <x:f>IF(ISNUMBER(SEARCH("weak_legacy_content",'제외 후보'!P43)),'선정 규칙'!$B$21,0)</x:f>
        <x:v>0</x:v>
      </x:c>
      <x:c r="J43" s="11" t="n">
        <x:f>IF('제외 후보'!AC43&lt;&gt;"",'선정 규칙'!$B$22,0)</x:f>
        <x:v>0</x:v>
      </x:c>
      <x:c r="K43" s="11" t="n">
        <x:f>SUM(B43:J43)</x:f>
        <x:v>73</x:v>
      </x:c>
      <x:c r="L43" s="11" t="n">
        <x:f>'제외 후보'!N43</x:f>
        <x:v>73</x:v>
      </x:c>
      <x:c r="M43" s="2" t="str">
        <x:f>IF(K43=L43,"OK","MISMATCH")</x:f>
        <x:v>OK</x:v>
      </x:c>
    </x:row>
    <x:row r="44">
      <x:c r="A44" s="2" t="str">
        <x:f>'제외 후보'!G44</x:f>
        <x:v>w_72d3532d250a8644</x:v>
      </x:c>
      <x:c r="B44" s="11" t="n">
        <x:f>IF('제외 후보'!Q44&lt;&gt;"",'선정 규칙'!$B$4,0)</x:f>
        <x:v>60</x:v>
      </x:c>
      <x:c r="C44" s="11" t="n">
        <x:f>IF(ISNUMBER(SEARCH("jmdict_uncommon_or_irregular",'제외 후보'!P44)),'선정 규칙'!$B$5,IF(ISNUMBER(SEARCH("jmdict_rare_or_dated",'제외 후보'!P44)),'선정 규칙'!$B$6,0))</x:f>
        <x:v>0</x:v>
      </x:c>
      <x:c r="D44" s="11" t="n">
        <x:f>IF(ISNUMBER(SEARCH("jmdict_exact_pair_not_found",'제외 후보'!P44)),'선정 규칙'!$B$7,0)</x:f>
        <x:v>0</x:v>
      </x:c>
      <x:c r="E44" s="11" t="n">
        <x:f>IF(OR('제외 후보'!L44="",'제외 후보'!L44&lt;=0),'선정 규칙'!$B$8,IF('제외 후보'!L44&lt;=1.5,'선정 규칙'!$B$9,IF('제외 후보'!L44&lt;=2,'선정 규칙'!$B$10,IF('제외 후보'!L44&lt;=2.5,'선정 규칙'!$B$11,IF('제외 후보'!L44&lt;=3,'선정 규칙'!$B$12,IF('제외 후보'!L44&lt;=3.5,'선정 규칙'!$B$13,IF('제외 후보'!L44&gt;=4.5,'선정 규칙'!$B$14,0)))))))</x:f>
        <x:v>26</x:v>
      </x:c>
      <x:c r="F44" s="11" t="n">
        <x:f>IF('제외 후보'!Y44=0,'선정 규칙'!$B$15,IF('제외 후보'!Y44&gt;=100,'선정 규칙'!$B$16,'선정 규칙'!$B$17))</x:f>
        <x:v>-25</x:v>
      </x:c>
      <x:c r="G44" s="11" t="n">
        <x:f>IF('제외 후보'!M44="있음",'선정 규칙'!$B$18,'선정 규칙'!$B$19)</x:f>
        <x:v>6</x:v>
      </x:c>
      <x:c r="H44" s="11" t="n">
        <x:f>IF(ISNUMBER(SEARCH("freq-core",'제외 후보'!AD44)),'선정 규칙'!$B$20,0)</x:f>
        <x:v>0</x:v>
      </x:c>
      <x:c r="I44" s="11" t="n">
        <x:f>IF(ISNUMBER(SEARCH("weak_legacy_content",'제외 후보'!P44)),'선정 규칙'!$B$21,0)</x:f>
        <x:v>5</x:v>
      </x:c>
      <x:c r="J44" s="11" t="n">
        <x:f>IF('제외 후보'!AC44&lt;&gt;"",'선정 규칙'!$B$22,0)</x:f>
        <x:v>0</x:v>
      </x:c>
      <x:c r="K44" s="11" t="n">
        <x:f>SUM(B44:J44)</x:f>
        <x:v>72</x:v>
      </x:c>
      <x:c r="L44" s="11" t="n">
        <x:f>'제외 후보'!N44</x:f>
        <x:v>72</x:v>
      </x:c>
      <x:c r="M44" s="2" t="str">
        <x:f>IF(K44=L44,"OK","MISMATCH")</x:f>
        <x:v>OK</x:v>
      </x:c>
    </x:row>
    <x:row r="45">
      <x:c r="A45" s="2" t="str">
        <x:f>'제외 후보'!G45</x:f>
        <x:v>w_cd1615bb2fb34c53</x:v>
      </x:c>
      <x:c r="B45" s="11" t="n">
        <x:f>IF('제외 후보'!Q45&lt;&gt;"",'선정 규칙'!$B$4,0)</x:f>
        <x:v>0</x:v>
      </x:c>
      <x:c r="C45" s="11" t="n">
        <x:f>IF(ISNUMBER(SEARCH("jmdict_uncommon_or_irregular",'제외 후보'!P45)),'선정 규칙'!$B$5,IF(ISNUMBER(SEARCH("jmdict_rare_or_dated",'제외 후보'!P45)),'선정 규칙'!$B$6,0))</x:f>
        <x:v>0</x:v>
      </x:c>
      <x:c r="D45" s="11" t="n">
        <x:f>IF(ISNUMBER(SEARCH("jmdict_exact_pair_not_found",'제외 후보'!P45)),'선정 규칙'!$B$7,0)</x:f>
        <x:v>35</x:v>
      </x:c>
      <x:c r="E45" s="11" t="n">
        <x:f>IF(OR('제외 후보'!L45="",'제외 후보'!L45&lt;=0),'선정 규칙'!$B$8,IF('제외 후보'!L45&lt;=1.5,'선정 규칙'!$B$9,IF('제외 후보'!L45&lt;=2,'선정 규칙'!$B$10,IF('제외 후보'!L45&lt;=2.5,'선정 규칙'!$B$11,IF('제외 후보'!L45&lt;=3,'선정 규칙'!$B$12,IF('제외 후보'!L45&lt;=3.5,'선정 규칙'!$B$13,IF('제외 후보'!L45&gt;=4.5,'선정 규칙'!$B$14,0)))))))</x:f>
        <x:v>12</x:v>
      </x:c>
      <x:c r="F45" s="11" t="n">
        <x:f>IF('제외 후보'!Y45=0,'선정 규칙'!$B$15,IF('제외 후보'!Y45&gt;=100,'선정 규칙'!$B$16,'선정 규칙'!$B$17))</x:f>
        <x:v>12</x:v>
      </x:c>
      <x:c r="G45" s="11" t="n">
        <x:f>IF('제외 후보'!M45="있음",'선정 규칙'!$B$18,'선정 규칙'!$B$19)</x:f>
        <x:v>6</x:v>
      </x:c>
      <x:c r="H45" s="11" t="n">
        <x:f>IF(ISNUMBER(SEARCH("freq-core",'제외 후보'!AD45)),'선정 규칙'!$B$20,0)</x:f>
        <x:v>0</x:v>
      </x:c>
      <x:c r="I45" s="11" t="n">
        <x:f>IF(ISNUMBER(SEARCH("weak_legacy_content",'제외 후보'!P45)),'선정 규칙'!$B$21,0)</x:f>
        <x:v>5</x:v>
      </x:c>
      <x:c r="J45" s="11" t="n">
        <x:f>IF('제외 후보'!AC45&lt;&gt;"",'선정 규칙'!$B$22,0)</x:f>
        <x:v>0</x:v>
      </x:c>
      <x:c r="K45" s="11" t="n">
        <x:f>SUM(B45:J45)</x:f>
        <x:v>70</x:v>
      </x:c>
      <x:c r="L45" s="11" t="n">
        <x:f>'제외 후보'!N45</x:f>
        <x:v>70</x:v>
      </x:c>
      <x:c r="M45" s="2" t="str">
        <x:f>IF(K45=L45,"OK","MISMATCH")</x:f>
        <x:v>OK</x:v>
      </x:c>
    </x:row>
    <x:row r="46">
      <x:c r="A46" s="2" t="str">
        <x:f>'제외 후보'!G46</x:f>
        <x:v>w_e77d2f8dd2832f93</x:v>
      </x:c>
      <x:c r="B46" s="11" t="n">
        <x:f>IF('제외 후보'!Q46&lt;&gt;"",'선정 규칙'!$B$4,0)</x:f>
        <x:v>0</x:v>
      </x:c>
      <x:c r="C46" s="11" t="n">
        <x:f>IF(ISNUMBER(SEARCH("jmdict_uncommon_or_irregular",'제외 후보'!P46)),'선정 규칙'!$B$5,IF(ISNUMBER(SEARCH("jmdict_rare_or_dated",'제외 후보'!P46)),'선정 규칙'!$B$6,0))</x:f>
        <x:v>50</x:v>
      </x:c>
      <x:c r="D46" s="11" t="n">
        <x:f>IF(ISNUMBER(SEARCH("jmdict_exact_pair_not_found",'제외 후보'!P46)),'선정 규칙'!$B$7,0)</x:f>
        <x:v>0</x:v>
      </x:c>
      <x:c r="E46" s="11" t="n">
        <x:f>IF(OR('제외 후보'!L46="",'제외 후보'!L46&lt;=0),'선정 규칙'!$B$8,IF('제외 후보'!L46&lt;=1.5,'선정 규칙'!$B$9,IF('제외 후보'!L46&lt;=2,'선정 규칙'!$B$10,IF('제외 후보'!L46&lt;=2.5,'선정 규칙'!$B$11,IF('제외 후보'!L46&lt;=3,'선정 규칙'!$B$12,IF('제외 후보'!L46&lt;=3.5,'선정 규칙'!$B$13,IF('제외 후보'!L46&gt;=4.5,'선정 규칙'!$B$14,0)))))))</x:f>
        <x:v>20</x:v>
      </x:c>
      <x:c r="F46" s="11" t="n">
        <x:f>IF('제외 후보'!Y46=0,'선정 규칙'!$B$15,IF('제외 후보'!Y46&gt;=100,'선정 규칙'!$B$16,'선정 규칙'!$B$17))</x:f>
        <x:v>-12</x:v>
      </x:c>
      <x:c r="G46" s="11" t="n">
        <x:f>IF('제외 후보'!M46="있음",'선정 규칙'!$B$18,'선정 규칙'!$B$19)</x:f>
        <x:v>6</x:v>
      </x:c>
      <x:c r="H46" s="11" t="n">
        <x:f>IF(ISNUMBER(SEARCH("freq-core",'제외 후보'!AD46)),'선정 규칙'!$B$20,0)</x:f>
        <x:v>0</x:v>
      </x:c>
      <x:c r="I46" s="11" t="n">
        <x:f>IF(ISNUMBER(SEARCH("weak_legacy_content",'제외 후보'!P46)),'선정 규칙'!$B$21,0)</x:f>
        <x:v>5</x:v>
      </x:c>
      <x:c r="J46" s="11" t="n">
        <x:f>IF('제외 후보'!AC46&lt;&gt;"",'선정 규칙'!$B$22,0)</x:f>
        <x:v>0</x:v>
      </x:c>
      <x:c r="K46" s="11" t="n">
        <x:f>SUM(B46:J46)</x:f>
        <x:v>69</x:v>
      </x:c>
      <x:c r="L46" s="11" t="n">
        <x:f>'제외 후보'!N46</x:f>
        <x:v>69</x:v>
      </x:c>
      <x:c r="M46" s="2" t="str">
        <x:f>IF(K46=L46,"OK","MISMATCH")</x:f>
        <x:v>OK</x:v>
      </x:c>
    </x:row>
    <x:row r="47">
      <x:c r="A47" s="2" t="str">
        <x:f>'제외 후보'!G47</x:f>
        <x:v>w_0cf78249edb1bc3d</x:v>
      </x:c>
      <x:c r="B47" s="11" t="n">
        <x:f>IF('제외 후보'!Q47&lt;&gt;"",'선정 규칙'!$B$4,0)</x:f>
        <x:v>60</x:v>
      </x:c>
      <x:c r="C47" s="11" t="n">
        <x:f>IF(ISNUMBER(SEARCH("jmdict_uncommon_or_irregular",'제외 후보'!P47)),'선정 규칙'!$B$5,IF(ISNUMBER(SEARCH("jmdict_rare_or_dated",'제외 후보'!P47)),'선정 규칙'!$B$6,0))</x:f>
        <x:v>0</x:v>
      </x:c>
      <x:c r="D47" s="11" t="n">
        <x:f>IF(ISNUMBER(SEARCH("jmdict_exact_pair_not_found",'제외 후보'!P47)),'선정 규칙'!$B$7,0)</x:f>
        <x:v>0</x:v>
      </x:c>
      <x:c r="E47" s="11" t="n">
        <x:f>IF(OR('제외 후보'!L47="",'제외 후보'!L47&lt;=0),'선정 규칙'!$B$8,IF('제외 후보'!L47&lt;=1.5,'선정 규칙'!$B$9,IF('제외 후보'!L47&lt;=2,'선정 규칙'!$B$10,IF('제외 후보'!L47&lt;=2.5,'선정 규칙'!$B$11,IF('제외 후보'!L47&lt;=3,'선정 규칙'!$B$12,IF('제외 후보'!L47&lt;=3.5,'선정 규칙'!$B$13,IF('제외 후보'!L47&gt;=4.5,'선정 규칙'!$B$14,0)))))))</x:f>
        <x:v>12</x:v>
      </x:c>
      <x:c r="F47" s="11" t="n">
        <x:f>IF('제외 후보'!Y47=0,'선정 규칙'!$B$15,IF('제외 후보'!Y47&gt;=100,'선정 규칙'!$B$16,'선정 규칙'!$B$17))</x:f>
        <x:v>-25</x:v>
      </x:c>
      <x:c r="G47" s="11" t="n">
        <x:f>IF('제외 후보'!M47="있음",'선정 규칙'!$B$18,'선정 규칙'!$B$19)</x:f>
        <x:v>6</x:v>
      </x:c>
      <x:c r="H47" s="11" t="n">
        <x:f>IF(ISNUMBER(SEARCH("freq-core",'제외 후보'!AD47)),'선정 규칙'!$B$20,0)</x:f>
        <x:v>0</x:v>
      </x:c>
      <x:c r="I47" s="11" t="n">
        <x:f>IF(ISNUMBER(SEARCH("weak_legacy_content",'제외 후보'!P47)),'선정 규칙'!$B$21,0)</x:f>
        <x:v>5</x:v>
      </x:c>
      <x:c r="J47" s="11" t="n">
        <x:f>IF('제외 후보'!AC47&lt;&gt;"",'선정 규칙'!$B$22,0)</x:f>
        <x:v>10</x:v>
      </x:c>
      <x:c r="K47" s="11" t="n">
        <x:f>SUM(B47:J47)</x:f>
        <x:v>68</x:v>
      </x:c>
      <x:c r="L47" s="11" t="n">
        <x:f>'제외 후보'!N47</x:f>
        <x:v>68</x:v>
      </x:c>
      <x:c r="M47" s="2" t="str">
        <x:f>IF(K47=L47,"OK","MISMATCH")</x:f>
        <x:v>OK</x:v>
      </x:c>
    </x:row>
    <x:row r="48">
      <x:c r="A48" s="2" t="str">
        <x:f>'제외 후보'!G48</x:f>
        <x:v>w_a40a6e3986ccc3b4</x:v>
      </x:c>
      <x:c r="B48" s="11" t="n">
        <x:f>IF('제외 후보'!Q48&lt;&gt;"",'선정 규칙'!$B$4,0)</x:f>
        <x:v>60</x:v>
      </x:c>
      <x:c r="C48" s="11" t="n">
        <x:f>IF(ISNUMBER(SEARCH("jmdict_uncommon_or_irregular",'제외 후보'!P48)),'선정 규칙'!$B$5,IF(ISNUMBER(SEARCH("jmdict_rare_or_dated",'제외 후보'!P48)),'선정 규칙'!$B$6,0))</x:f>
        <x:v>0</x:v>
      </x:c>
      <x:c r="D48" s="11" t="n">
        <x:f>IF(ISNUMBER(SEARCH("jmdict_exact_pair_not_found",'제외 후보'!P48)),'선정 규칙'!$B$7,0)</x:f>
        <x:v>0</x:v>
      </x:c>
      <x:c r="E48" s="11" t="n">
        <x:f>IF(OR('제외 후보'!L48="",'제외 후보'!L48&lt;=0),'선정 규칙'!$B$8,IF('제외 후보'!L48&lt;=1.5,'선정 규칙'!$B$9,IF('제외 후보'!L48&lt;=2,'선정 규칙'!$B$10,IF('제외 후보'!L48&lt;=2.5,'선정 규칙'!$B$11,IF('제외 후보'!L48&lt;=3,'선정 규칙'!$B$12,IF('제외 후보'!L48&lt;=3.5,'선정 규칙'!$B$13,IF('제외 후보'!L48&gt;=4.5,'선정 규칙'!$B$14,0)))))))</x:f>
        <x:v>12</x:v>
      </x:c>
      <x:c r="F48" s="11" t="n">
        <x:f>IF('제외 후보'!Y48=0,'선정 규칙'!$B$15,IF('제외 후보'!Y48&gt;=100,'선정 규칙'!$B$16,'선정 규칙'!$B$17))</x:f>
        <x:v>-25</x:v>
      </x:c>
      <x:c r="G48" s="11" t="n">
        <x:f>IF('제외 후보'!M48="있음",'선정 규칙'!$B$18,'선정 규칙'!$B$19)</x:f>
        <x:v>6</x:v>
      </x:c>
      <x:c r="H48" s="11" t="n">
        <x:f>IF(ISNUMBER(SEARCH("freq-core",'제외 후보'!AD48)),'선정 규칙'!$B$20,0)</x:f>
        <x:v>0</x:v>
      </x:c>
      <x:c r="I48" s="11" t="n">
        <x:f>IF(ISNUMBER(SEARCH("weak_legacy_content",'제외 후보'!P48)),'선정 규칙'!$B$21,0)</x:f>
        <x:v>5</x:v>
      </x:c>
      <x:c r="J48" s="11" t="n">
        <x:f>IF('제외 후보'!AC48&lt;&gt;"",'선정 규칙'!$B$22,0)</x:f>
        <x:v>10</x:v>
      </x:c>
      <x:c r="K48" s="11" t="n">
        <x:f>SUM(B48:J48)</x:f>
        <x:v>68</x:v>
      </x:c>
      <x:c r="L48" s="11" t="n">
        <x:f>'제외 후보'!N48</x:f>
        <x:v>68</x:v>
      </x:c>
      <x:c r="M48" s="2" t="str">
        <x:f>IF(K48=L48,"OK","MISMATCH")</x:f>
        <x:v>OK</x:v>
      </x:c>
    </x:row>
    <x:row r="49">
      <x:c r="A49" s="2" t="str">
        <x:f>'제외 후보'!G49</x:f>
        <x:v>w_f7ccae9d8e37b9be</x:v>
      </x:c>
      <x:c r="B49" s="11" t="n">
        <x:f>IF('제외 후보'!Q49&lt;&gt;"",'선정 규칙'!$B$4,0)</x:f>
        <x:v>60</x:v>
      </x:c>
      <x:c r="C49" s="11" t="n">
        <x:f>IF(ISNUMBER(SEARCH("jmdict_uncommon_or_irregular",'제외 후보'!P49)),'선정 규칙'!$B$5,IF(ISNUMBER(SEARCH("jmdict_rare_or_dated",'제외 후보'!P49)),'선정 규칙'!$B$6,0))</x:f>
        <x:v>0</x:v>
      </x:c>
      <x:c r="D49" s="11" t="n">
        <x:f>IF(ISNUMBER(SEARCH("jmdict_exact_pair_not_found",'제외 후보'!P49)),'선정 규칙'!$B$7,0)</x:f>
        <x:v>0</x:v>
      </x:c>
      <x:c r="E49" s="11" t="n">
        <x:f>IF(OR('제외 후보'!L49="",'제외 후보'!L49&lt;=0),'선정 규칙'!$B$8,IF('제외 후보'!L49&lt;=1.5,'선정 규칙'!$B$9,IF('제외 후보'!L49&lt;=2,'선정 규칙'!$B$10,IF('제외 후보'!L49&lt;=2.5,'선정 규칙'!$B$11,IF('제외 후보'!L49&lt;=3,'선정 규칙'!$B$12,IF('제외 후보'!L49&lt;=3.5,'선정 규칙'!$B$13,IF('제외 후보'!L49&gt;=4.5,'선정 규칙'!$B$14,0)))))))</x:f>
        <x:v>12</x:v>
      </x:c>
      <x:c r="F49" s="11" t="n">
        <x:f>IF('제외 후보'!Y49=0,'선정 규칙'!$B$15,IF('제외 후보'!Y49&gt;=100,'선정 규칙'!$B$16,'선정 규칙'!$B$17))</x:f>
        <x:v>-25</x:v>
      </x:c>
      <x:c r="G49" s="11" t="n">
        <x:f>IF('제외 후보'!M49="있음",'선정 규칙'!$B$18,'선정 규칙'!$B$19)</x:f>
        <x:v>6</x:v>
      </x:c>
      <x:c r="H49" s="11" t="n">
        <x:f>IF(ISNUMBER(SEARCH("freq-core",'제외 후보'!AD49)),'선정 규칙'!$B$20,0)</x:f>
        <x:v>0</x:v>
      </x:c>
      <x:c r="I49" s="11" t="n">
        <x:f>IF(ISNUMBER(SEARCH("weak_legacy_content",'제외 후보'!P49)),'선정 규칙'!$B$21,0)</x:f>
        <x:v>5</x:v>
      </x:c>
      <x:c r="J49" s="11" t="n">
        <x:f>IF('제외 후보'!AC49&lt;&gt;"",'선정 규칙'!$B$22,0)</x:f>
        <x:v>10</x:v>
      </x:c>
      <x:c r="K49" s="11" t="n">
        <x:f>SUM(B49:J49)</x:f>
        <x:v>68</x:v>
      </x:c>
      <x:c r="L49" s="11" t="n">
        <x:f>'제외 후보'!N49</x:f>
        <x:v>68</x:v>
      </x:c>
      <x:c r="M49" s="2" t="str">
        <x:f>IF(K49=L49,"OK","MISMATCH")</x:f>
        <x:v>OK</x:v>
      </x:c>
    </x:row>
    <x:row r="50">
      <x:c r="A50" s="2" t="str">
        <x:f>'제외 후보'!G50</x:f>
        <x:v>w_9993087dc90cdc3f</x:v>
      </x:c>
      <x:c r="B50" s="11" t="n">
        <x:f>IF('제외 후보'!Q50&lt;&gt;"",'선정 규칙'!$B$4,0)</x:f>
        <x:v>0</x:v>
      </x:c>
      <x:c r="C50" s="11" t="n">
        <x:f>IF(ISNUMBER(SEARCH("jmdict_uncommon_or_irregular",'제외 후보'!P50)),'선정 규칙'!$B$5,IF(ISNUMBER(SEARCH("jmdict_rare_or_dated",'제외 후보'!P50)),'선정 규칙'!$B$6,0))</x:f>
        <x:v>0</x:v>
      </x:c>
      <x:c r="D50" s="11" t="n">
        <x:f>IF(ISNUMBER(SEARCH("jmdict_exact_pair_not_found",'제외 후보'!P50)),'선정 규칙'!$B$7,0)</x:f>
        <x:v>35</x:v>
      </x:c>
      <x:c r="E50" s="11" t="n">
        <x:f>IF(OR('제외 후보'!L50="",'제외 후보'!L50&lt;=0),'선정 규칙'!$B$8,IF('제외 후보'!L50&lt;=1.5,'선정 규칙'!$B$9,IF('제외 후보'!L50&lt;=2,'선정 규칙'!$B$10,IF('제외 후보'!L50&lt;=2.5,'선정 규칙'!$B$11,IF('제외 후보'!L50&lt;=3,'선정 규칙'!$B$12,IF('제외 후보'!L50&lt;=3.5,'선정 규칙'!$B$13,IF('제외 후보'!L50&gt;=4.5,'선정 규칙'!$B$14,0)))))))</x:f>
        <x:v>0</x:v>
      </x:c>
      <x:c r="F50" s="11" t="n">
        <x:f>IF('제외 후보'!Y50=0,'선정 규칙'!$B$15,IF('제외 후보'!Y50&gt;=100,'선정 규칙'!$B$16,'선정 규칙'!$B$17))</x:f>
        <x:v>12</x:v>
      </x:c>
      <x:c r="G50" s="11" t="n">
        <x:f>IF('제외 후보'!M50="있음",'선정 규칙'!$B$18,'선정 규칙'!$B$19)</x:f>
        <x:v>6</x:v>
      </x:c>
      <x:c r="H50" s="11" t="n">
        <x:f>IF(ISNUMBER(SEARCH("freq-core",'제외 후보'!AD50)),'선정 규칙'!$B$20,0)</x:f>
        <x:v>0</x:v>
      </x:c>
      <x:c r="I50" s="11" t="n">
        <x:f>IF(ISNUMBER(SEARCH("weak_legacy_content",'제외 후보'!P50)),'선정 규칙'!$B$21,0)</x:f>
        <x:v>5</x:v>
      </x:c>
      <x:c r="J50" s="11" t="n">
        <x:f>IF('제외 후보'!AC50&lt;&gt;"",'선정 규칙'!$B$22,0)</x:f>
        <x:v>10</x:v>
      </x:c>
      <x:c r="K50" s="11" t="n">
        <x:f>SUM(B50:J50)</x:f>
        <x:v>68</x:v>
      </x:c>
      <x:c r="L50" s="11" t="n">
        <x:f>'제외 후보'!N50</x:f>
        <x:v>68</x:v>
      </x:c>
      <x:c r="M50" s="2" t="str">
        <x:f>IF(K50=L50,"OK","MISMATCH")</x:f>
        <x:v>OK</x:v>
      </x:c>
    </x:row>
    <x:row r="51">
      <x:c r="A51" s="2" t="str">
        <x:f>'제외 후보'!G51</x:f>
        <x:v>w_1edabef57d377161</x:v>
      </x:c>
      <x:c r="B51" s="11" t="n">
        <x:f>IF('제외 후보'!Q51&lt;&gt;"",'선정 규칙'!$B$4,0)</x:f>
        <x:v>0</x:v>
      </x:c>
      <x:c r="C51" s="11" t="n">
        <x:f>IF(ISNUMBER(SEARCH("jmdict_uncommon_or_irregular",'제외 후보'!P51)),'선정 규칙'!$B$5,IF(ISNUMBER(SEARCH("jmdict_rare_or_dated",'제외 후보'!P51)),'선정 규칙'!$B$6,0))</x:f>
        <x:v>0</x:v>
      </x:c>
      <x:c r="D51" s="11" t="n">
        <x:f>IF(ISNUMBER(SEARCH("jmdict_exact_pair_not_found",'제외 후보'!P51)),'선정 규칙'!$B$7,0)</x:f>
        <x:v>35</x:v>
      </x:c>
      <x:c r="E51" s="11" t="n">
        <x:f>IF(OR('제외 후보'!L51="",'제외 후보'!L51&lt;=0),'선정 규칙'!$B$8,IF('제외 후보'!L51&lt;=1.5,'선정 규칙'!$B$9,IF('제외 후보'!L51&lt;=2,'선정 규칙'!$B$10,IF('제외 후보'!L51&lt;=2.5,'선정 규칙'!$B$11,IF('제외 후보'!L51&lt;=3,'선정 규칙'!$B$12,IF('제외 후보'!L51&lt;=3.5,'선정 규칙'!$B$13,IF('제외 후보'!L51&gt;=4.5,'선정 규칙'!$B$14,0)))))))</x:f>
        <x:v>0</x:v>
      </x:c>
      <x:c r="F51" s="11" t="n">
        <x:f>IF('제외 후보'!Y51=0,'선정 규칙'!$B$15,IF('제외 후보'!Y51&gt;=100,'선정 규칙'!$B$16,'선정 규칙'!$B$17))</x:f>
        <x:v>12</x:v>
      </x:c>
      <x:c r="G51" s="11" t="n">
        <x:f>IF('제외 후보'!M51="있음",'선정 규칙'!$B$18,'선정 규칙'!$B$19)</x:f>
        <x:v>6</x:v>
      </x:c>
      <x:c r="H51" s="11" t="n">
        <x:f>IF(ISNUMBER(SEARCH("freq-core",'제외 후보'!AD51)),'선정 규칙'!$B$20,0)</x:f>
        <x:v>0</x:v>
      </x:c>
      <x:c r="I51" s="11" t="n">
        <x:f>IF(ISNUMBER(SEARCH("weak_legacy_content",'제외 후보'!P51)),'선정 규칙'!$B$21,0)</x:f>
        <x:v>5</x:v>
      </x:c>
      <x:c r="J51" s="11" t="n">
        <x:f>IF('제외 후보'!AC51&lt;&gt;"",'선정 규칙'!$B$22,0)</x:f>
        <x:v>10</x:v>
      </x:c>
      <x:c r="K51" s="11" t="n">
        <x:f>SUM(B51:J51)</x:f>
        <x:v>68</x:v>
      </x:c>
      <x:c r="L51" s="11" t="n">
        <x:f>'제외 후보'!N51</x:f>
        <x:v>68</x:v>
      </x:c>
      <x:c r="M51" s="2" t="str">
        <x:f>IF(K51=L51,"OK","MISMATCH")</x:f>
        <x:v>OK</x:v>
      </x:c>
    </x:row>
    <x:row r="52">
      <x:c r="A52" s="2" t="str">
        <x:f>'제외 후보'!G52</x:f>
        <x:v>w_55c70829a8a13b07</x:v>
      </x:c>
      <x:c r="B52" s="11" t="n">
        <x:f>IF('제외 후보'!Q52&lt;&gt;"",'선정 규칙'!$B$4,0)</x:f>
        <x:v>60</x:v>
      </x:c>
      <x:c r="C52" s="11" t="n">
        <x:f>IF(ISNUMBER(SEARCH("jmdict_uncommon_or_irregular",'제외 후보'!P52)),'선정 규칙'!$B$5,IF(ISNUMBER(SEARCH("jmdict_rare_or_dated",'제외 후보'!P52)),'선정 규칙'!$B$6,0))</x:f>
        <x:v>0</x:v>
      </x:c>
      <x:c r="D52" s="11" t="n">
        <x:f>IF(ISNUMBER(SEARCH("jmdict_exact_pair_not_found",'제외 후보'!P52)),'선정 규칙'!$B$7,0)</x:f>
        <x:v>0</x:v>
      </x:c>
      <x:c r="E52" s="11" t="n">
        <x:f>IF(OR('제외 후보'!L52="",'제외 후보'!L52&lt;=0),'선정 규칙'!$B$8,IF('제외 후보'!L52&lt;=1.5,'선정 규칙'!$B$9,IF('제외 후보'!L52&lt;=2,'선정 규칙'!$B$10,IF('제외 후보'!L52&lt;=2.5,'선정 규칙'!$B$11,IF('제외 후보'!L52&lt;=3,'선정 규칙'!$B$12,IF('제외 후보'!L52&lt;=3.5,'선정 규칙'!$B$13,IF('제외 후보'!L52&gt;=4.5,'선정 규칙'!$B$14,0)))))))</x:f>
        <x:v>26</x:v>
      </x:c>
      <x:c r="F52" s="11" t="n">
        <x:f>IF('제외 후보'!Y52=0,'선정 규칙'!$B$15,IF('제외 후보'!Y52&gt;=100,'선정 규칙'!$B$16,'선정 규칙'!$B$17))</x:f>
        <x:v>-25</x:v>
      </x:c>
      <x:c r="G52" s="11" t="n">
        <x:f>IF('제외 후보'!M52="있음",'선정 규칙'!$B$18,'선정 규칙'!$B$19)</x:f>
        <x:v>6</x:v>
      </x:c>
      <x:c r="H52" s="11" t="n">
        <x:f>IF(ISNUMBER(SEARCH("freq-core",'제외 후보'!AD52)),'선정 규칙'!$B$20,0)</x:f>
        <x:v>0</x:v>
      </x:c>
      <x:c r="I52" s="11" t="n">
        <x:f>IF(ISNUMBER(SEARCH("weak_legacy_content",'제외 후보'!P52)),'선정 규칙'!$B$21,0)</x:f>
        <x:v>0</x:v>
      </x:c>
      <x:c r="J52" s="11" t="n">
        <x:f>IF('제외 후보'!AC52&lt;&gt;"",'선정 규칙'!$B$22,0)</x:f>
        <x:v>0</x:v>
      </x:c>
      <x:c r="K52" s="11" t="n">
        <x:f>SUM(B52:J52)</x:f>
        <x:v>67</x:v>
      </x:c>
      <x:c r="L52" s="11" t="n">
        <x:f>'제외 후보'!N52</x:f>
        <x:v>67</x:v>
      </x:c>
      <x:c r="M52" s="2" t="str">
        <x:f>IF(K52=L52,"OK","MISMATCH")</x:f>
        <x:v>OK</x:v>
      </x:c>
    </x:row>
    <x:row r="53">
      <x:c r="A53" s="2" t="str">
        <x:f>'제외 후보'!G53</x:f>
        <x:v>w_6b9618a530ed3936</x:v>
      </x:c>
      <x:c r="B53" s="11" t="n">
        <x:f>IF('제외 후보'!Q53&lt;&gt;"",'선정 규칙'!$B$4,0)</x:f>
        <x:v>60</x:v>
      </x:c>
      <x:c r="C53" s="11" t="n">
        <x:f>IF(ISNUMBER(SEARCH("jmdict_uncommon_or_irregular",'제외 후보'!P53)),'선정 규칙'!$B$5,IF(ISNUMBER(SEARCH("jmdict_rare_or_dated",'제외 후보'!P53)),'선정 규칙'!$B$6,0))</x:f>
        <x:v>0</x:v>
      </x:c>
      <x:c r="D53" s="11" t="n">
        <x:f>IF(ISNUMBER(SEARCH("jmdict_exact_pair_not_found",'제외 후보'!P53)),'선정 규칙'!$B$7,0)</x:f>
        <x:v>0</x:v>
      </x:c>
      <x:c r="E53" s="11" t="n">
        <x:f>IF(OR('제외 후보'!L53="",'제외 후보'!L53&lt;=0),'선정 규칙'!$B$8,IF('제외 후보'!L53&lt;=1.5,'선정 규칙'!$B$9,IF('제외 후보'!L53&lt;=2,'선정 규칙'!$B$10,IF('제외 후보'!L53&lt;=2.5,'선정 규칙'!$B$11,IF('제외 후보'!L53&lt;=3,'선정 규칙'!$B$12,IF('제외 후보'!L53&lt;=3.5,'선정 규칙'!$B$13,IF('제외 후보'!L53&gt;=4.5,'선정 규칙'!$B$14,0)))))))</x:f>
        <x:v>20</x:v>
      </x:c>
      <x:c r="F53" s="11" t="n">
        <x:f>IF('제외 후보'!Y53=0,'선정 규칙'!$B$15,IF('제외 후보'!Y53&gt;=100,'선정 규칙'!$B$16,'선정 규칙'!$B$17))</x:f>
        <x:v>-25</x:v>
      </x:c>
      <x:c r="G53" s="11" t="n">
        <x:f>IF('제외 후보'!M53="있음",'선정 규칙'!$B$18,'선정 규칙'!$B$19)</x:f>
        <x:v>6</x:v>
      </x:c>
      <x:c r="H53" s="11" t="n">
        <x:f>IF(ISNUMBER(SEARCH("freq-core",'제외 후보'!AD53)),'선정 규칙'!$B$20,0)</x:f>
        <x:v>0</x:v>
      </x:c>
      <x:c r="I53" s="11" t="n">
        <x:f>IF(ISNUMBER(SEARCH("weak_legacy_content",'제외 후보'!P53)),'선정 규칙'!$B$21,0)</x:f>
        <x:v>5</x:v>
      </x:c>
      <x:c r="J53" s="11" t="n">
        <x:f>IF('제외 후보'!AC53&lt;&gt;"",'선정 규칙'!$B$22,0)</x:f>
        <x:v>0</x:v>
      </x:c>
      <x:c r="K53" s="11" t="n">
        <x:f>SUM(B53:J53)</x:f>
        <x:v>66</x:v>
      </x:c>
      <x:c r="L53" s="11" t="n">
        <x:f>'제외 후보'!N53</x:f>
        <x:v>66</x:v>
      </x:c>
      <x:c r="M53" s="2" t="str">
        <x:f>IF(K53=L53,"OK","MISMATCH")</x:f>
        <x:v>OK</x:v>
      </x:c>
    </x:row>
    <x:row r="54">
      <x:c r="A54" s="2" t="str">
        <x:f>'제외 후보'!G54</x:f>
        <x:v>w_f1e8d7483ee776ca</x:v>
      </x:c>
      <x:c r="B54" s="11" t="n">
        <x:f>IF('제외 후보'!Q54&lt;&gt;"",'선정 규칙'!$B$4,0)</x:f>
        <x:v>60</x:v>
      </x:c>
      <x:c r="C54" s="11" t="n">
        <x:f>IF(ISNUMBER(SEARCH("jmdict_uncommon_or_irregular",'제외 후보'!P54)),'선정 규칙'!$B$5,IF(ISNUMBER(SEARCH("jmdict_rare_or_dated",'제외 후보'!P54)),'선정 규칙'!$B$6,0))</x:f>
        <x:v>0</x:v>
      </x:c>
      <x:c r="D54" s="11" t="n">
        <x:f>IF(ISNUMBER(SEARCH("jmdict_exact_pair_not_found",'제외 후보'!P54)),'선정 규칙'!$B$7,0)</x:f>
        <x:v>0</x:v>
      </x:c>
      <x:c r="E54" s="11" t="n">
        <x:f>IF(OR('제외 후보'!L54="",'제외 후보'!L54&lt;=0),'선정 규칙'!$B$8,IF('제외 후보'!L54&lt;=1.5,'선정 규칙'!$B$9,IF('제외 후보'!L54&lt;=2,'선정 규칙'!$B$10,IF('제외 후보'!L54&lt;=2.5,'선정 규칙'!$B$11,IF('제외 후보'!L54&lt;=3,'선정 규칙'!$B$12,IF('제외 후보'!L54&lt;=3.5,'선정 규칙'!$B$13,IF('제외 후보'!L54&gt;=4.5,'선정 규칙'!$B$14,0)))))))</x:f>
        <x:v>20</x:v>
      </x:c>
      <x:c r="F54" s="11" t="n">
        <x:f>IF('제외 후보'!Y54=0,'선정 규칙'!$B$15,IF('제외 후보'!Y54&gt;=100,'선정 규칙'!$B$16,'선정 규칙'!$B$17))</x:f>
        <x:v>-25</x:v>
      </x:c>
      <x:c r="G54" s="11" t="n">
        <x:f>IF('제외 후보'!M54="있음",'선정 규칙'!$B$18,'선정 규칙'!$B$19)</x:f>
        <x:v>6</x:v>
      </x:c>
      <x:c r="H54" s="11" t="n">
        <x:f>IF(ISNUMBER(SEARCH("freq-core",'제외 후보'!AD54)),'선정 규칙'!$B$20,0)</x:f>
        <x:v>0</x:v>
      </x:c>
      <x:c r="I54" s="11" t="n">
        <x:f>IF(ISNUMBER(SEARCH("weak_legacy_content",'제외 후보'!P54)),'선정 규칙'!$B$21,0)</x:f>
        <x:v>5</x:v>
      </x:c>
      <x:c r="J54" s="11" t="n">
        <x:f>IF('제외 후보'!AC54&lt;&gt;"",'선정 규칙'!$B$22,0)</x:f>
        <x:v>0</x:v>
      </x:c>
      <x:c r="K54" s="11" t="n">
        <x:f>SUM(B54:J54)</x:f>
        <x:v>66</x:v>
      </x:c>
      <x:c r="L54" s="11" t="n">
        <x:f>'제외 후보'!N54</x:f>
        <x:v>66</x:v>
      </x:c>
      <x:c r="M54" s="2" t="str">
        <x:f>IF(K54=L54,"OK","MISMATCH")</x:f>
        <x:v>OK</x:v>
      </x:c>
    </x:row>
    <x:row r="55">
      <x:c r="A55" s="2" t="str">
        <x:f>'제외 후보'!G55</x:f>
        <x:v>w_2c0a3b86789fa920</x:v>
      </x:c>
      <x:c r="B55" s="11" t="n">
        <x:f>IF('제외 후보'!Q55&lt;&gt;"",'선정 규칙'!$B$4,0)</x:f>
        <x:v>60</x:v>
      </x:c>
      <x:c r="C55" s="11" t="n">
        <x:f>IF(ISNUMBER(SEARCH("jmdict_uncommon_or_irregular",'제외 후보'!P55)),'선정 규칙'!$B$5,IF(ISNUMBER(SEARCH("jmdict_rare_or_dated",'제외 후보'!P55)),'선정 규칙'!$B$6,0))</x:f>
        <x:v>0</x:v>
      </x:c>
      <x:c r="D55" s="11" t="n">
        <x:f>IF(ISNUMBER(SEARCH("jmdict_exact_pair_not_found",'제외 후보'!P55)),'선정 규칙'!$B$7,0)</x:f>
        <x:v>0</x:v>
      </x:c>
      <x:c r="E55" s="11" t="n">
        <x:f>IF(OR('제외 후보'!L55="",'제외 후보'!L55&lt;=0),'선정 규칙'!$B$8,IF('제외 후보'!L55&lt;=1.5,'선정 규칙'!$B$9,IF('제외 후보'!L55&lt;=2,'선정 규칙'!$B$10,IF('제외 후보'!L55&lt;=2.5,'선정 규칙'!$B$11,IF('제외 후보'!L55&lt;=3,'선정 규칙'!$B$12,IF('제외 후보'!L55&lt;=3.5,'선정 규칙'!$B$13,IF('제외 후보'!L55&gt;=4.5,'선정 규칙'!$B$14,0)))))))</x:f>
        <x:v>20</x:v>
      </x:c>
      <x:c r="F55" s="11" t="n">
        <x:f>IF('제외 후보'!Y55=0,'선정 규칙'!$B$15,IF('제외 후보'!Y55&gt;=100,'선정 규칙'!$B$16,'선정 규칙'!$B$17))</x:f>
        <x:v>-25</x:v>
      </x:c>
      <x:c r="G55" s="11" t="n">
        <x:f>IF('제외 후보'!M55="있음",'선정 규칙'!$B$18,'선정 규칙'!$B$19)</x:f>
        <x:v>6</x:v>
      </x:c>
      <x:c r="H55" s="11" t="n">
        <x:f>IF(ISNUMBER(SEARCH("freq-core",'제외 후보'!AD55)),'선정 규칙'!$B$20,0)</x:f>
        <x:v>0</x:v>
      </x:c>
      <x:c r="I55" s="11" t="n">
        <x:f>IF(ISNUMBER(SEARCH("weak_legacy_content",'제외 후보'!P55)),'선정 규칙'!$B$21,0)</x:f>
        <x:v>5</x:v>
      </x:c>
      <x:c r="J55" s="11" t="n">
        <x:f>IF('제외 후보'!AC55&lt;&gt;"",'선정 규칙'!$B$22,0)</x:f>
        <x:v>0</x:v>
      </x:c>
      <x:c r="K55" s="11" t="n">
        <x:f>SUM(B55:J55)</x:f>
        <x:v>66</x:v>
      </x:c>
      <x:c r="L55" s="11" t="n">
        <x:f>'제외 후보'!N55</x:f>
        <x:v>66</x:v>
      </x:c>
      <x:c r="M55" s="2" t="str">
        <x:f>IF(K55=L55,"OK","MISMATCH")</x:f>
        <x:v>OK</x:v>
      </x:c>
    </x:row>
    <x:row r="56">
      <x:c r="A56" s="2" t="str">
        <x:f>'제외 후보'!G56</x:f>
        <x:v>w_da8b9fc87f20ce8c</x:v>
      </x:c>
      <x:c r="B56" s="11" t="n">
        <x:f>IF('제외 후보'!Q56&lt;&gt;"",'선정 규칙'!$B$4,0)</x:f>
        <x:v>0</x:v>
      </x:c>
      <x:c r="C56" s="11" t="n">
        <x:f>IF(ISNUMBER(SEARCH("jmdict_uncommon_or_irregular",'제외 후보'!P56)),'선정 규칙'!$B$5,IF(ISNUMBER(SEARCH("jmdict_rare_or_dated",'제외 후보'!P56)),'선정 규칙'!$B$6,0))</x:f>
        <x:v>0</x:v>
      </x:c>
      <x:c r="D56" s="11" t="n">
        <x:f>IF(ISNUMBER(SEARCH("jmdict_exact_pair_not_found",'제외 후보'!P56)),'선정 규칙'!$B$7,0)</x:f>
        <x:v>35</x:v>
      </x:c>
      <x:c r="E56" s="11" t="n">
        <x:f>IF(OR('제외 후보'!L56="",'제외 후보'!L56&lt;=0),'선정 규칙'!$B$8,IF('제외 후보'!L56&lt;=1.5,'선정 규칙'!$B$9,IF('제외 후보'!L56&lt;=2,'선정 규칙'!$B$10,IF('제외 후보'!L56&lt;=2.5,'선정 규칙'!$B$11,IF('제외 후보'!L56&lt;=3,'선정 규칙'!$B$12,IF('제외 후보'!L56&lt;=3.5,'선정 규칙'!$B$13,IF('제외 후보'!L56&gt;=4.5,'선정 규칙'!$B$14,0)))))))</x:f>
        <x:v>12</x:v>
      </x:c>
      <x:c r="F56" s="11" t="n">
        <x:f>IF('제외 후보'!Y56=0,'선정 규칙'!$B$15,IF('제외 후보'!Y56&gt;=100,'선정 규칙'!$B$16,'선정 규칙'!$B$17))</x:f>
        <x:v>12</x:v>
      </x:c>
      <x:c r="G56" s="11" t="n">
        <x:f>IF('제외 후보'!M56="있음",'선정 규칙'!$B$18,'선정 규칙'!$B$19)</x:f>
        <x:v>6</x:v>
      </x:c>
      <x:c r="H56" s="11" t="n">
        <x:f>IF(ISNUMBER(SEARCH("freq-core",'제외 후보'!AD56)),'선정 규칙'!$B$20,0)</x:f>
        <x:v>0</x:v>
      </x:c>
      <x:c r="I56" s="11" t="n">
        <x:f>IF(ISNUMBER(SEARCH("weak_legacy_content",'제외 후보'!P56)),'선정 규칙'!$B$21,0)</x:f>
        <x:v>0</x:v>
      </x:c>
      <x:c r="J56" s="11" t="n">
        <x:f>IF('제외 후보'!AC56&lt;&gt;"",'선정 규칙'!$B$22,0)</x:f>
        <x:v>0</x:v>
      </x:c>
      <x:c r="K56" s="11" t="n">
        <x:f>SUM(B56:J56)</x:f>
        <x:v>65</x:v>
      </x:c>
      <x:c r="L56" s="11" t="n">
        <x:f>'제외 후보'!N56</x:f>
        <x:v>65</x:v>
      </x:c>
      <x:c r="M56" s="2" t="str">
        <x:f>IF(K56=L56,"OK","MISMATCH")</x:f>
        <x:v>OK</x:v>
      </x:c>
    </x:row>
    <x:row r="57">
      <x:c r="A57" s="2" t="str">
        <x:f>'제외 후보'!G57</x:f>
        <x:v>w_0e49bf9a473462a3</x:v>
      </x:c>
      <x:c r="B57" s="11" t="n">
        <x:f>IF('제외 후보'!Q57&lt;&gt;"",'선정 규칙'!$B$4,0)</x:f>
        <x:v>0</x:v>
      </x:c>
      <x:c r="C57" s="11" t="n">
        <x:f>IF(ISNUMBER(SEARCH("jmdict_uncommon_or_irregular",'제외 후보'!P57)),'선정 규칙'!$B$5,IF(ISNUMBER(SEARCH("jmdict_rare_or_dated",'제외 후보'!P57)),'선정 규칙'!$B$6,0))</x:f>
        <x:v>0</x:v>
      </x:c>
      <x:c r="D57" s="11" t="n">
        <x:f>IF(ISNUMBER(SEARCH("jmdict_exact_pair_not_found",'제외 후보'!P57)),'선정 규칙'!$B$7,0)</x:f>
        <x:v>35</x:v>
      </x:c>
      <x:c r="E57" s="11" t="n">
        <x:f>IF(OR('제외 후보'!L57="",'제외 후보'!L57&lt;=0),'선정 규칙'!$B$8,IF('제외 후보'!L57&lt;=1.5,'선정 규칙'!$B$9,IF('제외 후보'!L57&lt;=2,'선정 규칙'!$B$10,IF('제외 후보'!L57&lt;=2.5,'선정 규칙'!$B$11,IF('제외 후보'!L57&lt;=3,'선정 규칙'!$B$12,IF('제외 후보'!L57&lt;=3.5,'선정 규칙'!$B$13,IF('제외 후보'!L57&gt;=4.5,'선정 규칙'!$B$14,0)))))))</x:f>
        <x:v>6</x:v>
      </x:c>
      <x:c r="F57" s="11" t="n">
        <x:f>IF('제외 후보'!Y57=0,'선정 규칙'!$B$15,IF('제외 후보'!Y57&gt;=100,'선정 규칙'!$B$16,'선정 규칙'!$B$17))</x:f>
        <x:v>12</x:v>
      </x:c>
      <x:c r="G57" s="11" t="n">
        <x:f>IF('제외 후보'!M57="있음",'선정 규칙'!$B$18,'선정 규칙'!$B$19)</x:f>
        <x:v>6</x:v>
      </x:c>
      <x:c r="H57" s="11" t="n">
        <x:f>IF(ISNUMBER(SEARCH("freq-core",'제외 후보'!AD57)),'선정 규칙'!$B$20,0)</x:f>
        <x:v>0</x:v>
      </x:c>
      <x:c r="I57" s="11" t="n">
        <x:f>IF(ISNUMBER(SEARCH("weak_legacy_content",'제외 후보'!P57)),'선정 규칙'!$B$21,0)</x:f>
        <x:v>5</x:v>
      </x:c>
      <x:c r="J57" s="11" t="n">
        <x:f>IF('제외 후보'!AC57&lt;&gt;"",'선정 규칙'!$B$22,0)</x:f>
        <x:v>0</x:v>
      </x:c>
      <x:c r="K57" s="11" t="n">
        <x:f>SUM(B57:J57)</x:f>
        <x:v>64</x:v>
      </x:c>
      <x:c r="L57" s="11" t="n">
        <x:f>'제외 후보'!N57</x:f>
        <x:v>64</x:v>
      </x:c>
      <x:c r="M57" s="2" t="str">
        <x:f>IF(K57=L57,"OK","MISMATCH")</x:f>
        <x:v>OK</x:v>
      </x:c>
    </x:row>
    <x:row r="58">
      <x:c r="A58" s="2" t="str">
        <x:f>'제외 후보'!G58</x:f>
        <x:v>w_34c8047bc1fba928</x:v>
      </x:c>
      <x:c r="B58" s="11" t="n">
        <x:f>IF('제외 후보'!Q58&lt;&gt;"",'선정 규칙'!$B$4,0)</x:f>
        <x:v>0</x:v>
      </x:c>
      <x:c r="C58" s="11" t="n">
        <x:f>IF(ISNUMBER(SEARCH("jmdict_uncommon_or_irregular",'제외 후보'!P58)),'선정 규칙'!$B$5,IF(ISNUMBER(SEARCH("jmdict_rare_or_dated",'제외 후보'!P58)),'선정 규칙'!$B$6,0))</x:f>
        <x:v>0</x:v>
      </x:c>
      <x:c r="D58" s="11" t="n">
        <x:f>IF(ISNUMBER(SEARCH("jmdict_exact_pair_not_found",'제외 후보'!P58)),'선정 규칙'!$B$7,0)</x:f>
        <x:v>0</x:v>
      </x:c>
      <x:c r="E58" s="11" t="n">
        <x:f>IF(OR('제외 후보'!L58="",'제외 후보'!L58&lt;=0),'선정 규칙'!$B$8,IF('제외 후보'!L58&lt;=1.5,'선정 규칙'!$B$9,IF('제외 후보'!L58&lt;=2,'선정 규칙'!$B$10,IF('제외 후보'!L58&lt;=2.5,'선정 규칙'!$B$11,IF('제외 후보'!L58&lt;=3,'선정 규칙'!$B$12,IF('제외 후보'!L58&lt;=3.5,'선정 규칙'!$B$13,IF('제외 후보'!L58&gt;=4.5,'선정 규칙'!$B$14,0)))))))</x:f>
        <x:v>40</x:v>
      </x:c>
      <x:c r="F58" s="11" t="n">
        <x:f>IF('제외 후보'!Y58=0,'선정 규칙'!$B$15,IF('제외 후보'!Y58&gt;=100,'선정 규칙'!$B$16,'선정 규칙'!$B$17))</x:f>
        <x:v>12</x:v>
      </x:c>
      <x:c r="G58" s="11" t="n">
        <x:f>IF('제외 후보'!M58="있음",'선정 규칙'!$B$18,'선정 규칙'!$B$19)</x:f>
        <x:v>6</x:v>
      </x:c>
      <x:c r="H58" s="11" t="n">
        <x:f>IF(ISNUMBER(SEARCH("freq-core",'제외 후보'!AD58)),'선정 규칙'!$B$20,0)</x:f>
        <x:v>0</x:v>
      </x:c>
      <x:c r="I58" s="11" t="n">
        <x:f>IF(ISNUMBER(SEARCH("weak_legacy_content",'제외 후보'!P58)),'선정 규칙'!$B$21,0)</x:f>
        <x:v>5</x:v>
      </x:c>
      <x:c r="J58" s="11" t="n">
        <x:f>IF('제외 후보'!AC58&lt;&gt;"",'선정 규칙'!$B$22,0)</x:f>
        <x:v>0</x:v>
      </x:c>
      <x:c r="K58" s="11" t="n">
        <x:f>SUM(B58:J58)</x:f>
        <x:v>63</x:v>
      </x:c>
      <x:c r="L58" s="11" t="n">
        <x:f>'제외 후보'!N58</x:f>
        <x:v>63</x:v>
      </x:c>
      <x:c r="M58" s="2" t="str">
        <x:f>IF(K58=L58,"OK","MISMATCH")</x:f>
        <x:v>OK</x:v>
      </x:c>
    </x:row>
    <x:row r="59">
      <x:c r="A59" s="2" t="str">
        <x:f>'제외 후보'!G59</x:f>
        <x:v>w_52a2e8992f64e713</x:v>
      </x:c>
      <x:c r="B59" s="11" t="n">
        <x:f>IF('제외 후보'!Q59&lt;&gt;"",'선정 규칙'!$B$4,0)</x:f>
        <x:v>0</x:v>
      </x:c>
      <x:c r="C59" s="11" t="n">
        <x:f>IF(ISNUMBER(SEARCH("jmdict_uncommon_or_irregular",'제외 후보'!P59)),'선정 규칙'!$B$5,IF(ISNUMBER(SEARCH("jmdict_rare_or_dated",'제외 후보'!P59)),'선정 규칙'!$B$6,0))</x:f>
        <x:v>0</x:v>
      </x:c>
      <x:c r="D59" s="11" t="n">
        <x:f>IF(ISNUMBER(SEARCH("jmdict_exact_pair_not_found",'제외 후보'!P59)),'선정 규칙'!$B$7,0)</x:f>
        <x:v>0</x:v>
      </x:c>
      <x:c r="E59" s="11" t="n">
        <x:f>IF(OR('제외 후보'!L59="",'제외 후보'!L59&lt;=0),'선정 규칙'!$B$8,IF('제외 후보'!L59&lt;=1.5,'선정 규칙'!$B$9,IF('제외 후보'!L59&lt;=2,'선정 규칙'!$B$10,IF('제외 후보'!L59&lt;=2.5,'선정 규칙'!$B$11,IF('제외 후보'!L59&lt;=3,'선정 규칙'!$B$12,IF('제외 후보'!L59&lt;=3.5,'선정 규칙'!$B$13,IF('제외 후보'!L59&gt;=4.5,'선정 규칙'!$B$14,0)))))))</x:f>
        <x:v>40</x:v>
      </x:c>
      <x:c r="F59" s="11" t="n">
        <x:f>IF('제외 후보'!Y59=0,'선정 규칙'!$B$15,IF('제외 후보'!Y59&gt;=100,'선정 규칙'!$B$16,'선정 규칙'!$B$17))</x:f>
        <x:v>12</x:v>
      </x:c>
      <x:c r="G59" s="11" t="n">
        <x:f>IF('제외 후보'!M59="있음",'선정 규칙'!$B$18,'선정 규칙'!$B$19)</x:f>
        <x:v>6</x:v>
      </x:c>
      <x:c r="H59" s="11" t="n">
        <x:f>IF(ISNUMBER(SEARCH("freq-core",'제외 후보'!AD59)),'선정 규칙'!$B$20,0)</x:f>
        <x:v>0</x:v>
      </x:c>
      <x:c r="I59" s="11" t="n">
        <x:f>IF(ISNUMBER(SEARCH("weak_legacy_content",'제외 후보'!P59)),'선정 규칙'!$B$21,0)</x:f>
        <x:v>5</x:v>
      </x:c>
      <x:c r="J59" s="11" t="n">
        <x:f>IF('제외 후보'!AC59&lt;&gt;"",'선정 규칙'!$B$22,0)</x:f>
        <x:v>0</x:v>
      </x:c>
      <x:c r="K59" s="11" t="n">
        <x:f>SUM(B59:J59)</x:f>
        <x:v>63</x:v>
      </x:c>
      <x:c r="L59" s="11" t="n">
        <x:f>'제외 후보'!N59</x:f>
        <x:v>63</x:v>
      </x:c>
      <x:c r="M59" s="2" t="str">
        <x:f>IF(K59=L59,"OK","MISMATCH")</x:f>
        <x:v>OK</x:v>
      </x:c>
    </x:row>
    <x:row r="60">
      <x:c r="A60" s="2" t="str">
        <x:f>'제외 후보'!G60</x:f>
        <x:v>w_1dec60862e34eb14</x:v>
      </x:c>
      <x:c r="B60" s="11" t="n">
        <x:f>IF('제외 후보'!Q60&lt;&gt;"",'선정 규칙'!$B$4,0)</x:f>
        <x:v>0</x:v>
      </x:c>
      <x:c r="C60" s="11" t="n">
        <x:f>IF(ISNUMBER(SEARCH("jmdict_uncommon_or_irregular",'제외 후보'!P60)),'선정 규칙'!$B$5,IF(ISNUMBER(SEARCH("jmdict_rare_or_dated",'제외 후보'!P60)),'선정 규칙'!$B$6,0))</x:f>
        <x:v>50</x:v>
      </x:c>
      <x:c r="D60" s="11" t="n">
        <x:f>IF(ISNUMBER(SEARCH("jmdict_exact_pair_not_found",'제외 후보'!P60)),'선정 규칙'!$B$7,0)</x:f>
        <x:v>0</x:v>
      </x:c>
      <x:c r="E60" s="11" t="n">
        <x:f>IF(OR('제외 후보'!L60="",'제외 후보'!L60&lt;=0),'선정 규칙'!$B$8,IF('제외 후보'!L60&lt;=1.5,'선정 규칙'!$B$9,IF('제외 후보'!L60&lt;=2,'선정 규칙'!$B$10,IF('제외 후보'!L60&lt;=2.5,'선정 규칙'!$B$11,IF('제외 후보'!L60&lt;=3,'선정 규칙'!$B$12,IF('제외 후보'!L60&lt;=3.5,'선정 규칙'!$B$13,IF('제외 후보'!L60&gt;=4.5,'선정 규칙'!$B$14,0)))))))</x:f>
        <x:v>-20</x:v>
      </x:c>
      <x:c r="F60" s="11" t="n">
        <x:f>IF('제외 후보'!Y60=0,'선정 규칙'!$B$15,IF('제외 후보'!Y60&gt;=100,'선정 규칙'!$B$16,'선정 규칙'!$B$17))</x:f>
        <x:v>12</x:v>
      </x:c>
      <x:c r="G60" s="11" t="n">
        <x:f>IF('제외 후보'!M60="있음",'선정 규칙'!$B$18,'선정 규칙'!$B$19)</x:f>
        <x:v>6</x:v>
      </x:c>
      <x:c r="H60" s="11" t="n">
        <x:f>IF(ISNUMBER(SEARCH("freq-core",'제외 후보'!AD60)),'선정 규칙'!$B$20,0)</x:f>
        <x:v>0</x:v>
      </x:c>
      <x:c r="I60" s="11" t="n">
        <x:f>IF(ISNUMBER(SEARCH("weak_legacy_content",'제외 후보'!P60)),'선정 규칙'!$B$21,0)</x:f>
        <x:v>5</x:v>
      </x:c>
      <x:c r="J60" s="11" t="n">
        <x:f>IF('제외 후보'!AC60&lt;&gt;"",'선정 규칙'!$B$22,0)</x:f>
        <x:v>10</x:v>
      </x:c>
      <x:c r="K60" s="11" t="n">
        <x:f>SUM(B60:J60)</x:f>
        <x:v>63</x:v>
      </x:c>
      <x:c r="L60" s="11" t="n">
        <x:f>'제외 후보'!N60</x:f>
        <x:v>63</x:v>
      </x:c>
      <x:c r="M60" s="2" t="str">
        <x:f>IF(K60=L60,"OK","MISMATCH")</x:f>
        <x:v>OK</x:v>
      </x:c>
    </x:row>
    <x:row r="61">
      <x:c r="A61" s="2" t="str">
        <x:f>'제외 후보'!G61</x:f>
        <x:v>w_25b648bf778c94cd</x:v>
      </x:c>
      <x:c r="B61" s="11" t="n">
        <x:f>IF('제외 후보'!Q61&lt;&gt;"",'선정 규칙'!$B$4,0)</x:f>
        <x:v>60</x:v>
      </x:c>
      <x:c r="C61" s="11" t="n">
        <x:f>IF(ISNUMBER(SEARCH("jmdict_uncommon_or_irregular",'제외 후보'!P61)),'선정 규칙'!$B$5,IF(ISNUMBER(SEARCH("jmdict_rare_or_dated",'제외 후보'!P61)),'선정 규칙'!$B$6,0))</x:f>
        <x:v>0</x:v>
      </x:c>
      <x:c r="D61" s="11" t="n">
        <x:f>IF(ISNUMBER(SEARCH("jmdict_exact_pair_not_found",'제외 후보'!P61)),'선정 규칙'!$B$7,0)</x:f>
        <x:v>0</x:v>
      </x:c>
      <x:c r="E61" s="11" t="n">
        <x:f>IF(OR('제외 후보'!L61="",'제외 후보'!L61&lt;=0),'선정 규칙'!$B$8,IF('제외 후보'!L61&lt;=1.5,'선정 규칙'!$B$9,IF('제외 후보'!L61&lt;=2,'선정 규칙'!$B$10,IF('제외 후보'!L61&lt;=2.5,'선정 규칙'!$B$11,IF('제외 후보'!L61&lt;=3,'선정 규칙'!$B$12,IF('제외 후보'!L61&lt;=3.5,'선정 규칙'!$B$13,IF('제외 후보'!L61&gt;=4.5,'선정 규칙'!$B$14,0)))))))</x:f>
        <x:v>-20</x:v>
      </x:c>
      <x:c r="F61" s="11" t="n">
        <x:f>IF('제외 후보'!Y61=0,'선정 규칙'!$B$15,IF('제외 후보'!Y61&gt;=100,'선정 규칙'!$B$16,'선정 규칙'!$B$17))</x:f>
        <x:v>12</x:v>
      </x:c>
      <x:c r="G61" s="11" t="n">
        <x:f>IF('제외 후보'!M61="있음",'선정 규칙'!$B$18,'선정 규칙'!$B$19)</x:f>
        <x:v>6</x:v>
      </x:c>
      <x:c r="H61" s="11" t="n">
        <x:f>IF(ISNUMBER(SEARCH("freq-core",'제외 후보'!AD61)),'선정 규칙'!$B$20,0)</x:f>
        <x:v>0</x:v>
      </x:c>
      <x:c r="I61" s="11" t="n">
        <x:f>IF(ISNUMBER(SEARCH("weak_legacy_content",'제외 후보'!P61)),'선정 규칙'!$B$21,0)</x:f>
        <x:v>5</x:v>
      </x:c>
      <x:c r="J61" s="11" t="n">
        <x:f>IF('제외 후보'!AC61&lt;&gt;"",'선정 규칙'!$B$22,0)</x:f>
        <x:v>0</x:v>
      </x:c>
      <x:c r="K61" s="11" t="n">
        <x:f>SUM(B61:J61)</x:f>
        <x:v>63</x:v>
      </x:c>
      <x:c r="L61" s="11" t="n">
        <x:f>'제외 후보'!N61</x:f>
        <x:v>63</x:v>
      </x:c>
      <x:c r="M61" s="2" t="str">
        <x:f>IF(K61=L61,"OK","MISMATCH")</x:f>
        <x:v>OK</x:v>
      </x:c>
    </x:row>
    <x:row r="62">
      <x:c r="A62" s="2" t="str">
        <x:f>'제외 후보'!G62</x:f>
        <x:v>w_3dd4951bd01e8398</x:v>
      </x:c>
      <x:c r="B62" s="11" t="n">
        <x:f>IF('제외 후보'!Q62&lt;&gt;"",'선정 규칙'!$B$4,0)</x:f>
        <x:v>0</x:v>
      </x:c>
      <x:c r="C62" s="11" t="n">
        <x:f>IF(ISNUMBER(SEARCH("jmdict_uncommon_or_irregular",'제외 후보'!P62)),'선정 규칙'!$B$5,IF(ISNUMBER(SEARCH("jmdict_rare_or_dated",'제외 후보'!P62)),'선정 규칙'!$B$6,0))</x:f>
        <x:v>50</x:v>
      </x:c>
      <x:c r="D62" s="11" t="n">
        <x:f>IF(ISNUMBER(SEARCH("jmdict_exact_pair_not_found",'제외 후보'!P62)),'선정 규칙'!$B$7,0)</x:f>
        <x:v>0</x:v>
      </x:c>
      <x:c r="E62" s="11" t="n">
        <x:f>IF(OR('제외 후보'!L62="",'제외 후보'!L62&lt;=0),'선정 규칙'!$B$8,IF('제외 후보'!L62&lt;=1.5,'선정 규칙'!$B$9,IF('제외 후보'!L62&lt;=2,'선정 규칙'!$B$10,IF('제외 후보'!L62&lt;=2.5,'선정 규칙'!$B$11,IF('제외 후보'!L62&lt;=3,'선정 규칙'!$B$12,IF('제외 후보'!L62&lt;=3.5,'선정 규칙'!$B$13,IF('제외 후보'!L62&gt;=4.5,'선정 규칙'!$B$14,0)))))))</x:f>
        <x:v>26</x:v>
      </x:c>
      <x:c r="F62" s="11" t="n">
        <x:f>IF('제외 후보'!Y62=0,'선정 규칙'!$B$15,IF('제외 후보'!Y62&gt;=100,'선정 규칙'!$B$16,'선정 규칙'!$B$17))</x:f>
        <x:v>-25</x:v>
      </x:c>
      <x:c r="G62" s="11" t="n">
        <x:f>IF('제외 후보'!M62="있음",'선정 규칙'!$B$18,'선정 규칙'!$B$19)</x:f>
        <x:v>6</x:v>
      </x:c>
      <x:c r="H62" s="11" t="n">
        <x:f>IF(ISNUMBER(SEARCH("freq-core",'제외 후보'!AD62)),'선정 규칙'!$B$20,0)</x:f>
        <x:v>0</x:v>
      </x:c>
      <x:c r="I62" s="11" t="n">
        <x:f>IF(ISNUMBER(SEARCH("weak_legacy_content",'제외 후보'!P62)),'선정 규칙'!$B$21,0)</x:f>
        <x:v>5</x:v>
      </x:c>
      <x:c r="J62" s="11" t="n">
        <x:f>IF('제외 후보'!AC62&lt;&gt;"",'선정 규칙'!$B$22,0)</x:f>
        <x:v>0</x:v>
      </x:c>
      <x:c r="K62" s="11" t="n">
        <x:f>SUM(B62:J62)</x:f>
        <x:v>62</x:v>
      </x:c>
      <x:c r="L62" s="11" t="n">
        <x:f>'제외 후보'!N62</x:f>
        <x:v>62</x:v>
      </x:c>
      <x:c r="M62" s="2" t="str">
        <x:f>IF(K62=L62,"OK","MISMATCH")</x:f>
        <x:v>OK</x:v>
      </x:c>
    </x:row>
    <x:row r="63">
      <x:c r="A63" s="2" t="str">
        <x:f>'제외 후보'!G63</x:f>
        <x:v>w_259bf5ed1faa6c42</x:v>
      </x:c>
      <x:c r="B63" s="11" t="n">
        <x:f>IF('제외 후보'!Q63&lt;&gt;"",'선정 규칙'!$B$4,0)</x:f>
        <x:v>0</x:v>
      </x:c>
      <x:c r="C63" s="11" t="n">
        <x:f>IF(ISNUMBER(SEARCH("jmdict_uncommon_or_irregular",'제외 후보'!P63)),'선정 규칙'!$B$5,IF(ISNUMBER(SEARCH("jmdict_rare_or_dated",'제외 후보'!P63)),'선정 규칙'!$B$6,0))</x:f>
        <x:v>50</x:v>
      </x:c>
      <x:c r="D63" s="11" t="n">
        <x:f>IF(ISNUMBER(SEARCH("jmdict_exact_pair_not_found",'제외 후보'!P63)),'선정 규칙'!$B$7,0)</x:f>
        <x:v>0</x:v>
      </x:c>
      <x:c r="E63" s="11" t="n">
        <x:f>IF(OR('제외 후보'!L63="",'제외 후보'!L63&lt;=0),'선정 규칙'!$B$8,IF('제외 후보'!L63&lt;=1.5,'선정 규칙'!$B$9,IF('제외 후보'!L63&lt;=2,'선정 규칙'!$B$10,IF('제외 후보'!L63&lt;=2.5,'선정 규칙'!$B$11,IF('제외 후보'!L63&lt;=3,'선정 규칙'!$B$12,IF('제외 후보'!L63&lt;=3.5,'선정 규칙'!$B$13,IF('제외 후보'!L63&gt;=4.5,'선정 규칙'!$B$14,0)))))))</x:f>
        <x:v>26</x:v>
      </x:c>
      <x:c r="F63" s="11" t="n">
        <x:f>IF('제외 후보'!Y63=0,'선정 규칙'!$B$15,IF('제외 후보'!Y63&gt;=100,'선정 규칙'!$B$16,'선정 규칙'!$B$17))</x:f>
        <x:v>-25</x:v>
      </x:c>
      <x:c r="G63" s="11" t="n">
        <x:f>IF('제외 후보'!M63="있음",'선정 규칙'!$B$18,'선정 규칙'!$B$19)</x:f>
        <x:v>6</x:v>
      </x:c>
      <x:c r="H63" s="11" t="n">
        <x:f>IF(ISNUMBER(SEARCH("freq-core",'제외 후보'!AD63)),'선정 규칙'!$B$20,0)</x:f>
        <x:v>0</x:v>
      </x:c>
      <x:c r="I63" s="11" t="n">
        <x:f>IF(ISNUMBER(SEARCH("weak_legacy_content",'제외 후보'!P63)),'선정 규칙'!$B$21,0)</x:f>
        <x:v>5</x:v>
      </x:c>
      <x:c r="J63" s="11" t="n">
        <x:f>IF('제외 후보'!AC63&lt;&gt;"",'선정 규칙'!$B$22,0)</x:f>
        <x:v>0</x:v>
      </x:c>
      <x:c r="K63" s="11" t="n">
        <x:f>SUM(B63:J63)</x:f>
        <x:v>62</x:v>
      </x:c>
      <x:c r="L63" s="11" t="n">
        <x:f>'제외 후보'!N63</x:f>
        <x:v>62</x:v>
      </x:c>
      <x:c r="M63" s="2" t="str">
        <x:f>IF(K63=L63,"OK","MISMATCH")</x:f>
        <x:v>OK</x:v>
      </x:c>
    </x:row>
    <x:row r="64">
      <x:c r="A64" s="2" t="str">
        <x:f>'제외 후보'!G64</x:f>
        <x:v>w_2e701fac06c99b94</x:v>
      </x:c>
      <x:c r="B64" s="11" t="n">
        <x:f>IF('제외 후보'!Q64&lt;&gt;"",'선정 규칙'!$B$4,0)</x:f>
        <x:v>0</x:v>
      </x:c>
      <x:c r="C64" s="11" t="n">
        <x:f>IF(ISNUMBER(SEARCH("jmdict_uncommon_or_irregular",'제외 후보'!P64)),'선정 규칙'!$B$5,IF(ISNUMBER(SEARCH("jmdict_rare_or_dated",'제외 후보'!P64)),'선정 규칙'!$B$6,0))</x:f>
        <x:v>50</x:v>
      </x:c>
      <x:c r="D64" s="11" t="n">
        <x:f>IF(ISNUMBER(SEARCH("jmdict_exact_pair_not_found",'제외 후보'!P64)),'선정 규칙'!$B$7,0)</x:f>
        <x:v>0</x:v>
      </x:c>
      <x:c r="E64" s="11" t="n">
        <x:f>IF(OR('제외 후보'!L64="",'제외 후보'!L64&lt;=0),'선정 규칙'!$B$8,IF('제외 후보'!L64&lt;=1.5,'선정 규칙'!$B$9,IF('제외 후보'!L64&lt;=2,'선정 규칙'!$B$10,IF('제외 후보'!L64&lt;=2.5,'선정 규칙'!$B$11,IF('제외 후보'!L64&lt;=3,'선정 규칙'!$B$12,IF('제외 후보'!L64&lt;=3.5,'선정 규칙'!$B$13,IF('제외 후보'!L64&gt;=4.5,'선정 규칙'!$B$14,0)))))))</x:f>
        <x:v>26</x:v>
      </x:c>
      <x:c r="F64" s="11" t="n">
        <x:f>IF('제외 후보'!Y64=0,'선정 규칙'!$B$15,IF('제외 후보'!Y64&gt;=100,'선정 규칙'!$B$16,'선정 규칙'!$B$17))</x:f>
        <x:v>-25</x:v>
      </x:c>
      <x:c r="G64" s="11" t="n">
        <x:f>IF('제외 후보'!M64="있음",'선정 규칙'!$B$18,'선정 규칙'!$B$19)</x:f>
        <x:v>6</x:v>
      </x:c>
      <x:c r="H64" s="11" t="n">
        <x:f>IF(ISNUMBER(SEARCH("freq-core",'제외 후보'!AD64)),'선정 규칙'!$B$20,0)</x:f>
        <x:v>0</x:v>
      </x:c>
      <x:c r="I64" s="11" t="n">
        <x:f>IF(ISNUMBER(SEARCH("weak_legacy_content",'제외 후보'!P64)),'선정 규칙'!$B$21,0)</x:f>
        <x:v>5</x:v>
      </x:c>
      <x:c r="J64" s="11" t="n">
        <x:f>IF('제외 후보'!AC64&lt;&gt;"",'선정 규칙'!$B$22,0)</x:f>
        <x:v>0</x:v>
      </x:c>
      <x:c r="K64" s="11" t="n">
        <x:f>SUM(B64:J64)</x:f>
        <x:v>62</x:v>
      </x:c>
      <x:c r="L64" s="11" t="n">
        <x:f>'제외 후보'!N64</x:f>
        <x:v>62</x:v>
      </x:c>
      <x:c r="M64" s="2" t="str">
        <x:f>IF(K64=L64,"OK","MISMATCH")</x:f>
        <x:v>OK</x:v>
      </x:c>
    </x:row>
    <x:row r="65">
      <x:c r="A65" s="2" t="str">
        <x:f>'제외 후보'!G65</x:f>
        <x:v>w_7220f29b7ab9d849</x:v>
      </x:c>
      <x:c r="B65" s="11" t="n">
        <x:f>IF('제외 후보'!Q65&lt;&gt;"",'선정 규칙'!$B$4,0)</x:f>
        <x:v>0</x:v>
      </x:c>
      <x:c r="C65" s="11" t="n">
        <x:f>IF(ISNUMBER(SEARCH("jmdict_uncommon_or_irregular",'제외 후보'!P65)),'선정 규칙'!$B$5,IF(ISNUMBER(SEARCH("jmdict_rare_or_dated",'제외 후보'!P65)),'선정 규칙'!$B$6,0))</x:f>
        <x:v>50</x:v>
      </x:c>
      <x:c r="D65" s="11" t="n">
        <x:f>IF(ISNUMBER(SEARCH("jmdict_exact_pair_not_found",'제외 후보'!P65)),'선정 규칙'!$B$7,0)</x:f>
        <x:v>0</x:v>
      </x:c>
      <x:c r="E65" s="11" t="n">
        <x:f>IF(OR('제외 후보'!L65="",'제외 후보'!L65&lt;=0),'선정 규칙'!$B$8,IF('제외 후보'!L65&lt;=1.5,'선정 규칙'!$B$9,IF('제외 후보'!L65&lt;=2,'선정 규칙'!$B$10,IF('제외 후보'!L65&lt;=2.5,'선정 규칙'!$B$11,IF('제외 후보'!L65&lt;=3,'선정 규칙'!$B$12,IF('제외 후보'!L65&lt;=3.5,'선정 규칙'!$B$13,IF('제외 후보'!L65&gt;=4.5,'선정 규칙'!$B$14,0)))))))</x:f>
        <x:v>26</x:v>
      </x:c>
      <x:c r="F65" s="11" t="n">
        <x:f>IF('제외 후보'!Y65=0,'선정 규칙'!$B$15,IF('제외 후보'!Y65&gt;=100,'선정 규칙'!$B$16,'선정 규칙'!$B$17))</x:f>
        <x:v>-25</x:v>
      </x:c>
      <x:c r="G65" s="11" t="n">
        <x:f>IF('제외 후보'!M65="있음",'선정 규칙'!$B$18,'선정 규칙'!$B$19)</x:f>
        <x:v>6</x:v>
      </x:c>
      <x:c r="H65" s="11" t="n">
        <x:f>IF(ISNUMBER(SEARCH("freq-core",'제외 후보'!AD65)),'선정 규칙'!$B$20,0)</x:f>
        <x:v>0</x:v>
      </x:c>
      <x:c r="I65" s="11" t="n">
        <x:f>IF(ISNUMBER(SEARCH("weak_legacy_content",'제외 후보'!P65)),'선정 규칙'!$B$21,0)</x:f>
        <x:v>5</x:v>
      </x:c>
      <x:c r="J65" s="11" t="n">
        <x:f>IF('제외 후보'!AC65&lt;&gt;"",'선정 규칙'!$B$22,0)</x:f>
        <x:v>0</x:v>
      </x:c>
      <x:c r="K65" s="11" t="n">
        <x:f>SUM(B65:J65)</x:f>
        <x:v>62</x:v>
      </x:c>
      <x:c r="L65" s="11" t="n">
        <x:f>'제외 후보'!N65</x:f>
        <x:v>62</x:v>
      </x:c>
      <x:c r="M65" s="2" t="str">
        <x:f>IF(K65=L65,"OK","MISMATCH")</x:f>
        <x:v>OK</x:v>
      </x:c>
    </x:row>
    <x:row r="66">
      <x:c r="A66" s="2" t="str">
        <x:f>'제외 후보'!G66</x:f>
        <x:v>w_4ef2af90123264d7</x:v>
      </x:c>
      <x:c r="B66" s="11" t="n">
        <x:f>IF('제외 후보'!Q66&lt;&gt;"",'선정 규칙'!$B$4,0)</x:f>
        <x:v>60</x:v>
      </x:c>
      <x:c r="C66" s="11" t="n">
        <x:f>IF(ISNUMBER(SEARCH("jmdict_uncommon_or_irregular",'제외 후보'!P66)),'선정 규칙'!$B$5,IF(ISNUMBER(SEARCH("jmdict_rare_or_dated",'제외 후보'!P66)),'선정 규칙'!$B$6,0))</x:f>
        <x:v>0</x:v>
      </x:c>
      <x:c r="D66" s="11" t="n">
        <x:f>IF(ISNUMBER(SEARCH("jmdict_exact_pair_not_found",'제외 후보'!P66)),'선정 규칙'!$B$7,0)</x:f>
        <x:v>0</x:v>
      </x:c>
      <x:c r="E66" s="11" t="n">
        <x:f>IF(OR('제외 후보'!L66="",'제외 후보'!L66&lt;=0),'선정 규칙'!$B$8,IF('제외 후보'!L66&lt;=1.5,'선정 규칙'!$B$9,IF('제외 후보'!L66&lt;=2,'선정 규칙'!$B$10,IF('제외 후보'!L66&lt;=2.5,'선정 규칙'!$B$11,IF('제외 후보'!L66&lt;=3,'선정 규칙'!$B$12,IF('제외 후보'!L66&lt;=3.5,'선정 규칙'!$B$13,IF('제외 후보'!L66&gt;=4.5,'선정 규칙'!$B$14,0)))))))</x:f>
        <x:v>6</x:v>
      </x:c>
      <x:c r="F66" s="11" t="n">
        <x:f>IF('제외 후보'!Y66=0,'선정 규칙'!$B$15,IF('제외 후보'!Y66&gt;=100,'선정 규칙'!$B$16,'선정 규칙'!$B$17))</x:f>
        <x:v>-25</x:v>
      </x:c>
      <x:c r="G66" s="11" t="n">
        <x:f>IF('제외 후보'!M66="있음",'선정 규칙'!$B$18,'선정 규칙'!$B$19)</x:f>
        <x:v>6</x:v>
      </x:c>
      <x:c r="H66" s="11" t="n">
        <x:f>IF(ISNUMBER(SEARCH("freq-core",'제외 후보'!AD66)),'선정 규칙'!$B$20,0)</x:f>
        <x:v>0</x:v>
      </x:c>
      <x:c r="I66" s="11" t="n">
        <x:f>IF(ISNUMBER(SEARCH("weak_legacy_content",'제외 후보'!P66)),'선정 규칙'!$B$21,0)</x:f>
        <x:v>5</x:v>
      </x:c>
      <x:c r="J66" s="11" t="n">
        <x:f>IF('제외 후보'!AC66&lt;&gt;"",'선정 규칙'!$B$22,0)</x:f>
        <x:v>10</x:v>
      </x:c>
      <x:c r="K66" s="11" t="n">
        <x:f>SUM(B66:J66)</x:f>
        <x:v>62</x:v>
      </x:c>
      <x:c r="L66" s="11" t="n">
        <x:f>'제외 후보'!N66</x:f>
        <x:v>62</x:v>
      </x:c>
      <x:c r="M66" s="2" t="str">
        <x:f>IF(K66=L66,"OK","MISMATCH")</x:f>
        <x:v>OK</x:v>
      </x:c>
    </x:row>
    <x:row r="67">
      <x:c r="A67" s="2" t="str">
        <x:f>'제외 후보'!G67</x:f>
        <x:v>w_db77a5be2d5db896</x:v>
      </x:c>
      <x:c r="B67" s="11" t="n">
        <x:f>IF('제외 후보'!Q67&lt;&gt;"",'선정 규칙'!$B$4,0)</x:f>
        <x:v>60</x:v>
      </x:c>
      <x:c r="C67" s="11" t="n">
        <x:f>IF(ISNUMBER(SEARCH("jmdict_uncommon_or_irregular",'제외 후보'!P67)),'선정 규칙'!$B$5,IF(ISNUMBER(SEARCH("jmdict_rare_or_dated",'제외 후보'!P67)),'선정 규칙'!$B$6,0))</x:f>
        <x:v>0</x:v>
      </x:c>
      <x:c r="D67" s="11" t="n">
        <x:f>IF(ISNUMBER(SEARCH("jmdict_exact_pair_not_found",'제외 후보'!P67)),'선정 규칙'!$B$7,0)</x:f>
        <x:v>0</x:v>
      </x:c>
      <x:c r="E67" s="11" t="n">
        <x:f>IF(OR('제외 후보'!L67="",'제외 후보'!L67&lt;=0),'선정 규칙'!$B$8,IF('제외 후보'!L67&lt;=1.5,'선정 규칙'!$B$9,IF('제외 후보'!L67&lt;=2,'선정 규칙'!$B$10,IF('제외 후보'!L67&lt;=2.5,'선정 규칙'!$B$11,IF('제외 후보'!L67&lt;=3,'선정 규칙'!$B$12,IF('제외 후보'!L67&lt;=3.5,'선정 규칙'!$B$13,IF('제외 후보'!L67&gt;=4.5,'선정 규칙'!$B$14,0)))))))</x:f>
        <x:v>20</x:v>
      </x:c>
      <x:c r="F67" s="11" t="n">
        <x:f>IF('제외 후보'!Y67=0,'선정 규칙'!$B$15,IF('제외 후보'!Y67&gt;=100,'선정 규칙'!$B$16,'선정 규칙'!$B$17))</x:f>
        <x:v>-25</x:v>
      </x:c>
      <x:c r="G67" s="11" t="n">
        <x:f>IF('제외 후보'!M67="있음",'선정 규칙'!$B$18,'선정 규칙'!$B$19)</x:f>
        <x:v>6</x:v>
      </x:c>
      <x:c r="H67" s="11" t="n">
        <x:f>IF(ISNUMBER(SEARCH("freq-core",'제외 후보'!AD67)),'선정 규칙'!$B$20,0)</x:f>
        <x:v>0</x:v>
      </x:c>
      <x:c r="I67" s="11" t="n">
        <x:f>IF(ISNUMBER(SEARCH("weak_legacy_content",'제외 후보'!P67)),'선정 규칙'!$B$21,0)</x:f>
        <x:v>0</x:v>
      </x:c>
      <x:c r="J67" s="11" t="n">
        <x:f>IF('제외 후보'!AC67&lt;&gt;"",'선정 규칙'!$B$22,0)</x:f>
        <x:v>0</x:v>
      </x:c>
      <x:c r="K67" s="11" t="n">
        <x:f>SUM(B67:J67)</x:f>
        <x:v>61</x:v>
      </x:c>
      <x:c r="L67" s="11" t="n">
        <x:f>'제외 후보'!N67</x:f>
        <x:v>61</x:v>
      </x:c>
      <x:c r="M67" s="2" t="str">
        <x:f>IF(K67=L67,"OK","MISMATCH")</x:f>
        <x:v>OK</x:v>
      </x:c>
    </x:row>
    <x:row r="68">
      <x:c r="A68" s="2" t="str">
        <x:f>'제외 후보'!G68</x:f>
        <x:v>w_d31df7952b5b8ddb</x:v>
      </x:c>
      <x:c r="B68" s="11" t="n">
        <x:f>IF('제외 후보'!Q68&lt;&gt;"",'선정 규칙'!$B$4,0)</x:f>
        <x:v>60</x:v>
      </x:c>
      <x:c r="C68" s="11" t="n">
        <x:f>IF(ISNUMBER(SEARCH("jmdict_uncommon_or_irregular",'제외 후보'!P68)),'선정 규칙'!$B$5,IF(ISNUMBER(SEARCH("jmdict_rare_or_dated",'제외 후보'!P68)),'선정 규칙'!$B$6,0))</x:f>
        <x:v>0</x:v>
      </x:c>
      <x:c r="D68" s="11" t="n">
        <x:f>IF(ISNUMBER(SEARCH("jmdict_exact_pair_not_found",'제외 후보'!P68)),'선정 규칙'!$B$7,0)</x:f>
        <x:v>0</x:v>
      </x:c>
      <x:c r="E68" s="11" t="n">
        <x:f>IF(OR('제외 후보'!L68="",'제외 후보'!L68&lt;=0),'선정 규칙'!$B$8,IF('제외 후보'!L68&lt;=1.5,'선정 규칙'!$B$9,IF('제외 후보'!L68&lt;=2,'선정 규칙'!$B$10,IF('제외 후보'!L68&lt;=2.5,'선정 규칙'!$B$11,IF('제외 후보'!L68&lt;=3,'선정 규칙'!$B$12,IF('제외 후보'!L68&lt;=3.5,'선정 규칙'!$B$13,IF('제외 후보'!L68&gt;=4.5,'선정 규칙'!$B$14,0)))))))</x:f>
        <x:v>20</x:v>
      </x:c>
      <x:c r="F68" s="11" t="n">
        <x:f>IF('제외 후보'!Y68=0,'선정 규칙'!$B$15,IF('제외 후보'!Y68&gt;=100,'선정 규칙'!$B$16,'선정 규칙'!$B$17))</x:f>
        <x:v>-25</x:v>
      </x:c>
      <x:c r="G68" s="11" t="n">
        <x:f>IF('제외 후보'!M68="있음",'선정 규칙'!$B$18,'선정 규칙'!$B$19)</x:f>
        <x:v>6</x:v>
      </x:c>
      <x:c r="H68" s="11" t="n">
        <x:f>IF(ISNUMBER(SEARCH("freq-core",'제외 후보'!AD68)),'선정 규칙'!$B$20,0)</x:f>
        <x:v>0</x:v>
      </x:c>
      <x:c r="I68" s="11" t="n">
        <x:f>IF(ISNUMBER(SEARCH("weak_legacy_content",'제외 후보'!P68)),'선정 규칙'!$B$21,0)</x:f>
        <x:v>0</x:v>
      </x:c>
      <x:c r="J68" s="11" t="n">
        <x:f>IF('제외 후보'!AC68&lt;&gt;"",'선정 규칙'!$B$22,0)</x:f>
        <x:v>0</x:v>
      </x:c>
      <x:c r="K68" s="11" t="n">
        <x:f>SUM(B68:J68)</x:f>
        <x:v>61</x:v>
      </x:c>
      <x:c r="L68" s="11" t="n">
        <x:f>'제외 후보'!N68</x:f>
        <x:v>61</x:v>
      </x:c>
      <x:c r="M68" s="2" t="str">
        <x:f>IF(K68=L68,"OK","MISMATCH")</x:f>
        <x:v>OK</x:v>
      </x:c>
    </x:row>
    <x:row r="69">
      <x:c r="A69" s="2" t="str">
        <x:f>'제외 후보'!G69</x:f>
        <x:v>w_d36340f2e47a8460</x:v>
      </x:c>
      <x:c r="B69" s="11" t="n">
        <x:f>IF('제외 후보'!Q69&lt;&gt;"",'선정 규칙'!$B$4,0)</x:f>
        <x:v>0</x:v>
      </x:c>
      <x:c r="C69" s="11" t="n">
        <x:f>IF(ISNUMBER(SEARCH("jmdict_uncommon_or_irregular",'제외 후보'!P69)),'선정 규칙'!$B$5,IF(ISNUMBER(SEARCH("jmdict_rare_or_dated",'제외 후보'!P69)),'선정 규칙'!$B$6,0))</x:f>
        <x:v>50</x:v>
      </x:c>
      <x:c r="D69" s="11" t="n">
        <x:f>IF(ISNUMBER(SEARCH("jmdict_exact_pair_not_found",'제외 후보'!P69)),'선정 규칙'!$B$7,0)</x:f>
        <x:v>0</x:v>
      </x:c>
      <x:c r="E69" s="11" t="n">
        <x:f>IF(OR('제외 후보'!L69="",'제외 후보'!L69&lt;=0),'선정 규칙'!$B$8,IF('제외 후보'!L69&lt;=1.5,'선정 규칙'!$B$9,IF('제외 후보'!L69&lt;=2,'선정 규칙'!$B$10,IF('제외 후보'!L69&lt;=2.5,'선정 규칙'!$B$11,IF('제외 후보'!L69&lt;=3,'선정 규칙'!$B$12,IF('제외 후보'!L69&lt;=3.5,'선정 규칙'!$B$13,IF('제외 후보'!L69&gt;=4.5,'선정 규칙'!$B$14,0)))))))</x:f>
        <x:v>12</x:v>
      </x:c>
      <x:c r="F69" s="11" t="n">
        <x:f>IF('제외 후보'!Y69=0,'선정 규칙'!$B$15,IF('제외 후보'!Y69&gt;=100,'선정 규칙'!$B$16,'선정 규칙'!$B$17))</x:f>
        <x:v>-12</x:v>
      </x:c>
      <x:c r="G69" s="11" t="n">
        <x:f>IF('제외 후보'!M69="있음",'선정 규칙'!$B$18,'선정 규칙'!$B$19)</x:f>
        <x:v>6</x:v>
      </x:c>
      <x:c r="H69" s="11" t="n">
        <x:f>IF(ISNUMBER(SEARCH("freq-core",'제외 후보'!AD69)),'선정 규칙'!$B$20,0)</x:f>
        <x:v>0</x:v>
      </x:c>
      <x:c r="I69" s="11" t="n">
        <x:f>IF(ISNUMBER(SEARCH("weak_legacy_content",'제외 후보'!P69)),'선정 규칙'!$B$21,0)</x:f>
        <x:v>5</x:v>
      </x:c>
      <x:c r="J69" s="11" t="n">
        <x:f>IF('제외 후보'!AC69&lt;&gt;"",'선정 규칙'!$B$22,0)</x:f>
        <x:v>0</x:v>
      </x:c>
      <x:c r="K69" s="11" t="n">
        <x:f>SUM(B69:J69)</x:f>
        <x:v>61</x:v>
      </x:c>
      <x:c r="L69" s="11" t="n">
        <x:f>'제외 후보'!N69</x:f>
        <x:v>61</x:v>
      </x:c>
      <x:c r="M69" s="2" t="str">
        <x:f>IF(K69=L69,"OK","MISMATCH")</x:f>
        <x:v>OK</x:v>
      </x:c>
    </x:row>
    <x:row r="70">
      <x:c r="A70" s="2" t="str">
        <x:f>'제외 후보'!G70</x:f>
        <x:v>w_6e458f1cbfee6aad</x:v>
      </x:c>
      <x:c r="B70" s="11" t="n">
        <x:f>IF('제외 후보'!Q70&lt;&gt;"",'선정 규칙'!$B$4,0)</x:f>
        <x:v>0</x:v>
      </x:c>
      <x:c r="C70" s="11" t="n">
        <x:f>IF(ISNUMBER(SEARCH("jmdict_uncommon_or_irregular",'제외 후보'!P70)),'선정 규칙'!$B$5,IF(ISNUMBER(SEARCH("jmdict_rare_or_dated",'제외 후보'!P70)),'선정 규칙'!$B$6,0))</x:f>
        <x:v>0</x:v>
      </x:c>
      <x:c r="D70" s="11" t="n">
        <x:f>IF(ISNUMBER(SEARCH("jmdict_exact_pair_not_found",'제외 후보'!P70)),'선정 규칙'!$B$7,0)</x:f>
        <x:v>0</x:v>
      </x:c>
      <x:c r="E70" s="11" t="n">
        <x:f>IF(OR('제외 후보'!L70="",'제외 후보'!L70&lt;=0),'선정 규칙'!$B$8,IF('제외 후보'!L70&lt;=1.5,'선정 규칙'!$B$9,IF('제외 후보'!L70&lt;=2,'선정 규칙'!$B$10,IF('제외 후보'!L70&lt;=2.5,'선정 규칙'!$B$11,IF('제외 후보'!L70&lt;=3,'선정 규칙'!$B$12,IF('제외 후보'!L70&lt;=3.5,'선정 규칙'!$B$13,IF('제외 후보'!L70&gt;=4.5,'선정 규칙'!$B$14,0)))))))</x:f>
        <x:v>26</x:v>
      </x:c>
      <x:c r="F70" s="11" t="n">
        <x:f>IF('제외 후보'!Y70=0,'선정 규칙'!$B$15,IF('제외 후보'!Y70&gt;=100,'선정 규칙'!$B$16,'선정 규칙'!$B$17))</x:f>
        <x:v>12</x:v>
      </x:c>
      <x:c r="G70" s="11" t="n">
        <x:f>IF('제외 후보'!M70="있음",'선정 규칙'!$B$18,'선정 규칙'!$B$19)</x:f>
        <x:v>6</x:v>
      </x:c>
      <x:c r="H70" s="11" t="n">
        <x:f>IF(ISNUMBER(SEARCH("freq-core",'제외 후보'!AD70)),'선정 규칙'!$B$20,0)</x:f>
        <x:v>0</x:v>
      </x:c>
      <x:c r="I70" s="11" t="n">
        <x:f>IF(ISNUMBER(SEARCH("weak_legacy_content",'제외 후보'!P70)),'선정 규칙'!$B$21,0)</x:f>
        <x:v>5</x:v>
      </x:c>
      <x:c r="J70" s="11" t="n">
        <x:f>IF('제외 후보'!AC70&lt;&gt;"",'선정 규칙'!$B$22,0)</x:f>
        <x:v>10</x:v>
      </x:c>
      <x:c r="K70" s="11" t="n">
        <x:f>SUM(B70:J70)</x:f>
        <x:v>59</x:v>
      </x:c>
      <x:c r="L70" s="11" t="n">
        <x:f>'제외 후보'!N70</x:f>
        <x:v>59</x:v>
      </x:c>
      <x:c r="M70" s="2" t="str">
        <x:f>IF(K70=L70,"OK","MISMATCH")</x:f>
        <x:v>OK</x:v>
      </x:c>
    </x:row>
    <x:row r="71">
      <x:c r="A71" s="2" t="str">
        <x:f>'제외 후보'!G71</x:f>
        <x:v>w_9400dbf50b6fb378</x:v>
      </x:c>
      <x:c r="B71" s="11" t="n">
        <x:f>IF('제외 후보'!Q71&lt;&gt;"",'선정 규칙'!$B$4,0)</x:f>
        <x:v>0</x:v>
      </x:c>
      <x:c r="C71" s="11" t="n">
        <x:f>IF(ISNUMBER(SEARCH("jmdict_uncommon_or_irregular",'제외 후보'!P71)),'선정 규칙'!$B$5,IF(ISNUMBER(SEARCH("jmdict_rare_or_dated",'제외 후보'!P71)),'선정 규칙'!$B$6,0))</x:f>
        <x:v>0</x:v>
      </x:c>
      <x:c r="D71" s="11" t="n">
        <x:f>IF(ISNUMBER(SEARCH("jmdict_exact_pair_not_found",'제외 후보'!P71)),'선정 규칙'!$B$7,0)</x:f>
        <x:v>35</x:v>
      </x:c>
      <x:c r="E71" s="11" t="n">
        <x:f>IF(OR('제외 후보'!L71="",'제외 후보'!L71&lt;=0),'선정 규칙'!$B$8,IF('제외 후보'!L71&lt;=1.5,'선정 규칙'!$B$9,IF('제외 후보'!L71&lt;=2,'선정 규칙'!$B$10,IF('제외 후보'!L71&lt;=2.5,'선정 규칙'!$B$11,IF('제외 후보'!L71&lt;=3,'선정 규칙'!$B$12,IF('제외 후보'!L71&lt;=3.5,'선정 규칙'!$B$13,IF('제외 후보'!L71&gt;=4.5,'선정 규칙'!$B$14,0)))))))</x:f>
        <x:v>6</x:v>
      </x:c>
      <x:c r="F71" s="11" t="n">
        <x:f>IF('제외 후보'!Y71=0,'선정 규칙'!$B$15,IF('제외 후보'!Y71&gt;=100,'선정 규칙'!$B$16,'선정 규칙'!$B$17))</x:f>
        <x:v>12</x:v>
      </x:c>
      <x:c r="G71" s="11" t="n">
        <x:f>IF('제외 후보'!M71="있음",'선정 규칙'!$B$18,'선정 규칙'!$B$19)</x:f>
        <x:v>6</x:v>
      </x:c>
      <x:c r="H71" s="11" t="n">
        <x:f>IF(ISNUMBER(SEARCH("freq-core",'제외 후보'!AD71)),'선정 규칙'!$B$20,0)</x:f>
        <x:v>0</x:v>
      </x:c>
      <x:c r="I71" s="11" t="n">
        <x:f>IF(ISNUMBER(SEARCH("weak_legacy_content",'제외 후보'!P71)),'선정 규칙'!$B$21,0)</x:f>
        <x:v>0</x:v>
      </x:c>
      <x:c r="J71" s="11" t="n">
        <x:f>IF('제외 후보'!AC71&lt;&gt;"",'선정 규칙'!$B$22,0)</x:f>
        <x:v>0</x:v>
      </x:c>
      <x:c r="K71" s="11" t="n">
        <x:f>SUM(B71:J71)</x:f>
        <x:v>59</x:v>
      </x:c>
      <x:c r="L71" s="11" t="n">
        <x:f>'제외 후보'!N71</x:f>
        <x:v>59</x:v>
      </x:c>
      <x:c r="M71" s="2" t="str">
        <x:f>IF(K71=L71,"OK","MISMATCH")</x:f>
        <x:v>OK</x:v>
      </x:c>
    </x:row>
    <x:row r="72">
      <x:c r="A72" s="2" t="str">
        <x:f>'제외 후보'!G72</x:f>
        <x:v>w_4a9141330965de43</x:v>
      </x:c>
      <x:c r="B72" s="11" t="n">
        <x:f>IF('제외 후보'!Q72&lt;&gt;"",'선정 규칙'!$B$4,0)</x:f>
        <x:v>0</x:v>
      </x:c>
      <x:c r="C72" s="11" t="n">
        <x:f>IF(ISNUMBER(SEARCH("jmdict_uncommon_or_irregular",'제외 후보'!P72)),'선정 규칙'!$B$5,IF(ISNUMBER(SEARCH("jmdict_rare_or_dated",'제외 후보'!P72)),'선정 규칙'!$B$6,0))</x:f>
        <x:v>0</x:v>
      </x:c>
      <x:c r="D72" s="11" t="n">
        <x:f>IF(ISNUMBER(SEARCH("jmdict_exact_pair_not_found",'제외 후보'!P72)),'선정 규칙'!$B$7,0)</x:f>
        <x:v>0</x:v>
      </x:c>
      <x:c r="E72" s="11" t="n">
        <x:f>IF(OR('제외 후보'!L72="",'제외 후보'!L72&lt;=0),'선정 규칙'!$B$8,IF('제외 후보'!L72&lt;=1.5,'선정 규칙'!$B$9,IF('제외 후보'!L72&lt;=2,'선정 규칙'!$B$10,IF('제외 후보'!L72&lt;=2.5,'선정 규칙'!$B$11,IF('제외 후보'!L72&lt;=3,'선정 규칙'!$B$12,IF('제외 후보'!L72&lt;=3.5,'선정 규칙'!$B$13,IF('제외 후보'!L72&gt;=4.5,'선정 규칙'!$B$14,0)))))))</x:f>
        <x:v>40</x:v>
      </x:c>
      <x:c r="F72" s="11" t="n">
        <x:f>IF('제외 후보'!Y72=0,'선정 규칙'!$B$15,IF('제외 후보'!Y72&gt;=100,'선정 규칙'!$B$16,'선정 규칙'!$B$17))</x:f>
        <x:v>12</x:v>
      </x:c>
      <x:c r="G72" s="11" t="n">
        <x:f>IF('제외 후보'!M72="있음",'선정 규칙'!$B$18,'선정 규칙'!$B$19)</x:f>
        <x:v>6</x:v>
      </x:c>
      <x:c r="H72" s="11" t="n">
        <x:f>IF(ISNUMBER(SEARCH("freq-core",'제외 후보'!AD72)),'선정 규칙'!$B$20,0)</x:f>
        <x:v>0</x:v>
      </x:c>
      <x:c r="I72" s="11" t="n">
        <x:f>IF(ISNUMBER(SEARCH("weak_legacy_content",'제외 후보'!P72)),'선정 규칙'!$B$21,0)</x:f>
        <x:v>0</x:v>
      </x:c>
      <x:c r="J72" s="11" t="n">
        <x:f>IF('제외 후보'!AC72&lt;&gt;"",'선정 규칙'!$B$22,0)</x:f>
        <x:v>0</x:v>
      </x:c>
      <x:c r="K72" s="11" t="n">
        <x:f>SUM(B72:J72)</x:f>
        <x:v>58</x:v>
      </x:c>
      <x:c r="L72" s="11" t="n">
        <x:f>'제외 후보'!N72</x:f>
        <x:v>58</x:v>
      </x:c>
      <x:c r="M72" s="2" t="str">
        <x:f>IF(K72=L72,"OK","MISMATCH")</x:f>
        <x:v>OK</x:v>
      </x:c>
    </x:row>
    <x:row r="73">
      <x:c r="A73" s="2" t="str">
        <x:f>'제외 후보'!G73</x:f>
        <x:v>w_75085f66ce060b20</x:v>
      </x:c>
      <x:c r="B73" s="11" t="n">
        <x:f>IF('제외 후보'!Q73&lt;&gt;"",'선정 규칙'!$B$4,0)</x:f>
        <x:v>0</x:v>
      </x:c>
      <x:c r="C73" s="11" t="n">
        <x:f>IF(ISNUMBER(SEARCH("jmdict_uncommon_or_irregular",'제외 후보'!P73)),'선정 규칙'!$B$5,IF(ISNUMBER(SEARCH("jmdict_rare_or_dated",'제외 후보'!P73)),'선정 규칙'!$B$6,0))</x:f>
        <x:v>0</x:v>
      </x:c>
      <x:c r="D73" s="11" t="n">
        <x:f>IF(ISNUMBER(SEARCH("jmdict_exact_pair_not_found",'제외 후보'!P73)),'선정 규칙'!$B$7,0)</x:f>
        <x:v>0</x:v>
      </x:c>
      <x:c r="E73" s="11" t="n">
        <x:f>IF(OR('제외 후보'!L73="",'제외 후보'!L73&lt;=0),'선정 규칙'!$B$8,IF('제외 후보'!L73&lt;=1.5,'선정 규칙'!$B$9,IF('제외 후보'!L73&lt;=2,'선정 규칙'!$B$10,IF('제외 후보'!L73&lt;=2.5,'선정 규칙'!$B$11,IF('제외 후보'!L73&lt;=3,'선정 규칙'!$B$12,IF('제외 후보'!L73&lt;=3.5,'선정 규칙'!$B$13,IF('제외 후보'!L73&gt;=4.5,'선정 규칙'!$B$14,0)))))))</x:f>
        <x:v>40</x:v>
      </x:c>
      <x:c r="F73" s="11" t="n">
        <x:f>IF('제외 후보'!Y73=0,'선정 규칙'!$B$15,IF('제외 후보'!Y73&gt;=100,'선정 규칙'!$B$16,'선정 규칙'!$B$17))</x:f>
        <x:v>12</x:v>
      </x:c>
      <x:c r="G73" s="11" t="n">
        <x:f>IF('제외 후보'!M73="있음",'선정 규칙'!$B$18,'선정 규칙'!$B$19)</x:f>
        <x:v>6</x:v>
      </x:c>
      <x:c r="H73" s="11" t="n">
        <x:f>IF(ISNUMBER(SEARCH("freq-core",'제외 후보'!AD73)),'선정 규칙'!$B$20,0)</x:f>
        <x:v>0</x:v>
      </x:c>
      <x:c r="I73" s="11" t="n">
        <x:f>IF(ISNUMBER(SEARCH("weak_legacy_content",'제외 후보'!P73)),'선정 규칙'!$B$21,0)</x:f>
        <x:v>0</x:v>
      </x:c>
      <x:c r="J73" s="11" t="n">
        <x:f>IF('제외 후보'!AC73&lt;&gt;"",'선정 규칙'!$B$22,0)</x:f>
        <x:v>0</x:v>
      </x:c>
      <x:c r="K73" s="11" t="n">
        <x:f>SUM(B73:J73)</x:f>
        <x:v>58</x:v>
      </x:c>
      <x:c r="L73" s="11" t="n">
        <x:f>'제외 후보'!N73</x:f>
        <x:v>58</x:v>
      </x:c>
      <x:c r="M73" s="2" t="str">
        <x:f>IF(K73=L73,"OK","MISMATCH")</x:f>
        <x:v>OK</x:v>
      </x:c>
    </x:row>
    <x:row r="74">
      <x:c r="A74" s="2" t="str">
        <x:f>'제외 후보'!G74</x:f>
        <x:v>w_3456154ceafce41a</x:v>
      </x:c>
      <x:c r="B74" s="11" t="n">
        <x:f>IF('제외 후보'!Q74&lt;&gt;"",'선정 규칙'!$B$4,0)</x:f>
        <x:v>0</x:v>
      </x:c>
      <x:c r="C74" s="11" t="n">
        <x:f>IF(ISNUMBER(SEARCH("jmdict_uncommon_or_irregular",'제외 후보'!P74)),'선정 규칙'!$B$5,IF(ISNUMBER(SEARCH("jmdict_rare_or_dated",'제외 후보'!P74)),'선정 규칙'!$B$6,0))</x:f>
        <x:v>0</x:v>
      </x:c>
      <x:c r="D74" s="11" t="n">
        <x:f>IF(ISNUMBER(SEARCH("jmdict_exact_pair_not_found",'제외 후보'!P74)),'선정 규칙'!$B$7,0)</x:f>
        <x:v>0</x:v>
      </x:c>
      <x:c r="E74" s="11" t="n">
        <x:f>IF(OR('제외 후보'!L74="",'제외 후보'!L74&lt;=0),'선정 규칙'!$B$8,IF('제외 후보'!L74&lt;=1.5,'선정 규칙'!$B$9,IF('제외 후보'!L74&lt;=2,'선정 규칙'!$B$10,IF('제외 후보'!L74&lt;=2.5,'선정 규칙'!$B$11,IF('제외 후보'!L74&lt;=3,'선정 규칙'!$B$12,IF('제외 후보'!L74&lt;=3.5,'선정 규칙'!$B$13,IF('제외 후보'!L74&gt;=4.5,'선정 규칙'!$B$14,0)))))))</x:f>
        <x:v>40</x:v>
      </x:c>
      <x:c r="F74" s="11" t="n">
        <x:f>IF('제외 후보'!Y74=0,'선정 규칙'!$B$15,IF('제외 후보'!Y74&gt;=100,'선정 규칙'!$B$16,'선정 규칙'!$B$17))</x:f>
        <x:v>12</x:v>
      </x:c>
      <x:c r="G74" s="11" t="n">
        <x:f>IF('제외 후보'!M74="있음",'선정 규칙'!$B$18,'선정 규칙'!$B$19)</x:f>
        <x:v>6</x:v>
      </x:c>
      <x:c r="H74" s="11" t="n">
        <x:f>IF(ISNUMBER(SEARCH("freq-core",'제외 후보'!AD74)),'선정 규칙'!$B$20,0)</x:f>
        <x:v>0</x:v>
      </x:c>
      <x:c r="I74" s="11" t="n">
        <x:f>IF(ISNUMBER(SEARCH("weak_legacy_content",'제외 후보'!P74)),'선정 규칙'!$B$21,0)</x:f>
        <x:v>0</x:v>
      </x:c>
      <x:c r="J74" s="11" t="n">
        <x:f>IF('제외 후보'!AC74&lt;&gt;"",'선정 규칙'!$B$22,0)</x:f>
        <x:v>0</x:v>
      </x:c>
      <x:c r="K74" s="11" t="n">
        <x:f>SUM(B74:J74)</x:f>
        <x:v>58</x:v>
      </x:c>
      <x:c r="L74" s="11" t="n">
        <x:f>'제외 후보'!N74</x:f>
        <x:v>58</x:v>
      </x:c>
      <x:c r="M74" s="2" t="str">
        <x:f>IF(K74=L74,"OK","MISMATCH")</x:f>
        <x:v>OK</x:v>
      </x:c>
    </x:row>
    <x:row r="75">
      <x:c r="A75" s="2" t="str">
        <x:f>'제외 후보'!G75</x:f>
        <x:v>w_4adb990c9b6ef797</x:v>
      </x:c>
      <x:c r="B75" s="11" t="n">
        <x:f>IF('제외 후보'!Q75&lt;&gt;"",'선정 규칙'!$B$4,0)</x:f>
        <x:v>0</x:v>
      </x:c>
      <x:c r="C75" s="11" t="n">
        <x:f>IF(ISNUMBER(SEARCH("jmdict_uncommon_or_irregular",'제외 후보'!P75)),'선정 규칙'!$B$5,IF(ISNUMBER(SEARCH("jmdict_rare_or_dated",'제외 후보'!P75)),'선정 규칙'!$B$6,0))</x:f>
        <x:v>0</x:v>
      </x:c>
      <x:c r="D75" s="11" t="n">
        <x:f>IF(ISNUMBER(SEARCH("jmdict_exact_pair_not_found",'제외 후보'!P75)),'선정 규칙'!$B$7,0)</x:f>
        <x:v>0</x:v>
      </x:c>
      <x:c r="E75" s="11" t="n">
        <x:f>IF(OR('제외 후보'!L75="",'제외 후보'!L75&lt;=0),'선정 규칙'!$B$8,IF('제외 후보'!L75&lt;=1.5,'선정 규칙'!$B$9,IF('제외 후보'!L75&lt;=2,'선정 규칙'!$B$10,IF('제외 후보'!L75&lt;=2.5,'선정 규칙'!$B$11,IF('제외 후보'!L75&lt;=3,'선정 규칙'!$B$12,IF('제외 후보'!L75&lt;=3.5,'선정 규칙'!$B$13,IF('제외 후보'!L75&gt;=4.5,'선정 규칙'!$B$14,0)))))))</x:f>
        <x:v>40</x:v>
      </x:c>
      <x:c r="F75" s="11" t="n">
        <x:f>IF('제외 후보'!Y75=0,'선정 규칙'!$B$15,IF('제외 후보'!Y75&gt;=100,'선정 규칙'!$B$16,'선정 규칙'!$B$17))</x:f>
        <x:v>12</x:v>
      </x:c>
      <x:c r="G75" s="11" t="n">
        <x:f>IF('제외 후보'!M75="있음",'선정 규칙'!$B$18,'선정 규칙'!$B$19)</x:f>
        <x:v>6</x:v>
      </x:c>
      <x:c r="H75" s="11" t="n">
        <x:f>IF(ISNUMBER(SEARCH("freq-core",'제외 후보'!AD75)),'선정 규칙'!$B$20,0)</x:f>
        <x:v>0</x:v>
      </x:c>
      <x:c r="I75" s="11" t="n">
        <x:f>IF(ISNUMBER(SEARCH("weak_legacy_content",'제외 후보'!P75)),'선정 규칙'!$B$21,0)</x:f>
        <x:v>0</x:v>
      </x:c>
      <x:c r="J75" s="11" t="n">
        <x:f>IF('제외 후보'!AC75&lt;&gt;"",'선정 규칙'!$B$22,0)</x:f>
        <x:v>0</x:v>
      </x:c>
      <x:c r="K75" s="11" t="n">
        <x:f>SUM(B75:J75)</x:f>
        <x:v>58</x:v>
      </x:c>
      <x:c r="L75" s="11" t="n">
        <x:f>'제외 후보'!N75</x:f>
        <x:v>58</x:v>
      </x:c>
      <x:c r="M75" s="2" t="str">
        <x:f>IF(K75=L75,"OK","MISMATCH")</x:f>
        <x:v>OK</x:v>
      </x:c>
    </x:row>
    <x:row r="76">
      <x:c r="A76" s="2" t="str">
        <x:f>'제외 후보'!G76</x:f>
        <x:v>w_711996ffe2141f86</x:v>
      </x:c>
      <x:c r="B76" s="11" t="n">
        <x:f>IF('제외 후보'!Q76&lt;&gt;"",'선정 규칙'!$B$4,0)</x:f>
        <x:v>0</x:v>
      </x:c>
      <x:c r="C76" s="11" t="n">
        <x:f>IF(ISNUMBER(SEARCH("jmdict_uncommon_or_irregular",'제외 후보'!P76)),'선정 규칙'!$B$5,IF(ISNUMBER(SEARCH("jmdict_rare_or_dated",'제외 후보'!P76)),'선정 규칙'!$B$6,0))</x:f>
        <x:v>0</x:v>
      </x:c>
      <x:c r="D76" s="11" t="n">
        <x:f>IF(ISNUMBER(SEARCH("jmdict_exact_pair_not_found",'제외 후보'!P76)),'선정 규칙'!$B$7,0)</x:f>
        <x:v>0</x:v>
      </x:c>
      <x:c r="E76" s="11" t="n">
        <x:f>IF(OR('제외 후보'!L76="",'제외 후보'!L76&lt;=0),'선정 규칙'!$B$8,IF('제외 후보'!L76&lt;=1.5,'선정 규칙'!$B$9,IF('제외 후보'!L76&lt;=2,'선정 규칙'!$B$10,IF('제외 후보'!L76&lt;=2.5,'선정 규칙'!$B$11,IF('제외 후보'!L76&lt;=3,'선정 규칙'!$B$12,IF('제외 후보'!L76&lt;=3.5,'선정 규칙'!$B$13,IF('제외 후보'!L76&gt;=4.5,'선정 규칙'!$B$14,0)))))))</x:f>
        <x:v>40</x:v>
      </x:c>
      <x:c r="F76" s="11" t="n">
        <x:f>IF('제외 후보'!Y76=0,'선정 규칙'!$B$15,IF('제외 후보'!Y76&gt;=100,'선정 규칙'!$B$16,'선정 규칙'!$B$17))</x:f>
        <x:v>12</x:v>
      </x:c>
      <x:c r="G76" s="11" t="n">
        <x:f>IF('제외 후보'!M76="있음",'선정 규칙'!$B$18,'선정 규칙'!$B$19)</x:f>
        <x:v>6</x:v>
      </x:c>
      <x:c r="H76" s="11" t="n">
        <x:f>IF(ISNUMBER(SEARCH("freq-core",'제외 후보'!AD76)),'선정 규칙'!$B$20,0)</x:f>
        <x:v>0</x:v>
      </x:c>
      <x:c r="I76" s="11" t="n">
        <x:f>IF(ISNUMBER(SEARCH("weak_legacy_content",'제외 후보'!P76)),'선정 규칙'!$B$21,0)</x:f>
        <x:v>0</x:v>
      </x:c>
      <x:c r="J76" s="11" t="n">
        <x:f>IF('제외 후보'!AC76&lt;&gt;"",'선정 규칙'!$B$22,0)</x:f>
        <x:v>0</x:v>
      </x:c>
      <x:c r="K76" s="11" t="n">
        <x:f>SUM(B76:J76)</x:f>
        <x:v>58</x:v>
      </x:c>
      <x:c r="L76" s="11" t="n">
        <x:f>'제외 후보'!N76</x:f>
        <x:v>58</x:v>
      </x:c>
      <x:c r="M76" s="2" t="str">
        <x:f>IF(K76=L76,"OK","MISMATCH")</x:f>
        <x:v>OK</x:v>
      </x:c>
    </x:row>
    <x:row r="77">
      <x:c r="A77" s="2" t="str">
        <x:f>'제외 후보'!G77</x:f>
        <x:v>w_0393f67c87100c37</x:v>
      </x:c>
      <x:c r="B77" s="11" t="n">
        <x:f>IF('제외 후보'!Q77&lt;&gt;"",'선정 규칙'!$B$4,0)</x:f>
        <x:v>60</x:v>
      </x:c>
      <x:c r="C77" s="11" t="n">
        <x:f>IF(ISNUMBER(SEARCH("jmdict_uncommon_or_irregular",'제외 후보'!P77)),'선정 규칙'!$B$5,IF(ISNUMBER(SEARCH("jmdict_rare_or_dated",'제외 후보'!P77)),'선정 규칙'!$B$6,0))</x:f>
        <x:v>0</x:v>
      </x:c>
      <x:c r="D77" s="11" t="n">
        <x:f>IF(ISNUMBER(SEARCH("jmdict_exact_pair_not_found",'제외 후보'!P77)),'선정 규칙'!$B$7,0)</x:f>
        <x:v>0</x:v>
      </x:c>
      <x:c r="E77" s="11" t="n">
        <x:f>IF(OR('제외 후보'!L77="",'제외 후보'!L77&lt;=0),'선정 규칙'!$B$8,IF('제외 후보'!L77&lt;=1.5,'선정 규칙'!$B$9,IF('제외 후보'!L77&lt;=2,'선정 규칙'!$B$10,IF('제외 후보'!L77&lt;=2.5,'선정 규칙'!$B$11,IF('제외 후보'!L77&lt;=3,'선정 규칙'!$B$12,IF('제외 후보'!L77&lt;=3.5,'선정 규칙'!$B$13,IF('제외 후보'!L77&gt;=4.5,'선정 규칙'!$B$14,0)))))))</x:f>
        <x:v>12</x:v>
      </x:c>
      <x:c r="F77" s="11" t="n">
        <x:f>IF('제외 후보'!Y77=0,'선정 규칙'!$B$15,IF('제외 후보'!Y77&gt;=100,'선정 규칙'!$B$16,'선정 규칙'!$B$17))</x:f>
        <x:v>-25</x:v>
      </x:c>
      <x:c r="G77" s="11" t="n">
        <x:f>IF('제외 후보'!M77="있음",'선정 규칙'!$B$18,'선정 규칙'!$B$19)</x:f>
        <x:v>6</x:v>
      </x:c>
      <x:c r="H77" s="11" t="n">
        <x:f>IF(ISNUMBER(SEARCH("freq-core",'제외 후보'!AD77)),'선정 규칙'!$B$20,0)</x:f>
        <x:v>0</x:v>
      </x:c>
      <x:c r="I77" s="11" t="n">
        <x:f>IF(ISNUMBER(SEARCH("weak_legacy_content",'제외 후보'!P77)),'선정 규칙'!$B$21,0)</x:f>
        <x:v>5</x:v>
      </x:c>
      <x:c r="J77" s="11" t="n">
        <x:f>IF('제외 후보'!AC77&lt;&gt;"",'선정 규칙'!$B$22,0)</x:f>
        <x:v>0</x:v>
      </x:c>
      <x:c r="K77" s="11" t="n">
        <x:f>SUM(B77:J77)</x:f>
        <x:v>58</x:v>
      </x:c>
      <x:c r="L77" s="11" t="n">
        <x:f>'제외 후보'!N77</x:f>
        <x:v>58</x:v>
      </x:c>
      <x:c r="M77" s="2" t="str">
        <x:f>IF(K77=L77,"OK","MISMATCH")</x:f>
        <x:v>OK</x:v>
      </x:c>
    </x:row>
    <x:row r="78">
      <x:c r="A78" s="2" t="str">
        <x:f>'제외 후보'!G78</x:f>
        <x:v>w_f3c36a6b1c35c8d8</x:v>
      </x:c>
      <x:c r="B78" s="11" t="n">
        <x:f>IF('제외 후보'!Q78&lt;&gt;"",'선정 규칙'!$B$4,0)</x:f>
        <x:v>60</x:v>
      </x:c>
      <x:c r="C78" s="11" t="n">
        <x:f>IF(ISNUMBER(SEARCH("jmdict_uncommon_or_irregular",'제외 후보'!P78)),'선정 규칙'!$B$5,IF(ISNUMBER(SEARCH("jmdict_rare_or_dated",'제외 후보'!P78)),'선정 규칙'!$B$6,0))</x:f>
        <x:v>0</x:v>
      </x:c>
      <x:c r="D78" s="11" t="n">
        <x:f>IF(ISNUMBER(SEARCH("jmdict_exact_pair_not_found",'제외 후보'!P78)),'선정 규칙'!$B$7,0)</x:f>
        <x:v>0</x:v>
      </x:c>
      <x:c r="E78" s="11" t="n">
        <x:f>IF(OR('제외 후보'!L78="",'제외 후보'!L78&lt;=0),'선정 규칙'!$B$8,IF('제외 후보'!L78&lt;=1.5,'선정 규칙'!$B$9,IF('제외 후보'!L78&lt;=2,'선정 규칙'!$B$10,IF('제외 후보'!L78&lt;=2.5,'선정 규칙'!$B$11,IF('제외 후보'!L78&lt;=3,'선정 규칙'!$B$12,IF('제외 후보'!L78&lt;=3.5,'선정 규칙'!$B$13,IF('제외 후보'!L78&gt;=4.5,'선정 규칙'!$B$14,0)))))))</x:f>
        <x:v>12</x:v>
      </x:c>
      <x:c r="F78" s="11" t="n">
        <x:f>IF('제외 후보'!Y78=0,'선정 규칙'!$B$15,IF('제외 후보'!Y78&gt;=100,'선정 규칙'!$B$16,'선정 규칙'!$B$17))</x:f>
        <x:v>-25</x:v>
      </x:c>
      <x:c r="G78" s="11" t="n">
        <x:f>IF('제외 후보'!M78="있음",'선정 규칙'!$B$18,'선정 규칙'!$B$19)</x:f>
        <x:v>6</x:v>
      </x:c>
      <x:c r="H78" s="11" t="n">
        <x:f>IF(ISNUMBER(SEARCH("freq-core",'제외 후보'!AD78)),'선정 규칙'!$B$20,0)</x:f>
        <x:v>0</x:v>
      </x:c>
      <x:c r="I78" s="11" t="n">
        <x:f>IF(ISNUMBER(SEARCH("weak_legacy_content",'제외 후보'!P78)),'선정 규칙'!$B$21,0)</x:f>
        <x:v>5</x:v>
      </x:c>
      <x:c r="J78" s="11" t="n">
        <x:f>IF('제외 후보'!AC78&lt;&gt;"",'선정 규칙'!$B$22,0)</x:f>
        <x:v>0</x:v>
      </x:c>
      <x:c r="K78" s="11" t="n">
        <x:f>SUM(B78:J78)</x:f>
        <x:v>58</x:v>
      </x:c>
      <x:c r="L78" s="11" t="n">
        <x:f>'제외 후보'!N78</x:f>
        <x:v>58</x:v>
      </x:c>
      <x:c r="M78" s="2" t="str">
        <x:f>IF(K78=L78,"OK","MISMATCH")</x:f>
        <x:v>OK</x:v>
      </x:c>
    </x:row>
    <x:row r="79">
      <x:c r="A79" s="2" t="str">
        <x:f>'제외 후보'!G79</x:f>
        <x:v>w_3e244d7a11df3ed3</x:v>
      </x:c>
      <x:c r="B79" s="11" t="n">
        <x:f>IF('제외 후보'!Q79&lt;&gt;"",'선정 규칙'!$B$4,0)</x:f>
        <x:v>60</x:v>
      </x:c>
      <x:c r="C79" s="11" t="n">
        <x:f>IF(ISNUMBER(SEARCH("jmdict_uncommon_or_irregular",'제외 후보'!P79)),'선정 규칙'!$B$5,IF(ISNUMBER(SEARCH("jmdict_rare_or_dated",'제외 후보'!P79)),'선정 규칙'!$B$6,0))</x:f>
        <x:v>0</x:v>
      </x:c>
      <x:c r="D79" s="11" t="n">
        <x:f>IF(ISNUMBER(SEARCH("jmdict_exact_pair_not_found",'제외 후보'!P79)),'선정 규칙'!$B$7,0)</x:f>
        <x:v>0</x:v>
      </x:c>
      <x:c r="E79" s="11" t="n">
        <x:f>IF(OR('제외 후보'!L79="",'제외 후보'!L79&lt;=0),'선정 규칙'!$B$8,IF('제외 후보'!L79&lt;=1.5,'선정 규칙'!$B$9,IF('제외 후보'!L79&lt;=2,'선정 규칙'!$B$10,IF('제외 후보'!L79&lt;=2.5,'선정 규칙'!$B$11,IF('제외 후보'!L79&lt;=3,'선정 규칙'!$B$12,IF('제외 후보'!L79&lt;=3.5,'선정 규칙'!$B$13,IF('제외 후보'!L79&gt;=4.5,'선정 규칙'!$B$14,0)))))))</x:f>
        <x:v>12</x:v>
      </x:c>
      <x:c r="F79" s="11" t="n">
        <x:f>IF('제외 후보'!Y79=0,'선정 규칙'!$B$15,IF('제외 후보'!Y79&gt;=100,'선정 규칙'!$B$16,'선정 규칙'!$B$17))</x:f>
        <x:v>-25</x:v>
      </x:c>
      <x:c r="G79" s="11" t="n">
        <x:f>IF('제외 후보'!M79="있음",'선정 규칙'!$B$18,'선정 규칙'!$B$19)</x:f>
        <x:v>6</x:v>
      </x:c>
      <x:c r="H79" s="11" t="n">
        <x:f>IF(ISNUMBER(SEARCH("freq-core",'제외 후보'!AD79)),'선정 규칙'!$B$20,0)</x:f>
        <x:v>0</x:v>
      </x:c>
      <x:c r="I79" s="11" t="n">
        <x:f>IF(ISNUMBER(SEARCH("weak_legacy_content",'제외 후보'!P79)),'선정 규칙'!$B$21,0)</x:f>
        <x:v>5</x:v>
      </x:c>
      <x:c r="J79" s="11" t="n">
        <x:f>IF('제외 후보'!AC79&lt;&gt;"",'선정 규칙'!$B$22,0)</x:f>
        <x:v>0</x:v>
      </x:c>
      <x:c r="K79" s="11" t="n">
        <x:f>SUM(B79:J79)</x:f>
        <x:v>58</x:v>
      </x:c>
      <x:c r="L79" s="11" t="n">
        <x:f>'제외 후보'!N79</x:f>
        <x:v>58</x:v>
      </x:c>
      <x:c r="M79" s="2" t="str">
        <x:f>IF(K79=L79,"OK","MISMATCH")</x:f>
        <x:v>OK</x:v>
      </x:c>
    </x:row>
    <x:row r="80">
      <x:c r="A80" s="2" t="str">
        <x:f>'제외 후보'!G80</x:f>
        <x:v>w_a1af5d3d26a5e7b2</x:v>
      </x:c>
      <x:c r="B80" s="11" t="n">
        <x:f>IF('제외 후보'!Q80&lt;&gt;"",'선정 규칙'!$B$4,0)</x:f>
        <x:v>60</x:v>
      </x:c>
      <x:c r="C80" s="11" t="n">
        <x:f>IF(ISNUMBER(SEARCH("jmdict_uncommon_or_irregular",'제외 후보'!P80)),'선정 규칙'!$B$5,IF(ISNUMBER(SEARCH("jmdict_rare_or_dated",'제외 후보'!P80)),'선정 규칙'!$B$6,0))</x:f>
        <x:v>0</x:v>
      </x:c>
      <x:c r="D80" s="11" t="n">
        <x:f>IF(ISNUMBER(SEARCH("jmdict_exact_pair_not_found",'제외 후보'!P80)),'선정 규칙'!$B$7,0)</x:f>
        <x:v>0</x:v>
      </x:c>
      <x:c r="E80" s="11" t="n">
        <x:f>IF(OR('제외 후보'!L80="",'제외 후보'!L80&lt;=0),'선정 규칙'!$B$8,IF('제외 후보'!L80&lt;=1.5,'선정 규칙'!$B$9,IF('제외 후보'!L80&lt;=2,'선정 규칙'!$B$10,IF('제외 후보'!L80&lt;=2.5,'선정 규칙'!$B$11,IF('제외 후보'!L80&lt;=3,'선정 규칙'!$B$12,IF('제외 후보'!L80&lt;=3.5,'선정 규칙'!$B$13,IF('제외 후보'!L80&gt;=4.5,'선정 규칙'!$B$14,0)))))))</x:f>
        <x:v>12</x:v>
      </x:c>
      <x:c r="F80" s="11" t="n">
        <x:f>IF('제외 후보'!Y80=0,'선정 규칙'!$B$15,IF('제외 후보'!Y80&gt;=100,'선정 규칙'!$B$16,'선정 규칙'!$B$17))</x:f>
        <x:v>-25</x:v>
      </x:c>
      <x:c r="G80" s="11" t="n">
        <x:f>IF('제외 후보'!M80="있음",'선정 규칙'!$B$18,'선정 규칙'!$B$19)</x:f>
        <x:v>6</x:v>
      </x:c>
      <x:c r="H80" s="11" t="n">
        <x:f>IF(ISNUMBER(SEARCH("freq-core",'제외 후보'!AD80)),'선정 규칙'!$B$20,0)</x:f>
        <x:v>0</x:v>
      </x:c>
      <x:c r="I80" s="11" t="n">
        <x:f>IF(ISNUMBER(SEARCH("weak_legacy_content",'제외 후보'!P80)),'선정 규칙'!$B$21,0)</x:f>
        <x:v>5</x:v>
      </x:c>
      <x:c r="J80" s="11" t="n">
        <x:f>IF('제외 후보'!AC80&lt;&gt;"",'선정 규칙'!$B$22,0)</x:f>
        <x:v>0</x:v>
      </x:c>
      <x:c r="K80" s="11" t="n">
        <x:f>SUM(B80:J80)</x:f>
        <x:v>58</x:v>
      </x:c>
      <x:c r="L80" s="11" t="n">
        <x:f>'제외 후보'!N80</x:f>
        <x:v>58</x:v>
      </x:c>
      <x:c r="M80" s="2" t="str">
        <x:f>IF(K80=L80,"OK","MISMATCH")</x:f>
        <x:v>OK</x:v>
      </x:c>
    </x:row>
    <x:row r="81">
      <x:c r="A81" s="2" t="str">
        <x:f>'제외 후보'!G81</x:f>
        <x:v>w_654de4aa5b8a5a22</x:v>
      </x:c>
      <x:c r="B81" s="11" t="n">
        <x:f>IF('제외 후보'!Q81&lt;&gt;"",'선정 규칙'!$B$4,0)</x:f>
        <x:v>60</x:v>
      </x:c>
      <x:c r="C81" s="11" t="n">
        <x:f>IF(ISNUMBER(SEARCH("jmdict_uncommon_or_irregular",'제외 후보'!P81)),'선정 규칙'!$B$5,IF(ISNUMBER(SEARCH("jmdict_rare_or_dated",'제외 후보'!P81)),'선정 규칙'!$B$6,0))</x:f>
        <x:v>0</x:v>
      </x:c>
      <x:c r="D81" s="11" t="n">
        <x:f>IF(ISNUMBER(SEARCH("jmdict_exact_pair_not_found",'제외 후보'!P81)),'선정 규칙'!$B$7,0)</x:f>
        <x:v>0</x:v>
      </x:c>
      <x:c r="E81" s="11" t="n">
        <x:f>IF(OR('제외 후보'!L81="",'제외 후보'!L81&lt;=0),'선정 규칙'!$B$8,IF('제외 후보'!L81&lt;=1.5,'선정 규칙'!$B$9,IF('제외 후보'!L81&lt;=2,'선정 규칙'!$B$10,IF('제외 후보'!L81&lt;=2.5,'선정 규칙'!$B$11,IF('제외 후보'!L81&lt;=3,'선정 규칙'!$B$12,IF('제외 후보'!L81&lt;=3.5,'선정 규칙'!$B$13,IF('제외 후보'!L81&gt;=4.5,'선정 규칙'!$B$14,0)))))))</x:f>
        <x:v>12</x:v>
      </x:c>
      <x:c r="F81" s="11" t="n">
        <x:f>IF('제외 후보'!Y81=0,'선정 규칙'!$B$15,IF('제외 후보'!Y81&gt;=100,'선정 규칙'!$B$16,'선정 규칙'!$B$17))</x:f>
        <x:v>-25</x:v>
      </x:c>
      <x:c r="G81" s="11" t="n">
        <x:f>IF('제외 후보'!M81="있음",'선정 규칙'!$B$18,'선정 규칙'!$B$19)</x:f>
        <x:v>6</x:v>
      </x:c>
      <x:c r="H81" s="11" t="n">
        <x:f>IF(ISNUMBER(SEARCH("freq-core",'제외 후보'!AD81)),'선정 규칙'!$B$20,0)</x:f>
        <x:v>0</x:v>
      </x:c>
      <x:c r="I81" s="11" t="n">
        <x:f>IF(ISNUMBER(SEARCH("weak_legacy_content",'제외 후보'!P81)),'선정 규칙'!$B$21,0)</x:f>
        <x:v>5</x:v>
      </x:c>
      <x:c r="J81" s="11" t="n">
        <x:f>IF('제외 후보'!AC81&lt;&gt;"",'선정 규칙'!$B$22,0)</x:f>
        <x:v>0</x:v>
      </x:c>
      <x:c r="K81" s="11" t="n">
        <x:f>SUM(B81:J81)</x:f>
        <x:v>58</x:v>
      </x:c>
      <x:c r="L81" s="11" t="n">
        <x:f>'제외 후보'!N81</x:f>
        <x:v>58</x:v>
      </x:c>
      <x:c r="M81" s="2" t="str">
        <x:f>IF(K81=L81,"OK","MISMATCH")</x:f>
        <x:v>OK</x:v>
      </x:c>
    </x:row>
    <x:row r="82">
      <x:c r="A82" s="2" t="str">
        <x:f>'제외 후보'!G82</x:f>
        <x:v>w_4776b316aada823e</x:v>
      </x:c>
      <x:c r="B82" s="11" t="n">
        <x:f>IF('제외 후보'!Q82&lt;&gt;"",'선정 규칙'!$B$4,0)</x:f>
        <x:v>60</x:v>
      </x:c>
      <x:c r="C82" s="11" t="n">
        <x:f>IF(ISNUMBER(SEARCH("jmdict_uncommon_or_irregular",'제외 후보'!P82)),'선정 규칙'!$B$5,IF(ISNUMBER(SEARCH("jmdict_rare_or_dated",'제외 후보'!P82)),'선정 규칙'!$B$6,0))</x:f>
        <x:v>0</x:v>
      </x:c>
      <x:c r="D82" s="11" t="n">
        <x:f>IF(ISNUMBER(SEARCH("jmdict_exact_pair_not_found",'제외 후보'!P82)),'선정 규칙'!$B$7,0)</x:f>
        <x:v>0</x:v>
      </x:c>
      <x:c r="E82" s="11" t="n">
        <x:f>IF(OR('제외 후보'!L82="",'제외 후보'!L82&lt;=0),'선정 규칙'!$B$8,IF('제외 후보'!L82&lt;=1.5,'선정 규칙'!$B$9,IF('제외 후보'!L82&lt;=2,'선정 규칙'!$B$10,IF('제외 후보'!L82&lt;=2.5,'선정 규칙'!$B$11,IF('제외 후보'!L82&lt;=3,'선정 규칙'!$B$12,IF('제외 후보'!L82&lt;=3.5,'선정 규칙'!$B$13,IF('제외 후보'!L82&gt;=4.5,'선정 규칙'!$B$14,0)))))))</x:f>
        <x:v>12</x:v>
      </x:c>
      <x:c r="F82" s="11" t="n">
        <x:f>IF('제외 후보'!Y82=0,'선정 규칙'!$B$15,IF('제외 후보'!Y82&gt;=100,'선정 규칙'!$B$16,'선정 규칙'!$B$17))</x:f>
        <x:v>-25</x:v>
      </x:c>
      <x:c r="G82" s="11" t="n">
        <x:f>IF('제외 후보'!M82="있음",'선정 규칙'!$B$18,'선정 규칙'!$B$19)</x:f>
        <x:v>6</x:v>
      </x:c>
      <x:c r="H82" s="11" t="n">
        <x:f>IF(ISNUMBER(SEARCH("freq-core",'제외 후보'!AD82)),'선정 규칙'!$B$20,0)</x:f>
        <x:v>0</x:v>
      </x:c>
      <x:c r="I82" s="11" t="n">
        <x:f>IF(ISNUMBER(SEARCH("weak_legacy_content",'제외 후보'!P82)),'선정 규칙'!$B$21,0)</x:f>
        <x:v>5</x:v>
      </x:c>
      <x:c r="J82" s="11" t="n">
        <x:f>IF('제외 후보'!AC82&lt;&gt;"",'선정 규칙'!$B$22,0)</x:f>
        <x:v>0</x:v>
      </x:c>
      <x:c r="K82" s="11" t="n">
        <x:f>SUM(B82:J82)</x:f>
        <x:v>58</x:v>
      </x:c>
      <x:c r="L82" s="11" t="n">
        <x:f>'제외 후보'!N82</x:f>
        <x:v>58</x:v>
      </x:c>
      <x:c r="M82" s="2" t="str">
        <x:f>IF(K82=L82,"OK","MISMATCH")</x:f>
        <x:v>OK</x:v>
      </x:c>
    </x:row>
    <x:row r="83">
      <x:c r="A83" s="2" t="str">
        <x:f>'제외 후보'!G83</x:f>
        <x:v>w_352d0cc63c98463d</x:v>
      </x:c>
      <x:c r="B83" s="11" t="n">
        <x:f>IF('제외 후보'!Q83&lt;&gt;"",'선정 규칙'!$B$4,0)</x:f>
        <x:v>60</x:v>
      </x:c>
      <x:c r="C83" s="11" t="n">
        <x:f>IF(ISNUMBER(SEARCH("jmdict_uncommon_or_irregular",'제외 후보'!P83)),'선정 규칙'!$B$5,IF(ISNUMBER(SEARCH("jmdict_rare_or_dated",'제외 후보'!P83)),'선정 규칙'!$B$6,0))</x:f>
        <x:v>0</x:v>
      </x:c>
      <x:c r="D83" s="11" t="n">
        <x:f>IF(ISNUMBER(SEARCH("jmdict_exact_pair_not_found",'제외 후보'!P83)),'선정 규칙'!$B$7,0)</x:f>
        <x:v>0</x:v>
      </x:c>
      <x:c r="E83" s="11" t="n">
        <x:f>IF(OR('제외 후보'!L83="",'제외 후보'!L83&lt;=0),'선정 규칙'!$B$8,IF('제외 후보'!L83&lt;=1.5,'선정 규칙'!$B$9,IF('제외 후보'!L83&lt;=2,'선정 규칙'!$B$10,IF('제외 후보'!L83&lt;=2.5,'선정 규칙'!$B$11,IF('제외 후보'!L83&lt;=3,'선정 규칙'!$B$12,IF('제외 후보'!L83&lt;=3.5,'선정 규칙'!$B$13,IF('제외 후보'!L83&gt;=4.5,'선정 규칙'!$B$14,0)))))))</x:f>
        <x:v>12</x:v>
      </x:c>
      <x:c r="F83" s="11" t="n">
        <x:f>IF('제외 후보'!Y83=0,'선정 규칙'!$B$15,IF('제외 후보'!Y83&gt;=100,'선정 규칙'!$B$16,'선정 규칙'!$B$17))</x:f>
        <x:v>-25</x:v>
      </x:c>
      <x:c r="G83" s="11" t="n">
        <x:f>IF('제외 후보'!M83="있음",'선정 규칙'!$B$18,'선정 규칙'!$B$19)</x:f>
        <x:v>6</x:v>
      </x:c>
      <x:c r="H83" s="11" t="n">
        <x:f>IF(ISNUMBER(SEARCH("freq-core",'제외 후보'!AD83)),'선정 규칙'!$B$20,0)</x:f>
        <x:v>0</x:v>
      </x:c>
      <x:c r="I83" s="11" t="n">
        <x:f>IF(ISNUMBER(SEARCH("weak_legacy_content",'제외 후보'!P83)),'선정 규칙'!$B$21,0)</x:f>
        <x:v>5</x:v>
      </x:c>
      <x:c r="J83" s="11" t="n">
        <x:f>IF('제외 후보'!AC83&lt;&gt;"",'선정 규칙'!$B$22,0)</x:f>
        <x:v>0</x:v>
      </x:c>
      <x:c r="K83" s="11" t="n">
        <x:f>SUM(B83:J83)</x:f>
        <x:v>58</x:v>
      </x:c>
      <x:c r="L83" s="11" t="n">
        <x:f>'제외 후보'!N83</x:f>
        <x:v>58</x:v>
      </x:c>
      <x:c r="M83" s="2" t="str">
        <x:f>IF(K83=L83,"OK","MISMATCH")</x:f>
        <x:v>OK</x:v>
      </x:c>
    </x:row>
    <x:row r="84">
      <x:c r="A84" s="2" t="str">
        <x:f>'제외 후보'!G84</x:f>
        <x:v>w_e74097848962e54a</x:v>
      </x:c>
      <x:c r="B84" s="11" t="n">
        <x:f>IF('제외 후보'!Q84&lt;&gt;"",'선정 규칙'!$B$4,0)</x:f>
        <x:v>60</x:v>
      </x:c>
      <x:c r="C84" s="11" t="n">
        <x:f>IF(ISNUMBER(SEARCH("jmdict_uncommon_or_irregular",'제외 후보'!P84)),'선정 규칙'!$B$5,IF(ISNUMBER(SEARCH("jmdict_rare_or_dated",'제외 후보'!P84)),'선정 규칙'!$B$6,0))</x:f>
        <x:v>0</x:v>
      </x:c>
      <x:c r="D84" s="11" t="n">
        <x:f>IF(ISNUMBER(SEARCH("jmdict_exact_pair_not_found",'제외 후보'!P84)),'선정 규칙'!$B$7,0)</x:f>
        <x:v>0</x:v>
      </x:c>
      <x:c r="E84" s="11" t="n">
        <x:f>IF(OR('제외 후보'!L84="",'제외 후보'!L84&lt;=0),'선정 규칙'!$B$8,IF('제외 후보'!L84&lt;=1.5,'선정 규칙'!$B$9,IF('제외 후보'!L84&lt;=2,'선정 규칙'!$B$10,IF('제외 후보'!L84&lt;=2.5,'선정 규칙'!$B$11,IF('제외 후보'!L84&lt;=3,'선정 규칙'!$B$12,IF('제외 후보'!L84&lt;=3.5,'선정 규칙'!$B$13,IF('제외 후보'!L84&gt;=4.5,'선정 규칙'!$B$14,0)))))))</x:f>
        <x:v>12</x:v>
      </x:c>
      <x:c r="F84" s="11" t="n">
        <x:f>IF('제외 후보'!Y84=0,'선정 규칙'!$B$15,IF('제외 후보'!Y84&gt;=100,'선정 규칙'!$B$16,'선정 규칙'!$B$17))</x:f>
        <x:v>-25</x:v>
      </x:c>
      <x:c r="G84" s="11" t="n">
        <x:f>IF('제외 후보'!M84="있음",'선정 규칙'!$B$18,'선정 규칙'!$B$19)</x:f>
        <x:v>6</x:v>
      </x:c>
      <x:c r="H84" s="11" t="n">
        <x:f>IF(ISNUMBER(SEARCH("freq-core",'제외 후보'!AD84)),'선정 규칙'!$B$20,0)</x:f>
        <x:v>0</x:v>
      </x:c>
      <x:c r="I84" s="11" t="n">
        <x:f>IF(ISNUMBER(SEARCH("weak_legacy_content",'제외 후보'!P84)),'선정 규칙'!$B$21,0)</x:f>
        <x:v>5</x:v>
      </x:c>
      <x:c r="J84" s="11" t="n">
        <x:f>IF('제외 후보'!AC84&lt;&gt;"",'선정 규칙'!$B$22,0)</x:f>
        <x:v>0</x:v>
      </x:c>
      <x:c r="K84" s="11" t="n">
        <x:f>SUM(B84:J84)</x:f>
        <x:v>58</x:v>
      </x:c>
      <x:c r="L84" s="11" t="n">
        <x:f>'제외 후보'!N84</x:f>
        <x:v>58</x:v>
      </x:c>
      <x:c r="M84" s="2" t="str">
        <x:f>IF(K84=L84,"OK","MISMATCH")</x:f>
        <x:v>OK</x:v>
      </x:c>
    </x:row>
    <x:row r="85">
      <x:c r="A85" s="2" t="str">
        <x:f>'제외 후보'!G85</x:f>
        <x:v>w_45c5e33b5893a15e</x:v>
      </x:c>
      <x:c r="B85" s="11" t="n">
        <x:f>IF('제외 후보'!Q85&lt;&gt;"",'선정 규칙'!$B$4,0)</x:f>
        <x:v>0</x:v>
      </x:c>
      <x:c r="C85" s="11" t="n">
        <x:f>IF(ISNUMBER(SEARCH("jmdict_uncommon_or_irregular",'제외 후보'!P85)),'선정 규칙'!$B$5,IF(ISNUMBER(SEARCH("jmdict_rare_or_dated",'제외 후보'!P85)),'선정 규칙'!$B$6,0))</x:f>
        <x:v>50</x:v>
      </x:c>
      <x:c r="D85" s="11" t="n">
        <x:f>IF(ISNUMBER(SEARCH("jmdict_exact_pair_not_found",'제외 후보'!P85)),'선정 규칙'!$B$7,0)</x:f>
        <x:v>0</x:v>
      </x:c>
      <x:c r="E85" s="11" t="n">
        <x:f>IF(OR('제외 후보'!L85="",'제외 후보'!L85&lt;=0),'선정 규칙'!$B$8,IF('제외 후보'!L85&lt;=1.5,'선정 규칙'!$B$9,IF('제외 후보'!L85&lt;=2,'선정 규칙'!$B$10,IF('제외 후보'!L85&lt;=2.5,'선정 규칙'!$B$11,IF('제외 후보'!L85&lt;=3,'선정 규칙'!$B$12,IF('제외 후보'!L85&lt;=3.5,'선정 규칙'!$B$13,IF('제외 후보'!L85&gt;=4.5,'선정 규칙'!$B$14,0)))))))</x:f>
        <x:v>12</x:v>
      </x:c>
      <x:c r="F85" s="11" t="n">
        <x:f>IF('제외 후보'!Y85=0,'선정 규칙'!$B$15,IF('제외 후보'!Y85&gt;=100,'선정 규칙'!$B$16,'선정 규칙'!$B$17))</x:f>
        <x:v>-25</x:v>
      </x:c>
      <x:c r="G85" s="11" t="n">
        <x:f>IF('제외 후보'!M85="있음",'선정 규칙'!$B$18,'선정 규칙'!$B$19)</x:f>
        <x:v>6</x:v>
      </x:c>
      <x:c r="H85" s="11" t="n">
        <x:f>IF(ISNUMBER(SEARCH("freq-core",'제외 후보'!AD85)),'선정 규칙'!$B$20,0)</x:f>
        <x:v>0</x:v>
      </x:c>
      <x:c r="I85" s="11" t="n">
        <x:f>IF(ISNUMBER(SEARCH("weak_legacy_content",'제외 후보'!P85)),'선정 규칙'!$B$21,0)</x:f>
        <x:v>5</x:v>
      </x:c>
      <x:c r="J85" s="11" t="n">
        <x:f>IF('제외 후보'!AC85&lt;&gt;"",'선정 규칙'!$B$22,0)</x:f>
        <x:v>10</x:v>
      </x:c>
      <x:c r="K85" s="11" t="n">
        <x:f>SUM(B85:J85)</x:f>
        <x:v>58</x:v>
      </x:c>
      <x:c r="L85" s="11" t="n">
        <x:f>'제외 후보'!N85</x:f>
        <x:v>58</x:v>
      </x:c>
      <x:c r="M85" s="2" t="str">
        <x:f>IF(K85=L85,"OK","MISMATCH")</x:f>
        <x:v>OK</x:v>
      </x:c>
    </x:row>
    <x:row r="86">
      <x:c r="A86" s="2" t="str">
        <x:f>'제외 후보'!G86</x:f>
        <x:v>w_c9eef19134655f9f</x:v>
      </x:c>
      <x:c r="B86" s="11" t="n">
        <x:f>IF('제외 후보'!Q86&lt;&gt;"",'선정 규칙'!$B$4,0)</x:f>
        <x:v>60</x:v>
      </x:c>
      <x:c r="C86" s="11" t="n">
        <x:f>IF(ISNUMBER(SEARCH("jmdict_uncommon_or_irregular",'제외 후보'!P86)),'선정 규칙'!$B$5,IF(ISNUMBER(SEARCH("jmdict_rare_or_dated",'제외 후보'!P86)),'선정 규칙'!$B$6,0))</x:f>
        <x:v>0</x:v>
      </x:c>
      <x:c r="D86" s="11" t="n">
        <x:f>IF(ISNUMBER(SEARCH("jmdict_exact_pair_not_found",'제외 후보'!P86)),'선정 규칙'!$B$7,0)</x:f>
        <x:v>0</x:v>
      </x:c>
      <x:c r="E86" s="11" t="n">
        <x:f>IF(OR('제외 후보'!L86="",'제외 후보'!L86&lt;=0),'선정 규칙'!$B$8,IF('제외 후보'!L86&lt;=1.5,'선정 규칙'!$B$9,IF('제외 후보'!L86&lt;=2,'선정 규칙'!$B$10,IF('제외 후보'!L86&lt;=2.5,'선정 규칙'!$B$11,IF('제외 후보'!L86&lt;=3,'선정 규칙'!$B$12,IF('제외 후보'!L86&lt;=3.5,'선정 규칙'!$B$13,IF('제외 후보'!L86&gt;=4.5,'선정 규칙'!$B$14,0)))))))</x:f>
        <x:v>12</x:v>
      </x:c>
      <x:c r="F86" s="11" t="n">
        <x:f>IF('제외 후보'!Y86=0,'선정 규칙'!$B$15,IF('제외 후보'!Y86&gt;=100,'선정 규칙'!$B$16,'선정 규칙'!$B$17))</x:f>
        <x:v>-25</x:v>
      </x:c>
      <x:c r="G86" s="11" t="n">
        <x:f>IF('제외 후보'!M86="있음",'선정 규칙'!$B$18,'선정 규칙'!$B$19)</x:f>
        <x:v>6</x:v>
      </x:c>
      <x:c r="H86" s="11" t="n">
        <x:f>IF(ISNUMBER(SEARCH("freq-core",'제외 후보'!AD86)),'선정 규칙'!$B$20,0)</x:f>
        <x:v>0</x:v>
      </x:c>
      <x:c r="I86" s="11" t="n">
        <x:f>IF(ISNUMBER(SEARCH("weak_legacy_content",'제외 후보'!P86)),'선정 규칙'!$B$21,0)</x:f>
        <x:v>5</x:v>
      </x:c>
      <x:c r="J86" s="11" t="n">
        <x:f>IF('제외 후보'!AC86&lt;&gt;"",'선정 규칙'!$B$22,0)</x:f>
        <x:v>0</x:v>
      </x:c>
      <x:c r="K86" s="11" t="n">
        <x:f>SUM(B86:J86)</x:f>
        <x:v>58</x:v>
      </x:c>
      <x:c r="L86" s="11" t="n">
        <x:f>'제외 후보'!N86</x:f>
        <x:v>58</x:v>
      </x:c>
      <x:c r="M86" s="2" t="str">
        <x:f>IF(K86=L86,"OK","MISMATCH")</x:f>
        <x:v>OK</x:v>
      </x:c>
    </x:row>
    <x:row r="87">
      <x:c r="A87" s="2" t="str">
        <x:f>'제외 후보'!G87</x:f>
        <x:v>w_f0ba0fc937416985</x:v>
      </x:c>
      <x:c r="B87" s="11" t="n">
        <x:f>IF('제외 후보'!Q87&lt;&gt;"",'선정 규칙'!$B$4,0)</x:f>
        <x:v>60</x:v>
      </x:c>
      <x:c r="C87" s="11" t="n">
        <x:f>IF(ISNUMBER(SEARCH("jmdict_uncommon_or_irregular",'제외 후보'!P87)),'선정 규칙'!$B$5,IF(ISNUMBER(SEARCH("jmdict_rare_or_dated",'제외 후보'!P87)),'선정 규칙'!$B$6,0))</x:f>
        <x:v>0</x:v>
      </x:c>
      <x:c r="D87" s="11" t="n">
        <x:f>IF(ISNUMBER(SEARCH("jmdict_exact_pair_not_found",'제외 후보'!P87)),'선정 규칙'!$B$7,0)</x:f>
        <x:v>0</x:v>
      </x:c>
      <x:c r="E87" s="11" t="n">
        <x:f>IF(OR('제외 후보'!L87="",'제외 후보'!L87&lt;=0),'선정 규칙'!$B$8,IF('제외 후보'!L87&lt;=1.5,'선정 규칙'!$B$9,IF('제외 후보'!L87&lt;=2,'선정 규칙'!$B$10,IF('제외 후보'!L87&lt;=2.5,'선정 규칙'!$B$11,IF('제외 후보'!L87&lt;=3,'선정 규칙'!$B$12,IF('제외 후보'!L87&lt;=3.5,'선정 규칙'!$B$13,IF('제외 후보'!L87&gt;=4.5,'선정 규칙'!$B$14,0)))))))</x:f>
        <x:v>12</x:v>
      </x:c>
      <x:c r="F87" s="11" t="n">
        <x:f>IF('제외 후보'!Y87=0,'선정 규칙'!$B$15,IF('제외 후보'!Y87&gt;=100,'선정 규칙'!$B$16,'선정 규칙'!$B$17))</x:f>
        <x:v>-25</x:v>
      </x:c>
      <x:c r="G87" s="11" t="n">
        <x:f>IF('제외 후보'!M87="있음",'선정 규칙'!$B$18,'선정 규칙'!$B$19)</x:f>
        <x:v>6</x:v>
      </x:c>
      <x:c r="H87" s="11" t="n">
        <x:f>IF(ISNUMBER(SEARCH("freq-core",'제외 후보'!AD87)),'선정 규칙'!$B$20,0)</x:f>
        <x:v>0</x:v>
      </x:c>
      <x:c r="I87" s="11" t="n">
        <x:f>IF(ISNUMBER(SEARCH("weak_legacy_content",'제외 후보'!P87)),'선정 규칙'!$B$21,0)</x:f>
        <x:v>5</x:v>
      </x:c>
      <x:c r="J87" s="11" t="n">
        <x:f>IF('제외 후보'!AC87&lt;&gt;"",'선정 규칙'!$B$22,0)</x:f>
        <x:v>0</x:v>
      </x:c>
      <x:c r="K87" s="11" t="n">
        <x:f>SUM(B87:J87)</x:f>
        <x:v>58</x:v>
      </x:c>
      <x:c r="L87" s="11" t="n">
        <x:f>'제외 후보'!N87</x:f>
        <x:v>58</x:v>
      </x:c>
      <x:c r="M87" s="2" t="str">
        <x:f>IF(K87=L87,"OK","MISMATCH")</x:f>
        <x:v>OK</x:v>
      </x:c>
    </x:row>
    <x:row r="88">
      <x:c r="A88" s="2" t="str">
        <x:f>'제외 후보'!G88</x:f>
        <x:v>w_b2df74d68c99fda4</x:v>
      </x:c>
      <x:c r="B88" s="11" t="n">
        <x:f>IF('제외 후보'!Q88&lt;&gt;"",'선정 규칙'!$B$4,0)</x:f>
        <x:v>0</x:v>
      </x:c>
      <x:c r="C88" s="11" t="n">
        <x:f>IF(ISNUMBER(SEARCH("jmdict_uncommon_or_irregular",'제외 후보'!P88)),'선정 규칙'!$B$5,IF(ISNUMBER(SEARCH("jmdict_rare_or_dated",'제외 후보'!P88)),'선정 규칙'!$B$6,0))</x:f>
        <x:v>0</x:v>
      </x:c>
      <x:c r="D88" s="11" t="n">
        <x:f>IF(ISNUMBER(SEARCH("jmdict_exact_pair_not_found",'제외 후보'!P88)),'선정 규칙'!$B$7,0)</x:f>
        <x:v>35</x:v>
      </x:c>
      <x:c r="E88" s="11" t="n">
        <x:f>IF(OR('제외 후보'!L88="",'제외 후보'!L88&lt;=0),'선정 규칙'!$B$8,IF('제외 후보'!L88&lt;=1.5,'선정 규칙'!$B$9,IF('제외 후보'!L88&lt;=2,'선정 규칙'!$B$10,IF('제외 후보'!L88&lt;=2.5,'선정 규칙'!$B$11,IF('제외 후보'!L88&lt;=3,'선정 규칙'!$B$12,IF('제외 후보'!L88&lt;=3.5,'선정 규칙'!$B$13,IF('제외 후보'!L88&gt;=4.5,'선정 규칙'!$B$14,0)))))))</x:f>
        <x:v>0</x:v>
      </x:c>
      <x:c r="F88" s="11" t="n">
        <x:f>IF('제외 후보'!Y88=0,'선정 규칙'!$B$15,IF('제외 후보'!Y88&gt;=100,'선정 규칙'!$B$16,'선정 규칙'!$B$17))</x:f>
        <x:v>12</x:v>
      </x:c>
      <x:c r="G88" s="11" t="n">
        <x:f>IF('제외 후보'!M88="있음",'선정 규칙'!$B$18,'선정 규칙'!$B$19)</x:f>
        <x:v>6</x:v>
      </x:c>
      <x:c r="H88" s="11" t="n">
        <x:f>IF(ISNUMBER(SEARCH("freq-core",'제외 후보'!AD88)),'선정 규칙'!$B$20,0)</x:f>
        <x:v>0</x:v>
      </x:c>
      <x:c r="I88" s="11" t="n">
        <x:f>IF(ISNUMBER(SEARCH("weak_legacy_content",'제외 후보'!P88)),'선정 규칙'!$B$21,0)</x:f>
        <x:v>5</x:v>
      </x:c>
      <x:c r="J88" s="11" t="n">
        <x:f>IF('제외 후보'!AC88&lt;&gt;"",'선정 규칙'!$B$22,0)</x:f>
        <x:v>0</x:v>
      </x:c>
      <x:c r="K88" s="11" t="n">
        <x:f>SUM(B88:J88)</x:f>
        <x:v>58</x:v>
      </x:c>
      <x:c r="L88" s="11" t="n">
        <x:f>'제외 후보'!N88</x:f>
        <x:v>58</x:v>
      </x:c>
      <x:c r="M88" s="2" t="str">
        <x:f>IF(K88=L88,"OK","MISMATCH")</x:f>
        <x:v>OK</x:v>
      </x:c>
    </x:row>
    <x:row r="89">
      <x:c r="A89" s="2" t="str">
        <x:f>'제외 후보'!G89</x:f>
        <x:v>w_f4c0f7d1b5bfa7e4</x:v>
      </x:c>
      <x:c r="B89" s="11" t="n">
        <x:f>IF('제외 후보'!Q89&lt;&gt;"",'선정 규칙'!$B$4,0)</x:f>
        <x:v>0</x:v>
      </x:c>
      <x:c r="C89" s="11" t="n">
        <x:f>IF(ISNUMBER(SEARCH("jmdict_uncommon_or_irregular",'제외 후보'!P89)),'선정 규칙'!$B$5,IF(ISNUMBER(SEARCH("jmdict_rare_or_dated",'제외 후보'!P89)),'선정 규칙'!$B$6,0))</x:f>
        <x:v>0</x:v>
      </x:c>
      <x:c r="D89" s="11" t="n">
        <x:f>IF(ISNUMBER(SEARCH("jmdict_exact_pair_not_found",'제외 후보'!P89)),'선정 규칙'!$B$7,0)</x:f>
        <x:v>35</x:v>
      </x:c>
      <x:c r="E89" s="11" t="n">
        <x:f>IF(OR('제외 후보'!L89="",'제외 후보'!L89&lt;=0),'선정 규칙'!$B$8,IF('제외 후보'!L89&lt;=1.5,'선정 규칙'!$B$9,IF('제외 후보'!L89&lt;=2,'선정 규칙'!$B$10,IF('제외 후보'!L89&lt;=2.5,'선정 규칙'!$B$11,IF('제외 후보'!L89&lt;=3,'선정 규칙'!$B$12,IF('제외 후보'!L89&lt;=3.5,'선정 규칙'!$B$13,IF('제외 후보'!L89&gt;=4.5,'선정 규칙'!$B$14,0)))))))</x:f>
        <x:v>0</x:v>
      </x:c>
      <x:c r="F89" s="11" t="n">
        <x:f>IF('제외 후보'!Y89=0,'선정 규칙'!$B$15,IF('제외 후보'!Y89&gt;=100,'선정 규칙'!$B$16,'선정 규칙'!$B$17))</x:f>
        <x:v>12</x:v>
      </x:c>
      <x:c r="G89" s="11" t="n">
        <x:f>IF('제외 후보'!M89="있음",'선정 규칙'!$B$18,'선정 규칙'!$B$19)</x:f>
        <x:v>6</x:v>
      </x:c>
      <x:c r="H89" s="11" t="n">
        <x:f>IF(ISNUMBER(SEARCH("freq-core",'제외 후보'!AD89)),'선정 규칙'!$B$20,0)</x:f>
        <x:v>0</x:v>
      </x:c>
      <x:c r="I89" s="11" t="n">
        <x:f>IF(ISNUMBER(SEARCH("weak_legacy_content",'제외 후보'!P89)),'선정 규칙'!$B$21,0)</x:f>
        <x:v>5</x:v>
      </x:c>
      <x:c r="J89" s="11" t="n">
        <x:f>IF('제외 후보'!AC89&lt;&gt;"",'선정 규칙'!$B$22,0)</x:f>
        <x:v>0</x:v>
      </x:c>
      <x:c r="K89" s="11" t="n">
        <x:f>SUM(B89:J89)</x:f>
        <x:v>58</x:v>
      </x:c>
      <x:c r="L89" s="11" t="n">
        <x:f>'제외 후보'!N89</x:f>
        <x:v>58</x:v>
      </x:c>
      <x:c r="M89" s="2" t="str">
        <x:f>IF(K89=L89,"OK","MISMATCH")</x:f>
        <x:v>OK</x:v>
      </x:c>
    </x:row>
    <x:row r="90">
      <x:c r="A90" s="2" t="str">
        <x:f>'제외 후보'!G90</x:f>
        <x:v>w_d7297e192b9484fc</x:v>
      </x:c>
      <x:c r="B90" s="11" t="n">
        <x:f>IF('제외 후보'!Q90&lt;&gt;"",'선정 규칙'!$B$4,0)</x:f>
        <x:v>0</x:v>
      </x:c>
      <x:c r="C90" s="11" t="n">
        <x:f>IF(ISNUMBER(SEARCH("jmdict_uncommon_or_irregular",'제외 후보'!P90)),'선정 규칙'!$B$5,IF(ISNUMBER(SEARCH("jmdict_rare_or_dated",'제외 후보'!P90)),'선정 규칙'!$B$6,0))</x:f>
        <x:v>0</x:v>
      </x:c>
      <x:c r="D90" s="11" t="n">
        <x:f>IF(ISNUMBER(SEARCH("jmdict_exact_pair_not_found",'제외 후보'!P90)),'선정 규칙'!$B$7,0)</x:f>
        <x:v>35</x:v>
      </x:c>
      <x:c r="E90" s="11" t="n">
        <x:f>IF(OR('제외 후보'!L90="",'제외 후보'!L90&lt;=0),'선정 규칙'!$B$8,IF('제외 후보'!L90&lt;=1.5,'선정 규칙'!$B$9,IF('제외 후보'!L90&lt;=2,'선정 규칙'!$B$10,IF('제외 후보'!L90&lt;=2.5,'선정 규칙'!$B$11,IF('제외 후보'!L90&lt;=3,'선정 규칙'!$B$12,IF('제외 후보'!L90&lt;=3.5,'선정 규칙'!$B$13,IF('제외 후보'!L90&gt;=4.5,'선정 규칙'!$B$14,0)))))))</x:f>
        <x:v>0</x:v>
      </x:c>
      <x:c r="F90" s="11" t="n">
        <x:f>IF('제외 후보'!Y90=0,'선정 규칙'!$B$15,IF('제외 후보'!Y90&gt;=100,'선정 규칙'!$B$16,'선정 규칙'!$B$17))</x:f>
        <x:v>12</x:v>
      </x:c>
      <x:c r="G90" s="11" t="n">
        <x:f>IF('제외 후보'!M90="있음",'선정 규칙'!$B$18,'선정 규칙'!$B$19)</x:f>
        <x:v>6</x:v>
      </x:c>
      <x:c r="H90" s="11" t="n">
        <x:f>IF(ISNUMBER(SEARCH("freq-core",'제외 후보'!AD90)),'선정 규칙'!$B$20,0)</x:f>
        <x:v>0</x:v>
      </x:c>
      <x:c r="I90" s="11" t="n">
        <x:f>IF(ISNUMBER(SEARCH("weak_legacy_content",'제외 후보'!P90)),'선정 규칙'!$B$21,0)</x:f>
        <x:v>5</x:v>
      </x:c>
      <x:c r="J90" s="11" t="n">
        <x:f>IF('제외 후보'!AC90&lt;&gt;"",'선정 규칙'!$B$22,0)</x:f>
        <x:v>0</x:v>
      </x:c>
      <x:c r="K90" s="11" t="n">
        <x:f>SUM(B90:J90)</x:f>
        <x:v>58</x:v>
      </x:c>
      <x:c r="L90" s="11" t="n">
        <x:f>'제외 후보'!N90</x:f>
        <x:v>58</x:v>
      </x:c>
      <x:c r="M90" s="2" t="str">
        <x:f>IF(K90=L90,"OK","MISMATCH")</x:f>
        <x:v>OK</x:v>
      </x:c>
    </x:row>
    <x:row r="91">
      <x:c r="A91" s="2" t="str">
        <x:f>'제외 후보'!G91</x:f>
        <x:v>w_6f8f7a52b7e94b03</x:v>
      </x:c>
      <x:c r="B91" s="11" t="n">
        <x:f>IF('제외 후보'!Q91&lt;&gt;"",'선정 규칙'!$B$4,0)</x:f>
        <x:v>0</x:v>
      </x:c>
      <x:c r="C91" s="11" t="n">
        <x:f>IF(ISNUMBER(SEARCH("jmdict_uncommon_or_irregular",'제외 후보'!P91)),'선정 규칙'!$B$5,IF(ISNUMBER(SEARCH("jmdict_rare_or_dated",'제외 후보'!P91)),'선정 규칙'!$B$6,0))</x:f>
        <x:v>0</x:v>
      </x:c>
      <x:c r="D91" s="11" t="n">
        <x:f>IF(ISNUMBER(SEARCH("jmdict_exact_pair_not_found",'제외 후보'!P91)),'선정 규칙'!$B$7,0)</x:f>
        <x:v>35</x:v>
      </x:c>
      <x:c r="E91" s="11" t="n">
        <x:f>IF(OR('제외 후보'!L91="",'제외 후보'!L91&lt;=0),'선정 규칙'!$B$8,IF('제외 후보'!L91&lt;=1.5,'선정 규칙'!$B$9,IF('제외 후보'!L91&lt;=2,'선정 규칙'!$B$10,IF('제외 후보'!L91&lt;=2.5,'선정 규칙'!$B$11,IF('제외 후보'!L91&lt;=3,'선정 규칙'!$B$12,IF('제외 후보'!L91&lt;=3.5,'선정 규칙'!$B$13,IF('제외 후보'!L91&gt;=4.5,'선정 규칙'!$B$14,0)))))))</x:f>
        <x:v>0</x:v>
      </x:c>
      <x:c r="F91" s="11" t="n">
        <x:f>IF('제외 후보'!Y91=0,'선정 규칙'!$B$15,IF('제외 후보'!Y91&gt;=100,'선정 규칙'!$B$16,'선정 규칙'!$B$17))</x:f>
        <x:v>12</x:v>
      </x:c>
      <x:c r="G91" s="11" t="n">
        <x:f>IF('제외 후보'!M91="있음",'선정 규칙'!$B$18,'선정 규칙'!$B$19)</x:f>
        <x:v>6</x:v>
      </x:c>
      <x:c r="H91" s="11" t="n">
        <x:f>IF(ISNUMBER(SEARCH("freq-core",'제외 후보'!AD91)),'선정 규칙'!$B$20,0)</x:f>
        <x:v>0</x:v>
      </x:c>
      <x:c r="I91" s="11" t="n">
        <x:f>IF(ISNUMBER(SEARCH("weak_legacy_content",'제외 후보'!P91)),'선정 규칙'!$B$21,0)</x:f>
        <x:v>5</x:v>
      </x:c>
      <x:c r="J91" s="11" t="n">
        <x:f>IF('제외 후보'!AC91&lt;&gt;"",'선정 규칙'!$B$22,0)</x:f>
        <x:v>0</x:v>
      </x:c>
      <x:c r="K91" s="11" t="n">
        <x:f>SUM(B91:J91)</x:f>
        <x:v>58</x:v>
      </x:c>
      <x:c r="L91" s="11" t="n">
        <x:f>'제외 후보'!N91</x:f>
        <x:v>58</x:v>
      </x:c>
      <x:c r="M91" s="2" t="str">
        <x:f>IF(K91=L91,"OK","MISMATCH")</x:f>
        <x:v>OK</x:v>
      </x:c>
    </x:row>
    <x:row r="92">
      <x:c r="A92" s="2" t="str">
        <x:f>'제외 후보'!G92</x:f>
        <x:v>w_25ba4b8d3be8fcd3</x:v>
      </x:c>
      <x:c r="B92" s="11" t="n">
        <x:f>IF('제외 후보'!Q92&lt;&gt;"",'선정 규칙'!$B$4,0)</x:f>
        <x:v>0</x:v>
      </x:c>
      <x:c r="C92" s="11" t="n">
        <x:f>IF(ISNUMBER(SEARCH("jmdict_uncommon_or_irregular",'제외 후보'!P92)),'선정 규칙'!$B$5,IF(ISNUMBER(SEARCH("jmdict_rare_or_dated",'제외 후보'!P92)),'선정 규칙'!$B$6,0))</x:f>
        <x:v>0</x:v>
      </x:c>
      <x:c r="D92" s="11" t="n">
        <x:f>IF(ISNUMBER(SEARCH("jmdict_exact_pair_not_found",'제외 후보'!P92)),'선정 규칙'!$B$7,0)</x:f>
        <x:v>35</x:v>
      </x:c>
      <x:c r="E92" s="11" t="n">
        <x:f>IF(OR('제외 후보'!L92="",'제외 후보'!L92&lt;=0),'선정 규칙'!$B$8,IF('제외 후보'!L92&lt;=1.5,'선정 규칙'!$B$9,IF('제외 후보'!L92&lt;=2,'선정 규칙'!$B$10,IF('제외 후보'!L92&lt;=2.5,'선정 규칙'!$B$11,IF('제외 후보'!L92&lt;=3,'선정 규칙'!$B$12,IF('제외 후보'!L92&lt;=3.5,'선정 규칙'!$B$13,IF('제외 후보'!L92&gt;=4.5,'선정 규칙'!$B$14,0)))))))</x:f>
        <x:v>0</x:v>
      </x:c>
      <x:c r="F92" s="11" t="n">
        <x:f>IF('제외 후보'!Y92=0,'선정 규칙'!$B$15,IF('제외 후보'!Y92&gt;=100,'선정 규칙'!$B$16,'선정 규칙'!$B$17))</x:f>
        <x:v>12</x:v>
      </x:c>
      <x:c r="G92" s="11" t="n">
        <x:f>IF('제외 후보'!M92="있음",'선정 규칙'!$B$18,'선정 규칙'!$B$19)</x:f>
        <x:v>6</x:v>
      </x:c>
      <x:c r="H92" s="11" t="n">
        <x:f>IF(ISNUMBER(SEARCH("freq-core",'제외 후보'!AD92)),'선정 규칙'!$B$20,0)</x:f>
        <x:v>0</x:v>
      </x:c>
      <x:c r="I92" s="11" t="n">
        <x:f>IF(ISNUMBER(SEARCH("weak_legacy_content",'제외 후보'!P92)),'선정 규칙'!$B$21,0)</x:f>
        <x:v>5</x:v>
      </x:c>
      <x:c r="J92" s="11" t="n">
        <x:f>IF('제외 후보'!AC92&lt;&gt;"",'선정 규칙'!$B$22,0)</x:f>
        <x:v>0</x:v>
      </x:c>
      <x:c r="K92" s="11" t="n">
        <x:f>SUM(B92:J92)</x:f>
        <x:v>58</x:v>
      </x:c>
      <x:c r="L92" s="11" t="n">
        <x:f>'제외 후보'!N92</x:f>
        <x:v>58</x:v>
      </x:c>
      <x:c r="M92" s="2" t="str">
        <x:f>IF(K92=L92,"OK","MISMATCH")</x:f>
        <x:v>OK</x:v>
      </x:c>
    </x:row>
    <x:row r="93">
      <x:c r="A93" s="2" t="str">
        <x:f>'제외 후보'!G93</x:f>
        <x:v>w_36c7d14fb01857f2</x:v>
      </x:c>
      <x:c r="B93" s="11" t="n">
        <x:f>IF('제외 후보'!Q93&lt;&gt;"",'선정 규칙'!$B$4,0)</x:f>
        <x:v>0</x:v>
      </x:c>
      <x:c r="C93" s="11" t="n">
        <x:f>IF(ISNUMBER(SEARCH("jmdict_uncommon_or_irregular",'제외 후보'!P93)),'선정 규칙'!$B$5,IF(ISNUMBER(SEARCH("jmdict_rare_or_dated",'제외 후보'!P93)),'선정 규칙'!$B$6,0))</x:f>
        <x:v>0</x:v>
      </x:c>
      <x:c r="D93" s="11" t="n">
        <x:f>IF(ISNUMBER(SEARCH("jmdict_exact_pair_not_found",'제외 후보'!P93)),'선정 규칙'!$B$7,0)</x:f>
        <x:v>35</x:v>
      </x:c>
      <x:c r="E93" s="11" t="n">
        <x:f>IF(OR('제외 후보'!L93="",'제외 후보'!L93&lt;=0),'선정 규칙'!$B$8,IF('제외 후보'!L93&lt;=1.5,'선정 규칙'!$B$9,IF('제외 후보'!L93&lt;=2,'선정 규칙'!$B$10,IF('제외 후보'!L93&lt;=2.5,'선정 규칙'!$B$11,IF('제외 후보'!L93&lt;=3,'선정 규칙'!$B$12,IF('제외 후보'!L93&lt;=3.5,'선정 규칙'!$B$13,IF('제외 후보'!L93&gt;=4.5,'선정 규칙'!$B$14,0)))))))</x:f>
        <x:v>0</x:v>
      </x:c>
      <x:c r="F93" s="11" t="n">
        <x:f>IF('제외 후보'!Y93=0,'선정 규칙'!$B$15,IF('제외 후보'!Y93&gt;=100,'선정 규칙'!$B$16,'선정 규칙'!$B$17))</x:f>
        <x:v>12</x:v>
      </x:c>
      <x:c r="G93" s="11" t="n">
        <x:f>IF('제외 후보'!M93="있음",'선정 규칙'!$B$18,'선정 규칙'!$B$19)</x:f>
        <x:v>6</x:v>
      </x:c>
      <x:c r="H93" s="11" t="n">
        <x:f>IF(ISNUMBER(SEARCH("freq-core",'제외 후보'!AD93)),'선정 규칙'!$B$20,0)</x:f>
        <x:v>0</x:v>
      </x:c>
      <x:c r="I93" s="11" t="n">
        <x:f>IF(ISNUMBER(SEARCH("weak_legacy_content",'제외 후보'!P93)),'선정 규칙'!$B$21,0)</x:f>
        <x:v>5</x:v>
      </x:c>
      <x:c r="J93" s="11" t="n">
        <x:f>IF('제외 후보'!AC93&lt;&gt;"",'선정 규칙'!$B$22,0)</x:f>
        <x:v>0</x:v>
      </x:c>
      <x:c r="K93" s="11" t="n">
        <x:f>SUM(B93:J93)</x:f>
        <x:v>58</x:v>
      </x:c>
      <x:c r="L93" s="11" t="n">
        <x:f>'제외 후보'!N93</x:f>
        <x:v>58</x:v>
      </x:c>
      <x:c r="M93" s="2" t="str">
        <x:f>IF(K93=L93,"OK","MISMATCH")</x:f>
        <x:v>OK</x:v>
      </x:c>
    </x:row>
    <x:row r="94">
      <x:c r="A94" s="2" t="str">
        <x:f>'제외 후보'!G94</x:f>
        <x:v>w_490aea4640487aa9</x:v>
      </x:c>
      <x:c r="B94" s="11" t="n">
        <x:f>IF('제외 후보'!Q94&lt;&gt;"",'선정 규칙'!$B$4,0)</x:f>
        <x:v>0</x:v>
      </x:c>
      <x:c r="C94" s="11" t="n">
        <x:f>IF(ISNUMBER(SEARCH("jmdict_uncommon_or_irregular",'제외 후보'!P94)),'선정 규칙'!$B$5,IF(ISNUMBER(SEARCH("jmdict_rare_or_dated",'제외 후보'!P94)),'선정 규칙'!$B$6,0))</x:f>
        <x:v>0</x:v>
      </x:c>
      <x:c r="D94" s="11" t="n">
        <x:f>IF(ISNUMBER(SEARCH("jmdict_exact_pair_not_found",'제외 후보'!P94)),'선정 규칙'!$B$7,0)</x:f>
        <x:v>35</x:v>
      </x:c>
      <x:c r="E94" s="11" t="n">
        <x:f>IF(OR('제외 후보'!L94="",'제외 후보'!L94&lt;=0),'선정 규칙'!$B$8,IF('제외 후보'!L94&lt;=1.5,'선정 규칙'!$B$9,IF('제외 후보'!L94&lt;=2,'선정 규칙'!$B$10,IF('제외 후보'!L94&lt;=2.5,'선정 규칙'!$B$11,IF('제외 후보'!L94&lt;=3,'선정 규칙'!$B$12,IF('제외 후보'!L94&lt;=3.5,'선정 규칙'!$B$13,IF('제외 후보'!L94&gt;=4.5,'선정 규칙'!$B$14,0)))))))</x:f>
        <x:v>0</x:v>
      </x:c>
      <x:c r="F94" s="11" t="n">
        <x:f>IF('제외 후보'!Y94=0,'선정 규칙'!$B$15,IF('제외 후보'!Y94&gt;=100,'선정 규칙'!$B$16,'선정 규칙'!$B$17))</x:f>
        <x:v>12</x:v>
      </x:c>
      <x:c r="G94" s="11" t="n">
        <x:f>IF('제외 후보'!M94="있음",'선정 규칙'!$B$18,'선정 규칙'!$B$19)</x:f>
        <x:v>6</x:v>
      </x:c>
      <x:c r="H94" s="11" t="n">
        <x:f>IF(ISNUMBER(SEARCH("freq-core",'제외 후보'!AD94)),'선정 규칙'!$B$20,0)</x:f>
        <x:v>0</x:v>
      </x:c>
      <x:c r="I94" s="11" t="n">
        <x:f>IF(ISNUMBER(SEARCH("weak_legacy_content",'제외 후보'!P94)),'선정 규칙'!$B$21,0)</x:f>
        <x:v>5</x:v>
      </x:c>
      <x:c r="J94" s="11" t="n">
        <x:f>IF('제외 후보'!AC94&lt;&gt;"",'선정 규칙'!$B$22,0)</x:f>
        <x:v>0</x:v>
      </x:c>
      <x:c r="K94" s="11" t="n">
        <x:f>SUM(B94:J94)</x:f>
        <x:v>58</x:v>
      </x:c>
      <x:c r="L94" s="11" t="n">
        <x:f>'제외 후보'!N94</x:f>
        <x:v>58</x:v>
      </x:c>
      <x:c r="M94" s="2" t="str">
        <x:f>IF(K94=L94,"OK","MISMATCH")</x:f>
        <x:v>OK</x:v>
      </x:c>
    </x:row>
    <x:row r="95">
      <x:c r="A95" s="2" t="str">
        <x:f>'제외 후보'!G95</x:f>
        <x:v>w_0e2287722c7b27e8</x:v>
      </x:c>
      <x:c r="B95" s="11" t="n">
        <x:f>IF('제외 후보'!Q95&lt;&gt;"",'선정 규칙'!$B$4,0)</x:f>
        <x:v>0</x:v>
      </x:c>
      <x:c r="C95" s="11" t="n">
        <x:f>IF(ISNUMBER(SEARCH("jmdict_uncommon_or_irregular",'제외 후보'!P95)),'선정 규칙'!$B$5,IF(ISNUMBER(SEARCH("jmdict_rare_or_dated",'제외 후보'!P95)),'선정 규칙'!$B$6,0))</x:f>
        <x:v>0</x:v>
      </x:c>
      <x:c r="D95" s="11" t="n">
        <x:f>IF(ISNUMBER(SEARCH("jmdict_exact_pair_not_found",'제외 후보'!P95)),'선정 규칙'!$B$7,0)</x:f>
        <x:v>35</x:v>
      </x:c>
      <x:c r="E95" s="11" t="n">
        <x:f>IF(OR('제외 후보'!L95="",'제외 후보'!L95&lt;=0),'선정 규칙'!$B$8,IF('제외 후보'!L95&lt;=1.5,'선정 규칙'!$B$9,IF('제외 후보'!L95&lt;=2,'선정 규칙'!$B$10,IF('제외 후보'!L95&lt;=2.5,'선정 규칙'!$B$11,IF('제외 후보'!L95&lt;=3,'선정 규칙'!$B$12,IF('제외 후보'!L95&lt;=3.5,'선정 규칙'!$B$13,IF('제외 후보'!L95&gt;=4.5,'선정 규칙'!$B$14,0)))))))</x:f>
        <x:v>0</x:v>
      </x:c>
      <x:c r="F95" s="11" t="n">
        <x:f>IF('제외 후보'!Y95=0,'선정 규칙'!$B$15,IF('제외 후보'!Y95&gt;=100,'선정 규칙'!$B$16,'선정 규칙'!$B$17))</x:f>
        <x:v>12</x:v>
      </x:c>
      <x:c r="G95" s="11" t="n">
        <x:f>IF('제외 후보'!M95="있음",'선정 규칙'!$B$18,'선정 규칙'!$B$19)</x:f>
        <x:v>6</x:v>
      </x:c>
      <x:c r="H95" s="11" t="n">
        <x:f>IF(ISNUMBER(SEARCH("freq-core",'제외 후보'!AD95)),'선정 규칙'!$B$20,0)</x:f>
        <x:v>0</x:v>
      </x:c>
      <x:c r="I95" s="11" t="n">
        <x:f>IF(ISNUMBER(SEARCH("weak_legacy_content",'제외 후보'!P95)),'선정 규칙'!$B$21,0)</x:f>
        <x:v>5</x:v>
      </x:c>
      <x:c r="J95" s="11" t="n">
        <x:f>IF('제외 후보'!AC95&lt;&gt;"",'선정 규칙'!$B$22,0)</x:f>
        <x:v>0</x:v>
      </x:c>
      <x:c r="K95" s="11" t="n">
        <x:f>SUM(B95:J95)</x:f>
        <x:v>58</x:v>
      </x:c>
      <x:c r="L95" s="11" t="n">
        <x:f>'제외 후보'!N95</x:f>
        <x:v>58</x:v>
      </x:c>
      <x:c r="M95" s="2" t="str">
        <x:f>IF(K95=L95,"OK","MISMATCH")</x:f>
        <x:v>OK</x:v>
      </x:c>
    </x:row>
    <x:row r="96">
      <x:c r="A96" s="2" t="str">
        <x:f>'제외 후보'!G96</x:f>
        <x:v>w_8c9132699219c346</x:v>
      </x:c>
      <x:c r="B96" s="11" t="n">
        <x:f>IF('제외 후보'!Q96&lt;&gt;"",'선정 규칙'!$B$4,0)</x:f>
        <x:v>0</x:v>
      </x:c>
      <x:c r="C96" s="11" t="n">
        <x:f>IF(ISNUMBER(SEARCH("jmdict_uncommon_or_irregular",'제외 후보'!P96)),'선정 규칙'!$B$5,IF(ISNUMBER(SEARCH("jmdict_rare_or_dated",'제외 후보'!P96)),'선정 규칙'!$B$6,0))</x:f>
        <x:v>0</x:v>
      </x:c>
      <x:c r="D96" s="11" t="n">
        <x:f>IF(ISNUMBER(SEARCH("jmdict_exact_pair_not_found",'제외 후보'!P96)),'선정 규칙'!$B$7,0)</x:f>
        <x:v>35</x:v>
      </x:c>
      <x:c r="E96" s="11" t="n">
        <x:f>IF(OR('제외 후보'!L96="",'제외 후보'!L96&lt;=0),'선정 규칙'!$B$8,IF('제외 후보'!L96&lt;=1.5,'선정 규칙'!$B$9,IF('제외 후보'!L96&lt;=2,'선정 규칙'!$B$10,IF('제외 후보'!L96&lt;=2.5,'선정 규칙'!$B$11,IF('제외 후보'!L96&lt;=3,'선정 규칙'!$B$12,IF('제외 후보'!L96&lt;=3.5,'선정 규칙'!$B$13,IF('제외 후보'!L96&gt;=4.5,'선정 규칙'!$B$14,0)))))))</x:f>
        <x:v>0</x:v>
      </x:c>
      <x:c r="F96" s="11" t="n">
        <x:f>IF('제외 후보'!Y96=0,'선정 규칙'!$B$15,IF('제외 후보'!Y96&gt;=100,'선정 규칙'!$B$16,'선정 규칙'!$B$17))</x:f>
        <x:v>12</x:v>
      </x:c>
      <x:c r="G96" s="11" t="n">
        <x:f>IF('제외 후보'!M96="있음",'선정 규칙'!$B$18,'선정 규칙'!$B$19)</x:f>
        <x:v>6</x:v>
      </x:c>
      <x:c r="H96" s="11" t="n">
        <x:f>IF(ISNUMBER(SEARCH("freq-core",'제외 후보'!AD96)),'선정 규칙'!$B$20,0)</x:f>
        <x:v>0</x:v>
      </x:c>
      <x:c r="I96" s="11" t="n">
        <x:f>IF(ISNUMBER(SEARCH("weak_legacy_content",'제외 후보'!P96)),'선정 규칙'!$B$21,0)</x:f>
        <x:v>5</x:v>
      </x:c>
      <x:c r="J96" s="11" t="n">
        <x:f>IF('제외 후보'!AC96&lt;&gt;"",'선정 규칙'!$B$22,0)</x:f>
        <x:v>0</x:v>
      </x:c>
      <x:c r="K96" s="11" t="n">
        <x:f>SUM(B96:J96)</x:f>
        <x:v>58</x:v>
      </x:c>
      <x:c r="L96" s="11" t="n">
        <x:f>'제외 후보'!N96</x:f>
        <x:v>58</x:v>
      </x:c>
      <x:c r="M96" s="2" t="str">
        <x:f>IF(K96=L96,"OK","MISMATCH")</x:f>
        <x:v>OK</x:v>
      </x:c>
    </x:row>
    <x:row r="97">
      <x:c r="A97" s="2" t="str">
        <x:f>'제외 후보'!G97</x:f>
        <x:v>w_746dea1164df5223</x:v>
      </x:c>
      <x:c r="B97" s="11" t="n">
        <x:f>IF('제외 후보'!Q97&lt;&gt;"",'선정 규칙'!$B$4,0)</x:f>
        <x:v>0</x:v>
      </x:c>
      <x:c r="C97" s="11" t="n">
        <x:f>IF(ISNUMBER(SEARCH("jmdict_uncommon_or_irregular",'제외 후보'!P97)),'선정 규칙'!$B$5,IF(ISNUMBER(SEARCH("jmdict_rare_or_dated",'제외 후보'!P97)),'선정 규칙'!$B$6,0))</x:f>
        <x:v>0</x:v>
      </x:c>
      <x:c r="D97" s="11" t="n">
        <x:f>IF(ISNUMBER(SEARCH("jmdict_exact_pair_not_found",'제외 후보'!P97)),'선정 규칙'!$B$7,0)</x:f>
        <x:v>35</x:v>
      </x:c>
      <x:c r="E97" s="11" t="n">
        <x:f>IF(OR('제외 후보'!L97="",'제외 후보'!L97&lt;=0),'선정 규칙'!$B$8,IF('제외 후보'!L97&lt;=1.5,'선정 규칙'!$B$9,IF('제외 후보'!L97&lt;=2,'선정 규칙'!$B$10,IF('제외 후보'!L97&lt;=2.5,'선정 규칙'!$B$11,IF('제외 후보'!L97&lt;=3,'선정 규칙'!$B$12,IF('제외 후보'!L97&lt;=3.5,'선정 규칙'!$B$13,IF('제외 후보'!L97&gt;=4.5,'선정 규칙'!$B$14,0)))))))</x:f>
        <x:v>0</x:v>
      </x:c>
      <x:c r="F97" s="11" t="n">
        <x:f>IF('제외 후보'!Y97=0,'선정 규칙'!$B$15,IF('제외 후보'!Y97&gt;=100,'선정 규칙'!$B$16,'선정 규칙'!$B$17))</x:f>
        <x:v>12</x:v>
      </x:c>
      <x:c r="G97" s="11" t="n">
        <x:f>IF('제외 후보'!M97="있음",'선정 규칙'!$B$18,'선정 규칙'!$B$19)</x:f>
        <x:v>6</x:v>
      </x:c>
      <x:c r="H97" s="11" t="n">
        <x:f>IF(ISNUMBER(SEARCH("freq-core",'제외 후보'!AD97)),'선정 규칙'!$B$20,0)</x:f>
        <x:v>0</x:v>
      </x:c>
      <x:c r="I97" s="11" t="n">
        <x:f>IF(ISNUMBER(SEARCH("weak_legacy_content",'제외 후보'!P97)),'선정 규칙'!$B$21,0)</x:f>
        <x:v>5</x:v>
      </x:c>
      <x:c r="J97" s="11" t="n">
        <x:f>IF('제외 후보'!AC97&lt;&gt;"",'선정 규칙'!$B$22,0)</x:f>
        <x:v>0</x:v>
      </x:c>
      <x:c r="K97" s="11" t="n">
        <x:f>SUM(B97:J97)</x:f>
        <x:v>58</x:v>
      </x:c>
      <x:c r="L97" s="11" t="n">
        <x:f>'제외 후보'!N97</x:f>
        <x:v>58</x:v>
      </x:c>
      <x:c r="M97" s="2" t="str">
        <x:f>IF(K97=L97,"OK","MISMATCH")</x:f>
        <x:v>OK</x:v>
      </x:c>
    </x:row>
    <x:row r="98">
      <x:c r="A98" s="2" t="str">
        <x:f>'제외 후보'!G98</x:f>
        <x:v>w_b4b96b4a77863ca5</x:v>
      </x:c>
      <x:c r="B98" s="11" t="n">
        <x:f>IF('제외 후보'!Q98&lt;&gt;"",'선정 규칙'!$B$4,0)</x:f>
        <x:v>0</x:v>
      </x:c>
      <x:c r="C98" s="11" t="n">
        <x:f>IF(ISNUMBER(SEARCH("jmdict_uncommon_or_irregular",'제외 후보'!P98)),'선정 규칙'!$B$5,IF(ISNUMBER(SEARCH("jmdict_rare_or_dated",'제외 후보'!P98)),'선정 규칙'!$B$6,0))</x:f>
        <x:v>0</x:v>
      </x:c>
      <x:c r="D98" s="11" t="n">
        <x:f>IF(ISNUMBER(SEARCH("jmdict_exact_pair_not_found",'제외 후보'!P98)),'선정 규칙'!$B$7,0)</x:f>
        <x:v>35</x:v>
      </x:c>
      <x:c r="E98" s="11" t="n">
        <x:f>IF(OR('제외 후보'!L98="",'제외 후보'!L98&lt;=0),'선정 규칙'!$B$8,IF('제외 후보'!L98&lt;=1.5,'선정 규칙'!$B$9,IF('제외 후보'!L98&lt;=2,'선정 규칙'!$B$10,IF('제외 후보'!L98&lt;=2.5,'선정 규칙'!$B$11,IF('제외 후보'!L98&lt;=3,'선정 규칙'!$B$12,IF('제외 후보'!L98&lt;=3.5,'선정 규칙'!$B$13,IF('제외 후보'!L98&gt;=4.5,'선정 규칙'!$B$14,0)))))))</x:f>
        <x:v>0</x:v>
      </x:c>
      <x:c r="F98" s="11" t="n">
        <x:f>IF('제외 후보'!Y98=0,'선정 규칙'!$B$15,IF('제외 후보'!Y98&gt;=100,'선정 규칙'!$B$16,'선정 규칙'!$B$17))</x:f>
        <x:v>12</x:v>
      </x:c>
      <x:c r="G98" s="11" t="n">
        <x:f>IF('제외 후보'!M98="있음",'선정 규칙'!$B$18,'선정 규칙'!$B$19)</x:f>
        <x:v>6</x:v>
      </x:c>
      <x:c r="H98" s="11" t="n">
        <x:f>IF(ISNUMBER(SEARCH("freq-core",'제외 후보'!AD98)),'선정 규칙'!$B$20,0)</x:f>
        <x:v>0</x:v>
      </x:c>
      <x:c r="I98" s="11" t="n">
        <x:f>IF(ISNUMBER(SEARCH("weak_legacy_content",'제외 후보'!P98)),'선정 규칙'!$B$21,0)</x:f>
        <x:v>5</x:v>
      </x:c>
      <x:c r="J98" s="11" t="n">
        <x:f>IF('제외 후보'!AC98&lt;&gt;"",'선정 규칙'!$B$22,0)</x:f>
        <x:v>0</x:v>
      </x:c>
      <x:c r="K98" s="11" t="n">
        <x:f>SUM(B98:J98)</x:f>
        <x:v>58</x:v>
      </x:c>
      <x:c r="L98" s="11" t="n">
        <x:f>'제외 후보'!N98</x:f>
        <x:v>58</x:v>
      </x:c>
      <x:c r="M98" s="2" t="str">
        <x:f>IF(K98=L98,"OK","MISMATCH")</x:f>
        <x:v>OK</x:v>
      </x:c>
    </x:row>
    <x:row r="99">
      <x:c r="A99" s="2" t="str">
        <x:f>'제외 후보'!G99</x:f>
        <x:v>w_21ffbc4bc128572e</x:v>
      </x:c>
      <x:c r="B99" s="11" t="n">
        <x:f>IF('제외 후보'!Q99&lt;&gt;"",'선정 규칙'!$B$4,0)</x:f>
        <x:v>0</x:v>
      </x:c>
      <x:c r="C99" s="11" t="n">
        <x:f>IF(ISNUMBER(SEARCH("jmdict_uncommon_or_irregular",'제외 후보'!P99)),'선정 규칙'!$B$5,IF(ISNUMBER(SEARCH("jmdict_rare_or_dated",'제외 후보'!P99)),'선정 규칙'!$B$6,0))</x:f>
        <x:v>50</x:v>
      </x:c>
      <x:c r="D99" s="11" t="n">
        <x:f>IF(ISNUMBER(SEARCH("jmdict_exact_pair_not_found",'제외 후보'!P99)),'선정 규칙'!$B$7,0)</x:f>
        <x:v>0</x:v>
      </x:c>
      <x:c r="E99" s="11" t="n">
        <x:f>IF(OR('제외 후보'!L99="",'제외 후보'!L99&lt;=0),'선정 규칙'!$B$8,IF('제외 후보'!L99&lt;=1.5,'선정 규칙'!$B$9,IF('제외 후보'!L99&lt;=2,'선정 규칙'!$B$10,IF('제외 후보'!L99&lt;=2.5,'선정 규칙'!$B$11,IF('제외 후보'!L99&lt;=3,'선정 규칙'!$B$12,IF('제외 후보'!L99&lt;=3.5,'선정 규칙'!$B$13,IF('제외 후보'!L99&gt;=4.5,'선정 규칙'!$B$14,0)))))))</x:f>
        <x:v>26</x:v>
      </x:c>
      <x:c r="F99" s="11" t="n">
        <x:f>IF('제외 후보'!Y99=0,'선정 규칙'!$B$15,IF('제외 후보'!Y99&gt;=100,'선정 규칙'!$B$16,'선정 규칙'!$B$17))</x:f>
        <x:v>-25</x:v>
      </x:c>
      <x:c r="G99" s="11" t="n">
        <x:f>IF('제외 후보'!M99="있음",'선정 규칙'!$B$18,'선정 규칙'!$B$19)</x:f>
        <x:v>6</x:v>
      </x:c>
      <x:c r="H99" s="11" t="n">
        <x:f>IF(ISNUMBER(SEARCH("freq-core",'제외 후보'!AD99)),'선정 규칙'!$B$20,0)</x:f>
        <x:v>0</x:v>
      </x:c>
      <x:c r="I99" s="11" t="n">
        <x:f>IF(ISNUMBER(SEARCH("weak_legacy_content",'제외 후보'!P99)),'선정 규칙'!$B$21,0)</x:f>
        <x:v>0</x:v>
      </x:c>
      <x:c r="J99" s="11" t="n">
        <x:f>IF('제외 후보'!AC99&lt;&gt;"",'선정 규칙'!$B$22,0)</x:f>
        <x:v>0</x:v>
      </x:c>
      <x:c r="K99" s="11" t="n">
        <x:f>SUM(B99:J99)</x:f>
        <x:v>57</x:v>
      </x:c>
      <x:c r="L99" s="11" t="n">
        <x:f>'제외 후보'!N99</x:f>
        <x:v>57</x:v>
      </x:c>
      <x:c r="M99" s="2" t="str">
        <x:f>IF(K99=L99,"OK","MISMATCH")</x:f>
        <x:v>OK</x:v>
      </x:c>
    </x:row>
    <x:row r="100">
      <x:c r="A100" s="2" t="str">
        <x:f>'제외 후보'!G100</x:f>
        <x:v>w_a0a47c96cc66d963</x:v>
      </x:c>
      <x:c r="B100" s="11" t="n">
        <x:f>IF('제외 후보'!Q100&lt;&gt;"",'선정 규칙'!$B$4,0)</x:f>
        <x:v>0</x:v>
      </x:c>
      <x:c r="C100" s="11" t="n">
        <x:f>IF(ISNUMBER(SEARCH("jmdict_uncommon_or_irregular",'제외 후보'!P100)),'선정 규칙'!$B$5,IF(ISNUMBER(SEARCH("jmdict_rare_or_dated",'제외 후보'!P100)),'선정 규칙'!$B$6,0))</x:f>
        <x:v>50</x:v>
      </x:c>
      <x:c r="D100" s="11" t="n">
        <x:f>IF(ISNUMBER(SEARCH("jmdict_exact_pair_not_found",'제외 후보'!P100)),'선정 규칙'!$B$7,0)</x:f>
        <x:v>0</x:v>
      </x:c>
      <x:c r="E100" s="11" t="n">
        <x:f>IF(OR('제외 후보'!L100="",'제외 후보'!L100&lt;=0),'선정 규칙'!$B$8,IF('제외 후보'!L100&lt;=1.5,'선정 규칙'!$B$9,IF('제외 후보'!L100&lt;=2,'선정 규칙'!$B$10,IF('제외 후보'!L100&lt;=2.5,'선정 규칙'!$B$11,IF('제외 후보'!L100&lt;=3,'선정 규칙'!$B$12,IF('제외 후보'!L100&lt;=3.5,'선정 규칙'!$B$13,IF('제외 후보'!L100&gt;=4.5,'선정 규칙'!$B$14,0)))))))</x:f>
        <x:v>26</x:v>
      </x:c>
      <x:c r="F100" s="11" t="n">
        <x:f>IF('제외 후보'!Y100=0,'선정 규칙'!$B$15,IF('제외 후보'!Y100&gt;=100,'선정 규칙'!$B$16,'선정 규칙'!$B$17))</x:f>
        <x:v>-25</x:v>
      </x:c>
      <x:c r="G100" s="11" t="n">
        <x:f>IF('제외 후보'!M100="있음",'선정 규칙'!$B$18,'선정 규칙'!$B$19)</x:f>
        <x:v>6</x:v>
      </x:c>
      <x:c r="H100" s="11" t="n">
        <x:f>IF(ISNUMBER(SEARCH("freq-core",'제외 후보'!AD100)),'선정 규칙'!$B$20,0)</x:f>
        <x:v>0</x:v>
      </x:c>
      <x:c r="I100" s="11" t="n">
        <x:f>IF(ISNUMBER(SEARCH("weak_legacy_content",'제외 후보'!P100)),'선정 규칙'!$B$21,0)</x:f>
        <x:v>0</x:v>
      </x:c>
      <x:c r="J100" s="11" t="n">
        <x:f>IF('제외 후보'!AC100&lt;&gt;"",'선정 규칙'!$B$22,0)</x:f>
        <x:v>0</x:v>
      </x:c>
      <x:c r="K100" s="11" t="n">
        <x:f>SUM(B100:J100)</x:f>
        <x:v>57</x:v>
      </x:c>
      <x:c r="L100" s="11" t="n">
        <x:f>'제외 후보'!N100</x:f>
        <x:v>57</x:v>
      </x:c>
      <x:c r="M100" s="2" t="str">
        <x:f>IF(K100=L100,"OK","MISMATCH")</x:f>
        <x:v>OK</x:v>
      </x:c>
    </x:row>
    <x:row r="101">
      <x:c r="A101" s="2" t="str">
        <x:f>'제외 후보'!G101</x:f>
        <x:v>w_c6fba2d66bc68748</x:v>
      </x:c>
      <x:c r="B101" s="11" t="n">
        <x:f>IF('제외 후보'!Q101&lt;&gt;"",'선정 규칙'!$B$4,0)</x:f>
        <x:v>0</x:v>
      </x:c>
      <x:c r="C101" s="11" t="n">
        <x:f>IF(ISNUMBER(SEARCH("jmdict_uncommon_or_irregular",'제외 후보'!P101)),'선정 규칙'!$B$5,IF(ISNUMBER(SEARCH("jmdict_rare_or_dated",'제외 후보'!P101)),'선정 규칙'!$B$6,0))</x:f>
        <x:v>50</x:v>
      </x:c>
      <x:c r="D101" s="11" t="n">
        <x:f>IF(ISNUMBER(SEARCH("jmdict_exact_pair_not_found",'제외 후보'!P101)),'선정 규칙'!$B$7,0)</x:f>
        <x:v>0</x:v>
      </x:c>
      <x:c r="E101" s="11" t="n">
        <x:f>IF(OR('제외 후보'!L101="",'제외 후보'!L101&lt;=0),'선정 규칙'!$B$8,IF('제외 후보'!L101&lt;=1.5,'선정 규칙'!$B$9,IF('제외 후보'!L101&lt;=2,'선정 규칙'!$B$10,IF('제외 후보'!L101&lt;=2.5,'선정 규칙'!$B$11,IF('제외 후보'!L101&lt;=3,'선정 규칙'!$B$12,IF('제외 후보'!L101&lt;=3.5,'선정 규칙'!$B$13,IF('제외 후보'!L101&gt;=4.5,'선정 규칙'!$B$14,0)))))))</x:f>
        <x:v>26</x:v>
      </x:c>
      <x:c r="F101" s="11" t="n">
        <x:f>IF('제외 후보'!Y101=0,'선정 규칙'!$B$15,IF('제외 후보'!Y101&gt;=100,'선정 규칙'!$B$16,'선정 규칙'!$B$17))</x:f>
        <x:v>-25</x:v>
      </x:c>
      <x:c r="G101" s="11" t="n">
        <x:f>IF('제외 후보'!M101="있음",'선정 규칙'!$B$18,'선정 규칙'!$B$19)</x:f>
        <x:v>6</x:v>
      </x:c>
      <x:c r="H101" s="11" t="n">
        <x:f>IF(ISNUMBER(SEARCH("freq-core",'제외 후보'!AD101)),'선정 규칙'!$B$20,0)</x:f>
        <x:v>0</x:v>
      </x:c>
      <x:c r="I101" s="11" t="n">
        <x:f>IF(ISNUMBER(SEARCH("weak_legacy_content",'제외 후보'!P101)),'선정 규칙'!$B$21,0)</x:f>
        <x:v>0</x:v>
      </x:c>
      <x:c r="J101" s="11" t="n">
        <x:f>IF('제외 후보'!AC101&lt;&gt;"",'선정 규칙'!$B$22,0)</x:f>
        <x:v>0</x:v>
      </x:c>
      <x:c r="K101" s="11" t="n">
        <x:f>SUM(B101:J101)</x:f>
        <x:v>57</x:v>
      </x:c>
      <x:c r="L101" s="11" t="n">
        <x:f>'제외 후보'!N101</x:f>
        <x:v>57</x:v>
      </x:c>
      <x:c r="M101" s="2" t="str">
        <x:f>IF(K101=L101,"OK","MISMATCH")</x:f>
        <x:v>OK</x:v>
      </x:c>
    </x:row>
    <x:row r="102">
      <x:c r="A102" s="2" t="str">
        <x:f>'제외 후보'!G102</x:f>
        <x:v>w_5be62d71deeeebf2</x:v>
      </x:c>
      <x:c r="B102" s="11" t="n">
        <x:f>IF('제외 후보'!Q102&lt;&gt;"",'선정 규칙'!$B$4,0)</x:f>
        <x:v>60</x:v>
      </x:c>
      <x:c r="C102" s="11" t="n">
        <x:f>IF(ISNUMBER(SEARCH("jmdict_uncommon_or_irregular",'제외 후보'!P102)),'선정 규칙'!$B$5,IF(ISNUMBER(SEARCH("jmdict_rare_or_dated",'제외 후보'!P102)),'선정 규칙'!$B$6,0))</x:f>
        <x:v>0</x:v>
      </x:c>
      <x:c r="D102" s="11" t="n">
        <x:f>IF(ISNUMBER(SEARCH("jmdict_exact_pair_not_found",'제외 후보'!P102)),'선정 규칙'!$B$7,0)</x:f>
        <x:v>0</x:v>
      </x:c>
      <x:c r="E102" s="11" t="n">
        <x:f>IF(OR('제외 후보'!L102="",'제외 후보'!L102&lt;=0),'선정 규칙'!$B$8,IF('제외 후보'!L102&lt;=1.5,'선정 규칙'!$B$9,IF('제외 후보'!L102&lt;=2,'선정 규칙'!$B$10,IF('제외 후보'!L102&lt;=2.5,'선정 규칙'!$B$11,IF('제외 후보'!L102&lt;=3,'선정 규칙'!$B$12,IF('제외 후보'!L102&lt;=3.5,'선정 규칙'!$B$13,IF('제외 후보'!L102&gt;=4.5,'선정 규칙'!$B$14,0)))))))</x:f>
        <x:v>0</x:v>
      </x:c>
      <x:c r="F102" s="11" t="n">
        <x:f>IF('제외 후보'!Y102=0,'선정 규칙'!$B$15,IF('제외 후보'!Y102&gt;=100,'선정 규칙'!$B$16,'선정 규칙'!$B$17))</x:f>
        <x:v>-25</x:v>
      </x:c>
      <x:c r="G102" s="11" t="n">
        <x:f>IF('제외 후보'!M102="있음",'선정 규칙'!$B$18,'선정 규칙'!$B$19)</x:f>
        <x:v>6</x:v>
      </x:c>
      <x:c r="H102" s="11" t="n">
        <x:f>IF(ISNUMBER(SEARCH("freq-core",'제외 후보'!AD102)),'선정 규칙'!$B$20,0)</x:f>
        <x:v>0</x:v>
      </x:c>
      <x:c r="I102" s="11" t="n">
        <x:f>IF(ISNUMBER(SEARCH("weak_legacy_content",'제외 후보'!P102)),'선정 규칙'!$B$21,0)</x:f>
        <x:v>5</x:v>
      </x:c>
      <x:c r="J102" s="11" t="n">
        <x:f>IF('제외 후보'!AC102&lt;&gt;"",'선정 규칙'!$B$22,0)</x:f>
        <x:v>10</x:v>
      </x:c>
      <x:c r="K102" s="11" t="n">
        <x:f>SUM(B102:J102)</x:f>
        <x:v>56</x:v>
      </x:c>
      <x:c r="L102" s="11" t="n">
        <x:f>'제외 후보'!N102</x:f>
        <x:v>56</x:v>
      </x:c>
      <x:c r="M102" s="2" t="str">
        <x:f>IF(K102=L102,"OK","MISMATCH")</x:f>
        <x:v>OK</x:v>
      </x:c>
    </x:row>
    <x:row r="103">
      <x:c r="A103" s="2" t="str">
        <x:f>'제외 후보'!G103</x:f>
        <x:v>w_a607d0d4b4d7b1a2</x:v>
      </x:c>
      <x:c r="B103" s="11" t="n">
        <x:f>IF('제외 후보'!Q103&lt;&gt;"",'선정 규칙'!$B$4,0)</x:f>
        <x:v>60</x:v>
      </x:c>
      <x:c r="C103" s="11" t="n">
        <x:f>IF(ISNUMBER(SEARCH("jmdict_uncommon_or_irregular",'제외 후보'!P103)),'선정 규칙'!$B$5,IF(ISNUMBER(SEARCH("jmdict_rare_or_dated",'제외 후보'!P103)),'선정 규칙'!$B$6,0))</x:f>
        <x:v>0</x:v>
      </x:c>
      <x:c r="D103" s="11" t="n">
        <x:f>IF(ISNUMBER(SEARCH("jmdict_exact_pair_not_found",'제외 후보'!P103)),'선정 규칙'!$B$7,0)</x:f>
        <x:v>0</x:v>
      </x:c>
      <x:c r="E103" s="11" t="n">
        <x:f>IF(OR('제외 후보'!L103="",'제외 후보'!L103&lt;=0),'선정 규칙'!$B$8,IF('제외 후보'!L103&lt;=1.5,'선정 규칙'!$B$9,IF('제외 후보'!L103&lt;=2,'선정 규칙'!$B$10,IF('제외 후보'!L103&lt;=2.5,'선정 규칙'!$B$11,IF('제외 후보'!L103&lt;=3,'선정 규칙'!$B$12,IF('제외 후보'!L103&lt;=3.5,'선정 규칙'!$B$13,IF('제외 후보'!L103&gt;=4.5,'선정 규칙'!$B$14,0)))))))</x:f>
        <x:v>0</x:v>
      </x:c>
      <x:c r="F103" s="11" t="n">
        <x:f>IF('제외 후보'!Y103=0,'선정 규칙'!$B$15,IF('제외 후보'!Y103&gt;=100,'선정 규칙'!$B$16,'선정 규칙'!$B$17))</x:f>
        <x:v>-25</x:v>
      </x:c>
      <x:c r="G103" s="11" t="n">
        <x:f>IF('제외 후보'!M103="있음",'선정 규칙'!$B$18,'선정 규칙'!$B$19)</x:f>
        <x:v>6</x:v>
      </x:c>
      <x:c r="H103" s="11" t="n">
        <x:f>IF(ISNUMBER(SEARCH("freq-core",'제외 후보'!AD103)),'선정 규칙'!$B$20,0)</x:f>
        <x:v>0</x:v>
      </x:c>
      <x:c r="I103" s="11" t="n">
        <x:f>IF(ISNUMBER(SEARCH("weak_legacy_content",'제외 후보'!P103)),'선정 규칙'!$B$21,0)</x:f>
        <x:v>5</x:v>
      </x:c>
      <x:c r="J103" s="11" t="n">
        <x:f>IF('제외 후보'!AC103&lt;&gt;"",'선정 규칙'!$B$22,0)</x:f>
        <x:v>10</x:v>
      </x:c>
      <x:c r="K103" s="11" t="n">
        <x:f>SUM(B103:J103)</x:f>
        <x:v>56</x:v>
      </x:c>
      <x:c r="L103" s="11" t="n">
        <x:f>'제외 후보'!N103</x:f>
        <x:v>56</x:v>
      </x:c>
      <x:c r="M103" s="2" t="str">
        <x:f>IF(K103=L103,"OK","MISMATCH")</x:f>
        <x:v>OK</x:v>
      </x:c>
    </x:row>
    <x:row r="104">
      <x:c r="A104" s="2" t="str">
        <x:f>'제외 후보'!G104</x:f>
        <x:v>w_51b95d78d41ec7ac</x:v>
      </x:c>
      <x:c r="B104" s="11" t="n">
        <x:f>IF('제외 후보'!Q104&lt;&gt;"",'선정 규칙'!$B$4,0)</x:f>
        <x:v>60</x:v>
      </x:c>
      <x:c r="C104" s="11" t="n">
        <x:f>IF(ISNUMBER(SEARCH("jmdict_uncommon_or_irregular",'제외 후보'!P104)),'선정 규칙'!$B$5,IF(ISNUMBER(SEARCH("jmdict_rare_or_dated",'제외 후보'!P104)),'선정 규칙'!$B$6,0))</x:f>
        <x:v>0</x:v>
      </x:c>
      <x:c r="D104" s="11" t="n">
        <x:f>IF(ISNUMBER(SEARCH("jmdict_exact_pair_not_found",'제외 후보'!P104)),'선정 규칙'!$B$7,0)</x:f>
        <x:v>0</x:v>
      </x:c>
      <x:c r="E104" s="11" t="n">
        <x:f>IF(OR('제외 후보'!L104="",'제외 후보'!L104&lt;=0),'선정 규칙'!$B$8,IF('제외 후보'!L104&lt;=1.5,'선정 규칙'!$B$9,IF('제외 후보'!L104&lt;=2,'선정 규칙'!$B$10,IF('제외 후보'!L104&lt;=2.5,'선정 규칙'!$B$11,IF('제외 후보'!L104&lt;=3,'선정 규칙'!$B$12,IF('제외 후보'!L104&lt;=3.5,'선정 규칙'!$B$13,IF('제외 후보'!L104&gt;=4.5,'선정 규칙'!$B$14,0)))))))</x:f>
        <x:v>0</x:v>
      </x:c>
      <x:c r="F104" s="11" t="n">
        <x:f>IF('제외 후보'!Y104=0,'선정 규칙'!$B$15,IF('제외 후보'!Y104&gt;=100,'선정 규칙'!$B$16,'선정 규칙'!$B$17))</x:f>
        <x:v>-25</x:v>
      </x:c>
      <x:c r="G104" s="11" t="n">
        <x:f>IF('제외 후보'!M104="있음",'선정 규칙'!$B$18,'선정 규칙'!$B$19)</x:f>
        <x:v>6</x:v>
      </x:c>
      <x:c r="H104" s="11" t="n">
        <x:f>IF(ISNUMBER(SEARCH("freq-core",'제외 후보'!AD104)),'선정 규칙'!$B$20,0)</x:f>
        <x:v>0</x:v>
      </x:c>
      <x:c r="I104" s="11" t="n">
        <x:f>IF(ISNUMBER(SEARCH("weak_legacy_content",'제외 후보'!P104)),'선정 규칙'!$B$21,0)</x:f>
        <x:v>5</x:v>
      </x:c>
      <x:c r="J104" s="11" t="n">
        <x:f>IF('제외 후보'!AC104&lt;&gt;"",'선정 규칙'!$B$22,0)</x:f>
        <x:v>10</x:v>
      </x:c>
      <x:c r="K104" s="11" t="n">
        <x:f>SUM(B104:J104)</x:f>
        <x:v>56</x:v>
      </x:c>
      <x:c r="L104" s="11" t="n">
        <x:f>'제외 후보'!N104</x:f>
        <x:v>56</x:v>
      </x:c>
      <x:c r="M104" s="2" t="str">
        <x:f>IF(K104=L104,"OK","MISMATCH")</x:f>
        <x:v>OK</x:v>
      </x:c>
    </x:row>
    <x:row r="105">
      <x:c r="A105" s="2" t="str">
        <x:f>'제외 후보'!G105</x:f>
        <x:v>w_b971f5fb52c159d9</x:v>
      </x:c>
      <x:c r="B105" s="11" t="n">
        <x:f>IF('제외 후보'!Q105&lt;&gt;"",'선정 규칙'!$B$4,0)</x:f>
        <x:v>60</x:v>
      </x:c>
      <x:c r="C105" s="11" t="n">
        <x:f>IF(ISNUMBER(SEARCH("jmdict_uncommon_or_irregular",'제외 후보'!P105)),'선정 규칙'!$B$5,IF(ISNUMBER(SEARCH("jmdict_rare_or_dated",'제외 후보'!P105)),'선정 규칙'!$B$6,0))</x:f>
        <x:v>0</x:v>
      </x:c>
      <x:c r="D105" s="11" t="n">
        <x:f>IF(ISNUMBER(SEARCH("jmdict_exact_pair_not_found",'제외 후보'!P105)),'선정 규칙'!$B$7,0)</x:f>
        <x:v>0</x:v>
      </x:c>
      <x:c r="E105" s="11" t="n">
        <x:f>IF(OR('제외 후보'!L105="",'제외 후보'!L105&lt;=0),'선정 규칙'!$B$8,IF('제외 후보'!L105&lt;=1.5,'선정 규칙'!$B$9,IF('제외 후보'!L105&lt;=2,'선정 규칙'!$B$10,IF('제외 후보'!L105&lt;=2.5,'선정 규칙'!$B$11,IF('제외 후보'!L105&lt;=3,'선정 규칙'!$B$12,IF('제외 후보'!L105&lt;=3.5,'선정 규칙'!$B$13,IF('제외 후보'!L105&gt;=4.5,'선정 규칙'!$B$14,0)))))))</x:f>
        <x:v>0</x:v>
      </x:c>
      <x:c r="F105" s="11" t="n">
        <x:f>IF('제외 후보'!Y105=0,'선정 규칙'!$B$15,IF('제외 후보'!Y105&gt;=100,'선정 규칙'!$B$16,'선정 규칙'!$B$17))</x:f>
        <x:v>-25</x:v>
      </x:c>
      <x:c r="G105" s="11" t="n">
        <x:f>IF('제외 후보'!M105="있음",'선정 규칙'!$B$18,'선정 규칙'!$B$19)</x:f>
        <x:v>6</x:v>
      </x:c>
      <x:c r="H105" s="11" t="n">
        <x:f>IF(ISNUMBER(SEARCH("freq-core",'제외 후보'!AD105)),'선정 규칙'!$B$20,0)</x:f>
        <x:v>0</x:v>
      </x:c>
      <x:c r="I105" s="11" t="n">
        <x:f>IF(ISNUMBER(SEARCH("weak_legacy_content",'제외 후보'!P105)),'선정 규칙'!$B$21,0)</x:f>
        <x:v>5</x:v>
      </x:c>
      <x:c r="J105" s="11" t="n">
        <x:f>IF('제외 후보'!AC105&lt;&gt;"",'선정 규칙'!$B$22,0)</x:f>
        <x:v>10</x:v>
      </x:c>
      <x:c r="K105" s="11" t="n">
        <x:f>SUM(B105:J105)</x:f>
        <x:v>56</x:v>
      </x:c>
      <x:c r="L105" s="11" t="n">
        <x:f>'제외 후보'!N105</x:f>
        <x:v>56</x:v>
      </x:c>
      <x:c r="M105" s="2" t="str">
        <x:f>IF(K105=L105,"OK","MISMATCH")</x:f>
        <x:v>OK</x:v>
      </x:c>
    </x:row>
    <x:row r="106">
      <x:c r="A106" s="2" t="str">
        <x:f>'제외 후보'!G106</x:f>
        <x:v>w_a424e854ab59be73</x:v>
      </x:c>
      <x:c r="B106" s="11" t="n">
        <x:f>IF('제외 후보'!Q106&lt;&gt;"",'선정 규칙'!$B$4,0)</x:f>
        <x:v>0</x:v>
      </x:c>
      <x:c r="C106" s="11" t="n">
        <x:f>IF(ISNUMBER(SEARCH("jmdict_uncommon_or_irregular",'제외 후보'!P106)),'선정 규칙'!$B$5,IF(ISNUMBER(SEARCH("jmdict_rare_or_dated",'제외 후보'!P106)),'선정 규칙'!$B$6,0))</x:f>
        <x:v>0</x:v>
      </x:c>
      <x:c r="D106" s="11" t="n">
        <x:f>IF(ISNUMBER(SEARCH("jmdict_exact_pair_not_found",'제외 후보'!P106)),'선정 규칙'!$B$7,0)</x:f>
        <x:v>0</x:v>
      </x:c>
      <x:c r="E106" s="11" t="n">
        <x:f>IF(OR('제외 후보'!L106="",'제외 후보'!L106&lt;=0),'선정 규칙'!$B$8,IF('제외 후보'!L106&lt;=1.5,'선정 규칙'!$B$9,IF('제외 후보'!L106&lt;=2,'선정 규칙'!$B$10,IF('제외 후보'!L106&lt;=2.5,'선정 규칙'!$B$11,IF('제외 후보'!L106&lt;=3,'선정 규칙'!$B$12,IF('제외 후보'!L106&lt;=3.5,'선정 규칙'!$B$13,IF('제외 후보'!L106&gt;=4.5,'선정 규칙'!$B$14,0)))))))</x:f>
        <x:v>32</x:v>
      </x:c>
      <x:c r="F106" s="11" t="n">
        <x:f>IF('제외 후보'!Y106=0,'선정 규칙'!$B$15,IF('제외 후보'!Y106&gt;=100,'선정 규칙'!$B$16,'선정 규칙'!$B$17))</x:f>
        <x:v>12</x:v>
      </x:c>
      <x:c r="G106" s="11" t="n">
        <x:f>IF('제외 후보'!M106="있음",'선정 규칙'!$B$18,'선정 규칙'!$B$19)</x:f>
        <x:v>6</x:v>
      </x:c>
      <x:c r="H106" s="11" t="n">
        <x:f>IF(ISNUMBER(SEARCH("freq-core",'제외 후보'!AD106)),'선정 규칙'!$B$20,0)</x:f>
        <x:v>0</x:v>
      </x:c>
      <x:c r="I106" s="11" t="n">
        <x:f>IF(ISNUMBER(SEARCH("weak_legacy_content",'제외 후보'!P106)),'선정 규칙'!$B$21,0)</x:f>
        <x:v>5</x:v>
      </x:c>
      <x:c r="J106" s="11" t="n">
        <x:f>IF('제외 후보'!AC106&lt;&gt;"",'선정 규칙'!$B$22,0)</x:f>
        <x:v>0</x:v>
      </x:c>
      <x:c r="K106" s="11" t="n">
        <x:f>SUM(B106:J106)</x:f>
        <x:v>55</x:v>
      </x:c>
      <x:c r="L106" s="11" t="n">
        <x:f>'제외 후보'!N106</x:f>
        <x:v>55</x:v>
      </x:c>
      <x:c r="M106" s="2" t="str">
        <x:f>IF(K106=L106,"OK","MISMATCH")</x:f>
        <x:v>OK</x:v>
      </x:c>
    </x:row>
    <x:row r="107">
      <x:c r="A107" s="2" t="str">
        <x:f>'제외 후보'!G107</x:f>
        <x:v>w_8bff216fb55cb6ad</x:v>
      </x:c>
      <x:c r="B107" s="11" t="n">
        <x:f>IF('제외 후보'!Q107&lt;&gt;"",'선정 규칙'!$B$4,0)</x:f>
        <x:v>0</x:v>
      </x:c>
      <x:c r="C107" s="11" t="n">
        <x:f>IF(ISNUMBER(SEARCH("jmdict_uncommon_or_irregular",'제외 후보'!P107)),'선정 규칙'!$B$5,IF(ISNUMBER(SEARCH("jmdict_rare_or_dated",'제외 후보'!P107)),'선정 규칙'!$B$6,0))</x:f>
        <x:v>0</x:v>
      </x:c>
      <x:c r="D107" s="11" t="n">
        <x:f>IF(ISNUMBER(SEARCH("jmdict_exact_pair_not_found",'제외 후보'!P107)),'선정 규칙'!$B$7,0)</x:f>
        <x:v>0</x:v>
      </x:c>
      <x:c r="E107" s="11" t="n">
        <x:f>IF(OR('제외 후보'!L107="",'제외 후보'!L107&lt;=0),'선정 규칙'!$B$8,IF('제외 후보'!L107&lt;=1.5,'선정 규칙'!$B$9,IF('제외 후보'!L107&lt;=2,'선정 규칙'!$B$10,IF('제외 후보'!L107&lt;=2.5,'선정 규칙'!$B$11,IF('제외 후보'!L107&lt;=3,'선정 규칙'!$B$12,IF('제외 후보'!L107&lt;=3.5,'선정 규칙'!$B$13,IF('제외 후보'!L107&gt;=4.5,'선정 규칙'!$B$14,0)))))))</x:f>
        <x:v>32</x:v>
      </x:c>
      <x:c r="F107" s="11" t="n">
        <x:f>IF('제외 후보'!Y107=0,'선정 규칙'!$B$15,IF('제외 후보'!Y107&gt;=100,'선정 규칙'!$B$16,'선정 규칙'!$B$17))</x:f>
        <x:v>12</x:v>
      </x:c>
      <x:c r="G107" s="11" t="n">
        <x:f>IF('제외 후보'!M107="있음",'선정 규칙'!$B$18,'선정 규칙'!$B$19)</x:f>
        <x:v>6</x:v>
      </x:c>
      <x:c r="H107" s="11" t="n">
        <x:f>IF(ISNUMBER(SEARCH("freq-core",'제외 후보'!AD107)),'선정 규칙'!$B$20,0)</x:f>
        <x:v>0</x:v>
      </x:c>
      <x:c r="I107" s="11" t="n">
        <x:f>IF(ISNUMBER(SEARCH("weak_legacy_content",'제외 후보'!P107)),'선정 규칙'!$B$21,0)</x:f>
        <x:v>5</x:v>
      </x:c>
      <x:c r="J107" s="11" t="n">
        <x:f>IF('제외 후보'!AC107&lt;&gt;"",'선정 규칙'!$B$22,0)</x:f>
        <x:v>0</x:v>
      </x:c>
      <x:c r="K107" s="11" t="n">
        <x:f>SUM(B107:J107)</x:f>
        <x:v>55</x:v>
      </x:c>
      <x:c r="L107" s="11" t="n">
        <x:f>'제외 후보'!N107</x:f>
        <x:v>55</x:v>
      </x:c>
      <x:c r="M107" s="2" t="str">
        <x:f>IF(K107=L107,"OK","MISMATCH")</x:f>
        <x:v>OK</x:v>
      </x:c>
    </x:row>
    <x:row r="108">
      <x:c r="A108" s="2" t="str">
        <x:f>'제외 후보'!G108</x:f>
        <x:v>w_20e260bdc5ab8c7f</x:v>
      </x:c>
      <x:c r="B108" s="11" t="n">
        <x:f>IF('제외 후보'!Q108&lt;&gt;"",'선정 규칙'!$B$4,0)</x:f>
        <x:v>0</x:v>
      </x:c>
      <x:c r="C108" s="11" t="n">
        <x:f>IF(ISNUMBER(SEARCH("jmdict_uncommon_or_irregular",'제외 후보'!P108)),'선정 규칙'!$B$5,IF(ISNUMBER(SEARCH("jmdict_rare_or_dated",'제외 후보'!P108)),'선정 규칙'!$B$6,0))</x:f>
        <x:v>0</x:v>
      </x:c>
      <x:c r="D108" s="11" t="n">
        <x:f>IF(ISNUMBER(SEARCH("jmdict_exact_pair_not_found",'제외 후보'!P108)),'선정 규칙'!$B$7,0)</x:f>
        <x:v>0</x:v>
      </x:c>
      <x:c r="E108" s="11" t="n">
        <x:f>IF(OR('제외 후보'!L108="",'제외 후보'!L108&lt;=0),'선정 규칙'!$B$8,IF('제외 후보'!L108&lt;=1.5,'선정 규칙'!$B$9,IF('제외 후보'!L108&lt;=2,'선정 규칙'!$B$10,IF('제외 후보'!L108&lt;=2.5,'선정 규칙'!$B$11,IF('제외 후보'!L108&lt;=3,'선정 규칙'!$B$12,IF('제외 후보'!L108&lt;=3.5,'선정 규칙'!$B$13,IF('제외 후보'!L108&gt;=4.5,'선정 규칙'!$B$14,0)))))))</x:f>
        <x:v>32</x:v>
      </x:c>
      <x:c r="F108" s="11" t="n">
        <x:f>IF('제외 후보'!Y108=0,'선정 규칙'!$B$15,IF('제외 후보'!Y108&gt;=100,'선정 규칙'!$B$16,'선정 규칙'!$B$17))</x:f>
        <x:v>12</x:v>
      </x:c>
      <x:c r="G108" s="11" t="n">
        <x:f>IF('제외 후보'!M108="있음",'선정 규칙'!$B$18,'선정 규칙'!$B$19)</x:f>
        <x:v>6</x:v>
      </x:c>
      <x:c r="H108" s="11" t="n">
        <x:f>IF(ISNUMBER(SEARCH("freq-core",'제외 후보'!AD108)),'선정 규칙'!$B$20,0)</x:f>
        <x:v>0</x:v>
      </x:c>
      <x:c r="I108" s="11" t="n">
        <x:f>IF(ISNUMBER(SEARCH("weak_legacy_content",'제외 후보'!P108)),'선정 규칙'!$B$21,0)</x:f>
        <x:v>5</x:v>
      </x:c>
      <x:c r="J108" s="11" t="n">
        <x:f>IF('제외 후보'!AC108&lt;&gt;"",'선정 규칙'!$B$22,0)</x:f>
        <x:v>0</x:v>
      </x:c>
      <x:c r="K108" s="11" t="n">
        <x:f>SUM(B108:J108)</x:f>
        <x:v>55</x:v>
      </x:c>
      <x:c r="L108" s="11" t="n">
        <x:f>'제외 후보'!N108</x:f>
        <x:v>55</x:v>
      </x:c>
      <x:c r="M108" s="2" t="str">
        <x:f>IF(K108=L108,"OK","MISMATCH")</x:f>
        <x:v>OK</x:v>
      </x:c>
    </x:row>
    <x:row r="109">
      <x:c r="A109" s="2" t="str">
        <x:f>'제외 후보'!G109</x:f>
        <x:v>w_6dcadacb65506fb2</x:v>
      </x:c>
      <x:c r="B109" s="11" t="n">
        <x:f>IF('제외 후보'!Q109&lt;&gt;"",'선정 규칙'!$B$4,0)</x:f>
        <x:v>0</x:v>
      </x:c>
      <x:c r="C109" s="11" t="n">
        <x:f>IF(ISNUMBER(SEARCH("jmdict_uncommon_or_irregular",'제외 후보'!P109)),'선정 규칙'!$B$5,IF(ISNUMBER(SEARCH("jmdict_rare_or_dated",'제외 후보'!P109)),'선정 규칙'!$B$6,0))</x:f>
        <x:v>0</x:v>
      </x:c>
      <x:c r="D109" s="11" t="n">
        <x:f>IF(ISNUMBER(SEARCH("jmdict_exact_pair_not_found",'제외 후보'!P109)),'선정 규칙'!$B$7,0)</x:f>
        <x:v>0</x:v>
      </x:c>
      <x:c r="E109" s="11" t="n">
        <x:f>IF(OR('제외 후보'!L109="",'제외 후보'!L109&lt;=0),'선정 규칙'!$B$8,IF('제외 후보'!L109&lt;=1.5,'선정 규칙'!$B$9,IF('제외 후보'!L109&lt;=2,'선정 규칙'!$B$10,IF('제외 후보'!L109&lt;=2.5,'선정 규칙'!$B$11,IF('제외 후보'!L109&lt;=3,'선정 규칙'!$B$12,IF('제외 후보'!L109&lt;=3.5,'선정 규칙'!$B$13,IF('제외 후보'!L109&gt;=4.5,'선정 규칙'!$B$14,0)))))))</x:f>
        <x:v>32</x:v>
      </x:c>
      <x:c r="F109" s="11" t="n">
        <x:f>IF('제외 후보'!Y109=0,'선정 규칙'!$B$15,IF('제외 후보'!Y109&gt;=100,'선정 규칙'!$B$16,'선정 규칙'!$B$17))</x:f>
        <x:v>12</x:v>
      </x:c>
      <x:c r="G109" s="11" t="n">
        <x:f>IF('제외 후보'!M109="있음",'선정 규칙'!$B$18,'선정 규칙'!$B$19)</x:f>
        <x:v>6</x:v>
      </x:c>
      <x:c r="H109" s="11" t="n">
        <x:f>IF(ISNUMBER(SEARCH("freq-core",'제외 후보'!AD109)),'선정 규칙'!$B$20,0)</x:f>
        <x:v>0</x:v>
      </x:c>
      <x:c r="I109" s="11" t="n">
        <x:f>IF(ISNUMBER(SEARCH("weak_legacy_content",'제외 후보'!P109)),'선정 규칙'!$B$21,0)</x:f>
        <x:v>5</x:v>
      </x:c>
      <x:c r="J109" s="11" t="n">
        <x:f>IF('제외 후보'!AC109&lt;&gt;"",'선정 규칙'!$B$22,0)</x:f>
        <x:v>0</x:v>
      </x:c>
      <x:c r="K109" s="11" t="n">
        <x:f>SUM(B109:J109)</x:f>
        <x:v>55</x:v>
      </x:c>
      <x:c r="L109" s="11" t="n">
        <x:f>'제외 후보'!N109</x:f>
        <x:v>55</x:v>
      </x:c>
      <x:c r="M109" s="2" t="str">
        <x:f>IF(K109=L109,"OK","MISMATCH")</x:f>
        <x:v>OK</x:v>
      </x:c>
    </x:row>
    <x:row r="110">
      <x:c r="A110" s="2" t="str">
        <x:f>'제외 후보'!G110</x:f>
        <x:v>w_7c11f2be2fbf4db0</x:v>
      </x:c>
      <x:c r="B110" s="11" t="n">
        <x:f>IF('제외 후보'!Q110&lt;&gt;"",'선정 규칙'!$B$4,0)</x:f>
        <x:v>0</x:v>
      </x:c>
      <x:c r="C110" s="11" t="n">
        <x:f>IF(ISNUMBER(SEARCH("jmdict_uncommon_or_irregular",'제외 후보'!P110)),'선정 규칙'!$B$5,IF(ISNUMBER(SEARCH("jmdict_rare_or_dated",'제외 후보'!P110)),'선정 규칙'!$B$6,0))</x:f>
        <x:v>0</x:v>
      </x:c>
      <x:c r="D110" s="11" t="n">
        <x:f>IF(ISNUMBER(SEARCH("jmdict_exact_pair_not_found",'제외 후보'!P110)),'선정 규칙'!$B$7,0)</x:f>
        <x:v>0</x:v>
      </x:c>
      <x:c r="E110" s="11" t="n">
        <x:f>IF(OR('제외 후보'!L110="",'제외 후보'!L110&lt;=0),'선정 규칙'!$B$8,IF('제외 후보'!L110&lt;=1.5,'선정 규칙'!$B$9,IF('제외 후보'!L110&lt;=2,'선정 규칙'!$B$10,IF('제외 후보'!L110&lt;=2.5,'선정 규칙'!$B$11,IF('제외 후보'!L110&lt;=3,'선정 규칙'!$B$12,IF('제외 후보'!L110&lt;=3.5,'선정 규칙'!$B$13,IF('제외 후보'!L110&gt;=4.5,'선정 규칙'!$B$14,0)))))))</x:f>
        <x:v>32</x:v>
      </x:c>
      <x:c r="F110" s="11" t="n">
        <x:f>IF('제외 후보'!Y110=0,'선정 규칙'!$B$15,IF('제외 후보'!Y110&gt;=100,'선정 규칙'!$B$16,'선정 규칙'!$B$17))</x:f>
        <x:v>12</x:v>
      </x:c>
      <x:c r="G110" s="11" t="n">
        <x:f>IF('제외 후보'!M110="있음",'선정 규칙'!$B$18,'선정 규칙'!$B$19)</x:f>
        <x:v>6</x:v>
      </x:c>
      <x:c r="H110" s="11" t="n">
        <x:f>IF(ISNUMBER(SEARCH("freq-core",'제외 후보'!AD110)),'선정 규칙'!$B$20,0)</x:f>
        <x:v>0</x:v>
      </x:c>
      <x:c r="I110" s="11" t="n">
        <x:f>IF(ISNUMBER(SEARCH("weak_legacy_content",'제외 후보'!P110)),'선정 규칙'!$B$21,0)</x:f>
        <x:v>5</x:v>
      </x:c>
      <x:c r="J110" s="11" t="n">
        <x:f>IF('제외 후보'!AC110&lt;&gt;"",'선정 규칙'!$B$22,0)</x:f>
        <x:v>0</x:v>
      </x:c>
      <x:c r="K110" s="11" t="n">
        <x:f>SUM(B110:J110)</x:f>
        <x:v>55</x:v>
      </x:c>
      <x:c r="L110" s="11" t="n">
        <x:f>'제외 후보'!N110</x:f>
        <x:v>55</x:v>
      </x:c>
      <x:c r="M110" s="2" t="str">
        <x:f>IF(K110=L110,"OK","MISMATCH")</x:f>
        <x:v>OK</x:v>
      </x:c>
    </x:row>
    <x:row r="111">
      <x:c r="A111" s="2" t="str">
        <x:f>'제외 후보'!G111</x:f>
        <x:v>w_40d5e8ace8265737</x:v>
      </x:c>
      <x:c r="B111" s="11" t="n">
        <x:f>IF('제외 후보'!Q111&lt;&gt;"",'선정 규칙'!$B$4,0)</x:f>
        <x:v>0</x:v>
      </x:c>
      <x:c r="C111" s="11" t="n">
        <x:f>IF(ISNUMBER(SEARCH("jmdict_uncommon_or_irregular",'제외 후보'!P111)),'선정 규칙'!$B$5,IF(ISNUMBER(SEARCH("jmdict_rare_or_dated",'제외 후보'!P111)),'선정 규칙'!$B$6,0))</x:f>
        <x:v>0</x:v>
      </x:c>
      <x:c r="D111" s="11" t="n">
        <x:f>IF(ISNUMBER(SEARCH("jmdict_exact_pair_not_found",'제외 후보'!P111)),'선정 규칙'!$B$7,0)</x:f>
        <x:v>0</x:v>
      </x:c>
      <x:c r="E111" s="11" t="n">
        <x:f>IF(OR('제외 후보'!L111="",'제외 후보'!L111&lt;=0),'선정 규칙'!$B$8,IF('제외 후보'!L111&lt;=1.5,'선정 규칙'!$B$9,IF('제외 후보'!L111&lt;=2,'선정 규칙'!$B$10,IF('제외 후보'!L111&lt;=2.5,'선정 규칙'!$B$11,IF('제외 후보'!L111&lt;=3,'선정 규칙'!$B$12,IF('제외 후보'!L111&lt;=3.5,'선정 규칙'!$B$13,IF('제외 후보'!L111&gt;=4.5,'선정 규칙'!$B$14,0)))))))</x:f>
        <x:v>32</x:v>
      </x:c>
      <x:c r="F111" s="11" t="n">
        <x:f>IF('제외 후보'!Y111=0,'선정 규칙'!$B$15,IF('제외 후보'!Y111&gt;=100,'선정 규칙'!$B$16,'선정 규칙'!$B$17))</x:f>
        <x:v>12</x:v>
      </x:c>
      <x:c r="G111" s="11" t="n">
        <x:f>IF('제외 후보'!M111="있음",'선정 규칙'!$B$18,'선정 규칙'!$B$19)</x:f>
        <x:v>6</x:v>
      </x:c>
      <x:c r="H111" s="11" t="n">
        <x:f>IF(ISNUMBER(SEARCH("freq-core",'제외 후보'!AD111)),'선정 규칙'!$B$20,0)</x:f>
        <x:v>0</x:v>
      </x:c>
      <x:c r="I111" s="11" t="n">
        <x:f>IF(ISNUMBER(SEARCH("weak_legacy_content",'제외 후보'!P111)),'선정 규칙'!$B$21,0)</x:f>
        <x:v>5</x:v>
      </x:c>
      <x:c r="J111" s="11" t="n">
        <x:f>IF('제외 후보'!AC111&lt;&gt;"",'선정 규칙'!$B$22,0)</x:f>
        <x:v>0</x:v>
      </x:c>
      <x:c r="K111" s="11" t="n">
        <x:f>SUM(B111:J111)</x:f>
        <x:v>55</x:v>
      </x:c>
      <x:c r="L111" s="11" t="n">
        <x:f>'제외 후보'!N111</x:f>
        <x:v>55</x:v>
      </x:c>
      <x:c r="M111" s="2" t="str">
        <x:f>IF(K111=L111,"OK","MISMATCH")</x:f>
        <x:v>OK</x:v>
      </x:c>
    </x:row>
    <x:row r="112">
      <x:c r="A112" s="2" t="str">
        <x:f>'제외 후보'!G112</x:f>
        <x:v>w_6be80965290001db</x:v>
      </x:c>
      <x:c r="B112" s="11" t="n">
        <x:f>IF('제외 후보'!Q112&lt;&gt;"",'선정 규칙'!$B$4,0)</x:f>
        <x:v>0</x:v>
      </x:c>
      <x:c r="C112" s="11" t="n">
        <x:f>IF(ISNUMBER(SEARCH("jmdict_uncommon_or_irregular",'제외 후보'!P112)),'선정 규칙'!$B$5,IF(ISNUMBER(SEARCH("jmdict_rare_or_dated",'제외 후보'!P112)),'선정 규칙'!$B$6,0))</x:f>
        <x:v>0</x:v>
      </x:c>
      <x:c r="D112" s="11" t="n">
        <x:f>IF(ISNUMBER(SEARCH("jmdict_exact_pair_not_found",'제외 후보'!P112)),'선정 규칙'!$B$7,0)</x:f>
        <x:v>0</x:v>
      </x:c>
      <x:c r="E112" s="11" t="n">
        <x:f>IF(OR('제외 후보'!L112="",'제외 후보'!L112&lt;=0),'선정 규칙'!$B$8,IF('제외 후보'!L112&lt;=1.5,'선정 규칙'!$B$9,IF('제외 후보'!L112&lt;=2,'선정 규칙'!$B$10,IF('제외 후보'!L112&lt;=2.5,'선정 규칙'!$B$11,IF('제외 후보'!L112&lt;=3,'선정 규칙'!$B$12,IF('제외 후보'!L112&lt;=3.5,'선정 규칙'!$B$13,IF('제외 후보'!L112&gt;=4.5,'선정 규칙'!$B$14,0)))))))</x:f>
        <x:v>32</x:v>
      </x:c>
      <x:c r="F112" s="11" t="n">
        <x:f>IF('제외 후보'!Y112=0,'선정 규칙'!$B$15,IF('제외 후보'!Y112&gt;=100,'선정 규칙'!$B$16,'선정 규칙'!$B$17))</x:f>
        <x:v>12</x:v>
      </x:c>
      <x:c r="G112" s="11" t="n">
        <x:f>IF('제외 후보'!M112="있음",'선정 규칙'!$B$18,'선정 규칙'!$B$19)</x:f>
        <x:v>6</x:v>
      </x:c>
      <x:c r="H112" s="11" t="n">
        <x:f>IF(ISNUMBER(SEARCH("freq-core",'제외 후보'!AD112)),'선정 규칙'!$B$20,0)</x:f>
        <x:v>0</x:v>
      </x:c>
      <x:c r="I112" s="11" t="n">
        <x:f>IF(ISNUMBER(SEARCH("weak_legacy_content",'제외 후보'!P112)),'선정 규칙'!$B$21,0)</x:f>
        <x:v>5</x:v>
      </x:c>
      <x:c r="J112" s="11" t="n">
        <x:f>IF('제외 후보'!AC112&lt;&gt;"",'선정 규칙'!$B$22,0)</x:f>
        <x:v>0</x:v>
      </x:c>
      <x:c r="K112" s="11" t="n">
        <x:f>SUM(B112:J112)</x:f>
        <x:v>55</x:v>
      </x:c>
      <x:c r="L112" s="11" t="n">
        <x:f>'제외 후보'!N112</x:f>
        <x:v>55</x:v>
      </x:c>
      <x:c r="M112" s="2" t="str">
        <x:f>IF(K112=L112,"OK","MISMATCH")</x:f>
        <x:v>OK</x:v>
      </x:c>
    </x:row>
    <x:row r="113">
      <x:c r="A113" s="2" t="str">
        <x:f>'제외 후보'!G113</x:f>
        <x:v>w_b5762ff3178df835</x:v>
      </x:c>
      <x:c r="B113" s="11" t="n">
        <x:f>IF('제외 후보'!Q113&lt;&gt;"",'선정 규칙'!$B$4,0)</x:f>
        <x:v>0</x:v>
      </x:c>
      <x:c r="C113" s="11" t="n">
        <x:f>IF(ISNUMBER(SEARCH("jmdict_uncommon_or_irregular",'제외 후보'!P113)),'선정 규칙'!$B$5,IF(ISNUMBER(SEARCH("jmdict_rare_or_dated",'제외 후보'!P113)),'선정 규칙'!$B$6,0))</x:f>
        <x:v>0</x:v>
      </x:c>
      <x:c r="D113" s="11" t="n">
        <x:f>IF(ISNUMBER(SEARCH("jmdict_exact_pair_not_found",'제외 후보'!P113)),'선정 규칙'!$B$7,0)</x:f>
        <x:v>0</x:v>
      </x:c>
      <x:c r="E113" s="11" t="n">
        <x:f>IF(OR('제외 후보'!L113="",'제외 후보'!L113&lt;=0),'선정 규칙'!$B$8,IF('제외 후보'!L113&lt;=1.5,'선정 규칙'!$B$9,IF('제외 후보'!L113&lt;=2,'선정 규칙'!$B$10,IF('제외 후보'!L113&lt;=2.5,'선정 규칙'!$B$11,IF('제외 후보'!L113&lt;=3,'선정 규칙'!$B$12,IF('제외 후보'!L113&lt;=3.5,'선정 규칙'!$B$13,IF('제외 후보'!L113&gt;=4.5,'선정 규칙'!$B$14,0)))))))</x:f>
        <x:v>32</x:v>
      </x:c>
      <x:c r="F113" s="11" t="n">
        <x:f>IF('제외 후보'!Y113=0,'선정 규칙'!$B$15,IF('제외 후보'!Y113&gt;=100,'선정 규칙'!$B$16,'선정 규칙'!$B$17))</x:f>
        <x:v>12</x:v>
      </x:c>
      <x:c r="G113" s="11" t="n">
        <x:f>IF('제외 후보'!M113="있음",'선정 규칙'!$B$18,'선정 규칙'!$B$19)</x:f>
        <x:v>6</x:v>
      </x:c>
      <x:c r="H113" s="11" t="n">
        <x:f>IF(ISNUMBER(SEARCH("freq-core",'제외 후보'!AD113)),'선정 규칙'!$B$20,0)</x:f>
        <x:v>0</x:v>
      </x:c>
      <x:c r="I113" s="11" t="n">
        <x:f>IF(ISNUMBER(SEARCH("weak_legacy_content",'제외 후보'!P113)),'선정 규칙'!$B$21,0)</x:f>
        <x:v>5</x:v>
      </x:c>
      <x:c r="J113" s="11" t="n">
        <x:f>IF('제외 후보'!AC113&lt;&gt;"",'선정 규칙'!$B$22,0)</x:f>
        <x:v>0</x:v>
      </x:c>
      <x:c r="K113" s="11" t="n">
        <x:f>SUM(B113:J113)</x:f>
        <x:v>55</x:v>
      </x:c>
      <x:c r="L113" s="11" t="n">
        <x:f>'제외 후보'!N113</x:f>
        <x:v>55</x:v>
      </x:c>
      <x:c r="M113" s="2" t="str">
        <x:f>IF(K113=L113,"OK","MISMATCH")</x:f>
        <x:v>OK</x:v>
      </x:c>
    </x:row>
    <x:row r="114">
      <x:c r="A114" s="2" t="str">
        <x:f>'제외 후보'!G114</x:f>
        <x:v>w_db25c865abdbfb17</x:v>
      </x:c>
      <x:c r="B114" s="11" t="n">
        <x:f>IF('제외 후보'!Q114&lt;&gt;"",'선정 규칙'!$B$4,0)</x:f>
        <x:v>0</x:v>
      </x:c>
      <x:c r="C114" s="11" t="n">
        <x:f>IF(ISNUMBER(SEARCH("jmdict_uncommon_or_irregular",'제외 후보'!P114)),'선정 규칙'!$B$5,IF(ISNUMBER(SEARCH("jmdict_rare_or_dated",'제외 후보'!P114)),'선정 규칙'!$B$6,0))</x:f>
        <x:v>0</x:v>
      </x:c>
      <x:c r="D114" s="11" t="n">
        <x:f>IF(ISNUMBER(SEARCH("jmdict_exact_pair_not_found",'제외 후보'!P114)),'선정 규칙'!$B$7,0)</x:f>
        <x:v>0</x:v>
      </x:c>
      <x:c r="E114" s="11" t="n">
        <x:f>IF(OR('제외 후보'!L114="",'제외 후보'!L114&lt;=0),'선정 규칙'!$B$8,IF('제외 후보'!L114&lt;=1.5,'선정 규칙'!$B$9,IF('제외 후보'!L114&lt;=2,'선정 규칙'!$B$10,IF('제외 후보'!L114&lt;=2.5,'선정 규칙'!$B$11,IF('제외 후보'!L114&lt;=3,'선정 규칙'!$B$12,IF('제외 후보'!L114&lt;=3.5,'선정 규칙'!$B$13,IF('제외 후보'!L114&gt;=4.5,'선정 규칙'!$B$14,0)))))))</x:f>
        <x:v>32</x:v>
      </x:c>
      <x:c r="F114" s="11" t="n">
        <x:f>IF('제외 후보'!Y114=0,'선정 규칙'!$B$15,IF('제외 후보'!Y114&gt;=100,'선정 규칙'!$B$16,'선정 규칙'!$B$17))</x:f>
        <x:v>12</x:v>
      </x:c>
      <x:c r="G114" s="11" t="n">
        <x:f>IF('제외 후보'!M114="있음",'선정 규칙'!$B$18,'선정 규칙'!$B$19)</x:f>
        <x:v>6</x:v>
      </x:c>
      <x:c r="H114" s="11" t="n">
        <x:f>IF(ISNUMBER(SEARCH("freq-core",'제외 후보'!AD114)),'선정 규칙'!$B$20,0)</x:f>
        <x:v>0</x:v>
      </x:c>
      <x:c r="I114" s="11" t="n">
        <x:f>IF(ISNUMBER(SEARCH("weak_legacy_content",'제외 후보'!P114)),'선정 규칙'!$B$21,0)</x:f>
        <x:v>5</x:v>
      </x:c>
      <x:c r="J114" s="11" t="n">
        <x:f>IF('제외 후보'!AC114&lt;&gt;"",'선정 규칙'!$B$22,0)</x:f>
        <x:v>0</x:v>
      </x:c>
      <x:c r="K114" s="11" t="n">
        <x:f>SUM(B114:J114)</x:f>
        <x:v>55</x:v>
      </x:c>
      <x:c r="L114" s="11" t="n">
        <x:f>'제외 후보'!N114</x:f>
        <x:v>55</x:v>
      </x:c>
      <x:c r="M114" s="2" t="str">
        <x:f>IF(K114=L114,"OK","MISMATCH")</x:f>
        <x:v>OK</x:v>
      </x:c>
    </x:row>
    <x:row r="115">
      <x:c r="A115" s="2" t="str">
        <x:f>'제외 후보'!G115</x:f>
        <x:v>w_98da7341e355c493</x:v>
      </x:c>
      <x:c r="B115" s="11" t="n">
        <x:f>IF('제외 후보'!Q115&lt;&gt;"",'선정 규칙'!$B$4,0)</x:f>
        <x:v>0</x:v>
      </x:c>
      <x:c r="C115" s="11" t="n">
        <x:f>IF(ISNUMBER(SEARCH("jmdict_uncommon_or_irregular",'제외 후보'!P115)),'선정 규칙'!$B$5,IF(ISNUMBER(SEARCH("jmdict_rare_or_dated",'제외 후보'!P115)),'선정 규칙'!$B$6,0))</x:f>
        <x:v>0</x:v>
      </x:c>
      <x:c r="D115" s="11" t="n">
        <x:f>IF(ISNUMBER(SEARCH("jmdict_exact_pair_not_found",'제외 후보'!P115)),'선정 규칙'!$B$7,0)</x:f>
        <x:v>0</x:v>
      </x:c>
      <x:c r="E115" s="11" t="n">
        <x:f>IF(OR('제외 후보'!L115="",'제외 후보'!L115&lt;=0),'선정 규칙'!$B$8,IF('제외 후보'!L115&lt;=1.5,'선정 규칙'!$B$9,IF('제외 후보'!L115&lt;=2,'선정 규칙'!$B$10,IF('제외 후보'!L115&lt;=2.5,'선정 규칙'!$B$11,IF('제외 후보'!L115&lt;=3,'선정 규칙'!$B$12,IF('제외 후보'!L115&lt;=3.5,'선정 규칙'!$B$13,IF('제외 후보'!L115&gt;=4.5,'선정 규칙'!$B$14,0)))))))</x:f>
        <x:v>32</x:v>
      </x:c>
      <x:c r="F115" s="11" t="n">
        <x:f>IF('제외 후보'!Y115=0,'선정 규칙'!$B$15,IF('제외 후보'!Y115&gt;=100,'선정 규칙'!$B$16,'선정 규칙'!$B$17))</x:f>
        <x:v>12</x:v>
      </x:c>
      <x:c r="G115" s="11" t="n">
        <x:f>IF('제외 후보'!M115="있음",'선정 규칙'!$B$18,'선정 규칙'!$B$19)</x:f>
        <x:v>6</x:v>
      </x:c>
      <x:c r="H115" s="11" t="n">
        <x:f>IF(ISNUMBER(SEARCH("freq-core",'제외 후보'!AD115)),'선정 규칙'!$B$20,0)</x:f>
        <x:v>0</x:v>
      </x:c>
      <x:c r="I115" s="11" t="n">
        <x:f>IF(ISNUMBER(SEARCH("weak_legacy_content",'제외 후보'!P115)),'선정 규칙'!$B$21,0)</x:f>
        <x:v>5</x:v>
      </x:c>
      <x:c r="J115" s="11" t="n">
        <x:f>IF('제외 후보'!AC115&lt;&gt;"",'선정 규칙'!$B$22,0)</x:f>
        <x:v>0</x:v>
      </x:c>
      <x:c r="K115" s="11" t="n">
        <x:f>SUM(B115:J115)</x:f>
        <x:v>55</x:v>
      </x:c>
      <x:c r="L115" s="11" t="n">
        <x:f>'제외 후보'!N115</x:f>
        <x:v>55</x:v>
      </x:c>
      <x:c r="M115" s="2" t="str">
        <x:f>IF(K115=L115,"OK","MISMATCH")</x:f>
        <x:v>OK</x:v>
      </x:c>
    </x:row>
    <x:row r="116">
      <x:c r="A116" s="2" t="str">
        <x:f>'제외 후보'!G116</x:f>
        <x:v>w_7826d7569e12800d</x:v>
      </x:c>
      <x:c r="B116" s="11" t="n">
        <x:f>IF('제외 후보'!Q116&lt;&gt;"",'선정 규칙'!$B$4,0)</x:f>
        <x:v>0</x:v>
      </x:c>
      <x:c r="C116" s="11" t="n">
        <x:f>IF(ISNUMBER(SEARCH("jmdict_uncommon_or_irregular",'제외 후보'!P116)),'선정 규칙'!$B$5,IF(ISNUMBER(SEARCH("jmdict_rare_or_dated",'제외 후보'!P116)),'선정 규칙'!$B$6,0))</x:f>
        <x:v>0</x:v>
      </x:c>
      <x:c r="D116" s="11" t="n">
        <x:f>IF(ISNUMBER(SEARCH("jmdict_exact_pair_not_found",'제외 후보'!P116)),'선정 규칙'!$B$7,0)</x:f>
        <x:v>0</x:v>
      </x:c>
      <x:c r="E116" s="11" t="n">
        <x:f>IF(OR('제외 후보'!L116="",'제외 후보'!L116&lt;=0),'선정 규칙'!$B$8,IF('제외 후보'!L116&lt;=1.5,'선정 규칙'!$B$9,IF('제외 후보'!L116&lt;=2,'선정 규칙'!$B$10,IF('제외 후보'!L116&lt;=2.5,'선정 규칙'!$B$11,IF('제외 후보'!L116&lt;=3,'선정 규칙'!$B$12,IF('제외 후보'!L116&lt;=3.5,'선정 규칙'!$B$13,IF('제외 후보'!L116&gt;=4.5,'선정 규칙'!$B$14,0)))))))</x:f>
        <x:v>32</x:v>
      </x:c>
      <x:c r="F116" s="11" t="n">
        <x:f>IF('제외 후보'!Y116=0,'선정 규칙'!$B$15,IF('제외 후보'!Y116&gt;=100,'선정 규칙'!$B$16,'선정 규칙'!$B$17))</x:f>
        <x:v>12</x:v>
      </x:c>
      <x:c r="G116" s="11" t="n">
        <x:f>IF('제외 후보'!M116="있음",'선정 규칙'!$B$18,'선정 규칙'!$B$19)</x:f>
        <x:v>6</x:v>
      </x:c>
      <x:c r="H116" s="11" t="n">
        <x:f>IF(ISNUMBER(SEARCH("freq-core",'제외 후보'!AD116)),'선정 규칙'!$B$20,0)</x:f>
        <x:v>0</x:v>
      </x:c>
      <x:c r="I116" s="11" t="n">
        <x:f>IF(ISNUMBER(SEARCH("weak_legacy_content",'제외 후보'!P116)),'선정 규칙'!$B$21,0)</x:f>
        <x:v>5</x:v>
      </x:c>
      <x:c r="J116" s="11" t="n">
        <x:f>IF('제외 후보'!AC116&lt;&gt;"",'선정 규칙'!$B$22,0)</x:f>
        <x:v>0</x:v>
      </x:c>
      <x:c r="K116" s="11" t="n">
        <x:f>SUM(B116:J116)</x:f>
        <x:v>55</x:v>
      </x:c>
      <x:c r="L116" s="11" t="n">
        <x:f>'제외 후보'!N116</x:f>
        <x:v>55</x:v>
      </x:c>
      <x:c r="M116" s="2" t="str">
        <x:f>IF(K116=L116,"OK","MISMATCH")</x:f>
        <x:v>OK</x:v>
      </x:c>
    </x:row>
    <x:row r="117">
      <x:c r="A117" s="2" t="str">
        <x:f>'제외 후보'!G117</x:f>
        <x:v>w_78254f13cadebd7e</x:v>
      </x:c>
      <x:c r="B117" s="11" t="n">
        <x:f>IF('제외 후보'!Q117&lt;&gt;"",'선정 규칙'!$B$4,0)</x:f>
        <x:v>0</x:v>
      </x:c>
      <x:c r="C117" s="11" t="n">
        <x:f>IF(ISNUMBER(SEARCH("jmdict_uncommon_or_irregular",'제외 후보'!P117)),'선정 규칙'!$B$5,IF(ISNUMBER(SEARCH("jmdict_rare_or_dated",'제외 후보'!P117)),'선정 규칙'!$B$6,0))</x:f>
        <x:v>0</x:v>
      </x:c>
      <x:c r="D117" s="11" t="n">
        <x:f>IF(ISNUMBER(SEARCH("jmdict_exact_pair_not_found",'제외 후보'!P117)),'선정 규칙'!$B$7,0)</x:f>
        <x:v>35</x:v>
      </x:c>
      <x:c r="E117" s="11" t="n">
        <x:f>IF(OR('제외 후보'!L117="",'제외 후보'!L117&lt;=0),'선정 규칙'!$B$8,IF('제외 후보'!L117&lt;=1.5,'선정 규칙'!$B$9,IF('제외 후보'!L117&lt;=2,'선정 규칙'!$B$10,IF('제외 후보'!L117&lt;=2.5,'선정 규칙'!$B$11,IF('제외 후보'!L117&lt;=3,'선정 규칙'!$B$12,IF('제외 후보'!L117&lt;=3.5,'선정 규칙'!$B$13,IF('제외 후보'!L117&gt;=4.5,'선정 규칙'!$B$14,0)))))))</x:f>
        <x:v>26</x:v>
      </x:c>
      <x:c r="F117" s="11" t="n">
        <x:f>IF('제외 후보'!Y117=0,'선정 규칙'!$B$15,IF('제외 후보'!Y117&gt;=100,'선정 규칙'!$B$16,'선정 규칙'!$B$17))</x:f>
        <x:v>12</x:v>
      </x:c>
      <x:c r="G117" s="11" t="n">
        <x:f>IF('제외 후보'!M117="있음",'선정 규칙'!$B$18,'선정 규칙'!$B$19)</x:f>
        <x:v>-25</x:v>
      </x:c>
      <x:c r="H117" s="11" t="n">
        <x:f>IF(ISNUMBER(SEARCH("freq-core",'제외 후보'!AD117)),'선정 규칙'!$B$20,0)</x:f>
        <x:v>0</x:v>
      </x:c>
      <x:c r="I117" s="11" t="n">
        <x:f>IF(ISNUMBER(SEARCH("weak_legacy_content",'제외 후보'!P117)),'선정 규칙'!$B$21,0)</x:f>
        <x:v>5</x:v>
      </x:c>
      <x:c r="J117" s="11" t="n">
        <x:f>IF('제외 후보'!AC117&lt;&gt;"",'선정 규칙'!$B$22,0)</x:f>
        <x:v>0</x:v>
      </x:c>
      <x:c r="K117" s="11" t="n">
        <x:f>SUM(B117:J117)</x:f>
        <x:v>53</x:v>
      </x:c>
      <x:c r="L117" s="11" t="n">
        <x:f>'제외 후보'!N117</x:f>
        <x:v>53</x:v>
      </x:c>
      <x:c r="M117" s="2" t="str">
        <x:f>IF(K117=L117,"OK","MISMATCH")</x:f>
        <x:v>OK</x:v>
      </x:c>
    </x:row>
    <x:row r="118">
      <x:c r="A118" s="2" t="str">
        <x:f>'제외 후보'!G118</x:f>
        <x:v>w_a5ce3b77487ce09f</x:v>
      </x:c>
      <x:c r="B118" s="11" t="n">
        <x:f>IF('제외 후보'!Q118&lt;&gt;"",'선정 규칙'!$B$4,0)</x:f>
        <x:v>0</x:v>
      </x:c>
      <x:c r="C118" s="11" t="n">
        <x:f>IF(ISNUMBER(SEARCH("jmdict_uncommon_or_irregular",'제외 후보'!P118)),'선정 규칙'!$B$5,IF(ISNUMBER(SEARCH("jmdict_rare_or_dated",'제외 후보'!P118)),'선정 규칙'!$B$6,0))</x:f>
        <x:v>0</x:v>
      </x:c>
      <x:c r="D118" s="11" t="n">
        <x:f>IF(ISNUMBER(SEARCH("jmdict_exact_pair_not_found",'제외 후보'!P118)),'선정 규칙'!$B$7,0)</x:f>
        <x:v>0</x:v>
      </x:c>
      <x:c r="E118" s="11" t="n">
        <x:f>IF(OR('제외 후보'!L118="",'제외 후보'!L118&lt;=0),'선정 규칙'!$B$8,IF('제외 후보'!L118&lt;=1.5,'선정 규칙'!$B$9,IF('제외 후보'!L118&lt;=2,'선정 규칙'!$B$10,IF('제외 후보'!L118&lt;=2.5,'선정 규칙'!$B$11,IF('제외 후보'!L118&lt;=3,'선정 규칙'!$B$12,IF('제외 후보'!L118&lt;=3.5,'선정 규칙'!$B$13,IF('제외 후보'!L118&gt;=4.5,'선정 규칙'!$B$14,0)))))))</x:f>
        <x:v>20</x:v>
      </x:c>
      <x:c r="F118" s="11" t="n">
        <x:f>IF('제외 후보'!Y118=0,'선정 규칙'!$B$15,IF('제외 후보'!Y118&gt;=100,'선정 규칙'!$B$16,'선정 규칙'!$B$17))</x:f>
        <x:v>12</x:v>
      </x:c>
      <x:c r="G118" s="11" t="n">
        <x:f>IF('제외 후보'!M118="있음",'선정 규칙'!$B$18,'선정 규칙'!$B$19)</x:f>
        <x:v>6</x:v>
      </x:c>
      <x:c r="H118" s="11" t="n">
        <x:f>IF(ISNUMBER(SEARCH("freq-core",'제외 후보'!AD118)),'선정 규칙'!$B$20,0)</x:f>
        <x:v>0</x:v>
      </x:c>
      <x:c r="I118" s="11" t="n">
        <x:f>IF(ISNUMBER(SEARCH("weak_legacy_content",'제외 후보'!P118)),'선정 규칙'!$B$21,0)</x:f>
        <x:v>5</x:v>
      </x:c>
      <x:c r="J118" s="11" t="n">
        <x:f>IF('제외 후보'!AC118&lt;&gt;"",'선정 규칙'!$B$22,0)</x:f>
        <x:v>10</x:v>
      </x:c>
      <x:c r="K118" s="11" t="n">
        <x:f>SUM(B118:J118)</x:f>
        <x:v>53</x:v>
      </x:c>
      <x:c r="L118" s="11" t="n">
        <x:f>'제외 후보'!N118</x:f>
        <x:v>53</x:v>
      </x:c>
      <x:c r="M118" s="2" t="str">
        <x:f>IF(K118=L118,"OK","MISMATCH")</x:f>
        <x:v>OK</x:v>
      </x:c>
    </x:row>
    <x:row r="119">
      <x:c r="A119" s="2" t="str">
        <x:f>'제외 후보'!G119</x:f>
        <x:v>w_860e76f83693f071</x:v>
      </x:c>
      <x:c r="B119" s="11" t="n">
        <x:f>IF('제외 후보'!Q119&lt;&gt;"",'선정 규칙'!$B$4,0)</x:f>
        <x:v>60</x:v>
      </x:c>
      <x:c r="C119" s="11" t="n">
        <x:f>IF(ISNUMBER(SEARCH("jmdict_uncommon_or_irregular",'제외 후보'!P119)),'선정 규칙'!$B$5,IF(ISNUMBER(SEARCH("jmdict_rare_or_dated",'제외 후보'!P119)),'선정 규칙'!$B$6,0))</x:f>
        <x:v>0</x:v>
      </x:c>
      <x:c r="D119" s="11" t="n">
        <x:f>IF(ISNUMBER(SEARCH("jmdict_exact_pair_not_found",'제외 후보'!P119)),'선정 규칙'!$B$7,0)</x:f>
        <x:v>0</x:v>
      </x:c>
      <x:c r="E119" s="11" t="n">
        <x:f>IF(OR('제외 후보'!L119="",'제외 후보'!L119&lt;=0),'선정 규칙'!$B$8,IF('제외 후보'!L119&lt;=1.5,'선정 규칙'!$B$9,IF('제외 후보'!L119&lt;=2,'선정 규칙'!$B$10,IF('제외 후보'!L119&lt;=2.5,'선정 규칙'!$B$11,IF('제외 후보'!L119&lt;=3,'선정 규칙'!$B$12,IF('제외 후보'!L119&lt;=3.5,'선정 규칙'!$B$13,IF('제외 후보'!L119&gt;=4.5,'선정 규칙'!$B$14,0)))))))</x:f>
        <x:v>12</x:v>
      </x:c>
      <x:c r="F119" s="11" t="n">
        <x:f>IF('제외 후보'!Y119=0,'선정 규칙'!$B$15,IF('제외 후보'!Y119&gt;=100,'선정 규칙'!$B$16,'선정 규칙'!$B$17))</x:f>
        <x:v>-25</x:v>
      </x:c>
      <x:c r="G119" s="11" t="n">
        <x:f>IF('제외 후보'!M119="있음",'선정 규칙'!$B$18,'선정 규칙'!$B$19)</x:f>
        <x:v>6</x:v>
      </x:c>
      <x:c r="H119" s="11" t="n">
        <x:f>IF(ISNUMBER(SEARCH("freq-core",'제외 후보'!AD119)),'선정 규칙'!$B$20,0)</x:f>
        <x:v>0</x:v>
      </x:c>
      <x:c r="I119" s="11" t="n">
        <x:f>IF(ISNUMBER(SEARCH("weak_legacy_content",'제외 후보'!P119)),'선정 규칙'!$B$21,0)</x:f>
        <x:v>0</x:v>
      </x:c>
      <x:c r="J119" s="11" t="n">
        <x:f>IF('제외 후보'!AC119&lt;&gt;"",'선정 규칙'!$B$22,0)</x:f>
        <x:v>0</x:v>
      </x:c>
      <x:c r="K119" s="11" t="n">
        <x:f>SUM(B119:J119)</x:f>
        <x:v>53</x:v>
      </x:c>
      <x:c r="L119" s="11" t="n">
        <x:f>'제외 후보'!N119</x:f>
        <x:v>53</x:v>
      </x:c>
      <x:c r="M119" s="2" t="str">
        <x:f>IF(K119=L119,"OK","MISMATCH")</x:f>
        <x:v>OK</x:v>
      </x:c>
    </x:row>
    <x:row r="120">
      <x:c r="A120" s="2" t="str">
        <x:f>'제외 후보'!G120</x:f>
        <x:v>w_3476aad53e095eb6</x:v>
      </x:c>
      <x:c r="B120" s="11" t="n">
        <x:f>IF('제외 후보'!Q120&lt;&gt;"",'선정 규칙'!$B$4,0)</x:f>
        <x:v>0</x:v>
      </x:c>
      <x:c r="C120" s="11" t="n">
        <x:f>IF(ISNUMBER(SEARCH("jmdict_uncommon_or_irregular",'제외 후보'!P120)),'선정 규칙'!$B$5,IF(ISNUMBER(SEARCH("jmdict_rare_or_dated",'제외 후보'!P120)),'선정 규칙'!$B$6,0))</x:f>
        <x:v>0</x:v>
      </x:c>
      <x:c r="D120" s="11" t="n">
        <x:f>IF(ISNUMBER(SEARCH("jmdict_exact_pair_not_found",'제외 후보'!P120)),'선정 규칙'!$B$7,0)</x:f>
        <x:v>35</x:v>
      </x:c>
      <x:c r="E120" s="11" t="n">
        <x:f>IF(OR('제외 후보'!L120="",'제외 후보'!L120&lt;=0),'선정 규칙'!$B$8,IF('제외 후보'!L120&lt;=1.5,'선정 규칙'!$B$9,IF('제외 후보'!L120&lt;=2,'선정 규칙'!$B$10,IF('제외 후보'!L120&lt;=2.5,'선정 규칙'!$B$11,IF('제외 후보'!L120&lt;=3,'선정 규칙'!$B$12,IF('제외 후보'!L120&lt;=3.5,'선정 규칙'!$B$13,IF('제외 후보'!L120&gt;=4.5,'선정 규칙'!$B$14,0)))))))</x:f>
        <x:v>0</x:v>
      </x:c>
      <x:c r="F120" s="11" t="n">
        <x:f>IF('제외 후보'!Y120=0,'선정 규칙'!$B$15,IF('제외 후보'!Y120&gt;=100,'선정 규칙'!$B$16,'선정 규칙'!$B$17))</x:f>
        <x:v>12</x:v>
      </x:c>
      <x:c r="G120" s="11" t="n">
        <x:f>IF('제외 후보'!M120="있음",'선정 규칙'!$B$18,'선정 규칙'!$B$19)</x:f>
        <x:v>6</x:v>
      </x:c>
      <x:c r="H120" s="11" t="n">
        <x:f>IF(ISNUMBER(SEARCH("freq-core",'제외 후보'!AD120)),'선정 규칙'!$B$20,0)</x:f>
        <x:v>0</x:v>
      </x:c>
      <x:c r="I120" s="11" t="n">
        <x:f>IF(ISNUMBER(SEARCH("weak_legacy_content",'제외 후보'!P120)),'선정 규칙'!$B$21,0)</x:f>
        <x:v>0</x:v>
      </x:c>
      <x:c r="J120" s="11" t="n">
        <x:f>IF('제외 후보'!AC120&lt;&gt;"",'선정 규칙'!$B$22,0)</x:f>
        <x:v>0</x:v>
      </x:c>
      <x:c r="K120" s="11" t="n">
        <x:f>SUM(B120:J120)</x:f>
        <x:v>53</x:v>
      </x:c>
      <x:c r="L120" s="11" t="n">
        <x:f>'제외 후보'!N120</x:f>
        <x:v>53</x:v>
      </x:c>
      <x:c r="M120" s="2" t="str">
        <x:f>IF(K120=L120,"OK","MISMATCH")</x:f>
        <x:v>OK</x:v>
      </x:c>
    </x:row>
    <x:row r="121">
      <x:c r="A121" s="2" t="str">
        <x:f>'제외 후보'!G121</x:f>
        <x:v>w_84ae3938f5cd63c3</x:v>
      </x:c>
      <x:c r="B121" s="11" t="n">
        <x:f>IF('제외 후보'!Q121&lt;&gt;"",'선정 규칙'!$B$4,0)</x:f>
        <x:v>0</x:v>
      </x:c>
      <x:c r="C121" s="11" t="n">
        <x:f>IF(ISNUMBER(SEARCH("jmdict_uncommon_or_irregular",'제외 후보'!P121)),'선정 규칙'!$B$5,IF(ISNUMBER(SEARCH("jmdict_rare_or_dated",'제외 후보'!P121)),'선정 규칙'!$B$6,0))</x:f>
        <x:v>0</x:v>
      </x:c>
      <x:c r="D121" s="11" t="n">
        <x:f>IF(ISNUMBER(SEARCH("jmdict_exact_pair_not_found",'제외 후보'!P121)),'선정 규칙'!$B$7,0)</x:f>
        <x:v>35</x:v>
      </x:c>
      <x:c r="E121" s="11" t="n">
        <x:f>IF(OR('제외 후보'!L121="",'제외 후보'!L121&lt;=0),'선정 규칙'!$B$8,IF('제외 후보'!L121&lt;=1.5,'선정 규칙'!$B$9,IF('제외 후보'!L121&lt;=2,'선정 규칙'!$B$10,IF('제외 후보'!L121&lt;=2.5,'선정 규칙'!$B$11,IF('제외 후보'!L121&lt;=3,'선정 규칙'!$B$12,IF('제외 후보'!L121&lt;=3.5,'선정 규칙'!$B$13,IF('제외 후보'!L121&gt;=4.5,'선정 규칙'!$B$14,0)))))))</x:f>
        <x:v>0</x:v>
      </x:c>
      <x:c r="F121" s="11" t="n">
        <x:f>IF('제외 후보'!Y121=0,'선정 규칙'!$B$15,IF('제외 후보'!Y121&gt;=100,'선정 규칙'!$B$16,'선정 규칙'!$B$17))</x:f>
        <x:v>12</x:v>
      </x:c>
      <x:c r="G121" s="11" t="n">
        <x:f>IF('제외 후보'!M121="있음",'선정 규칙'!$B$18,'선정 규칙'!$B$19)</x:f>
        <x:v>6</x:v>
      </x:c>
      <x:c r="H121" s="11" t="n">
        <x:f>IF(ISNUMBER(SEARCH("freq-core",'제외 후보'!AD121)),'선정 규칙'!$B$20,0)</x:f>
        <x:v>0</x:v>
      </x:c>
      <x:c r="I121" s="11" t="n">
        <x:f>IF(ISNUMBER(SEARCH("weak_legacy_content",'제외 후보'!P121)),'선정 규칙'!$B$21,0)</x:f>
        <x:v>0</x:v>
      </x:c>
      <x:c r="J121" s="11" t="n">
        <x:f>IF('제외 후보'!AC121&lt;&gt;"",'선정 규칙'!$B$22,0)</x:f>
        <x:v>0</x:v>
      </x:c>
      <x:c r="K121" s="11" t="n">
        <x:f>SUM(B121:J121)</x:f>
        <x:v>53</x:v>
      </x:c>
      <x:c r="L121" s="11" t="n">
        <x:f>'제외 후보'!N121</x:f>
        <x:v>53</x:v>
      </x:c>
      <x:c r="M121" s="2" t="str">
        <x:f>IF(K121=L121,"OK","MISMATCH")</x:f>
        <x:v>OK</x:v>
      </x:c>
    </x:row>
    <x:row r="122">
      <x:c r="A122" s="2" t="str">
        <x:f>'제외 후보'!G122</x:f>
        <x:v>w_00103e8f081bc8a6</x:v>
      </x:c>
      <x:c r="B122" s="11" t="n">
        <x:f>IF('제외 후보'!Q122&lt;&gt;"",'선정 규칙'!$B$4,0)</x:f>
        <x:v>0</x:v>
      </x:c>
      <x:c r="C122" s="11" t="n">
        <x:f>IF(ISNUMBER(SEARCH("jmdict_uncommon_or_irregular",'제외 후보'!P122)),'선정 규칙'!$B$5,IF(ISNUMBER(SEARCH("jmdict_rare_or_dated",'제외 후보'!P122)),'선정 규칙'!$B$6,0))</x:f>
        <x:v>0</x:v>
      </x:c>
      <x:c r="D122" s="11" t="n">
        <x:f>IF(ISNUMBER(SEARCH("jmdict_exact_pair_not_found",'제외 후보'!P122)),'선정 규칙'!$B$7,0)</x:f>
        <x:v>35</x:v>
      </x:c>
      <x:c r="E122" s="11" t="n">
        <x:f>IF(OR('제외 후보'!L122="",'제외 후보'!L122&lt;=0),'선정 규칙'!$B$8,IF('제외 후보'!L122&lt;=1.5,'선정 규칙'!$B$9,IF('제외 후보'!L122&lt;=2,'선정 규칙'!$B$10,IF('제외 후보'!L122&lt;=2.5,'선정 규칙'!$B$11,IF('제외 후보'!L122&lt;=3,'선정 규칙'!$B$12,IF('제외 후보'!L122&lt;=3.5,'선정 규칙'!$B$13,IF('제외 후보'!L122&gt;=4.5,'선정 규칙'!$B$14,0)))))))</x:f>
        <x:v>0</x:v>
      </x:c>
      <x:c r="F122" s="11" t="n">
        <x:f>IF('제외 후보'!Y122=0,'선정 규칙'!$B$15,IF('제외 후보'!Y122&gt;=100,'선정 규칙'!$B$16,'선정 규칙'!$B$17))</x:f>
        <x:v>12</x:v>
      </x:c>
      <x:c r="G122" s="11" t="n">
        <x:f>IF('제외 후보'!M122="있음",'선정 규칙'!$B$18,'선정 규칙'!$B$19)</x:f>
        <x:v>6</x:v>
      </x:c>
      <x:c r="H122" s="11" t="n">
        <x:f>IF(ISNUMBER(SEARCH("freq-core",'제외 후보'!AD122)),'선정 규칙'!$B$20,0)</x:f>
        <x:v>0</x:v>
      </x:c>
      <x:c r="I122" s="11" t="n">
        <x:f>IF(ISNUMBER(SEARCH("weak_legacy_content",'제외 후보'!P122)),'선정 규칙'!$B$21,0)</x:f>
        <x:v>0</x:v>
      </x:c>
      <x:c r="J122" s="11" t="n">
        <x:f>IF('제외 후보'!AC122&lt;&gt;"",'선정 규칙'!$B$22,0)</x:f>
        <x:v>0</x:v>
      </x:c>
      <x:c r="K122" s="11" t="n">
        <x:f>SUM(B122:J122)</x:f>
        <x:v>53</x:v>
      </x:c>
      <x:c r="L122" s="11" t="n">
        <x:f>'제외 후보'!N122</x:f>
        <x:v>53</x:v>
      </x:c>
      <x:c r="M122" s="2" t="str">
        <x:f>IF(K122=L122,"OK","MISMATCH")</x:f>
        <x:v>OK</x:v>
      </x:c>
    </x:row>
    <x:row r="123">
      <x:c r="A123" s="2" t="str">
        <x:f>'제외 후보'!G123</x:f>
        <x:v>w_009b97072340bf8f</x:v>
      </x:c>
      <x:c r="B123" s="11" t="n">
        <x:f>IF('제외 후보'!Q123&lt;&gt;"",'선정 규칙'!$B$4,0)</x:f>
        <x:v>0</x:v>
      </x:c>
      <x:c r="C123" s="11" t="n">
        <x:f>IF(ISNUMBER(SEARCH("jmdict_uncommon_or_irregular",'제외 후보'!P123)),'선정 규칙'!$B$5,IF(ISNUMBER(SEARCH("jmdict_rare_or_dated",'제외 후보'!P123)),'선정 규칙'!$B$6,0))</x:f>
        <x:v>0</x:v>
      </x:c>
      <x:c r="D123" s="11" t="n">
        <x:f>IF(ISNUMBER(SEARCH("jmdict_exact_pair_not_found",'제외 후보'!P123)),'선정 규칙'!$B$7,0)</x:f>
        <x:v>35</x:v>
      </x:c>
      <x:c r="E123" s="11" t="n">
        <x:f>IF(OR('제외 후보'!L123="",'제외 후보'!L123&lt;=0),'선정 규칙'!$B$8,IF('제외 후보'!L123&lt;=1.5,'선정 규칙'!$B$9,IF('제외 후보'!L123&lt;=2,'선정 규칙'!$B$10,IF('제외 후보'!L123&lt;=2.5,'선정 규칙'!$B$11,IF('제외 후보'!L123&lt;=3,'선정 규칙'!$B$12,IF('제외 후보'!L123&lt;=3.5,'선정 규칙'!$B$13,IF('제외 후보'!L123&gt;=4.5,'선정 규칙'!$B$14,0)))))))</x:f>
        <x:v>0</x:v>
      </x:c>
      <x:c r="F123" s="11" t="n">
        <x:f>IF('제외 후보'!Y123=0,'선정 규칙'!$B$15,IF('제외 후보'!Y123&gt;=100,'선정 규칙'!$B$16,'선정 규칙'!$B$17))</x:f>
        <x:v>12</x:v>
      </x:c>
      <x:c r="G123" s="11" t="n">
        <x:f>IF('제외 후보'!M123="있음",'선정 규칙'!$B$18,'선정 규칙'!$B$19)</x:f>
        <x:v>6</x:v>
      </x:c>
      <x:c r="H123" s="11" t="n">
        <x:f>IF(ISNUMBER(SEARCH("freq-core",'제외 후보'!AD123)),'선정 규칙'!$B$20,0)</x:f>
        <x:v>0</x:v>
      </x:c>
      <x:c r="I123" s="11" t="n">
        <x:f>IF(ISNUMBER(SEARCH("weak_legacy_content",'제외 후보'!P123)),'선정 규칙'!$B$21,0)</x:f>
        <x:v>0</x:v>
      </x:c>
      <x:c r="J123" s="11" t="n">
        <x:f>IF('제외 후보'!AC123&lt;&gt;"",'선정 규칙'!$B$22,0)</x:f>
        <x:v>0</x:v>
      </x:c>
      <x:c r="K123" s="11" t="n">
        <x:f>SUM(B123:J123)</x:f>
        <x:v>53</x:v>
      </x:c>
      <x:c r="L123" s="11" t="n">
        <x:f>'제외 후보'!N123</x:f>
        <x:v>53</x:v>
      </x:c>
      <x:c r="M123" s="2" t="str">
        <x:f>IF(K123=L123,"OK","MISMATCH")</x:f>
        <x:v>OK</x:v>
      </x:c>
    </x:row>
    <x:row r="124">
      <x:c r="A124" s="2" t="str">
        <x:f>'제외 후보'!G124</x:f>
        <x:v>w_9f483af3f38eaacd</x:v>
      </x:c>
      <x:c r="B124" s="11" t="n">
        <x:f>IF('제외 후보'!Q124&lt;&gt;"",'선정 규칙'!$B$4,0)</x:f>
        <x:v>60</x:v>
      </x:c>
      <x:c r="C124" s="11" t="n">
        <x:f>IF(ISNUMBER(SEARCH("jmdict_uncommon_or_irregular",'제외 후보'!P124)),'선정 규칙'!$B$5,IF(ISNUMBER(SEARCH("jmdict_rare_or_dated",'제외 후보'!P124)),'선정 규칙'!$B$6,0))</x:f>
        <x:v>0</x:v>
      </x:c>
      <x:c r="D124" s="11" t="n">
        <x:f>IF(ISNUMBER(SEARCH("jmdict_exact_pair_not_found",'제외 후보'!P124)),'선정 규칙'!$B$7,0)</x:f>
        <x:v>0</x:v>
      </x:c>
      <x:c r="E124" s="11" t="n">
        <x:f>IF(OR('제외 후보'!L124="",'제외 후보'!L124&lt;=0),'선정 규칙'!$B$8,IF('제외 후보'!L124&lt;=1.5,'선정 규칙'!$B$9,IF('제외 후보'!L124&lt;=2,'선정 규칙'!$B$10,IF('제외 후보'!L124&lt;=2.5,'선정 규칙'!$B$11,IF('제외 후보'!L124&lt;=3,'선정 규칙'!$B$12,IF('제외 후보'!L124&lt;=3.5,'선정 규칙'!$B$13,IF('제외 후보'!L124&gt;=4.5,'선정 규칙'!$B$14,0)))))))</x:f>
        <x:v>6</x:v>
      </x:c>
      <x:c r="F124" s="11" t="n">
        <x:f>IF('제외 후보'!Y124=0,'선정 규칙'!$B$15,IF('제외 후보'!Y124&gt;=100,'선정 규칙'!$B$16,'선정 규칙'!$B$17))</x:f>
        <x:v>-25</x:v>
      </x:c>
      <x:c r="G124" s="11" t="n">
        <x:f>IF('제외 후보'!M124="있음",'선정 규칙'!$B$18,'선정 규칙'!$B$19)</x:f>
        <x:v>6</x:v>
      </x:c>
      <x:c r="H124" s="11" t="n">
        <x:f>IF(ISNUMBER(SEARCH("freq-core",'제외 후보'!AD124)),'선정 규칙'!$B$20,0)</x:f>
        <x:v>0</x:v>
      </x:c>
      <x:c r="I124" s="11" t="n">
        <x:f>IF(ISNUMBER(SEARCH("weak_legacy_content",'제외 후보'!P124)),'선정 규칙'!$B$21,0)</x:f>
        <x:v>5</x:v>
      </x:c>
      <x:c r="J124" s="11" t="n">
        <x:f>IF('제외 후보'!AC124&lt;&gt;"",'선정 규칙'!$B$22,0)</x:f>
        <x:v>0</x:v>
      </x:c>
      <x:c r="K124" s="11" t="n">
        <x:f>SUM(B124:J124)</x:f>
        <x:v>52</x:v>
      </x:c>
      <x:c r="L124" s="11" t="n">
        <x:f>'제외 후보'!N124</x:f>
        <x:v>52</x:v>
      </x:c>
      <x:c r="M124" s="2" t="str">
        <x:f>IF(K124=L124,"OK","MISMATCH")</x:f>
        <x:v>OK</x:v>
      </x:c>
    </x:row>
    <x:row r="125">
      <x:c r="A125" s="2" t="str">
        <x:f>'제외 후보'!G125</x:f>
        <x:v>w_42b5ce2223232e9f</x:v>
      </x:c>
      <x:c r="B125" s="11" t="n">
        <x:f>IF('제외 후보'!Q125&lt;&gt;"",'선정 규칙'!$B$4,0)</x:f>
        <x:v>60</x:v>
      </x:c>
      <x:c r="C125" s="11" t="n">
        <x:f>IF(ISNUMBER(SEARCH("jmdict_uncommon_or_irregular",'제외 후보'!P125)),'선정 규칙'!$B$5,IF(ISNUMBER(SEARCH("jmdict_rare_or_dated",'제외 후보'!P125)),'선정 규칙'!$B$6,0))</x:f>
        <x:v>0</x:v>
      </x:c>
      <x:c r="D125" s="11" t="n">
        <x:f>IF(ISNUMBER(SEARCH("jmdict_exact_pair_not_found",'제외 후보'!P125)),'선정 규칙'!$B$7,0)</x:f>
        <x:v>0</x:v>
      </x:c>
      <x:c r="E125" s="11" t="n">
        <x:f>IF(OR('제외 후보'!L125="",'제외 후보'!L125&lt;=0),'선정 규칙'!$B$8,IF('제외 후보'!L125&lt;=1.5,'선정 규칙'!$B$9,IF('제외 후보'!L125&lt;=2,'선정 규칙'!$B$10,IF('제외 후보'!L125&lt;=2.5,'선정 규칙'!$B$11,IF('제외 후보'!L125&lt;=3,'선정 규칙'!$B$12,IF('제외 후보'!L125&lt;=3.5,'선정 규칙'!$B$13,IF('제외 후보'!L125&gt;=4.5,'선정 규칙'!$B$14,0)))))))</x:f>
        <x:v>6</x:v>
      </x:c>
      <x:c r="F125" s="11" t="n">
        <x:f>IF('제외 후보'!Y125=0,'선정 규칙'!$B$15,IF('제외 후보'!Y125&gt;=100,'선정 규칙'!$B$16,'선정 규칙'!$B$17))</x:f>
        <x:v>-25</x:v>
      </x:c>
      <x:c r="G125" s="11" t="n">
        <x:f>IF('제외 후보'!M125="있음",'선정 규칙'!$B$18,'선정 규칙'!$B$19)</x:f>
        <x:v>6</x:v>
      </x:c>
      <x:c r="H125" s="11" t="n">
        <x:f>IF(ISNUMBER(SEARCH("freq-core",'제외 후보'!AD125)),'선정 규칙'!$B$20,0)</x:f>
        <x:v>0</x:v>
      </x:c>
      <x:c r="I125" s="11" t="n">
        <x:f>IF(ISNUMBER(SEARCH("weak_legacy_content",'제외 후보'!P125)),'선정 규칙'!$B$21,0)</x:f>
        <x:v>5</x:v>
      </x:c>
      <x:c r="J125" s="11" t="n">
        <x:f>IF('제외 후보'!AC125&lt;&gt;"",'선정 규칙'!$B$22,0)</x:f>
        <x:v>0</x:v>
      </x:c>
      <x:c r="K125" s="11" t="n">
        <x:f>SUM(B125:J125)</x:f>
        <x:v>52</x:v>
      </x:c>
      <x:c r="L125" s="11" t="n">
        <x:f>'제외 후보'!N125</x:f>
        <x:v>52</x:v>
      </x:c>
      <x:c r="M125" s="2" t="str">
        <x:f>IF(K125=L125,"OK","MISMATCH")</x:f>
        <x:v>OK</x:v>
      </x:c>
    </x:row>
    <x:row r="126">
      <x:c r="A126" s="2" t="str">
        <x:f>'제외 후보'!G126</x:f>
        <x:v>w_6150d13214b175ad</x:v>
      </x:c>
      <x:c r="B126" s="11" t="n">
        <x:f>IF('제외 후보'!Q126&lt;&gt;"",'선정 규칙'!$B$4,0)</x:f>
        <x:v>60</x:v>
      </x:c>
      <x:c r="C126" s="11" t="n">
        <x:f>IF(ISNUMBER(SEARCH("jmdict_uncommon_or_irregular",'제외 후보'!P126)),'선정 규칙'!$B$5,IF(ISNUMBER(SEARCH("jmdict_rare_or_dated",'제외 후보'!P126)),'선정 규칙'!$B$6,0))</x:f>
        <x:v>0</x:v>
      </x:c>
      <x:c r="D126" s="11" t="n">
        <x:f>IF(ISNUMBER(SEARCH("jmdict_exact_pair_not_found",'제외 후보'!P126)),'선정 규칙'!$B$7,0)</x:f>
        <x:v>0</x:v>
      </x:c>
      <x:c r="E126" s="11" t="n">
        <x:f>IF(OR('제외 후보'!L126="",'제외 후보'!L126&lt;=0),'선정 규칙'!$B$8,IF('제외 후보'!L126&lt;=1.5,'선정 규칙'!$B$9,IF('제외 후보'!L126&lt;=2,'선정 규칙'!$B$10,IF('제외 후보'!L126&lt;=2.5,'선정 규칙'!$B$11,IF('제외 후보'!L126&lt;=3,'선정 규칙'!$B$12,IF('제외 후보'!L126&lt;=3.5,'선정 규칙'!$B$13,IF('제외 후보'!L126&gt;=4.5,'선정 규칙'!$B$14,0)))))))</x:f>
        <x:v>6</x:v>
      </x:c>
      <x:c r="F126" s="11" t="n">
        <x:f>IF('제외 후보'!Y126=0,'선정 규칙'!$B$15,IF('제외 후보'!Y126&gt;=100,'선정 규칙'!$B$16,'선정 규칙'!$B$17))</x:f>
        <x:v>-25</x:v>
      </x:c>
      <x:c r="G126" s="11" t="n">
        <x:f>IF('제외 후보'!M126="있음",'선정 규칙'!$B$18,'선정 규칙'!$B$19)</x:f>
        <x:v>6</x:v>
      </x:c>
      <x:c r="H126" s="11" t="n">
        <x:f>IF(ISNUMBER(SEARCH("freq-core",'제외 후보'!AD126)),'선정 규칙'!$B$20,0)</x:f>
        <x:v>0</x:v>
      </x:c>
      <x:c r="I126" s="11" t="n">
        <x:f>IF(ISNUMBER(SEARCH("weak_legacy_content",'제외 후보'!P126)),'선정 규칙'!$B$21,0)</x:f>
        <x:v>5</x:v>
      </x:c>
      <x:c r="J126" s="11" t="n">
        <x:f>IF('제외 후보'!AC126&lt;&gt;"",'선정 규칙'!$B$22,0)</x:f>
        <x:v>0</x:v>
      </x:c>
      <x:c r="K126" s="11" t="n">
        <x:f>SUM(B126:J126)</x:f>
        <x:v>52</x:v>
      </x:c>
      <x:c r="L126" s="11" t="n">
        <x:f>'제외 후보'!N126</x:f>
        <x:v>52</x:v>
      </x:c>
      <x:c r="M126" s="2" t="str">
        <x:f>IF(K126=L126,"OK","MISMATCH")</x:f>
        <x:v>OK</x:v>
      </x:c>
    </x:row>
    <x:row r="127">
      <x:c r="A127" s="2" t="str">
        <x:f>'제외 후보'!G127</x:f>
        <x:v>w_97db66ffd893f4b5</x:v>
      </x:c>
      <x:c r="B127" s="11" t="n">
        <x:f>IF('제외 후보'!Q127&lt;&gt;"",'선정 규칙'!$B$4,0)</x:f>
        <x:v>60</x:v>
      </x:c>
      <x:c r="C127" s="11" t="n">
        <x:f>IF(ISNUMBER(SEARCH("jmdict_uncommon_or_irregular",'제외 후보'!P127)),'선정 규칙'!$B$5,IF(ISNUMBER(SEARCH("jmdict_rare_or_dated",'제외 후보'!P127)),'선정 규칙'!$B$6,0))</x:f>
        <x:v>0</x:v>
      </x:c>
      <x:c r="D127" s="11" t="n">
        <x:f>IF(ISNUMBER(SEARCH("jmdict_exact_pair_not_found",'제외 후보'!P127)),'선정 규칙'!$B$7,0)</x:f>
        <x:v>0</x:v>
      </x:c>
      <x:c r="E127" s="11" t="n">
        <x:f>IF(OR('제외 후보'!L127="",'제외 후보'!L127&lt;=0),'선정 규칙'!$B$8,IF('제외 후보'!L127&lt;=1.5,'선정 규칙'!$B$9,IF('제외 후보'!L127&lt;=2,'선정 규칙'!$B$10,IF('제외 후보'!L127&lt;=2.5,'선정 규칙'!$B$11,IF('제외 후보'!L127&lt;=3,'선정 규칙'!$B$12,IF('제외 후보'!L127&lt;=3.5,'선정 규칙'!$B$13,IF('제외 후보'!L127&gt;=4.5,'선정 규칙'!$B$14,0)))))))</x:f>
        <x:v>6</x:v>
      </x:c>
      <x:c r="F127" s="11" t="n">
        <x:f>IF('제외 후보'!Y127=0,'선정 규칙'!$B$15,IF('제외 후보'!Y127&gt;=100,'선정 규칙'!$B$16,'선정 규칙'!$B$17))</x:f>
        <x:v>-25</x:v>
      </x:c>
      <x:c r="G127" s="11" t="n">
        <x:f>IF('제외 후보'!M127="있음",'선정 규칙'!$B$18,'선정 규칙'!$B$19)</x:f>
        <x:v>6</x:v>
      </x:c>
      <x:c r="H127" s="11" t="n">
        <x:f>IF(ISNUMBER(SEARCH("freq-core",'제외 후보'!AD127)),'선정 규칙'!$B$20,0)</x:f>
        <x:v>0</x:v>
      </x:c>
      <x:c r="I127" s="11" t="n">
        <x:f>IF(ISNUMBER(SEARCH("weak_legacy_content",'제외 후보'!P127)),'선정 규칙'!$B$21,0)</x:f>
        <x:v>5</x:v>
      </x:c>
      <x:c r="J127" s="11" t="n">
        <x:f>IF('제외 후보'!AC127&lt;&gt;"",'선정 규칙'!$B$22,0)</x:f>
        <x:v>0</x:v>
      </x:c>
      <x:c r="K127" s="11" t="n">
        <x:f>SUM(B127:J127)</x:f>
        <x:v>52</x:v>
      </x:c>
      <x:c r="L127" s="11" t="n">
        <x:f>'제외 후보'!N127</x:f>
        <x:v>52</x:v>
      </x:c>
      <x:c r="M127" s="2" t="str">
        <x:f>IF(K127=L127,"OK","MISMATCH")</x:f>
        <x:v>OK</x:v>
      </x:c>
    </x:row>
    <x:row r="128">
      <x:c r="A128" s="2" t="str">
        <x:f>'제외 후보'!G128</x:f>
        <x:v>w_ccebc0afac8fc3a9</x:v>
      </x:c>
      <x:c r="B128" s="11" t="n">
        <x:f>IF('제외 후보'!Q128&lt;&gt;"",'선정 규칙'!$B$4,0)</x:f>
        <x:v>60</x:v>
      </x:c>
      <x:c r="C128" s="11" t="n">
        <x:f>IF(ISNUMBER(SEARCH("jmdict_uncommon_or_irregular",'제외 후보'!P128)),'선정 규칙'!$B$5,IF(ISNUMBER(SEARCH("jmdict_rare_or_dated",'제외 후보'!P128)),'선정 규칙'!$B$6,0))</x:f>
        <x:v>0</x:v>
      </x:c>
      <x:c r="D128" s="11" t="n">
        <x:f>IF(ISNUMBER(SEARCH("jmdict_exact_pair_not_found",'제외 후보'!P128)),'선정 규칙'!$B$7,0)</x:f>
        <x:v>0</x:v>
      </x:c>
      <x:c r="E128" s="11" t="n">
        <x:f>IF(OR('제외 후보'!L128="",'제외 후보'!L128&lt;=0),'선정 규칙'!$B$8,IF('제외 후보'!L128&lt;=1.5,'선정 규칙'!$B$9,IF('제외 후보'!L128&lt;=2,'선정 규칙'!$B$10,IF('제외 후보'!L128&lt;=2.5,'선정 규칙'!$B$11,IF('제외 후보'!L128&lt;=3,'선정 규칙'!$B$12,IF('제외 후보'!L128&lt;=3.5,'선정 규칙'!$B$13,IF('제외 후보'!L128&gt;=4.5,'선정 규칙'!$B$14,0)))))))</x:f>
        <x:v>6</x:v>
      </x:c>
      <x:c r="F128" s="11" t="n">
        <x:f>IF('제외 후보'!Y128=0,'선정 규칙'!$B$15,IF('제외 후보'!Y128&gt;=100,'선정 규칙'!$B$16,'선정 규칙'!$B$17))</x:f>
        <x:v>-25</x:v>
      </x:c>
      <x:c r="G128" s="11" t="n">
        <x:f>IF('제외 후보'!M128="있음",'선정 규칙'!$B$18,'선정 규칙'!$B$19)</x:f>
        <x:v>6</x:v>
      </x:c>
      <x:c r="H128" s="11" t="n">
        <x:f>IF(ISNUMBER(SEARCH("freq-core",'제외 후보'!AD128)),'선정 규칙'!$B$20,0)</x:f>
        <x:v>0</x:v>
      </x:c>
      <x:c r="I128" s="11" t="n">
        <x:f>IF(ISNUMBER(SEARCH("weak_legacy_content",'제외 후보'!P128)),'선정 규칙'!$B$21,0)</x:f>
        <x:v>5</x:v>
      </x:c>
      <x:c r="J128" s="11" t="n">
        <x:f>IF('제외 후보'!AC128&lt;&gt;"",'선정 규칙'!$B$22,0)</x:f>
        <x:v>0</x:v>
      </x:c>
      <x:c r="K128" s="11" t="n">
        <x:f>SUM(B128:J128)</x:f>
        <x:v>52</x:v>
      </x:c>
      <x:c r="L128" s="11" t="n">
        <x:f>'제외 후보'!N128</x:f>
        <x:v>52</x:v>
      </x:c>
      <x:c r="M128" s="2" t="str">
        <x:f>IF(K128=L128,"OK","MISMATCH")</x:f>
        <x:v>OK</x:v>
      </x:c>
    </x:row>
    <x:row r="129">
      <x:c r="A129" s="2" t="str">
        <x:f>'제외 후보'!G129</x:f>
        <x:v>w_3f7cd0c1898ad235</x:v>
      </x:c>
      <x:c r="B129" s="11" t="n">
        <x:f>IF('제외 후보'!Q129&lt;&gt;"",'선정 규칙'!$B$4,0)</x:f>
        <x:v>60</x:v>
      </x:c>
      <x:c r="C129" s="11" t="n">
        <x:f>IF(ISNUMBER(SEARCH("jmdict_uncommon_or_irregular",'제외 후보'!P129)),'선정 규칙'!$B$5,IF(ISNUMBER(SEARCH("jmdict_rare_or_dated",'제외 후보'!P129)),'선정 규칙'!$B$6,0))</x:f>
        <x:v>0</x:v>
      </x:c>
      <x:c r="D129" s="11" t="n">
        <x:f>IF(ISNUMBER(SEARCH("jmdict_exact_pair_not_found",'제외 후보'!P129)),'선정 규칙'!$B$7,0)</x:f>
        <x:v>0</x:v>
      </x:c>
      <x:c r="E129" s="11" t="n">
        <x:f>IF(OR('제외 후보'!L129="",'제외 후보'!L129&lt;=0),'선정 규칙'!$B$8,IF('제외 후보'!L129&lt;=1.5,'선정 규칙'!$B$9,IF('제외 후보'!L129&lt;=2,'선정 규칙'!$B$10,IF('제외 후보'!L129&lt;=2.5,'선정 규칙'!$B$11,IF('제외 후보'!L129&lt;=3,'선정 규칙'!$B$12,IF('제외 후보'!L129&lt;=3.5,'선정 규칙'!$B$13,IF('제외 후보'!L129&gt;=4.5,'선정 규칙'!$B$14,0)))))))</x:f>
        <x:v>6</x:v>
      </x:c>
      <x:c r="F129" s="11" t="n">
        <x:f>IF('제외 후보'!Y129=0,'선정 규칙'!$B$15,IF('제외 후보'!Y129&gt;=100,'선정 규칙'!$B$16,'선정 규칙'!$B$17))</x:f>
        <x:v>-25</x:v>
      </x:c>
      <x:c r="G129" s="11" t="n">
        <x:f>IF('제외 후보'!M129="있음",'선정 규칙'!$B$18,'선정 규칙'!$B$19)</x:f>
        <x:v>6</x:v>
      </x:c>
      <x:c r="H129" s="11" t="n">
        <x:f>IF(ISNUMBER(SEARCH("freq-core",'제외 후보'!AD129)),'선정 규칙'!$B$20,0)</x:f>
        <x:v>0</x:v>
      </x:c>
      <x:c r="I129" s="11" t="n">
        <x:f>IF(ISNUMBER(SEARCH("weak_legacy_content",'제외 후보'!P129)),'선정 규칙'!$B$21,0)</x:f>
        <x:v>5</x:v>
      </x:c>
      <x:c r="J129" s="11" t="n">
        <x:f>IF('제외 후보'!AC129&lt;&gt;"",'선정 규칙'!$B$22,0)</x:f>
        <x:v>0</x:v>
      </x:c>
      <x:c r="K129" s="11" t="n">
        <x:f>SUM(B129:J129)</x:f>
        <x:v>52</x:v>
      </x:c>
      <x:c r="L129" s="11" t="n">
        <x:f>'제외 후보'!N129</x:f>
        <x:v>52</x:v>
      </x:c>
      <x:c r="M129" s="2" t="str">
        <x:f>IF(K129=L129,"OK","MISMATCH")</x:f>
        <x:v>OK</x:v>
      </x:c>
    </x:row>
    <x:row r="130">
      <x:c r="A130" s="2" t="str">
        <x:f>'제외 후보'!G130</x:f>
        <x:v>w_f372d394a0a4c4e1</x:v>
      </x:c>
      <x:c r="B130" s="11" t="n">
        <x:f>IF('제외 후보'!Q130&lt;&gt;"",'선정 규칙'!$B$4,0)</x:f>
        <x:v>60</x:v>
      </x:c>
      <x:c r="C130" s="11" t="n">
        <x:f>IF(ISNUMBER(SEARCH("jmdict_uncommon_or_irregular",'제외 후보'!P130)),'선정 규칙'!$B$5,IF(ISNUMBER(SEARCH("jmdict_rare_or_dated",'제외 후보'!P130)),'선정 규칙'!$B$6,0))</x:f>
        <x:v>0</x:v>
      </x:c>
      <x:c r="D130" s="11" t="n">
        <x:f>IF(ISNUMBER(SEARCH("jmdict_exact_pair_not_found",'제외 후보'!P130)),'선정 규칙'!$B$7,0)</x:f>
        <x:v>0</x:v>
      </x:c>
      <x:c r="E130" s="11" t="n">
        <x:f>IF(OR('제외 후보'!L130="",'제외 후보'!L130&lt;=0),'선정 규칙'!$B$8,IF('제외 후보'!L130&lt;=1.5,'선정 규칙'!$B$9,IF('제외 후보'!L130&lt;=2,'선정 규칙'!$B$10,IF('제외 후보'!L130&lt;=2.5,'선정 규칙'!$B$11,IF('제외 후보'!L130&lt;=3,'선정 규칙'!$B$12,IF('제외 후보'!L130&lt;=3.5,'선정 규칙'!$B$13,IF('제외 후보'!L130&gt;=4.5,'선정 규칙'!$B$14,0)))))))</x:f>
        <x:v>6</x:v>
      </x:c>
      <x:c r="F130" s="11" t="n">
        <x:f>IF('제외 후보'!Y130=0,'선정 규칙'!$B$15,IF('제외 후보'!Y130&gt;=100,'선정 규칙'!$B$16,'선정 규칙'!$B$17))</x:f>
        <x:v>-25</x:v>
      </x:c>
      <x:c r="G130" s="11" t="n">
        <x:f>IF('제외 후보'!M130="있음",'선정 규칙'!$B$18,'선정 규칙'!$B$19)</x:f>
        <x:v>6</x:v>
      </x:c>
      <x:c r="H130" s="11" t="n">
        <x:f>IF(ISNUMBER(SEARCH("freq-core",'제외 후보'!AD130)),'선정 규칙'!$B$20,0)</x:f>
        <x:v>0</x:v>
      </x:c>
      <x:c r="I130" s="11" t="n">
        <x:f>IF(ISNUMBER(SEARCH("weak_legacy_content",'제외 후보'!P130)),'선정 규칙'!$B$21,0)</x:f>
        <x:v>5</x:v>
      </x:c>
      <x:c r="J130" s="11" t="n">
        <x:f>IF('제외 후보'!AC130&lt;&gt;"",'선정 규칙'!$B$22,0)</x:f>
        <x:v>0</x:v>
      </x:c>
      <x:c r="K130" s="11" t="n">
        <x:f>SUM(B130:J130)</x:f>
        <x:v>52</x:v>
      </x:c>
      <x:c r="L130" s="11" t="n">
        <x:f>'제외 후보'!N130</x:f>
        <x:v>52</x:v>
      </x:c>
      <x:c r="M130" s="2" t="str">
        <x:f>IF(K130=L130,"OK","MISMATCH")</x:f>
        <x:v>OK</x:v>
      </x:c>
    </x:row>
    <x:row r="131">
      <x:c r="A131" s="2" t="str">
        <x:f>'제외 후보'!G131</x:f>
        <x:v>w_09dd73a6c06df3d4</x:v>
      </x:c>
      <x:c r="B131" s="11" t="n">
        <x:f>IF('제외 후보'!Q131&lt;&gt;"",'선정 규칙'!$B$4,0)</x:f>
        <x:v>60</x:v>
      </x:c>
      <x:c r="C131" s="11" t="n">
        <x:f>IF(ISNUMBER(SEARCH("jmdict_uncommon_or_irregular",'제외 후보'!P131)),'선정 규칙'!$B$5,IF(ISNUMBER(SEARCH("jmdict_rare_or_dated",'제외 후보'!P131)),'선정 규칙'!$B$6,0))</x:f>
        <x:v>0</x:v>
      </x:c>
      <x:c r="D131" s="11" t="n">
        <x:f>IF(ISNUMBER(SEARCH("jmdict_exact_pair_not_found",'제외 후보'!P131)),'선정 규칙'!$B$7,0)</x:f>
        <x:v>0</x:v>
      </x:c>
      <x:c r="E131" s="11" t="n">
        <x:f>IF(OR('제외 후보'!L131="",'제외 후보'!L131&lt;=0),'선정 규칙'!$B$8,IF('제외 후보'!L131&lt;=1.5,'선정 규칙'!$B$9,IF('제외 후보'!L131&lt;=2,'선정 규칙'!$B$10,IF('제외 후보'!L131&lt;=2.5,'선정 규칙'!$B$11,IF('제외 후보'!L131&lt;=3,'선정 규칙'!$B$12,IF('제외 후보'!L131&lt;=3.5,'선정 규칙'!$B$13,IF('제외 후보'!L131&gt;=4.5,'선정 규칙'!$B$14,0)))))))</x:f>
        <x:v>6</x:v>
      </x:c>
      <x:c r="F131" s="11" t="n">
        <x:f>IF('제외 후보'!Y131=0,'선정 규칙'!$B$15,IF('제외 후보'!Y131&gt;=100,'선정 규칙'!$B$16,'선정 규칙'!$B$17))</x:f>
        <x:v>-25</x:v>
      </x:c>
      <x:c r="G131" s="11" t="n">
        <x:f>IF('제외 후보'!M131="있음",'선정 규칙'!$B$18,'선정 규칙'!$B$19)</x:f>
        <x:v>6</x:v>
      </x:c>
      <x:c r="H131" s="11" t="n">
        <x:f>IF(ISNUMBER(SEARCH("freq-core",'제외 후보'!AD131)),'선정 규칙'!$B$20,0)</x:f>
        <x:v>0</x:v>
      </x:c>
      <x:c r="I131" s="11" t="n">
        <x:f>IF(ISNUMBER(SEARCH("weak_legacy_content",'제외 후보'!P131)),'선정 규칙'!$B$21,0)</x:f>
        <x:v>5</x:v>
      </x:c>
      <x:c r="J131" s="11" t="n">
        <x:f>IF('제외 후보'!AC131&lt;&gt;"",'선정 규칙'!$B$22,0)</x:f>
        <x:v>0</x:v>
      </x:c>
      <x:c r="K131" s="11" t="n">
        <x:f>SUM(B131:J131)</x:f>
        <x:v>52</x:v>
      </x:c>
      <x:c r="L131" s="11" t="n">
        <x:f>'제외 후보'!N131</x:f>
        <x:v>52</x:v>
      </x:c>
      <x:c r="M131" s="2" t="str">
        <x:f>IF(K131=L131,"OK","MISMATCH")</x:f>
        <x:v>OK</x:v>
      </x:c>
    </x:row>
    <x:row r="132">
      <x:c r="A132" s="2" t="str">
        <x:f>'제외 후보'!G132</x:f>
        <x:v>w_5306465650e71486</x:v>
      </x:c>
      <x:c r="B132" s="11" t="n">
        <x:f>IF('제외 후보'!Q132&lt;&gt;"",'선정 규칙'!$B$4,0)</x:f>
        <x:v>60</x:v>
      </x:c>
      <x:c r="C132" s="11" t="n">
        <x:f>IF(ISNUMBER(SEARCH("jmdict_uncommon_or_irregular",'제외 후보'!P132)),'선정 규칙'!$B$5,IF(ISNUMBER(SEARCH("jmdict_rare_or_dated",'제외 후보'!P132)),'선정 규칙'!$B$6,0))</x:f>
        <x:v>0</x:v>
      </x:c>
      <x:c r="D132" s="11" t="n">
        <x:f>IF(ISNUMBER(SEARCH("jmdict_exact_pair_not_found",'제외 후보'!P132)),'선정 규칙'!$B$7,0)</x:f>
        <x:v>0</x:v>
      </x:c>
      <x:c r="E132" s="11" t="n">
        <x:f>IF(OR('제외 후보'!L132="",'제외 후보'!L132&lt;=0),'선정 규칙'!$B$8,IF('제외 후보'!L132&lt;=1.5,'선정 규칙'!$B$9,IF('제외 후보'!L132&lt;=2,'선정 규칙'!$B$10,IF('제외 후보'!L132&lt;=2.5,'선정 규칙'!$B$11,IF('제외 후보'!L132&lt;=3,'선정 규칙'!$B$12,IF('제외 후보'!L132&lt;=3.5,'선정 규칙'!$B$13,IF('제외 후보'!L132&gt;=4.5,'선정 규칙'!$B$14,0)))))))</x:f>
        <x:v>6</x:v>
      </x:c>
      <x:c r="F132" s="11" t="n">
        <x:f>IF('제외 후보'!Y132=0,'선정 규칙'!$B$15,IF('제외 후보'!Y132&gt;=100,'선정 규칙'!$B$16,'선정 규칙'!$B$17))</x:f>
        <x:v>-25</x:v>
      </x:c>
      <x:c r="G132" s="11" t="n">
        <x:f>IF('제외 후보'!M132="있음",'선정 규칙'!$B$18,'선정 규칙'!$B$19)</x:f>
        <x:v>6</x:v>
      </x:c>
      <x:c r="H132" s="11" t="n">
        <x:f>IF(ISNUMBER(SEARCH("freq-core",'제외 후보'!AD132)),'선정 규칙'!$B$20,0)</x:f>
        <x:v>0</x:v>
      </x:c>
      <x:c r="I132" s="11" t="n">
        <x:f>IF(ISNUMBER(SEARCH("weak_legacy_content",'제외 후보'!P132)),'선정 규칙'!$B$21,0)</x:f>
        <x:v>5</x:v>
      </x:c>
      <x:c r="J132" s="11" t="n">
        <x:f>IF('제외 후보'!AC132&lt;&gt;"",'선정 규칙'!$B$22,0)</x:f>
        <x:v>0</x:v>
      </x:c>
      <x:c r="K132" s="11" t="n">
        <x:f>SUM(B132:J132)</x:f>
        <x:v>52</x:v>
      </x:c>
      <x:c r="L132" s="11" t="n">
        <x:f>'제외 후보'!N132</x:f>
        <x:v>52</x:v>
      </x:c>
      <x:c r="M132" s="2" t="str">
        <x:f>IF(K132=L132,"OK","MISMATCH")</x:f>
        <x:v>OK</x:v>
      </x:c>
    </x:row>
    <x:row r="133">
      <x:c r="A133" s="2" t="str">
        <x:f>'제외 후보'!G133</x:f>
        <x:v>w_59d0e85886f68ace</x:v>
      </x:c>
      <x:c r="B133" s="11" t="n">
        <x:f>IF('제외 후보'!Q133&lt;&gt;"",'선정 규칙'!$B$4,0)</x:f>
        <x:v>60</x:v>
      </x:c>
      <x:c r="C133" s="11" t="n">
        <x:f>IF(ISNUMBER(SEARCH("jmdict_uncommon_or_irregular",'제외 후보'!P133)),'선정 규칙'!$B$5,IF(ISNUMBER(SEARCH("jmdict_rare_or_dated",'제외 후보'!P133)),'선정 규칙'!$B$6,0))</x:f>
        <x:v>0</x:v>
      </x:c>
      <x:c r="D133" s="11" t="n">
        <x:f>IF(ISNUMBER(SEARCH("jmdict_exact_pair_not_found",'제외 후보'!P133)),'선정 규칙'!$B$7,0)</x:f>
        <x:v>0</x:v>
      </x:c>
      <x:c r="E133" s="11" t="n">
        <x:f>IF(OR('제외 후보'!L133="",'제외 후보'!L133&lt;=0),'선정 규칙'!$B$8,IF('제외 후보'!L133&lt;=1.5,'선정 규칙'!$B$9,IF('제외 후보'!L133&lt;=2,'선정 규칙'!$B$10,IF('제외 후보'!L133&lt;=2.5,'선정 규칙'!$B$11,IF('제외 후보'!L133&lt;=3,'선정 규칙'!$B$12,IF('제외 후보'!L133&lt;=3.5,'선정 규칙'!$B$13,IF('제외 후보'!L133&gt;=4.5,'선정 규칙'!$B$14,0)))))))</x:f>
        <x:v>6</x:v>
      </x:c>
      <x:c r="F133" s="11" t="n">
        <x:f>IF('제외 후보'!Y133=0,'선정 규칙'!$B$15,IF('제외 후보'!Y133&gt;=100,'선정 규칙'!$B$16,'선정 규칙'!$B$17))</x:f>
        <x:v>-25</x:v>
      </x:c>
      <x:c r="G133" s="11" t="n">
        <x:f>IF('제외 후보'!M133="있음",'선정 규칙'!$B$18,'선정 규칙'!$B$19)</x:f>
        <x:v>6</x:v>
      </x:c>
      <x:c r="H133" s="11" t="n">
        <x:f>IF(ISNUMBER(SEARCH("freq-core",'제외 후보'!AD133)),'선정 규칙'!$B$20,0)</x:f>
        <x:v>0</x:v>
      </x:c>
      <x:c r="I133" s="11" t="n">
        <x:f>IF(ISNUMBER(SEARCH("weak_legacy_content",'제외 후보'!P133)),'선정 규칙'!$B$21,0)</x:f>
        <x:v>5</x:v>
      </x:c>
      <x:c r="J133" s="11" t="n">
        <x:f>IF('제외 후보'!AC133&lt;&gt;"",'선정 규칙'!$B$22,0)</x:f>
        <x:v>0</x:v>
      </x:c>
      <x:c r="K133" s="11" t="n">
        <x:f>SUM(B133:J133)</x:f>
        <x:v>52</x:v>
      </x:c>
      <x:c r="L133" s="11" t="n">
        <x:f>'제외 후보'!N133</x:f>
        <x:v>52</x:v>
      </x:c>
      <x:c r="M133" s="2" t="str">
        <x:f>IF(K133=L133,"OK","MISMATCH")</x:f>
        <x:v>OK</x:v>
      </x:c>
    </x:row>
    <x:row r="134">
      <x:c r="A134" s="2" t="str">
        <x:f>'제외 후보'!G134</x:f>
        <x:v>w_d563b8ed71bad118</x:v>
      </x:c>
      <x:c r="B134" s="11" t="n">
        <x:f>IF('제외 후보'!Q134&lt;&gt;"",'선정 규칙'!$B$4,0)</x:f>
        <x:v>60</x:v>
      </x:c>
      <x:c r="C134" s="11" t="n">
        <x:f>IF(ISNUMBER(SEARCH("jmdict_uncommon_or_irregular",'제외 후보'!P134)),'선정 규칙'!$B$5,IF(ISNUMBER(SEARCH("jmdict_rare_or_dated",'제외 후보'!P134)),'선정 규칙'!$B$6,0))</x:f>
        <x:v>0</x:v>
      </x:c>
      <x:c r="D134" s="11" t="n">
        <x:f>IF(ISNUMBER(SEARCH("jmdict_exact_pair_not_found",'제외 후보'!P134)),'선정 규칙'!$B$7,0)</x:f>
        <x:v>0</x:v>
      </x:c>
      <x:c r="E134" s="11" t="n">
        <x:f>IF(OR('제외 후보'!L134="",'제외 후보'!L134&lt;=0),'선정 규칙'!$B$8,IF('제외 후보'!L134&lt;=1.5,'선정 규칙'!$B$9,IF('제외 후보'!L134&lt;=2,'선정 규칙'!$B$10,IF('제외 후보'!L134&lt;=2.5,'선정 규칙'!$B$11,IF('제외 후보'!L134&lt;=3,'선정 규칙'!$B$12,IF('제외 후보'!L134&lt;=3.5,'선정 규칙'!$B$13,IF('제외 후보'!L134&gt;=4.5,'선정 규칙'!$B$14,0)))))))</x:f>
        <x:v>6</x:v>
      </x:c>
      <x:c r="F134" s="11" t="n">
        <x:f>IF('제외 후보'!Y134=0,'선정 규칙'!$B$15,IF('제외 후보'!Y134&gt;=100,'선정 규칙'!$B$16,'선정 규칙'!$B$17))</x:f>
        <x:v>-25</x:v>
      </x:c>
      <x:c r="G134" s="11" t="n">
        <x:f>IF('제외 후보'!M134="있음",'선정 규칙'!$B$18,'선정 규칙'!$B$19)</x:f>
        <x:v>6</x:v>
      </x:c>
      <x:c r="H134" s="11" t="n">
        <x:f>IF(ISNUMBER(SEARCH("freq-core",'제외 후보'!AD134)),'선정 규칙'!$B$20,0)</x:f>
        <x:v>0</x:v>
      </x:c>
      <x:c r="I134" s="11" t="n">
        <x:f>IF(ISNUMBER(SEARCH("weak_legacy_content",'제외 후보'!P134)),'선정 규칙'!$B$21,0)</x:f>
        <x:v>5</x:v>
      </x:c>
      <x:c r="J134" s="11" t="n">
        <x:f>IF('제외 후보'!AC134&lt;&gt;"",'선정 규칙'!$B$22,0)</x:f>
        <x:v>0</x:v>
      </x:c>
      <x:c r="K134" s="11" t="n">
        <x:f>SUM(B134:J134)</x:f>
        <x:v>52</x:v>
      </x:c>
      <x:c r="L134" s="11" t="n">
        <x:f>'제외 후보'!N134</x:f>
        <x:v>52</x:v>
      </x:c>
      <x:c r="M134" s="2" t="str">
        <x:f>IF(K134=L134,"OK","MISMATCH")</x:f>
        <x:v>OK</x:v>
      </x:c>
    </x:row>
    <x:row r="135">
      <x:c r="A135" s="2" t="str">
        <x:f>'제외 후보'!G135</x:f>
        <x:v>w_5b90d006ae01b3a8</x:v>
      </x:c>
      <x:c r="B135" s="11" t="n">
        <x:f>IF('제외 후보'!Q135&lt;&gt;"",'선정 규칙'!$B$4,0)</x:f>
        <x:v>0</x:v>
      </x:c>
      <x:c r="C135" s="11" t="n">
        <x:f>IF(ISNUMBER(SEARCH("jmdict_uncommon_or_irregular",'제외 후보'!P135)),'선정 규칙'!$B$5,IF(ISNUMBER(SEARCH("jmdict_rare_or_dated",'제외 후보'!P135)),'선정 규칙'!$B$6,0))</x:f>
        <x:v>50</x:v>
      </x:c>
      <x:c r="D135" s="11" t="n">
        <x:f>IF(ISNUMBER(SEARCH("jmdict_exact_pair_not_found",'제외 후보'!P135)),'선정 규칙'!$B$7,0)</x:f>
        <x:v>0</x:v>
      </x:c>
      <x:c r="E135" s="11" t="n">
        <x:f>IF(OR('제외 후보'!L135="",'제외 후보'!L135&lt;=0),'선정 규칙'!$B$8,IF('제외 후보'!L135&lt;=1.5,'선정 규칙'!$B$9,IF('제외 후보'!L135&lt;=2,'선정 규칙'!$B$10,IF('제외 후보'!L135&lt;=2.5,'선정 규칙'!$B$11,IF('제외 후보'!L135&lt;=3,'선정 규칙'!$B$12,IF('제외 후보'!L135&lt;=3.5,'선정 규칙'!$B$13,IF('제외 후보'!L135&gt;=4.5,'선정 규칙'!$B$14,0)))))))</x:f>
        <x:v>20</x:v>
      </x:c>
      <x:c r="F135" s="11" t="n">
        <x:f>IF('제외 후보'!Y135=0,'선정 규칙'!$B$15,IF('제외 후보'!Y135&gt;=100,'선정 규칙'!$B$16,'선정 규칙'!$B$17))</x:f>
        <x:v>-25</x:v>
      </x:c>
      <x:c r="G135" s="11" t="n">
        <x:f>IF('제외 후보'!M135="있음",'선정 규칙'!$B$18,'선정 규칙'!$B$19)</x:f>
        <x:v>6</x:v>
      </x:c>
      <x:c r="H135" s="11" t="n">
        <x:f>IF(ISNUMBER(SEARCH("freq-core",'제외 후보'!AD135)),'선정 규칙'!$B$20,0)</x:f>
        <x:v>0</x:v>
      </x:c>
      <x:c r="I135" s="11" t="n">
        <x:f>IF(ISNUMBER(SEARCH("weak_legacy_content",'제외 후보'!P135)),'선정 규칙'!$B$21,0)</x:f>
        <x:v>0</x:v>
      </x:c>
      <x:c r="J135" s="11" t="n">
        <x:f>IF('제외 후보'!AC135&lt;&gt;"",'선정 규칙'!$B$22,0)</x:f>
        <x:v>0</x:v>
      </x:c>
      <x:c r="K135" s="11" t="n">
        <x:f>SUM(B135:J135)</x:f>
        <x:v>51</x:v>
      </x:c>
      <x:c r="L135" s="11" t="n">
        <x:f>'제외 후보'!N135</x:f>
        <x:v>51</x:v>
      </x:c>
      <x:c r="M135" s="2" t="str">
        <x:f>IF(K135=L135,"OK","MISMATCH")</x:f>
        <x:v>OK</x:v>
      </x:c>
    </x:row>
    <x:row r="136">
      <x:c r="A136" s="2" t="str">
        <x:f>'제외 후보'!G136</x:f>
        <x:v>w_74e11be34e28cae2</x:v>
      </x:c>
      <x:c r="B136" s="11" t="n">
        <x:f>IF('제외 후보'!Q136&lt;&gt;"",'선정 규칙'!$B$4,0)</x:f>
        <x:v>0</x:v>
      </x:c>
      <x:c r="C136" s="11" t="n">
        <x:f>IF(ISNUMBER(SEARCH("jmdict_uncommon_or_irregular",'제외 후보'!P136)),'선정 규칙'!$B$5,IF(ISNUMBER(SEARCH("jmdict_rare_or_dated",'제외 후보'!P136)),'선정 규칙'!$B$6,0))</x:f>
        <x:v>0</x:v>
      </x:c>
      <x:c r="D136" s="11" t="n">
        <x:f>IF(ISNUMBER(SEARCH("jmdict_exact_pair_not_found",'제외 후보'!P136)),'선정 규칙'!$B$7,0)</x:f>
        <x:v>0</x:v>
      </x:c>
      <x:c r="E136" s="11" t="n">
        <x:f>IF(OR('제외 후보'!L136="",'제외 후보'!L136&lt;=0),'선정 규칙'!$B$8,IF('제외 후보'!L136&lt;=1.5,'선정 규칙'!$B$9,IF('제외 후보'!L136&lt;=2,'선정 규칙'!$B$10,IF('제외 후보'!L136&lt;=2.5,'선정 규칙'!$B$11,IF('제외 후보'!L136&lt;=3,'선정 규칙'!$B$12,IF('제외 후보'!L136&lt;=3.5,'선정 규칙'!$B$13,IF('제외 후보'!L136&gt;=4.5,'선정 규칙'!$B$14,0)))))))</x:f>
        <x:v>32</x:v>
      </x:c>
      <x:c r="F136" s="11" t="n">
        <x:f>IF('제외 후보'!Y136=0,'선정 규칙'!$B$15,IF('제외 후보'!Y136&gt;=100,'선정 규칙'!$B$16,'선정 규칙'!$B$17))</x:f>
        <x:v>12</x:v>
      </x:c>
      <x:c r="G136" s="11" t="n">
        <x:f>IF('제외 후보'!M136="있음",'선정 규칙'!$B$18,'선정 규칙'!$B$19)</x:f>
        <x:v>6</x:v>
      </x:c>
      <x:c r="H136" s="11" t="n">
        <x:f>IF(ISNUMBER(SEARCH("freq-core",'제외 후보'!AD136)),'선정 규칙'!$B$20,0)</x:f>
        <x:v>0</x:v>
      </x:c>
      <x:c r="I136" s="11" t="n">
        <x:f>IF(ISNUMBER(SEARCH("weak_legacy_content",'제외 후보'!P136)),'선정 규칙'!$B$21,0)</x:f>
        <x:v>0</x:v>
      </x:c>
      <x:c r="J136" s="11" t="n">
        <x:f>IF('제외 후보'!AC136&lt;&gt;"",'선정 규칙'!$B$22,0)</x:f>
        <x:v>0</x:v>
      </x:c>
      <x:c r="K136" s="11" t="n">
        <x:f>SUM(B136:J136)</x:f>
        <x:v>50</x:v>
      </x:c>
      <x:c r="L136" s="11" t="n">
        <x:f>'제외 후보'!N136</x:f>
        <x:v>50</x:v>
      </x:c>
      <x:c r="M136" s="2" t="str">
        <x:f>IF(K136=L136,"OK","MISMATCH")</x:f>
        <x:v>OK</x:v>
      </x:c>
    </x:row>
    <x:row r="137">
      <x:c r="A137" s="2" t="str">
        <x:f>'제외 후보'!G137</x:f>
        <x:v>w_976ded6e29683876</x:v>
      </x:c>
      <x:c r="B137" s="11" t="n">
        <x:f>IF('제외 후보'!Q137&lt;&gt;"",'선정 규칙'!$B$4,0)</x:f>
        <x:v>0</x:v>
      </x:c>
      <x:c r="C137" s="11" t="n">
        <x:f>IF(ISNUMBER(SEARCH("jmdict_uncommon_or_irregular",'제외 후보'!P137)),'선정 규칙'!$B$5,IF(ISNUMBER(SEARCH("jmdict_rare_or_dated",'제외 후보'!P137)),'선정 규칙'!$B$6,0))</x:f>
        <x:v>0</x:v>
      </x:c>
      <x:c r="D137" s="11" t="n">
        <x:f>IF(ISNUMBER(SEARCH("jmdict_exact_pair_not_found",'제외 후보'!P137)),'선정 규칙'!$B$7,0)</x:f>
        <x:v>0</x:v>
      </x:c>
      <x:c r="E137" s="11" t="n">
        <x:f>IF(OR('제외 후보'!L137="",'제외 후보'!L137&lt;=0),'선정 규칙'!$B$8,IF('제외 후보'!L137&lt;=1.5,'선정 규칙'!$B$9,IF('제외 후보'!L137&lt;=2,'선정 규칙'!$B$10,IF('제외 후보'!L137&lt;=2.5,'선정 규칙'!$B$11,IF('제외 후보'!L137&lt;=3,'선정 규칙'!$B$12,IF('제외 후보'!L137&lt;=3.5,'선정 규칙'!$B$13,IF('제외 후보'!L137&gt;=4.5,'선정 규칙'!$B$14,0)))))))</x:f>
        <x:v>32</x:v>
      </x:c>
      <x:c r="F137" s="11" t="n">
        <x:f>IF('제외 후보'!Y137=0,'선정 규칙'!$B$15,IF('제외 후보'!Y137&gt;=100,'선정 규칙'!$B$16,'선정 규칙'!$B$17))</x:f>
        <x:v>12</x:v>
      </x:c>
      <x:c r="G137" s="11" t="n">
        <x:f>IF('제외 후보'!M137="있음",'선정 규칙'!$B$18,'선정 규칙'!$B$19)</x:f>
        <x:v>6</x:v>
      </x:c>
      <x:c r="H137" s="11" t="n">
        <x:f>IF(ISNUMBER(SEARCH("freq-core",'제외 후보'!AD137)),'선정 규칙'!$B$20,0)</x:f>
        <x:v>0</x:v>
      </x:c>
      <x:c r="I137" s="11" t="n">
        <x:f>IF(ISNUMBER(SEARCH("weak_legacy_content",'제외 후보'!P137)),'선정 규칙'!$B$21,0)</x:f>
        <x:v>0</x:v>
      </x:c>
      <x:c r="J137" s="11" t="n">
        <x:f>IF('제외 후보'!AC137&lt;&gt;"",'선정 규칙'!$B$22,0)</x:f>
        <x:v>0</x:v>
      </x:c>
      <x:c r="K137" s="11" t="n">
        <x:f>SUM(B137:J137)</x:f>
        <x:v>50</x:v>
      </x:c>
      <x:c r="L137" s="11" t="n">
        <x:f>'제외 후보'!N137</x:f>
        <x:v>50</x:v>
      </x:c>
      <x:c r="M137" s="2" t="str">
        <x:f>IF(K137=L137,"OK","MISMATCH")</x:f>
        <x:v>OK</x:v>
      </x:c>
    </x:row>
    <x:row r="138">
      <x:c r="A138" s="2" t="str">
        <x:f>'제외 후보'!G138</x:f>
        <x:v>w_66e3b8ac6e5991e1</x:v>
      </x:c>
      <x:c r="B138" s="11" t="n">
        <x:f>IF('제외 후보'!Q138&lt;&gt;"",'선정 규칙'!$B$4,0)</x:f>
        <x:v>0</x:v>
      </x:c>
      <x:c r="C138" s="11" t="n">
        <x:f>IF(ISNUMBER(SEARCH("jmdict_uncommon_or_irregular",'제외 후보'!P138)),'선정 규칙'!$B$5,IF(ISNUMBER(SEARCH("jmdict_rare_or_dated",'제외 후보'!P138)),'선정 규칙'!$B$6,0))</x:f>
        <x:v>0</x:v>
      </x:c>
      <x:c r="D138" s="11" t="n">
        <x:f>IF(ISNUMBER(SEARCH("jmdict_exact_pair_not_found",'제외 후보'!P138)),'선정 규칙'!$B$7,0)</x:f>
        <x:v>0</x:v>
      </x:c>
      <x:c r="E138" s="11" t="n">
        <x:f>IF(OR('제외 후보'!L138="",'제외 후보'!L138&lt;=0),'선정 규칙'!$B$8,IF('제외 후보'!L138&lt;=1.5,'선정 규칙'!$B$9,IF('제외 후보'!L138&lt;=2,'선정 규칙'!$B$10,IF('제외 후보'!L138&lt;=2.5,'선정 규칙'!$B$11,IF('제외 후보'!L138&lt;=3,'선정 규칙'!$B$12,IF('제외 후보'!L138&lt;=3.5,'선정 규칙'!$B$13,IF('제외 후보'!L138&gt;=4.5,'선정 규칙'!$B$14,0)))))))</x:f>
        <x:v>32</x:v>
      </x:c>
      <x:c r="F138" s="11" t="n">
        <x:f>IF('제외 후보'!Y138=0,'선정 규칙'!$B$15,IF('제외 후보'!Y138&gt;=100,'선정 규칙'!$B$16,'선정 규칙'!$B$17))</x:f>
        <x:v>12</x:v>
      </x:c>
      <x:c r="G138" s="11" t="n">
        <x:f>IF('제외 후보'!M138="있음",'선정 규칙'!$B$18,'선정 규칙'!$B$19)</x:f>
        <x:v>6</x:v>
      </x:c>
      <x:c r="H138" s="11" t="n">
        <x:f>IF(ISNUMBER(SEARCH("freq-core",'제외 후보'!AD138)),'선정 규칙'!$B$20,0)</x:f>
        <x:v>0</x:v>
      </x:c>
      <x:c r="I138" s="11" t="n">
        <x:f>IF(ISNUMBER(SEARCH("weak_legacy_content",'제외 후보'!P138)),'선정 규칙'!$B$21,0)</x:f>
        <x:v>0</x:v>
      </x:c>
      <x:c r="J138" s="11" t="n">
        <x:f>IF('제외 후보'!AC138&lt;&gt;"",'선정 규칙'!$B$22,0)</x:f>
        <x:v>0</x:v>
      </x:c>
      <x:c r="K138" s="11" t="n">
        <x:f>SUM(B138:J138)</x:f>
        <x:v>50</x:v>
      </x:c>
      <x:c r="L138" s="11" t="n">
        <x:f>'제외 후보'!N138</x:f>
        <x:v>50</x:v>
      </x:c>
      <x:c r="M138" s="2" t="str">
        <x:f>IF(K138=L138,"OK","MISMATCH")</x:f>
        <x:v>OK</x:v>
      </x:c>
    </x:row>
    <x:row r="139">
      <x:c r="A139" s="2" t="str">
        <x:f>'제외 후보'!G139</x:f>
        <x:v>w_1d13264e7f8e8113</x:v>
      </x:c>
      <x:c r="B139" s="11" t="n">
        <x:f>IF('제외 후보'!Q139&lt;&gt;"",'선정 규칙'!$B$4,0)</x:f>
        <x:v>0</x:v>
      </x:c>
      <x:c r="C139" s="11" t="n">
        <x:f>IF(ISNUMBER(SEARCH("jmdict_uncommon_or_irregular",'제외 후보'!P139)),'선정 규칙'!$B$5,IF(ISNUMBER(SEARCH("jmdict_rare_or_dated",'제외 후보'!P139)),'선정 규칙'!$B$6,0))</x:f>
        <x:v>0</x:v>
      </x:c>
      <x:c r="D139" s="11" t="n">
        <x:f>IF(ISNUMBER(SEARCH("jmdict_exact_pair_not_found",'제외 후보'!P139)),'선정 규칙'!$B$7,0)</x:f>
        <x:v>0</x:v>
      </x:c>
      <x:c r="E139" s="11" t="n">
        <x:f>IF(OR('제외 후보'!L139="",'제외 후보'!L139&lt;=0),'선정 규칙'!$B$8,IF('제외 후보'!L139&lt;=1.5,'선정 규칙'!$B$9,IF('제외 후보'!L139&lt;=2,'선정 규칙'!$B$10,IF('제외 후보'!L139&lt;=2.5,'선정 규칙'!$B$11,IF('제외 후보'!L139&lt;=3,'선정 규칙'!$B$12,IF('제외 후보'!L139&lt;=3.5,'선정 규칙'!$B$13,IF('제외 후보'!L139&gt;=4.5,'선정 규칙'!$B$14,0)))))))</x:f>
        <x:v>32</x:v>
      </x:c>
      <x:c r="F139" s="11" t="n">
        <x:f>IF('제외 후보'!Y139=0,'선정 규칙'!$B$15,IF('제외 후보'!Y139&gt;=100,'선정 규칙'!$B$16,'선정 규칙'!$B$17))</x:f>
        <x:v>12</x:v>
      </x:c>
      <x:c r="G139" s="11" t="n">
        <x:f>IF('제외 후보'!M139="있음",'선정 규칙'!$B$18,'선정 규칙'!$B$19)</x:f>
        <x:v>6</x:v>
      </x:c>
      <x:c r="H139" s="11" t="n">
        <x:f>IF(ISNUMBER(SEARCH("freq-core",'제외 후보'!AD139)),'선정 규칙'!$B$20,0)</x:f>
        <x:v>0</x:v>
      </x:c>
      <x:c r="I139" s="11" t="n">
        <x:f>IF(ISNUMBER(SEARCH("weak_legacy_content",'제외 후보'!P139)),'선정 규칙'!$B$21,0)</x:f>
        <x:v>0</x:v>
      </x:c>
      <x:c r="J139" s="11" t="n">
        <x:f>IF('제외 후보'!AC139&lt;&gt;"",'선정 규칙'!$B$22,0)</x:f>
        <x:v>0</x:v>
      </x:c>
      <x:c r="K139" s="11" t="n">
        <x:f>SUM(B139:J139)</x:f>
        <x:v>50</x:v>
      </x:c>
      <x:c r="L139" s="11" t="n">
        <x:f>'제외 후보'!N139</x:f>
        <x:v>50</x:v>
      </x:c>
      <x:c r="M139" s="2" t="str">
        <x:f>IF(K139=L139,"OK","MISMATCH")</x:f>
        <x:v>OK</x:v>
      </x:c>
    </x:row>
    <x:row r="140">
      <x:c r="A140" s="2" t="str">
        <x:f>'제외 후보'!G140</x:f>
        <x:v>w_d8c894b9d0b56bd5</x:v>
      </x:c>
      <x:c r="B140" s="11" t="n">
        <x:f>IF('제외 후보'!Q140&lt;&gt;"",'선정 규칙'!$B$4,0)</x:f>
        <x:v>0</x:v>
      </x:c>
      <x:c r="C140" s="11" t="n">
        <x:f>IF(ISNUMBER(SEARCH("jmdict_uncommon_or_irregular",'제외 후보'!P140)),'선정 규칙'!$B$5,IF(ISNUMBER(SEARCH("jmdict_rare_or_dated",'제외 후보'!P140)),'선정 규칙'!$B$6,0))</x:f>
        <x:v>0</x:v>
      </x:c>
      <x:c r="D140" s="11" t="n">
        <x:f>IF(ISNUMBER(SEARCH("jmdict_exact_pair_not_found",'제외 후보'!P140)),'선정 규칙'!$B$7,0)</x:f>
        <x:v>0</x:v>
      </x:c>
      <x:c r="E140" s="11" t="n">
        <x:f>IF(OR('제외 후보'!L140="",'제외 후보'!L140&lt;=0),'선정 규칙'!$B$8,IF('제외 후보'!L140&lt;=1.5,'선정 규칙'!$B$9,IF('제외 후보'!L140&lt;=2,'선정 규칙'!$B$10,IF('제외 후보'!L140&lt;=2.5,'선정 규칙'!$B$11,IF('제외 후보'!L140&lt;=3,'선정 규칙'!$B$12,IF('제외 후보'!L140&lt;=3.5,'선정 규칙'!$B$13,IF('제외 후보'!L140&gt;=4.5,'선정 규칙'!$B$14,0)))))))</x:f>
        <x:v>26</x:v>
      </x:c>
      <x:c r="F140" s="11" t="n">
        <x:f>IF('제외 후보'!Y140=0,'선정 규칙'!$B$15,IF('제외 후보'!Y140&gt;=100,'선정 규칙'!$B$16,'선정 규칙'!$B$17))</x:f>
        <x:v>12</x:v>
      </x:c>
      <x:c r="G140" s="11" t="n">
        <x:f>IF('제외 후보'!M140="있음",'선정 규칙'!$B$18,'선정 규칙'!$B$19)</x:f>
        <x:v>6</x:v>
      </x:c>
      <x:c r="H140" s="11" t="n">
        <x:f>IF(ISNUMBER(SEARCH("freq-core",'제외 후보'!AD140)),'선정 규칙'!$B$20,0)</x:f>
        <x:v>0</x:v>
      </x:c>
      <x:c r="I140" s="11" t="n">
        <x:f>IF(ISNUMBER(SEARCH("weak_legacy_content",'제외 후보'!P140)),'선정 규칙'!$B$21,0)</x:f>
        <x:v>5</x:v>
      </x:c>
      <x:c r="J140" s="11" t="n">
        <x:f>IF('제외 후보'!AC140&lt;&gt;"",'선정 규칙'!$B$22,0)</x:f>
        <x:v>0</x:v>
      </x:c>
      <x:c r="K140" s="11" t="n">
        <x:f>SUM(B140:J140)</x:f>
        <x:v>49</x:v>
      </x:c>
      <x:c r="L140" s="11" t="n">
        <x:f>'제외 후보'!N140</x:f>
        <x:v>49</x:v>
      </x:c>
      <x:c r="M140" s="2" t="str">
        <x:f>IF(K140=L140,"OK","MISMATCH")</x:f>
        <x:v>OK</x:v>
      </x:c>
    </x:row>
    <x:row r="141">
      <x:c r="A141" s="2" t="str">
        <x:f>'제외 후보'!G141</x:f>
        <x:v>w_ef1c5960fc41724d</x:v>
      </x:c>
      <x:c r="B141" s="11" t="n">
        <x:f>IF('제외 후보'!Q141&lt;&gt;"",'선정 규칙'!$B$4,0)</x:f>
        <x:v>0</x:v>
      </x:c>
      <x:c r="C141" s="11" t="n">
        <x:f>IF(ISNUMBER(SEARCH("jmdict_uncommon_or_irregular",'제외 후보'!P141)),'선정 규칙'!$B$5,IF(ISNUMBER(SEARCH("jmdict_rare_or_dated",'제외 후보'!P141)),'선정 규칙'!$B$6,0))</x:f>
        <x:v>0</x:v>
      </x:c>
      <x:c r="D141" s="11" t="n">
        <x:f>IF(ISNUMBER(SEARCH("jmdict_exact_pair_not_found",'제외 후보'!P141)),'선정 규칙'!$B$7,0)</x:f>
        <x:v>0</x:v>
      </x:c>
      <x:c r="E141" s="11" t="n">
        <x:f>IF(OR('제외 후보'!L141="",'제외 후보'!L141&lt;=0),'선정 규칙'!$B$8,IF('제외 후보'!L141&lt;=1.5,'선정 규칙'!$B$9,IF('제외 후보'!L141&lt;=2,'선정 규칙'!$B$10,IF('제외 후보'!L141&lt;=2.5,'선정 규칙'!$B$11,IF('제외 후보'!L141&lt;=3,'선정 규칙'!$B$12,IF('제외 후보'!L141&lt;=3.5,'선정 규칙'!$B$13,IF('제외 후보'!L141&gt;=4.5,'선정 규칙'!$B$14,0)))))))</x:f>
        <x:v>26</x:v>
      </x:c>
      <x:c r="F141" s="11" t="n">
        <x:f>IF('제외 후보'!Y141=0,'선정 규칙'!$B$15,IF('제외 후보'!Y141&gt;=100,'선정 규칙'!$B$16,'선정 규칙'!$B$17))</x:f>
        <x:v>12</x:v>
      </x:c>
      <x:c r="G141" s="11" t="n">
        <x:f>IF('제외 후보'!M141="있음",'선정 규칙'!$B$18,'선정 규칙'!$B$19)</x:f>
        <x:v>6</x:v>
      </x:c>
      <x:c r="H141" s="11" t="n">
        <x:f>IF(ISNUMBER(SEARCH("freq-core",'제외 후보'!AD141)),'선정 규칙'!$B$20,0)</x:f>
        <x:v>0</x:v>
      </x:c>
      <x:c r="I141" s="11" t="n">
        <x:f>IF(ISNUMBER(SEARCH("weak_legacy_content",'제외 후보'!P141)),'선정 규칙'!$B$21,0)</x:f>
        <x:v>5</x:v>
      </x:c>
      <x:c r="J141" s="11" t="n">
        <x:f>IF('제외 후보'!AC141&lt;&gt;"",'선정 규칙'!$B$22,0)</x:f>
        <x:v>0</x:v>
      </x:c>
      <x:c r="K141" s="11" t="n">
        <x:f>SUM(B141:J141)</x:f>
        <x:v>49</x:v>
      </x:c>
      <x:c r="L141" s="11" t="n">
        <x:f>'제외 후보'!N141</x:f>
        <x:v>49</x:v>
      </x:c>
      <x:c r="M141" s="2" t="str">
        <x:f>IF(K141=L141,"OK","MISMATCH")</x:f>
        <x:v>OK</x:v>
      </x:c>
    </x:row>
    <x:row r="142">
      <x:c r="A142" s="2" t="str">
        <x:f>'제외 후보'!G142</x:f>
        <x:v>w_4c88110f6a425af8</x:v>
      </x:c>
      <x:c r="B142" s="11" t="n">
        <x:f>IF('제외 후보'!Q142&lt;&gt;"",'선정 규칙'!$B$4,0)</x:f>
        <x:v>0</x:v>
      </x:c>
      <x:c r="C142" s="11" t="n">
        <x:f>IF(ISNUMBER(SEARCH("jmdict_uncommon_or_irregular",'제외 후보'!P142)),'선정 규칙'!$B$5,IF(ISNUMBER(SEARCH("jmdict_rare_or_dated",'제외 후보'!P142)),'선정 규칙'!$B$6,0))</x:f>
        <x:v>0</x:v>
      </x:c>
      <x:c r="D142" s="11" t="n">
        <x:f>IF(ISNUMBER(SEARCH("jmdict_exact_pair_not_found",'제외 후보'!P142)),'선정 규칙'!$B$7,0)</x:f>
        <x:v>0</x:v>
      </x:c>
      <x:c r="E142" s="11" t="n">
        <x:f>IF(OR('제외 후보'!L142="",'제외 후보'!L142&lt;=0),'선정 규칙'!$B$8,IF('제외 후보'!L142&lt;=1.5,'선정 규칙'!$B$9,IF('제외 후보'!L142&lt;=2,'선정 규칙'!$B$10,IF('제외 후보'!L142&lt;=2.5,'선정 규칙'!$B$11,IF('제외 후보'!L142&lt;=3,'선정 규칙'!$B$12,IF('제외 후보'!L142&lt;=3.5,'선정 규칙'!$B$13,IF('제외 후보'!L142&gt;=4.5,'선정 규칙'!$B$14,0)))))))</x:f>
        <x:v>26</x:v>
      </x:c>
      <x:c r="F142" s="11" t="n">
        <x:f>IF('제외 후보'!Y142=0,'선정 규칙'!$B$15,IF('제외 후보'!Y142&gt;=100,'선정 규칙'!$B$16,'선정 규칙'!$B$17))</x:f>
        <x:v>12</x:v>
      </x:c>
      <x:c r="G142" s="11" t="n">
        <x:f>IF('제외 후보'!M142="있음",'선정 규칙'!$B$18,'선정 규칙'!$B$19)</x:f>
        <x:v>6</x:v>
      </x:c>
      <x:c r="H142" s="11" t="n">
        <x:f>IF(ISNUMBER(SEARCH("freq-core",'제외 후보'!AD142)),'선정 규칙'!$B$20,0)</x:f>
        <x:v>0</x:v>
      </x:c>
      <x:c r="I142" s="11" t="n">
        <x:f>IF(ISNUMBER(SEARCH("weak_legacy_content",'제외 후보'!P142)),'선정 규칙'!$B$21,0)</x:f>
        <x:v>5</x:v>
      </x:c>
      <x:c r="J142" s="11" t="n">
        <x:f>IF('제외 후보'!AC142&lt;&gt;"",'선정 규칙'!$B$22,0)</x:f>
        <x:v>0</x:v>
      </x:c>
      <x:c r="K142" s="11" t="n">
        <x:f>SUM(B142:J142)</x:f>
        <x:v>49</x:v>
      </x:c>
      <x:c r="L142" s="11" t="n">
        <x:f>'제외 후보'!N142</x:f>
        <x:v>49</x:v>
      </x:c>
      <x:c r="M142" s="2" t="str">
        <x:f>IF(K142=L142,"OK","MISMATCH")</x:f>
        <x:v>OK</x:v>
      </x:c>
    </x:row>
    <x:row r="143">
      <x:c r="A143" s="2" t="str">
        <x:f>'제외 후보'!G143</x:f>
        <x:v>w_9012d41b62a0fdef</x:v>
      </x:c>
      <x:c r="B143" s="11" t="n">
        <x:f>IF('제외 후보'!Q143&lt;&gt;"",'선정 규칙'!$B$4,0)</x:f>
        <x:v>0</x:v>
      </x:c>
      <x:c r="C143" s="11" t="n">
        <x:f>IF(ISNUMBER(SEARCH("jmdict_uncommon_or_irregular",'제외 후보'!P143)),'선정 규칙'!$B$5,IF(ISNUMBER(SEARCH("jmdict_rare_or_dated",'제외 후보'!P143)),'선정 규칙'!$B$6,0))</x:f>
        <x:v>0</x:v>
      </x:c>
      <x:c r="D143" s="11" t="n">
        <x:f>IF(ISNUMBER(SEARCH("jmdict_exact_pair_not_found",'제외 후보'!P143)),'선정 규칙'!$B$7,0)</x:f>
        <x:v>0</x:v>
      </x:c>
      <x:c r="E143" s="11" t="n">
        <x:f>IF(OR('제외 후보'!L143="",'제외 후보'!L143&lt;=0),'선정 규칙'!$B$8,IF('제외 후보'!L143&lt;=1.5,'선정 규칙'!$B$9,IF('제외 후보'!L143&lt;=2,'선정 규칙'!$B$10,IF('제외 후보'!L143&lt;=2.5,'선정 규칙'!$B$11,IF('제외 후보'!L143&lt;=3,'선정 규칙'!$B$12,IF('제외 후보'!L143&lt;=3.5,'선정 규칙'!$B$13,IF('제외 후보'!L143&gt;=4.5,'선정 규칙'!$B$14,0)))))))</x:f>
        <x:v>26</x:v>
      </x:c>
      <x:c r="F143" s="11" t="n">
        <x:f>IF('제외 후보'!Y143=0,'선정 규칙'!$B$15,IF('제외 후보'!Y143&gt;=100,'선정 규칙'!$B$16,'선정 규칙'!$B$17))</x:f>
        <x:v>12</x:v>
      </x:c>
      <x:c r="G143" s="11" t="n">
        <x:f>IF('제외 후보'!M143="있음",'선정 규칙'!$B$18,'선정 규칙'!$B$19)</x:f>
        <x:v>6</x:v>
      </x:c>
      <x:c r="H143" s="11" t="n">
        <x:f>IF(ISNUMBER(SEARCH("freq-core",'제외 후보'!AD143)),'선정 규칙'!$B$20,0)</x:f>
        <x:v>0</x:v>
      </x:c>
      <x:c r="I143" s="11" t="n">
        <x:f>IF(ISNUMBER(SEARCH("weak_legacy_content",'제외 후보'!P143)),'선정 규칙'!$B$21,0)</x:f>
        <x:v>5</x:v>
      </x:c>
      <x:c r="J143" s="11" t="n">
        <x:f>IF('제외 후보'!AC143&lt;&gt;"",'선정 규칙'!$B$22,0)</x:f>
        <x:v>0</x:v>
      </x:c>
      <x:c r="K143" s="11" t="n">
        <x:f>SUM(B143:J143)</x:f>
        <x:v>49</x:v>
      </x:c>
      <x:c r="L143" s="11" t="n">
        <x:f>'제외 후보'!N143</x:f>
        <x:v>49</x:v>
      </x:c>
      <x:c r="M143" s="2" t="str">
        <x:f>IF(K143=L143,"OK","MISMATCH")</x:f>
        <x:v>OK</x:v>
      </x:c>
    </x:row>
    <x:row r="144">
      <x:c r="A144" s="2" t="str">
        <x:f>'제외 후보'!G144</x:f>
        <x:v>w_927fd41084037694</x:v>
      </x:c>
      <x:c r="B144" s="11" t="n">
        <x:f>IF('제외 후보'!Q144&lt;&gt;"",'선정 규칙'!$B$4,0)</x:f>
        <x:v>0</x:v>
      </x:c>
      <x:c r="C144" s="11" t="n">
        <x:f>IF(ISNUMBER(SEARCH("jmdict_uncommon_or_irregular",'제외 후보'!P144)),'선정 규칙'!$B$5,IF(ISNUMBER(SEARCH("jmdict_rare_or_dated",'제외 후보'!P144)),'선정 규칙'!$B$6,0))</x:f>
        <x:v>0</x:v>
      </x:c>
      <x:c r="D144" s="11" t="n">
        <x:f>IF(ISNUMBER(SEARCH("jmdict_exact_pair_not_found",'제외 후보'!P144)),'선정 규칙'!$B$7,0)</x:f>
        <x:v>0</x:v>
      </x:c>
      <x:c r="E144" s="11" t="n">
        <x:f>IF(OR('제외 후보'!L144="",'제외 후보'!L144&lt;=0),'선정 규칙'!$B$8,IF('제외 후보'!L144&lt;=1.5,'선정 규칙'!$B$9,IF('제외 후보'!L144&lt;=2,'선정 규칙'!$B$10,IF('제외 후보'!L144&lt;=2.5,'선정 규칙'!$B$11,IF('제외 후보'!L144&lt;=3,'선정 규칙'!$B$12,IF('제외 후보'!L144&lt;=3.5,'선정 규칙'!$B$13,IF('제외 후보'!L144&gt;=4.5,'선정 규칙'!$B$14,0)))))))</x:f>
        <x:v>26</x:v>
      </x:c>
      <x:c r="F144" s="11" t="n">
        <x:f>IF('제외 후보'!Y144=0,'선정 규칙'!$B$15,IF('제외 후보'!Y144&gt;=100,'선정 규칙'!$B$16,'선정 규칙'!$B$17))</x:f>
        <x:v>12</x:v>
      </x:c>
      <x:c r="G144" s="11" t="n">
        <x:f>IF('제외 후보'!M144="있음",'선정 규칙'!$B$18,'선정 규칙'!$B$19)</x:f>
        <x:v>6</x:v>
      </x:c>
      <x:c r="H144" s="11" t="n">
        <x:f>IF(ISNUMBER(SEARCH("freq-core",'제외 후보'!AD144)),'선정 규칙'!$B$20,0)</x:f>
        <x:v>0</x:v>
      </x:c>
      <x:c r="I144" s="11" t="n">
        <x:f>IF(ISNUMBER(SEARCH("weak_legacy_content",'제외 후보'!P144)),'선정 규칙'!$B$21,0)</x:f>
        <x:v>5</x:v>
      </x:c>
      <x:c r="J144" s="11" t="n">
        <x:f>IF('제외 후보'!AC144&lt;&gt;"",'선정 규칙'!$B$22,0)</x:f>
        <x:v>0</x:v>
      </x:c>
      <x:c r="K144" s="11" t="n">
        <x:f>SUM(B144:J144)</x:f>
        <x:v>49</x:v>
      </x:c>
      <x:c r="L144" s="11" t="n">
        <x:f>'제외 후보'!N144</x:f>
        <x:v>49</x:v>
      </x:c>
      <x:c r="M144" s="2" t="str">
        <x:f>IF(K144=L144,"OK","MISMATCH")</x:f>
        <x:v>OK</x:v>
      </x:c>
    </x:row>
    <x:row r="145">
      <x:c r="A145" s="2" t="str">
        <x:f>'제외 후보'!G145</x:f>
        <x:v>w_f58698f88c6b5763</x:v>
      </x:c>
      <x:c r="B145" s="11" t="n">
        <x:f>IF('제외 후보'!Q145&lt;&gt;"",'선정 규칙'!$B$4,0)</x:f>
        <x:v>0</x:v>
      </x:c>
      <x:c r="C145" s="11" t="n">
        <x:f>IF(ISNUMBER(SEARCH("jmdict_uncommon_or_irregular",'제외 후보'!P145)),'선정 규칙'!$B$5,IF(ISNUMBER(SEARCH("jmdict_rare_or_dated",'제외 후보'!P145)),'선정 규칙'!$B$6,0))</x:f>
        <x:v>0</x:v>
      </x:c>
      <x:c r="D145" s="11" t="n">
        <x:f>IF(ISNUMBER(SEARCH("jmdict_exact_pair_not_found",'제외 후보'!P145)),'선정 규칙'!$B$7,0)</x:f>
        <x:v>0</x:v>
      </x:c>
      <x:c r="E145" s="11" t="n">
        <x:f>IF(OR('제외 후보'!L145="",'제외 후보'!L145&lt;=0),'선정 규칙'!$B$8,IF('제외 후보'!L145&lt;=1.5,'선정 규칙'!$B$9,IF('제외 후보'!L145&lt;=2,'선정 규칙'!$B$10,IF('제외 후보'!L145&lt;=2.5,'선정 규칙'!$B$11,IF('제외 후보'!L145&lt;=3,'선정 규칙'!$B$12,IF('제외 후보'!L145&lt;=3.5,'선정 규칙'!$B$13,IF('제외 후보'!L145&gt;=4.5,'선정 규칙'!$B$14,0)))))))</x:f>
        <x:v>26</x:v>
      </x:c>
      <x:c r="F145" s="11" t="n">
        <x:f>IF('제외 후보'!Y145=0,'선정 규칙'!$B$15,IF('제외 후보'!Y145&gt;=100,'선정 규칙'!$B$16,'선정 규칙'!$B$17))</x:f>
        <x:v>12</x:v>
      </x:c>
      <x:c r="G145" s="11" t="n">
        <x:f>IF('제외 후보'!M145="있음",'선정 규칙'!$B$18,'선정 규칙'!$B$19)</x:f>
        <x:v>6</x:v>
      </x:c>
      <x:c r="H145" s="11" t="n">
        <x:f>IF(ISNUMBER(SEARCH("freq-core",'제외 후보'!AD145)),'선정 규칙'!$B$20,0)</x:f>
        <x:v>0</x:v>
      </x:c>
      <x:c r="I145" s="11" t="n">
        <x:f>IF(ISNUMBER(SEARCH("weak_legacy_content",'제외 후보'!P145)),'선정 규칙'!$B$21,0)</x:f>
        <x:v>5</x:v>
      </x:c>
      <x:c r="J145" s="11" t="n">
        <x:f>IF('제외 후보'!AC145&lt;&gt;"",'선정 규칙'!$B$22,0)</x:f>
        <x:v>0</x:v>
      </x:c>
      <x:c r="K145" s="11" t="n">
        <x:f>SUM(B145:J145)</x:f>
        <x:v>49</x:v>
      </x:c>
      <x:c r="L145" s="11" t="n">
        <x:f>'제외 후보'!N145</x:f>
        <x:v>49</x:v>
      </x:c>
      <x:c r="M145" s="2" t="str">
        <x:f>IF(K145=L145,"OK","MISMATCH")</x:f>
        <x:v>OK</x:v>
      </x:c>
    </x:row>
    <x:row r="146">
      <x:c r="A146" s="2" t="str">
        <x:f>'제외 후보'!G146</x:f>
        <x:v>w_862e7dc7752c08d6</x:v>
      </x:c>
      <x:c r="B146" s="11" t="n">
        <x:f>IF('제외 후보'!Q146&lt;&gt;"",'선정 규칙'!$B$4,0)</x:f>
        <x:v>0</x:v>
      </x:c>
      <x:c r="C146" s="11" t="n">
        <x:f>IF(ISNUMBER(SEARCH("jmdict_uncommon_or_irregular",'제외 후보'!P146)),'선정 규칙'!$B$5,IF(ISNUMBER(SEARCH("jmdict_rare_or_dated",'제외 후보'!P146)),'선정 규칙'!$B$6,0))</x:f>
        <x:v>0</x:v>
      </x:c>
      <x:c r="D146" s="11" t="n">
        <x:f>IF(ISNUMBER(SEARCH("jmdict_exact_pair_not_found",'제외 후보'!P146)),'선정 규칙'!$B$7,0)</x:f>
        <x:v>0</x:v>
      </x:c>
      <x:c r="E146" s="11" t="n">
        <x:f>IF(OR('제외 후보'!L146="",'제외 후보'!L146&lt;=0),'선정 규칙'!$B$8,IF('제외 후보'!L146&lt;=1.5,'선정 규칙'!$B$9,IF('제외 후보'!L146&lt;=2,'선정 규칙'!$B$10,IF('제외 후보'!L146&lt;=2.5,'선정 규칙'!$B$11,IF('제외 후보'!L146&lt;=3,'선정 규칙'!$B$12,IF('제외 후보'!L146&lt;=3.5,'선정 규칙'!$B$13,IF('제외 후보'!L146&gt;=4.5,'선정 규칙'!$B$14,0)))))))</x:f>
        <x:v>26</x:v>
      </x:c>
      <x:c r="F146" s="11" t="n">
        <x:f>IF('제외 후보'!Y146=0,'선정 규칙'!$B$15,IF('제외 후보'!Y146&gt;=100,'선정 규칙'!$B$16,'선정 규칙'!$B$17))</x:f>
        <x:v>12</x:v>
      </x:c>
      <x:c r="G146" s="11" t="n">
        <x:f>IF('제외 후보'!M146="있음",'선정 규칙'!$B$18,'선정 규칙'!$B$19)</x:f>
        <x:v>6</x:v>
      </x:c>
      <x:c r="H146" s="11" t="n">
        <x:f>IF(ISNUMBER(SEARCH("freq-core",'제외 후보'!AD146)),'선정 규칙'!$B$20,0)</x:f>
        <x:v>0</x:v>
      </x:c>
      <x:c r="I146" s="11" t="n">
        <x:f>IF(ISNUMBER(SEARCH("weak_legacy_content",'제외 후보'!P146)),'선정 규칙'!$B$21,0)</x:f>
        <x:v>5</x:v>
      </x:c>
      <x:c r="J146" s="11" t="n">
        <x:f>IF('제외 후보'!AC146&lt;&gt;"",'선정 규칙'!$B$22,0)</x:f>
        <x:v>0</x:v>
      </x:c>
      <x:c r="K146" s="11" t="n">
        <x:f>SUM(B146:J146)</x:f>
        <x:v>49</x:v>
      </x:c>
      <x:c r="L146" s="11" t="n">
        <x:f>'제외 후보'!N146</x:f>
        <x:v>49</x:v>
      </x:c>
      <x:c r="M146" s="2" t="str">
        <x:f>IF(K146=L146,"OK","MISMATCH")</x:f>
        <x:v>OK</x:v>
      </x:c>
    </x:row>
    <x:row r="147">
      <x:c r="A147" s="2" t="str">
        <x:f>'제외 후보'!G147</x:f>
        <x:v>w_15250f716c78bbf5</x:v>
      </x:c>
      <x:c r="B147" s="11" t="n">
        <x:f>IF('제외 후보'!Q147&lt;&gt;"",'선정 규칙'!$B$4,0)</x:f>
        <x:v>0</x:v>
      </x:c>
      <x:c r="C147" s="11" t="n">
        <x:f>IF(ISNUMBER(SEARCH("jmdict_uncommon_or_irregular",'제외 후보'!P147)),'선정 규칙'!$B$5,IF(ISNUMBER(SEARCH("jmdict_rare_or_dated",'제외 후보'!P147)),'선정 규칙'!$B$6,0))</x:f>
        <x:v>0</x:v>
      </x:c>
      <x:c r="D147" s="11" t="n">
        <x:f>IF(ISNUMBER(SEARCH("jmdict_exact_pair_not_found",'제외 후보'!P147)),'선정 규칙'!$B$7,0)</x:f>
        <x:v>0</x:v>
      </x:c>
      <x:c r="E147" s="11" t="n">
        <x:f>IF(OR('제외 후보'!L147="",'제외 후보'!L147&lt;=0),'선정 규칙'!$B$8,IF('제외 후보'!L147&lt;=1.5,'선정 규칙'!$B$9,IF('제외 후보'!L147&lt;=2,'선정 규칙'!$B$10,IF('제외 후보'!L147&lt;=2.5,'선정 규칙'!$B$11,IF('제외 후보'!L147&lt;=3,'선정 규칙'!$B$12,IF('제외 후보'!L147&lt;=3.5,'선정 규칙'!$B$13,IF('제외 후보'!L147&gt;=4.5,'선정 규칙'!$B$14,0)))))))</x:f>
        <x:v>26</x:v>
      </x:c>
      <x:c r="F147" s="11" t="n">
        <x:f>IF('제외 후보'!Y147=0,'선정 규칙'!$B$15,IF('제외 후보'!Y147&gt;=100,'선정 규칙'!$B$16,'선정 규칙'!$B$17))</x:f>
        <x:v>12</x:v>
      </x:c>
      <x:c r="G147" s="11" t="n">
        <x:f>IF('제외 후보'!M147="있음",'선정 규칙'!$B$18,'선정 규칙'!$B$19)</x:f>
        <x:v>6</x:v>
      </x:c>
      <x:c r="H147" s="11" t="n">
        <x:f>IF(ISNUMBER(SEARCH("freq-core",'제외 후보'!AD147)),'선정 규칙'!$B$20,0)</x:f>
        <x:v>0</x:v>
      </x:c>
      <x:c r="I147" s="11" t="n">
        <x:f>IF(ISNUMBER(SEARCH("weak_legacy_content",'제외 후보'!P147)),'선정 규칙'!$B$21,0)</x:f>
        <x:v>5</x:v>
      </x:c>
      <x:c r="J147" s="11" t="n">
        <x:f>IF('제외 후보'!AC147&lt;&gt;"",'선정 규칙'!$B$22,0)</x:f>
        <x:v>0</x:v>
      </x:c>
      <x:c r="K147" s="11" t="n">
        <x:f>SUM(B147:J147)</x:f>
        <x:v>49</x:v>
      </x:c>
      <x:c r="L147" s="11" t="n">
        <x:f>'제외 후보'!N147</x:f>
        <x:v>49</x:v>
      </x:c>
      <x:c r="M147" s="2" t="str">
        <x:f>IF(K147=L147,"OK","MISMATCH")</x:f>
        <x:v>OK</x:v>
      </x:c>
    </x:row>
    <x:row r="148">
      <x:c r="A148" s="2" t="str">
        <x:f>'제외 후보'!G148</x:f>
        <x:v>w_f991eddfc128284f</x:v>
      </x:c>
      <x:c r="B148" s="11" t="n">
        <x:f>IF('제외 후보'!Q148&lt;&gt;"",'선정 규칙'!$B$4,0)</x:f>
        <x:v>0</x:v>
      </x:c>
      <x:c r="C148" s="11" t="n">
        <x:f>IF(ISNUMBER(SEARCH("jmdict_uncommon_or_irregular",'제외 후보'!P148)),'선정 규칙'!$B$5,IF(ISNUMBER(SEARCH("jmdict_rare_or_dated",'제외 후보'!P148)),'선정 규칙'!$B$6,0))</x:f>
        <x:v>0</x:v>
      </x:c>
      <x:c r="D148" s="11" t="n">
        <x:f>IF(ISNUMBER(SEARCH("jmdict_exact_pair_not_found",'제외 후보'!P148)),'선정 규칙'!$B$7,0)</x:f>
        <x:v>0</x:v>
      </x:c>
      <x:c r="E148" s="11" t="n">
        <x:f>IF(OR('제외 후보'!L148="",'제외 후보'!L148&lt;=0),'선정 규칙'!$B$8,IF('제외 후보'!L148&lt;=1.5,'선정 규칙'!$B$9,IF('제외 후보'!L148&lt;=2,'선정 규칙'!$B$10,IF('제외 후보'!L148&lt;=2.5,'선정 규칙'!$B$11,IF('제외 후보'!L148&lt;=3,'선정 규칙'!$B$12,IF('제외 후보'!L148&lt;=3.5,'선정 규칙'!$B$13,IF('제외 후보'!L148&gt;=4.5,'선정 규칙'!$B$14,0)))))))</x:f>
        <x:v>26</x:v>
      </x:c>
      <x:c r="F148" s="11" t="n">
        <x:f>IF('제외 후보'!Y148=0,'선정 규칙'!$B$15,IF('제외 후보'!Y148&gt;=100,'선정 규칙'!$B$16,'선정 규칙'!$B$17))</x:f>
        <x:v>12</x:v>
      </x:c>
      <x:c r="G148" s="11" t="n">
        <x:f>IF('제외 후보'!M148="있음",'선정 규칙'!$B$18,'선정 규칙'!$B$19)</x:f>
        <x:v>6</x:v>
      </x:c>
      <x:c r="H148" s="11" t="n">
        <x:f>IF(ISNUMBER(SEARCH("freq-core",'제외 후보'!AD148)),'선정 규칙'!$B$20,0)</x:f>
        <x:v>0</x:v>
      </x:c>
      <x:c r="I148" s="11" t="n">
        <x:f>IF(ISNUMBER(SEARCH("weak_legacy_content",'제외 후보'!P148)),'선정 규칙'!$B$21,0)</x:f>
        <x:v>5</x:v>
      </x:c>
      <x:c r="J148" s="11" t="n">
        <x:f>IF('제외 후보'!AC148&lt;&gt;"",'선정 규칙'!$B$22,0)</x:f>
        <x:v>0</x:v>
      </x:c>
      <x:c r="K148" s="11" t="n">
        <x:f>SUM(B148:J148)</x:f>
        <x:v>49</x:v>
      </x:c>
      <x:c r="L148" s="11" t="n">
        <x:f>'제외 후보'!N148</x:f>
        <x:v>49</x:v>
      </x:c>
      <x:c r="M148" s="2" t="str">
        <x:f>IF(K148=L148,"OK","MISMATCH")</x:f>
        <x:v>OK</x:v>
      </x:c>
    </x:row>
    <x:row r="149">
      <x:c r="A149" s="2" t="str">
        <x:f>'제외 후보'!G149</x:f>
        <x:v>w_e69fbb37694a99ab</x:v>
      </x:c>
      <x:c r="B149" s="11" t="n">
        <x:f>IF('제외 후보'!Q149&lt;&gt;"",'선정 규칙'!$B$4,0)</x:f>
        <x:v>0</x:v>
      </x:c>
      <x:c r="C149" s="11" t="n">
        <x:f>IF(ISNUMBER(SEARCH("jmdict_uncommon_or_irregular",'제외 후보'!P149)),'선정 규칙'!$B$5,IF(ISNUMBER(SEARCH("jmdict_rare_or_dated",'제외 후보'!P149)),'선정 규칙'!$B$6,0))</x:f>
        <x:v>0</x:v>
      </x:c>
      <x:c r="D149" s="11" t="n">
        <x:f>IF(ISNUMBER(SEARCH("jmdict_exact_pair_not_found",'제외 후보'!P149)),'선정 규칙'!$B$7,0)</x:f>
        <x:v>35</x:v>
      </x:c>
      <x:c r="E149" s="11" t="n">
        <x:f>IF(OR('제외 후보'!L149="",'제외 후보'!L149&lt;=0),'선정 규칙'!$B$8,IF('제외 후보'!L149&lt;=1.5,'선정 규칙'!$B$9,IF('제외 후보'!L149&lt;=2,'선정 규칙'!$B$10,IF('제외 후보'!L149&lt;=2.5,'선정 규칙'!$B$11,IF('제외 후보'!L149&lt;=3,'선정 규칙'!$B$12,IF('제외 후보'!L149&lt;=3.5,'선정 규칙'!$B$13,IF('제외 후보'!L149&gt;=4.5,'선정 규칙'!$B$14,0)))))))</x:f>
        <x:v>26</x:v>
      </x:c>
      <x:c r="F149" s="11" t="n">
        <x:f>IF('제외 후보'!Y149=0,'선정 규칙'!$B$15,IF('제외 후보'!Y149&gt;=100,'선정 규칙'!$B$16,'선정 규칙'!$B$17))</x:f>
        <x:v>12</x:v>
      </x:c>
      <x:c r="G149" s="11" t="n">
        <x:f>IF('제외 후보'!M149="있음",'선정 규칙'!$B$18,'선정 규칙'!$B$19)</x:f>
        <x:v>-25</x:v>
      </x:c>
      <x:c r="H149" s="11" t="n">
        <x:f>IF(ISNUMBER(SEARCH("freq-core",'제외 후보'!AD149)),'선정 규칙'!$B$20,0)</x:f>
        <x:v>0</x:v>
      </x:c>
      <x:c r="I149" s="11" t="n">
        <x:f>IF(ISNUMBER(SEARCH("weak_legacy_content",'제외 후보'!P149)),'선정 규칙'!$B$21,0)</x:f>
        <x:v>0</x:v>
      </x:c>
      <x:c r="J149" s="11" t="n">
        <x:f>IF('제외 후보'!AC149&lt;&gt;"",'선정 규칙'!$B$22,0)</x:f>
        <x:v>0</x:v>
      </x:c>
      <x:c r="K149" s="11" t="n">
        <x:f>SUM(B149:J149)</x:f>
        <x:v>48</x:v>
      </x:c>
      <x:c r="L149" s="11" t="n">
        <x:f>'제외 후보'!N149</x:f>
        <x:v>48</x:v>
      </x:c>
      <x:c r="M149" s="2" t="str">
        <x:f>IF(K149=L149,"OK","MISMATCH")</x:f>
        <x:v>OK</x:v>
      </x:c>
    </x:row>
    <x:row r="150">
      <x:c r="A150" s="2" t="str">
        <x:f>'제외 후보'!G150</x:f>
        <x:v>w_7212438dde477025</x:v>
      </x:c>
      <x:c r="B150" s="11" t="n">
        <x:f>IF('제외 후보'!Q150&lt;&gt;"",'선정 규칙'!$B$4,0)</x:f>
        <x:v>0</x:v>
      </x:c>
      <x:c r="C150" s="11" t="n">
        <x:f>IF(ISNUMBER(SEARCH("jmdict_uncommon_or_irregular",'제외 후보'!P150)),'선정 규칙'!$B$5,IF(ISNUMBER(SEARCH("jmdict_rare_or_dated",'제외 후보'!P150)),'선정 규칙'!$B$6,0))</x:f>
        <x:v>50</x:v>
      </x:c>
      <x:c r="D150" s="11" t="n">
        <x:f>IF(ISNUMBER(SEARCH("jmdict_exact_pair_not_found",'제외 후보'!P150)),'선정 규칙'!$B$7,0)</x:f>
        <x:v>0</x:v>
      </x:c>
      <x:c r="E150" s="11" t="n">
        <x:f>IF(OR('제외 후보'!L150="",'제외 후보'!L150&lt;=0),'선정 규칙'!$B$8,IF('제외 후보'!L150&lt;=1.5,'선정 규칙'!$B$9,IF('제외 후보'!L150&lt;=2,'선정 규칙'!$B$10,IF('제외 후보'!L150&lt;=2.5,'선정 규칙'!$B$11,IF('제외 후보'!L150&lt;=3,'선정 규칙'!$B$12,IF('제외 후보'!L150&lt;=3.5,'선정 규칙'!$B$13,IF('제외 후보'!L150&gt;=4.5,'선정 규칙'!$B$14,0)))))))</x:f>
        <x:v>12</x:v>
      </x:c>
      <x:c r="F150" s="11" t="n">
        <x:f>IF('제외 후보'!Y150=0,'선정 규칙'!$B$15,IF('제외 후보'!Y150&gt;=100,'선정 규칙'!$B$16,'선정 규칙'!$B$17))</x:f>
        <x:v>-25</x:v>
      </x:c>
      <x:c r="G150" s="11" t="n">
        <x:f>IF('제외 후보'!M150="있음",'선정 규칙'!$B$18,'선정 규칙'!$B$19)</x:f>
        <x:v>6</x:v>
      </x:c>
      <x:c r="H150" s="11" t="n">
        <x:f>IF(ISNUMBER(SEARCH("freq-core",'제외 후보'!AD150)),'선정 규칙'!$B$20,0)</x:f>
        <x:v>0</x:v>
      </x:c>
      <x:c r="I150" s="11" t="n">
        <x:f>IF(ISNUMBER(SEARCH("weak_legacy_content",'제외 후보'!P150)),'선정 규칙'!$B$21,0)</x:f>
        <x:v>5</x:v>
      </x:c>
      <x:c r="J150" s="11" t="n">
        <x:f>IF('제외 후보'!AC150&lt;&gt;"",'선정 규칙'!$B$22,0)</x:f>
        <x:v>0</x:v>
      </x:c>
      <x:c r="K150" s="11" t="n">
        <x:f>SUM(B150:J150)</x:f>
        <x:v>48</x:v>
      </x:c>
      <x:c r="L150" s="11" t="n">
        <x:f>'제외 후보'!N150</x:f>
        <x:v>48</x:v>
      </x:c>
      <x:c r="M150" s="2" t="str">
        <x:f>IF(K150=L150,"OK","MISMATCH")</x:f>
        <x:v>OK</x:v>
      </x:c>
    </x:row>
    <x:row r="151">
      <x:c r="A151" s="2" t="str">
        <x:f>'제외 후보'!G151</x:f>
        <x:v>w_5c52557ecb180f3d</x:v>
      </x:c>
      <x:c r="B151" s="11" t="n">
        <x:f>IF('제외 후보'!Q151&lt;&gt;"",'선정 규칙'!$B$4,0)</x:f>
        <x:v>60</x:v>
      </x:c>
      <x:c r="C151" s="11" t="n">
        <x:f>IF(ISNUMBER(SEARCH("jmdict_uncommon_or_irregular",'제외 후보'!P151)),'선정 규칙'!$B$5,IF(ISNUMBER(SEARCH("jmdict_rare_or_dated",'제외 후보'!P151)),'선정 규칙'!$B$6,0))</x:f>
        <x:v>0</x:v>
      </x:c>
      <x:c r="D151" s="11" t="n">
        <x:f>IF(ISNUMBER(SEARCH("jmdict_exact_pair_not_found",'제외 후보'!P151)),'선정 규칙'!$B$7,0)</x:f>
        <x:v>0</x:v>
      </x:c>
      <x:c r="E151" s="11" t="n">
        <x:f>IF(OR('제외 후보'!L151="",'제외 후보'!L151&lt;=0),'선정 규칙'!$B$8,IF('제외 후보'!L151&lt;=1.5,'선정 규칙'!$B$9,IF('제외 후보'!L151&lt;=2,'선정 규칙'!$B$10,IF('제외 후보'!L151&lt;=2.5,'선정 규칙'!$B$11,IF('제외 후보'!L151&lt;=3,'선정 규칙'!$B$12,IF('제외 후보'!L151&lt;=3.5,'선정 규칙'!$B$13,IF('제외 후보'!L151&gt;=4.5,'선정 규칙'!$B$14,0)))))))</x:f>
        <x:v>6</x:v>
      </x:c>
      <x:c r="F151" s="11" t="n">
        <x:f>IF('제외 후보'!Y151=0,'선정 규칙'!$B$15,IF('제외 후보'!Y151&gt;=100,'선정 규칙'!$B$16,'선정 규칙'!$B$17))</x:f>
        <x:v>-25</x:v>
      </x:c>
      <x:c r="G151" s="11" t="n">
        <x:f>IF('제외 후보'!M151="있음",'선정 규칙'!$B$18,'선정 규칙'!$B$19)</x:f>
        <x:v>6</x:v>
      </x:c>
      <x:c r="H151" s="11" t="n">
        <x:f>IF(ISNUMBER(SEARCH("freq-core",'제외 후보'!AD151)),'선정 규칙'!$B$20,0)</x:f>
        <x:v>0</x:v>
      </x:c>
      <x:c r="I151" s="11" t="n">
        <x:f>IF(ISNUMBER(SEARCH("weak_legacy_content",'제외 후보'!P151)),'선정 규칙'!$B$21,0)</x:f>
        <x:v>0</x:v>
      </x:c>
      <x:c r="J151" s="11" t="n">
        <x:f>IF('제외 후보'!AC151&lt;&gt;"",'선정 규칙'!$B$22,0)</x:f>
        <x:v>0</x:v>
      </x:c>
      <x:c r="K151" s="11" t="n">
        <x:f>SUM(B151:J151)</x:f>
        <x:v>47</x:v>
      </x:c>
      <x:c r="L151" s="11" t="n">
        <x:f>'제외 후보'!N151</x:f>
        <x:v>47</x:v>
      </x:c>
      <x:c r="M151" s="2" t="str">
        <x:f>IF(K151=L151,"OK","MISMATCH")</x:f>
        <x:v>OK</x:v>
      </x:c>
    </x:row>
    <x:row r="152">
      <x:c r="A152" s="2" t="str">
        <x:f>'제외 후보'!G152</x:f>
        <x:v>w_9d2f5c112f059ee4</x:v>
      </x:c>
      <x:c r="B152" s="11" t="n">
        <x:f>IF('제외 후보'!Q152&lt;&gt;"",'선정 규칙'!$B$4,0)</x:f>
        <x:v>60</x:v>
      </x:c>
      <x:c r="C152" s="11" t="n">
        <x:f>IF(ISNUMBER(SEARCH("jmdict_uncommon_or_irregular",'제외 후보'!P152)),'선정 규칙'!$B$5,IF(ISNUMBER(SEARCH("jmdict_rare_or_dated",'제외 후보'!P152)),'선정 규칙'!$B$6,0))</x:f>
        <x:v>0</x:v>
      </x:c>
      <x:c r="D152" s="11" t="n">
        <x:f>IF(ISNUMBER(SEARCH("jmdict_exact_pair_not_found",'제외 후보'!P152)),'선정 규칙'!$B$7,0)</x:f>
        <x:v>0</x:v>
      </x:c>
      <x:c r="E152" s="11" t="n">
        <x:f>IF(OR('제외 후보'!L152="",'제외 후보'!L152&lt;=0),'선정 규칙'!$B$8,IF('제외 후보'!L152&lt;=1.5,'선정 규칙'!$B$9,IF('제외 후보'!L152&lt;=2,'선정 규칙'!$B$10,IF('제외 후보'!L152&lt;=2.5,'선정 규칙'!$B$11,IF('제외 후보'!L152&lt;=3,'선정 규칙'!$B$12,IF('제외 후보'!L152&lt;=3.5,'선정 규칙'!$B$13,IF('제외 후보'!L152&gt;=4.5,'선정 규칙'!$B$14,0)))))))</x:f>
        <x:v>6</x:v>
      </x:c>
      <x:c r="F152" s="11" t="n">
        <x:f>IF('제외 후보'!Y152=0,'선정 규칙'!$B$15,IF('제외 후보'!Y152&gt;=100,'선정 규칙'!$B$16,'선정 규칙'!$B$17))</x:f>
        <x:v>-25</x:v>
      </x:c>
      <x:c r="G152" s="11" t="n">
        <x:f>IF('제외 후보'!M152="있음",'선정 규칙'!$B$18,'선정 규칙'!$B$19)</x:f>
        <x:v>6</x:v>
      </x:c>
      <x:c r="H152" s="11" t="n">
        <x:f>IF(ISNUMBER(SEARCH("freq-core",'제외 후보'!AD152)),'선정 규칙'!$B$20,0)</x:f>
        <x:v>0</x:v>
      </x:c>
      <x:c r="I152" s="11" t="n">
        <x:f>IF(ISNUMBER(SEARCH("weak_legacy_content",'제외 후보'!P152)),'선정 규칙'!$B$21,0)</x:f>
        <x:v>0</x:v>
      </x:c>
      <x:c r="J152" s="11" t="n">
        <x:f>IF('제외 후보'!AC152&lt;&gt;"",'선정 규칙'!$B$22,0)</x:f>
        <x:v>0</x:v>
      </x:c>
      <x:c r="K152" s="11" t="n">
        <x:f>SUM(B152:J152)</x:f>
        <x:v>47</x:v>
      </x:c>
      <x:c r="L152" s="11" t="n">
        <x:f>'제외 후보'!N152</x:f>
        <x:v>47</x:v>
      </x:c>
      <x:c r="M152" s="2" t="str">
        <x:f>IF(K152=L152,"OK","MISMATCH")</x:f>
        <x:v>OK</x:v>
      </x:c>
    </x:row>
    <x:row r="153">
      <x:c r="A153" s="2" t="str">
        <x:f>'제외 후보'!G153</x:f>
        <x:v>w_a87c24076fd2ee62</x:v>
      </x:c>
      <x:c r="B153" s="11" t="n">
        <x:f>IF('제외 후보'!Q153&lt;&gt;"",'선정 규칙'!$B$4,0)</x:f>
        <x:v>60</x:v>
      </x:c>
      <x:c r="C153" s="11" t="n">
        <x:f>IF(ISNUMBER(SEARCH("jmdict_uncommon_or_irregular",'제외 후보'!P153)),'선정 규칙'!$B$5,IF(ISNUMBER(SEARCH("jmdict_rare_or_dated",'제외 후보'!P153)),'선정 규칙'!$B$6,0))</x:f>
        <x:v>0</x:v>
      </x:c>
      <x:c r="D153" s="11" t="n">
        <x:f>IF(ISNUMBER(SEARCH("jmdict_exact_pair_not_found",'제외 후보'!P153)),'선정 규칙'!$B$7,0)</x:f>
        <x:v>0</x:v>
      </x:c>
      <x:c r="E153" s="11" t="n">
        <x:f>IF(OR('제외 후보'!L153="",'제외 후보'!L153&lt;=0),'선정 규칙'!$B$8,IF('제외 후보'!L153&lt;=1.5,'선정 규칙'!$B$9,IF('제외 후보'!L153&lt;=2,'선정 규칙'!$B$10,IF('제외 후보'!L153&lt;=2.5,'선정 규칙'!$B$11,IF('제외 후보'!L153&lt;=3,'선정 규칙'!$B$12,IF('제외 후보'!L153&lt;=3.5,'선정 규칙'!$B$13,IF('제외 후보'!L153&gt;=4.5,'선정 규칙'!$B$14,0)))))))</x:f>
        <x:v>6</x:v>
      </x:c>
      <x:c r="F153" s="11" t="n">
        <x:f>IF('제외 후보'!Y153=0,'선정 규칙'!$B$15,IF('제외 후보'!Y153&gt;=100,'선정 규칙'!$B$16,'선정 규칙'!$B$17))</x:f>
        <x:v>-25</x:v>
      </x:c>
      <x:c r="G153" s="11" t="n">
        <x:f>IF('제외 후보'!M153="있음",'선정 규칙'!$B$18,'선정 규칙'!$B$19)</x:f>
        <x:v>6</x:v>
      </x:c>
      <x:c r="H153" s="11" t="n">
        <x:f>IF(ISNUMBER(SEARCH("freq-core",'제외 후보'!AD153)),'선정 규칙'!$B$20,0)</x:f>
        <x:v>0</x:v>
      </x:c>
      <x:c r="I153" s="11" t="n">
        <x:f>IF(ISNUMBER(SEARCH("weak_legacy_content",'제외 후보'!P153)),'선정 규칙'!$B$21,0)</x:f>
        <x:v>0</x:v>
      </x:c>
      <x:c r="J153" s="11" t="n">
        <x:f>IF('제외 후보'!AC153&lt;&gt;"",'선정 규칙'!$B$22,0)</x:f>
        <x:v>0</x:v>
      </x:c>
      <x:c r="K153" s="11" t="n">
        <x:f>SUM(B153:J153)</x:f>
        <x:v>47</x:v>
      </x:c>
      <x:c r="L153" s="11" t="n">
        <x:f>'제외 후보'!N153</x:f>
        <x:v>47</x:v>
      </x:c>
      <x:c r="M153" s="2" t="str">
        <x:f>IF(K153=L153,"OK","MISMATCH")</x:f>
        <x:v>OK</x:v>
      </x:c>
    </x:row>
    <x:row r="154">
      <x:c r="A154" s="2" t="str">
        <x:f>'제외 후보'!G154</x:f>
        <x:v>w_e1e5d18b1acfa419</x:v>
      </x:c>
      <x:c r="B154" s="11" t="n">
        <x:f>IF('제외 후보'!Q154&lt;&gt;"",'선정 규칙'!$B$4,0)</x:f>
        <x:v>60</x:v>
      </x:c>
      <x:c r="C154" s="11" t="n">
        <x:f>IF(ISNUMBER(SEARCH("jmdict_uncommon_or_irregular",'제외 후보'!P154)),'선정 규칙'!$B$5,IF(ISNUMBER(SEARCH("jmdict_rare_or_dated",'제외 후보'!P154)),'선정 규칙'!$B$6,0))</x:f>
        <x:v>0</x:v>
      </x:c>
      <x:c r="D154" s="11" t="n">
        <x:f>IF(ISNUMBER(SEARCH("jmdict_exact_pair_not_found",'제외 후보'!P154)),'선정 규칙'!$B$7,0)</x:f>
        <x:v>0</x:v>
      </x:c>
      <x:c r="E154" s="11" t="n">
        <x:f>IF(OR('제외 후보'!L154="",'제외 후보'!L154&lt;=0),'선정 규칙'!$B$8,IF('제외 후보'!L154&lt;=1.5,'선정 규칙'!$B$9,IF('제외 후보'!L154&lt;=2,'선정 규칙'!$B$10,IF('제외 후보'!L154&lt;=2.5,'선정 규칙'!$B$11,IF('제외 후보'!L154&lt;=3,'선정 규칙'!$B$12,IF('제외 후보'!L154&lt;=3.5,'선정 규칙'!$B$13,IF('제외 후보'!L154&gt;=4.5,'선정 규칙'!$B$14,0)))))))</x:f>
        <x:v>0</x:v>
      </x:c>
      <x:c r="F154" s="11" t="n">
        <x:f>IF('제외 후보'!Y154=0,'선정 규칙'!$B$15,IF('제외 후보'!Y154&gt;=100,'선정 규칙'!$B$16,'선정 규칙'!$B$17))</x:f>
        <x:v>-25</x:v>
      </x:c>
      <x:c r="G154" s="11" t="n">
        <x:f>IF('제외 후보'!M154="있음",'선정 규칙'!$B$18,'선정 규칙'!$B$19)</x:f>
        <x:v>6</x:v>
      </x:c>
      <x:c r="H154" s="11" t="n">
        <x:f>IF(ISNUMBER(SEARCH("freq-core",'제외 후보'!AD154)),'선정 규칙'!$B$20,0)</x:f>
        <x:v>0</x:v>
      </x:c>
      <x:c r="I154" s="11" t="n">
        <x:f>IF(ISNUMBER(SEARCH("weak_legacy_content",'제외 후보'!P154)),'선정 규칙'!$B$21,0)</x:f>
        <x:v>5</x:v>
      </x:c>
      <x:c r="J154" s="11" t="n">
        <x:f>IF('제외 후보'!AC154&lt;&gt;"",'선정 규칙'!$B$22,0)</x:f>
        <x:v>0</x:v>
      </x:c>
      <x:c r="K154" s="11" t="n">
        <x:f>SUM(B154:J154)</x:f>
        <x:v>46</x:v>
      </x:c>
      <x:c r="L154" s="11" t="n">
        <x:f>'제외 후보'!N154</x:f>
        <x:v>46</x:v>
      </x:c>
      <x:c r="M154" s="2" t="str">
        <x:f>IF(K154=L154,"OK","MISMATCH")</x:f>
        <x:v>OK</x:v>
      </x:c>
    </x:row>
    <x:row r="155">
      <x:c r="A155" s="2" t="str">
        <x:f>'제외 후보'!G155</x:f>
        <x:v>w_188378c15d9c641d</x:v>
      </x:c>
      <x:c r="B155" s="11" t="n">
        <x:f>IF('제외 후보'!Q155&lt;&gt;"",'선정 규칙'!$B$4,0)</x:f>
        <x:v>60</x:v>
      </x:c>
      <x:c r="C155" s="11" t="n">
        <x:f>IF(ISNUMBER(SEARCH("jmdict_uncommon_or_irregular",'제외 후보'!P155)),'선정 규칙'!$B$5,IF(ISNUMBER(SEARCH("jmdict_rare_or_dated",'제외 후보'!P155)),'선정 규칙'!$B$6,0))</x:f>
        <x:v>0</x:v>
      </x:c>
      <x:c r="D155" s="11" t="n">
        <x:f>IF(ISNUMBER(SEARCH("jmdict_exact_pair_not_found",'제외 후보'!P155)),'선정 규칙'!$B$7,0)</x:f>
        <x:v>0</x:v>
      </x:c>
      <x:c r="E155" s="11" t="n">
        <x:f>IF(OR('제외 후보'!L155="",'제외 후보'!L155&lt;=0),'선정 규칙'!$B$8,IF('제외 후보'!L155&lt;=1.5,'선정 규칙'!$B$9,IF('제외 후보'!L155&lt;=2,'선정 규칙'!$B$10,IF('제외 후보'!L155&lt;=2.5,'선정 규칙'!$B$11,IF('제외 후보'!L155&lt;=3,'선정 규칙'!$B$12,IF('제외 후보'!L155&lt;=3.5,'선정 규칙'!$B$13,IF('제외 후보'!L155&gt;=4.5,'선정 규칙'!$B$14,0)))))))</x:f>
        <x:v>0</x:v>
      </x:c>
      <x:c r="F155" s="11" t="n">
        <x:f>IF('제외 후보'!Y155=0,'선정 규칙'!$B$15,IF('제외 후보'!Y155&gt;=100,'선정 규칙'!$B$16,'선정 규칙'!$B$17))</x:f>
        <x:v>-25</x:v>
      </x:c>
      <x:c r="G155" s="11" t="n">
        <x:f>IF('제외 후보'!M155="있음",'선정 규칙'!$B$18,'선정 규칙'!$B$19)</x:f>
        <x:v>6</x:v>
      </x:c>
      <x:c r="H155" s="11" t="n">
        <x:f>IF(ISNUMBER(SEARCH("freq-core",'제외 후보'!AD155)),'선정 규칙'!$B$20,0)</x:f>
        <x:v>0</x:v>
      </x:c>
      <x:c r="I155" s="11" t="n">
        <x:f>IF(ISNUMBER(SEARCH("weak_legacy_content",'제외 후보'!P155)),'선정 규칙'!$B$21,0)</x:f>
        <x:v>5</x:v>
      </x:c>
      <x:c r="J155" s="11" t="n">
        <x:f>IF('제외 후보'!AC155&lt;&gt;"",'선정 규칙'!$B$22,0)</x:f>
        <x:v>0</x:v>
      </x:c>
      <x:c r="K155" s="11" t="n">
        <x:f>SUM(B155:J155)</x:f>
        <x:v>46</x:v>
      </x:c>
      <x:c r="L155" s="11" t="n">
        <x:f>'제외 후보'!N155</x:f>
        <x:v>46</x:v>
      </x:c>
      <x:c r="M155" s="2" t="str">
        <x:f>IF(K155=L155,"OK","MISMATCH")</x:f>
        <x:v>OK</x:v>
      </x:c>
    </x:row>
    <x:row r="156">
      <x:c r="A156" s="2" t="str">
        <x:f>'제외 후보'!G156</x:f>
        <x:v>w_33687b5b97477220</x:v>
      </x:c>
      <x:c r="B156" s="11" t="n">
        <x:f>IF('제외 후보'!Q156&lt;&gt;"",'선정 규칙'!$B$4,0)</x:f>
        <x:v>60</x:v>
      </x:c>
      <x:c r="C156" s="11" t="n">
        <x:f>IF(ISNUMBER(SEARCH("jmdict_uncommon_or_irregular",'제외 후보'!P156)),'선정 규칙'!$B$5,IF(ISNUMBER(SEARCH("jmdict_rare_or_dated",'제외 후보'!P156)),'선정 규칙'!$B$6,0))</x:f>
        <x:v>0</x:v>
      </x:c>
      <x:c r="D156" s="11" t="n">
        <x:f>IF(ISNUMBER(SEARCH("jmdict_exact_pair_not_found",'제외 후보'!P156)),'선정 규칙'!$B$7,0)</x:f>
        <x:v>0</x:v>
      </x:c>
      <x:c r="E156" s="11" t="n">
        <x:f>IF(OR('제외 후보'!L156="",'제외 후보'!L156&lt;=0),'선정 규칙'!$B$8,IF('제외 후보'!L156&lt;=1.5,'선정 규칙'!$B$9,IF('제외 후보'!L156&lt;=2,'선정 규칙'!$B$10,IF('제외 후보'!L156&lt;=2.5,'선정 규칙'!$B$11,IF('제외 후보'!L156&lt;=3,'선정 규칙'!$B$12,IF('제외 후보'!L156&lt;=3.5,'선정 규칙'!$B$13,IF('제외 후보'!L156&gt;=4.5,'선정 규칙'!$B$14,0)))))))</x:f>
        <x:v>0</x:v>
      </x:c>
      <x:c r="F156" s="11" t="n">
        <x:f>IF('제외 후보'!Y156=0,'선정 규칙'!$B$15,IF('제외 후보'!Y156&gt;=100,'선정 규칙'!$B$16,'선정 규칙'!$B$17))</x:f>
        <x:v>-25</x:v>
      </x:c>
      <x:c r="G156" s="11" t="n">
        <x:f>IF('제외 후보'!M156="있음",'선정 규칙'!$B$18,'선정 규칙'!$B$19)</x:f>
        <x:v>6</x:v>
      </x:c>
      <x:c r="H156" s="11" t="n">
        <x:f>IF(ISNUMBER(SEARCH("freq-core",'제외 후보'!AD156)),'선정 규칙'!$B$20,0)</x:f>
        <x:v>0</x:v>
      </x:c>
      <x:c r="I156" s="11" t="n">
        <x:f>IF(ISNUMBER(SEARCH("weak_legacy_content",'제외 후보'!P156)),'선정 규칙'!$B$21,0)</x:f>
        <x:v>5</x:v>
      </x:c>
      <x:c r="J156" s="11" t="n">
        <x:f>IF('제외 후보'!AC156&lt;&gt;"",'선정 규칙'!$B$22,0)</x:f>
        <x:v>0</x:v>
      </x:c>
      <x:c r="K156" s="11" t="n">
        <x:f>SUM(B156:J156)</x:f>
        <x:v>46</x:v>
      </x:c>
      <x:c r="L156" s="11" t="n">
        <x:f>'제외 후보'!N156</x:f>
        <x:v>46</x:v>
      </x:c>
      <x:c r="M156" s="2" t="str">
        <x:f>IF(K156=L156,"OK","MISMATCH")</x:f>
        <x:v>OK</x:v>
      </x:c>
    </x:row>
    <x:row r="157">
      <x:c r="A157" s="2" t="str">
        <x:f>'제외 후보'!G157</x:f>
        <x:v>w_b4b5fbd14fb214b4</x:v>
      </x:c>
      <x:c r="B157" s="11" t="n">
        <x:f>IF('제외 후보'!Q157&lt;&gt;"",'선정 규칙'!$B$4,0)</x:f>
        <x:v>60</x:v>
      </x:c>
      <x:c r="C157" s="11" t="n">
        <x:f>IF(ISNUMBER(SEARCH("jmdict_uncommon_or_irregular",'제외 후보'!P157)),'선정 규칙'!$B$5,IF(ISNUMBER(SEARCH("jmdict_rare_or_dated",'제외 후보'!P157)),'선정 규칙'!$B$6,0))</x:f>
        <x:v>0</x:v>
      </x:c>
      <x:c r="D157" s="11" t="n">
        <x:f>IF(ISNUMBER(SEARCH("jmdict_exact_pair_not_found",'제외 후보'!P157)),'선정 규칙'!$B$7,0)</x:f>
        <x:v>0</x:v>
      </x:c>
      <x:c r="E157" s="11" t="n">
        <x:f>IF(OR('제외 후보'!L157="",'제외 후보'!L157&lt;=0),'선정 규칙'!$B$8,IF('제외 후보'!L157&lt;=1.5,'선정 규칙'!$B$9,IF('제외 후보'!L157&lt;=2,'선정 규칙'!$B$10,IF('제외 후보'!L157&lt;=2.5,'선정 규칙'!$B$11,IF('제외 후보'!L157&lt;=3,'선정 규칙'!$B$12,IF('제외 후보'!L157&lt;=3.5,'선정 규칙'!$B$13,IF('제외 후보'!L157&gt;=4.5,'선정 규칙'!$B$14,0)))))))</x:f>
        <x:v>0</x:v>
      </x:c>
      <x:c r="F157" s="11" t="n">
        <x:f>IF('제외 후보'!Y157=0,'선정 규칙'!$B$15,IF('제외 후보'!Y157&gt;=100,'선정 규칙'!$B$16,'선정 규칙'!$B$17))</x:f>
        <x:v>-25</x:v>
      </x:c>
      <x:c r="G157" s="11" t="n">
        <x:f>IF('제외 후보'!M157="있음",'선정 규칙'!$B$18,'선정 규칙'!$B$19)</x:f>
        <x:v>6</x:v>
      </x:c>
      <x:c r="H157" s="11" t="n">
        <x:f>IF(ISNUMBER(SEARCH("freq-core",'제외 후보'!AD157)),'선정 규칙'!$B$20,0)</x:f>
        <x:v>0</x:v>
      </x:c>
      <x:c r="I157" s="11" t="n">
        <x:f>IF(ISNUMBER(SEARCH("weak_legacy_content",'제외 후보'!P157)),'선정 규칙'!$B$21,0)</x:f>
        <x:v>5</x:v>
      </x:c>
      <x:c r="J157" s="11" t="n">
        <x:f>IF('제외 후보'!AC157&lt;&gt;"",'선정 규칙'!$B$22,0)</x:f>
        <x:v>0</x:v>
      </x:c>
      <x:c r="K157" s="11" t="n">
        <x:f>SUM(B157:J157)</x:f>
        <x:v>46</x:v>
      </x:c>
      <x:c r="L157" s="11" t="n">
        <x:f>'제외 후보'!N157</x:f>
        <x:v>46</x:v>
      </x:c>
      <x:c r="M157" s="2" t="str">
        <x:f>IF(K157=L157,"OK","MISMATCH")</x:f>
        <x:v>OK</x:v>
      </x:c>
    </x:row>
    <x:row r="158">
      <x:c r="A158" s="2" t="str">
        <x:f>'제외 후보'!G158</x:f>
        <x:v>w_644a64eebc47bfe9</x:v>
      </x:c>
      <x:c r="B158" s="11" t="n">
        <x:f>IF('제외 후보'!Q158&lt;&gt;"",'선정 규칙'!$B$4,0)</x:f>
        <x:v>60</x:v>
      </x:c>
      <x:c r="C158" s="11" t="n">
        <x:f>IF(ISNUMBER(SEARCH("jmdict_uncommon_or_irregular",'제외 후보'!P158)),'선정 규칙'!$B$5,IF(ISNUMBER(SEARCH("jmdict_rare_or_dated",'제외 후보'!P158)),'선정 규칙'!$B$6,0))</x:f>
        <x:v>0</x:v>
      </x:c>
      <x:c r="D158" s="11" t="n">
        <x:f>IF(ISNUMBER(SEARCH("jmdict_exact_pair_not_found",'제외 후보'!P158)),'선정 규칙'!$B$7,0)</x:f>
        <x:v>0</x:v>
      </x:c>
      <x:c r="E158" s="11" t="n">
        <x:f>IF(OR('제외 후보'!L158="",'제외 후보'!L158&lt;=0),'선정 규칙'!$B$8,IF('제외 후보'!L158&lt;=1.5,'선정 규칙'!$B$9,IF('제외 후보'!L158&lt;=2,'선정 규칙'!$B$10,IF('제외 후보'!L158&lt;=2.5,'선정 규칙'!$B$11,IF('제외 후보'!L158&lt;=3,'선정 규칙'!$B$12,IF('제외 후보'!L158&lt;=3.5,'선정 규칙'!$B$13,IF('제외 후보'!L158&gt;=4.5,'선정 규칙'!$B$14,0)))))))</x:f>
        <x:v>0</x:v>
      </x:c>
      <x:c r="F158" s="11" t="n">
        <x:f>IF('제외 후보'!Y158=0,'선정 규칙'!$B$15,IF('제외 후보'!Y158&gt;=100,'선정 규칙'!$B$16,'선정 규칙'!$B$17))</x:f>
        <x:v>-25</x:v>
      </x:c>
      <x:c r="G158" s="11" t="n">
        <x:f>IF('제외 후보'!M158="있음",'선정 규칙'!$B$18,'선정 규칙'!$B$19)</x:f>
        <x:v>6</x:v>
      </x:c>
      <x:c r="H158" s="11" t="n">
        <x:f>IF(ISNUMBER(SEARCH("freq-core",'제외 후보'!AD158)),'선정 규칙'!$B$20,0)</x:f>
        <x:v>0</x:v>
      </x:c>
      <x:c r="I158" s="11" t="n">
        <x:f>IF(ISNUMBER(SEARCH("weak_legacy_content",'제외 후보'!P158)),'선정 규칙'!$B$21,0)</x:f>
        <x:v>5</x:v>
      </x:c>
      <x:c r="J158" s="11" t="n">
        <x:f>IF('제외 후보'!AC158&lt;&gt;"",'선정 규칙'!$B$22,0)</x:f>
        <x:v>0</x:v>
      </x:c>
      <x:c r="K158" s="11" t="n">
        <x:f>SUM(B158:J158)</x:f>
        <x:v>46</x:v>
      </x:c>
      <x:c r="L158" s="11" t="n">
        <x:f>'제외 후보'!N158</x:f>
        <x:v>46</x:v>
      </x:c>
      <x:c r="M158" s="2" t="str">
        <x:f>IF(K158=L158,"OK","MISMATCH")</x:f>
        <x:v>OK</x:v>
      </x:c>
    </x:row>
    <x:row r="159">
      <x:c r="A159" s="2" t="str">
        <x:f>'제외 후보'!G159</x:f>
        <x:v>w_09e23b6f9018545a</x:v>
      </x:c>
      <x:c r="B159" s="11" t="n">
        <x:f>IF('제외 후보'!Q159&lt;&gt;"",'선정 규칙'!$B$4,0)</x:f>
        <x:v>60</x:v>
      </x:c>
      <x:c r="C159" s="11" t="n">
        <x:f>IF(ISNUMBER(SEARCH("jmdict_uncommon_or_irregular",'제외 후보'!P159)),'선정 규칙'!$B$5,IF(ISNUMBER(SEARCH("jmdict_rare_or_dated",'제외 후보'!P159)),'선정 규칙'!$B$6,0))</x:f>
        <x:v>0</x:v>
      </x:c>
      <x:c r="D159" s="11" t="n">
        <x:f>IF(ISNUMBER(SEARCH("jmdict_exact_pair_not_found",'제외 후보'!P159)),'선정 규칙'!$B$7,0)</x:f>
        <x:v>0</x:v>
      </x:c>
      <x:c r="E159" s="11" t="n">
        <x:f>IF(OR('제외 후보'!L159="",'제외 후보'!L159&lt;=0),'선정 규칙'!$B$8,IF('제외 후보'!L159&lt;=1.5,'선정 규칙'!$B$9,IF('제외 후보'!L159&lt;=2,'선정 규칙'!$B$10,IF('제외 후보'!L159&lt;=2.5,'선정 규칙'!$B$11,IF('제외 후보'!L159&lt;=3,'선정 규칙'!$B$12,IF('제외 후보'!L159&lt;=3.5,'선정 규칙'!$B$13,IF('제외 후보'!L159&gt;=4.5,'선정 규칙'!$B$14,0)))))))</x:f>
        <x:v>0</x:v>
      </x:c>
      <x:c r="F159" s="11" t="n">
        <x:f>IF('제외 후보'!Y159=0,'선정 규칙'!$B$15,IF('제외 후보'!Y159&gt;=100,'선정 규칙'!$B$16,'선정 규칙'!$B$17))</x:f>
        <x:v>-25</x:v>
      </x:c>
      <x:c r="G159" s="11" t="n">
        <x:f>IF('제외 후보'!M159="있음",'선정 규칙'!$B$18,'선정 규칙'!$B$19)</x:f>
        <x:v>6</x:v>
      </x:c>
      <x:c r="H159" s="11" t="n">
        <x:f>IF(ISNUMBER(SEARCH("freq-core",'제외 후보'!AD159)),'선정 규칙'!$B$20,0)</x:f>
        <x:v>0</x:v>
      </x:c>
      <x:c r="I159" s="11" t="n">
        <x:f>IF(ISNUMBER(SEARCH("weak_legacy_content",'제외 후보'!P159)),'선정 규칙'!$B$21,0)</x:f>
        <x:v>5</x:v>
      </x:c>
      <x:c r="J159" s="11" t="n">
        <x:f>IF('제외 후보'!AC159&lt;&gt;"",'선정 규칙'!$B$22,0)</x:f>
        <x:v>0</x:v>
      </x:c>
      <x:c r="K159" s="11" t="n">
        <x:f>SUM(B159:J159)</x:f>
        <x:v>46</x:v>
      </x:c>
      <x:c r="L159" s="11" t="n">
        <x:f>'제외 후보'!N159</x:f>
        <x:v>46</x:v>
      </x:c>
      <x:c r="M159" s="2" t="str">
        <x:f>IF(K159=L159,"OK","MISMATCH")</x:f>
        <x:v>OK</x:v>
      </x:c>
    </x:row>
    <x:row r="160">
      <x:c r="A160" s="2" t="str">
        <x:f>'제외 후보'!G160</x:f>
        <x:v>w_4105198a2afd7a92</x:v>
      </x:c>
      <x:c r="B160" s="11" t="n">
        <x:f>IF('제외 후보'!Q160&lt;&gt;"",'선정 규칙'!$B$4,0)</x:f>
        <x:v>60</x:v>
      </x:c>
      <x:c r="C160" s="11" t="n">
        <x:f>IF(ISNUMBER(SEARCH("jmdict_uncommon_or_irregular",'제외 후보'!P160)),'선정 규칙'!$B$5,IF(ISNUMBER(SEARCH("jmdict_rare_or_dated",'제외 후보'!P160)),'선정 규칙'!$B$6,0))</x:f>
        <x:v>0</x:v>
      </x:c>
      <x:c r="D160" s="11" t="n">
        <x:f>IF(ISNUMBER(SEARCH("jmdict_exact_pair_not_found",'제외 후보'!P160)),'선정 규칙'!$B$7,0)</x:f>
        <x:v>0</x:v>
      </x:c>
      <x:c r="E160" s="11" t="n">
        <x:f>IF(OR('제외 후보'!L160="",'제외 후보'!L160&lt;=0),'선정 규칙'!$B$8,IF('제외 후보'!L160&lt;=1.5,'선정 규칙'!$B$9,IF('제외 후보'!L160&lt;=2,'선정 규칙'!$B$10,IF('제외 후보'!L160&lt;=2.5,'선정 규칙'!$B$11,IF('제외 후보'!L160&lt;=3,'선정 규칙'!$B$12,IF('제외 후보'!L160&lt;=3.5,'선정 규칙'!$B$13,IF('제외 후보'!L160&gt;=4.5,'선정 규칙'!$B$14,0)))))))</x:f>
        <x:v>0</x:v>
      </x:c>
      <x:c r="F160" s="11" t="n">
        <x:f>IF('제외 후보'!Y160=0,'선정 규칙'!$B$15,IF('제외 후보'!Y160&gt;=100,'선정 규칙'!$B$16,'선정 규칙'!$B$17))</x:f>
        <x:v>-25</x:v>
      </x:c>
      <x:c r="G160" s="11" t="n">
        <x:f>IF('제외 후보'!M160="있음",'선정 규칙'!$B$18,'선정 규칙'!$B$19)</x:f>
        <x:v>6</x:v>
      </x:c>
      <x:c r="H160" s="11" t="n">
        <x:f>IF(ISNUMBER(SEARCH("freq-core",'제외 후보'!AD160)),'선정 규칙'!$B$20,0)</x:f>
        <x:v>0</x:v>
      </x:c>
      <x:c r="I160" s="11" t="n">
        <x:f>IF(ISNUMBER(SEARCH("weak_legacy_content",'제외 후보'!P160)),'선정 규칙'!$B$21,0)</x:f>
        <x:v>5</x:v>
      </x:c>
      <x:c r="J160" s="11" t="n">
        <x:f>IF('제외 후보'!AC160&lt;&gt;"",'선정 규칙'!$B$22,0)</x:f>
        <x:v>0</x:v>
      </x:c>
      <x:c r="K160" s="11" t="n">
        <x:f>SUM(B160:J160)</x:f>
        <x:v>46</x:v>
      </x:c>
      <x:c r="L160" s="11" t="n">
        <x:f>'제외 후보'!N160</x:f>
        <x:v>46</x:v>
      </x:c>
      <x:c r="M160" s="2" t="str">
        <x:f>IF(K160=L160,"OK","MISMATCH")</x:f>
        <x:v>OK</x:v>
      </x:c>
    </x:row>
    <x:row r="161">
      <x:c r="A161" s="2" t="str">
        <x:f>'제외 후보'!G161</x:f>
        <x:v>w_4d9b92d2f4de3583</x:v>
      </x:c>
      <x:c r="B161" s="11" t="n">
        <x:f>IF('제외 후보'!Q161&lt;&gt;"",'선정 규칙'!$B$4,0)</x:f>
        <x:v>60</x:v>
      </x:c>
      <x:c r="C161" s="11" t="n">
        <x:f>IF(ISNUMBER(SEARCH("jmdict_uncommon_or_irregular",'제외 후보'!P161)),'선정 규칙'!$B$5,IF(ISNUMBER(SEARCH("jmdict_rare_or_dated",'제외 후보'!P161)),'선정 규칙'!$B$6,0))</x:f>
        <x:v>0</x:v>
      </x:c>
      <x:c r="D161" s="11" t="n">
        <x:f>IF(ISNUMBER(SEARCH("jmdict_exact_pair_not_found",'제외 후보'!P161)),'선정 규칙'!$B$7,0)</x:f>
        <x:v>0</x:v>
      </x:c>
      <x:c r="E161" s="11" t="n">
        <x:f>IF(OR('제외 후보'!L161="",'제외 후보'!L161&lt;=0),'선정 규칙'!$B$8,IF('제외 후보'!L161&lt;=1.5,'선정 규칙'!$B$9,IF('제외 후보'!L161&lt;=2,'선정 규칙'!$B$10,IF('제외 후보'!L161&lt;=2.5,'선정 규칙'!$B$11,IF('제외 후보'!L161&lt;=3,'선정 규칙'!$B$12,IF('제외 후보'!L161&lt;=3.5,'선정 규칙'!$B$13,IF('제외 후보'!L161&gt;=4.5,'선정 규칙'!$B$14,0)))))))</x:f>
        <x:v>0</x:v>
      </x:c>
      <x:c r="F161" s="11" t="n">
        <x:f>IF('제외 후보'!Y161=0,'선정 규칙'!$B$15,IF('제외 후보'!Y161&gt;=100,'선정 규칙'!$B$16,'선정 규칙'!$B$17))</x:f>
        <x:v>-25</x:v>
      </x:c>
      <x:c r="G161" s="11" t="n">
        <x:f>IF('제외 후보'!M161="있음",'선정 규칙'!$B$18,'선정 규칙'!$B$19)</x:f>
        <x:v>6</x:v>
      </x:c>
      <x:c r="H161" s="11" t="n">
        <x:f>IF(ISNUMBER(SEARCH("freq-core",'제외 후보'!AD161)),'선정 규칙'!$B$20,0)</x:f>
        <x:v>0</x:v>
      </x:c>
      <x:c r="I161" s="11" t="n">
        <x:f>IF(ISNUMBER(SEARCH("weak_legacy_content",'제외 후보'!P161)),'선정 규칙'!$B$21,0)</x:f>
        <x:v>5</x:v>
      </x:c>
      <x:c r="J161" s="11" t="n">
        <x:f>IF('제외 후보'!AC161&lt;&gt;"",'선정 규칙'!$B$22,0)</x:f>
        <x:v>0</x:v>
      </x:c>
      <x:c r="K161" s="11" t="n">
        <x:f>SUM(B161:J161)</x:f>
        <x:v>46</x:v>
      </x:c>
      <x:c r="L161" s="11" t="n">
        <x:f>'제외 후보'!N161</x:f>
        <x:v>46</x:v>
      </x:c>
      <x:c r="M161" s="2" t="str">
        <x:f>IF(K161=L161,"OK","MISMATCH")</x:f>
        <x:v>OK</x:v>
      </x:c>
    </x:row>
    <x:row r="162">
      <x:c r="A162" s="2" t="str">
        <x:f>'제외 후보'!G162</x:f>
        <x:v>w_c3f7e5d635243522</x:v>
      </x:c>
      <x:c r="B162" s="11" t="n">
        <x:f>IF('제외 후보'!Q162&lt;&gt;"",'선정 규칙'!$B$4,0)</x:f>
        <x:v>60</x:v>
      </x:c>
      <x:c r="C162" s="11" t="n">
        <x:f>IF(ISNUMBER(SEARCH("jmdict_uncommon_or_irregular",'제외 후보'!P162)),'선정 규칙'!$B$5,IF(ISNUMBER(SEARCH("jmdict_rare_or_dated",'제외 후보'!P162)),'선정 규칙'!$B$6,0))</x:f>
        <x:v>0</x:v>
      </x:c>
      <x:c r="D162" s="11" t="n">
        <x:f>IF(ISNUMBER(SEARCH("jmdict_exact_pair_not_found",'제외 후보'!P162)),'선정 규칙'!$B$7,0)</x:f>
        <x:v>0</x:v>
      </x:c>
      <x:c r="E162" s="11" t="n">
        <x:f>IF(OR('제외 후보'!L162="",'제외 후보'!L162&lt;=0),'선정 규칙'!$B$8,IF('제외 후보'!L162&lt;=1.5,'선정 규칙'!$B$9,IF('제외 후보'!L162&lt;=2,'선정 규칙'!$B$10,IF('제외 후보'!L162&lt;=2.5,'선정 규칙'!$B$11,IF('제외 후보'!L162&lt;=3,'선정 규칙'!$B$12,IF('제외 후보'!L162&lt;=3.5,'선정 규칙'!$B$13,IF('제외 후보'!L162&gt;=4.5,'선정 규칙'!$B$14,0)))))))</x:f>
        <x:v>0</x:v>
      </x:c>
      <x:c r="F162" s="11" t="n">
        <x:f>IF('제외 후보'!Y162=0,'선정 규칙'!$B$15,IF('제외 후보'!Y162&gt;=100,'선정 규칙'!$B$16,'선정 규칙'!$B$17))</x:f>
        <x:v>-25</x:v>
      </x:c>
      <x:c r="G162" s="11" t="n">
        <x:f>IF('제외 후보'!M162="있음",'선정 규칙'!$B$18,'선정 규칙'!$B$19)</x:f>
        <x:v>6</x:v>
      </x:c>
      <x:c r="H162" s="11" t="n">
        <x:f>IF(ISNUMBER(SEARCH("freq-core",'제외 후보'!AD162)),'선정 규칙'!$B$20,0)</x:f>
        <x:v>0</x:v>
      </x:c>
      <x:c r="I162" s="11" t="n">
        <x:f>IF(ISNUMBER(SEARCH("weak_legacy_content",'제외 후보'!P162)),'선정 규칙'!$B$21,0)</x:f>
        <x:v>5</x:v>
      </x:c>
      <x:c r="J162" s="11" t="n">
        <x:f>IF('제외 후보'!AC162&lt;&gt;"",'선정 규칙'!$B$22,0)</x:f>
        <x:v>0</x:v>
      </x:c>
      <x:c r="K162" s="11" t="n">
        <x:f>SUM(B162:J162)</x:f>
        <x:v>46</x:v>
      </x:c>
      <x:c r="L162" s="11" t="n">
        <x:f>'제외 후보'!N162</x:f>
        <x:v>46</x:v>
      </x:c>
      <x:c r="M162" s="2" t="str">
        <x:f>IF(K162=L162,"OK","MISMATCH")</x:f>
        <x:v>OK</x:v>
      </x:c>
    </x:row>
    <x:row r="163">
      <x:c r="A163" s="2" t="str">
        <x:f>'제외 후보'!G163</x:f>
        <x:v>w_08fb3f57661da121</x:v>
      </x:c>
      <x:c r="B163" s="11" t="n">
        <x:f>IF('제외 후보'!Q163&lt;&gt;"",'선정 규칙'!$B$4,0)</x:f>
        <x:v>60</x:v>
      </x:c>
      <x:c r="C163" s="11" t="n">
        <x:f>IF(ISNUMBER(SEARCH("jmdict_uncommon_or_irregular",'제외 후보'!P163)),'선정 규칙'!$B$5,IF(ISNUMBER(SEARCH("jmdict_rare_or_dated",'제외 후보'!P163)),'선정 규칙'!$B$6,0))</x:f>
        <x:v>0</x:v>
      </x:c>
      <x:c r="D163" s="11" t="n">
        <x:f>IF(ISNUMBER(SEARCH("jmdict_exact_pair_not_found",'제외 후보'!P163)),'선정 규칙'!$B$7,0)</x:f>
        <x:v>0</x:v>
      </x:c>
      <x:c r="E163" s="11" t="n">
        <x:f>IF(OR('제외 후보'!L163="",'제외 후보'!L163&lt;=0),'선정 규칙'!$B$8,IF('제외 후보'!L163&lt;=1.5,'선정 규칙'!$B$9,IF('제외 후보'!L163&lt;=2,'선정 규칙'!$B$10,IF('제외 후보'!L163&lt;=2.5,'선정 규칙'!$B$11,IF('제외 후보'!L163&lt;=3,'선정 규칙'!$B$12,IF('제외 후보'!L163&lt;=3.5,'선정 규칙'!$B$13,IF('제외 후보'!L163&gt;=4.5,'선정 규칙'!$B$14,0)))))))</x:f>
        <x:v>0</x:v>
      </x:c>
      <x:c r="F163" s="11" t="n">
        <x:f>IF('제외 후보'!Y163=0,'선정 규칙'!$B$15,IF('제외 후보'!Y163&gt;=100,'선정 규칙'!$B$16,'선정 규칙'!$B$17))</x:f>
        <x:v>-25</x:v>
      </x:c>
      <x:c r="G163" s="11" t="n">
        <x:f>IF('제외 후보'!M163="있음",'선정 규칙'!$B$18,'선정 규칙'!$B$19)</x:f>
        <x:v>6</x:v>
      </x:c>
      <x:c r="H163" s="11" t="n">
        <x:f>IF(ISNUMBER(SEARCH("freq-core",'제외 후보'!AD163)),'선정 규칙'!$B$20,0)</x:f>
        <x:v>0</x:v>
      </x:c>
      <x:c r="I163" s="11" t="n">
        <x:f>IF(ISNUMBER(SEARCH("weak_legacy_content",'제외 후보'!P163)),'선정 규칙'!$B$21,0)</x:f>
        <x:v>5</x:v>
      </x:c>
      <x:c r="J163" s="11" t="n">
        <x:f>IF('제외 후보'!AC163&lt;&gt;"",'선정 규칙'!$B$22,0)</x:f>
        <x:v>0</x:v>
      </x:c>
      <x:c r="K163" s="11" t="n">
        <x:f>SUM(B163:J163)</x:f>
        <x:v>46</x:v>
      </x:c>
      <x:c r="L163" s="11" t="n">
        <x:f>'제외 후보'!N163</x:f>
        <x:v>46</x:v>
      </x:c>
      <x:c r="M163" s="2" t="str">
        <x:f>IF(K163=L163,"OK","MISMATCH")</x:f>
        <x:v>OK</x:v>
      </x:c>
    </x:row>
    <x:row r="164">
      <x:c r="A164" s="2" t="str">
        <x:f>'제외 후보'!G164</x:f>
        <x:v>w_951746f7e1a78e82</x:v>
      </x:c>
      <x:c r="B164" s="11" t="n">
        <x:f>IF('제외 후보'!Q164&lt;&gt;"",'선정 규칙'!$B$4,0)</x:f>
        <x:v>60</x:v>
      </x:c>
      <x:c r="C164" s="11" t="n">
        <x:f>IF(ISNUMBER(SEARCH("jmdict_uncommon_or_irregular",'제외 후보'!P164)),'선정 규칙'!$B$5,IF(ISNUMBER(SEARCH("jmdict_rare_or_dated",'제외 후보'!P164)),'선정 규칙'!$B$6,0))</x:f>
        <x:v>0</x:v>
      </x:c>
      <x:c r="D164" s="11" t="n">
        <x:f>IF(ISNUMBER(SEARCH("jmdict_exact_pair_not_found",'제외 후보'!P164)),'선정 규칙'!$B$7,0)</x:f>
        <x:v>0</x:v>
      </x:c>
      <x:c r="E164" s="11" t="n">
        <x:f>IF(OR('제외 후보'!L164="",'제외 후보'!L164&lt;=0),'선정 규칙'!$B$8,IF('제외 후보'!L164&lt;=1.5,'선정 규칙'!$B$9,IF('제외 후보'!L164&lt;=2,'선정 규칙'!$B$10,IF('제외 후보'!L164&lt;=2.5,'선정 규칙'!$B$11,IF('제외 후보'!L164&lt;=3,'선정 규칙'!$B$12,IF('제외 후보'!L164&lt;=3.5,'선정 규칙'!$B$13,IF('제외 후보'!L164&gt;=4.5,'선정 규칙'!$B$14,0)))))))</x:f>
        <x:v>0</x:v>
      </x:c>
      <x:c r="F164" s="11" t="n">
        <x:f>IF('제외 후보'!Y164=0,'선정 규칙'!$B$15,IF('제외 후보'!Y164&gt;=100,'선정 규칙'!$B$16,'선정 규칙'!$B$17))</x:f>
        <x:v>-25</x:v>
      </x:c>
      <x:c r="G164" s="11" t="n">
        <x:f>IF('제외 후보'!M164="있음",'선정 규칙'!$B$18,'선정 규칙'!$B$19)</x:f>
        <x:v>6</x:v>
      </x:c>
      <x:c r="H164" s="11" t="n">
        <x:f>IF(ISNUMBER(SEARCH("freq-core",'제외 후보'!AD164)),'선정 규칙'!$B$20,0)</x:f>
        <x:v>0</x:v>
      </x:c>
      <x:c r="I164" s="11" t="n">
        <x:f>IF(ISNUMBER(SEARCH("weak_legacy_content",'제외 후보'!P164)),'선정 규칙'!$B$21,0)</x:f>
        <x:v>5</x:v>
      </x:c>
      <x:c r="J164" s="11" t="n">
        <x:f>IF('제외 후보'!AC164&lt;&gt;"",'선정 규칙'!$B$22,0)</x:f>
        <x:v>0</x:v>
      </x:c>
      <x:c r="K164" s="11" t="n">
        <x:f>SUM(B164:J164)</x:f>
        <x:v>46</x:v>
      </x:c>
      <x:c r="L164" s="11" t="n">
        <x:f>'제외 후보'!N164</x:f>
        <x:v>46</x:v>
      </x:c>
      <x:c r="M164" s="2" t="str">
        <x:f>IF(K164=L164,"OK","MISMATCH")</x:f>
        <x:v>OK</x:v>
      </x:c>
    </x:row>
    <x:row r="165">
      <x:c r="A165" s="2" t="str">
        <x:f>'제외 후보'!G165</x:f>
        <x:v>w_adcd7ec20b945da4</x:v>
      </x:c>
      <x:c r="B165" s="11" t="n">
        <x:f>IF('제외 후보'!Q165&lt;&gt;"",'선정 규칙'!$B$4,0)</x:f>
        <x:v>60</x:v>
      </x:c>
      <x:c r="C165" s="11" t="n">
        <x:f>IF(ISNUMBER(SEARCH("jmdict_uncommon_or_irregular",'제외 후보'!P165)),'선정 규칙'!$B$5,IF(ISNUMBER(SEARCH("jmdict_rare_or_dated",'제외 후보'!P165)),'선정 규칙'!$B$6,0))</x:f>
        <x:v>0</x:v>
      </x:c>
      <x:c r="D165" s="11" t="n">
        <x:f>IF(ISNUMBER(SEARCH("jmdict_exact_pair_not_found",'제외 후보'!P165)),'선정 규칙'!$B$7,0)</x:f>
        <x:v>0</x:v>
      </x:c>
      <x:c r="E165" s="11" t="n">
        <x:f>IF(OR('제외 후보'!L165="",'제외 후보'!L165&lt;=0),'선정 규칙'!$B$8,IF('제외 후보'!L165&lt;=1.5,'선정 규칙'!$B$9,IF('제외 후보'!L165&lt;=2,'선정 규칙'!$B$10,IF('제외 후보'!L165&lt;=2.5,'선정 규칙'!$B$11,IF('제외 후보'!L165&lt;=3,'선정 규칙'!$B$12,IF('제외 후보'!L165&lt;=3.5,'선정 규칙'!$B$13,IF('제외 후보'!L165&gt;=4.5,'선정 규칙'!$B$14,0)))))))</x:f>
        <x:v>0</x:v>
      </x:c>
      <x:c r="F165" s="11" t="n">
        <x:f>IF('제외 후보'!Y165=0,'선정 규칙'!$B$15,IF('제외 후보'!Y165&gt;=100,'선정 규칙'!$B$16,'선정 규칙'!$B$17))</x:f>
        <x:v>-25</x:v>
      </x:c>
      <x:c r="G165" s="11" t="n">
        <x:f>IF('제외 후보'!M165="있음",'선정 규칙'!$B$18,'선정 규칙'!$B$19)</x:f>
        <x:v>6</x:v>
      </x:c>
      <x:c r="H165" s="11" t="n">
        <x:f>IF(ISNUMBER(SEARCH("freq-core",'제외 후보'!AD165)),'선정 규칙'!$B$20,0)</x:f>
        <x:v>0</x:v>
      </x:c>
      <x:c r="I165" s="11" t="n">
        <x:f>IF(ISNUMBER(SEARCH("weak_legacy_content",'제외 후보'!P165)),'선정 규칙'!$B$21,0)</x:f>
        <x:v>5</x:v>
      </x:c>
      <x:c r="J165" s="11" t="n">
        <x:f>IF('제외 후보'!AC165&lt;&gt;"",'선정 규칙'!$B$22,0)</x:f>
        <x:v>0</x:v>
      </x:c>
      <x:c r="K165" s="11" t="n">
        <x:f>SUM(B165:J165)</x:f>
        <x:v>46</x:v>
      </x:c>
      <x:c r="L165" s="11" t="n">
        <x:f>'제외 후보'!N165</x:f>
        <x:v>46</x:v>
      </x:c>
      <x:c r="M165" s="2" t="str">
        <x:f>IF(K165=L165,"OK","MISMATCH")</x:f>
        <x:v>OK</x:v>
      </x:c>
    </x:row>
    <x:row r="166">
      <x:c r="A166" s="2" t="str">
        <x:f>'제외 후보'!G166</x:f>
        <x:v>w_743a4812f556804d</x:v>
      </x:c>
      <x:c r="B166" s="11" t="n">
        <x:f>IF('제외 후보'!Q166&lt;&gt;"",'선정 규칙'!$B$4,0)</x:f>
        <x:v>60</x:v>
      </x:c>
      <x:c r="C166" s="11" t="n">
        <x:f>IF(ISNUMBER(SEARCH("jmdict_uncommon_or_irregular",'제외 후보'!P166)),'선정 규칙'!$B$5,IF(ISNUMBER(SEARCH("jmdict_rare_or_dated",'제외 후보'!P166)),'선정 규칙'!$B$6,0))</x:f>
        <x:v>0</x:v>
      </x:c>
      <x:c r="D166" s="11" t="n">
        <x:f>IF(ISNUMBER(SEARCH("jmdict_exact_pair_not_found",'제외 후보'!P166)),'선정 규칙'!$B$7,0)</x:f>
        <x:v>0</x:v>
      </x:c>
      <x:c r="E166" s="11" t="n">
        <x:f>IF(OR('제외 후보'!L166="",'제외 후보'!L166&lt;=0),'선정 규칙'!$B$8,IF('제외 후보'!L166&lt;=1.5,'선정 규칙'!$B$9,IF('제외 후보'!L166&lt;=2,'선정 규칙'!$B$10,IF('제외 후보'!L166&lt;=2.5,'선정 규칙'!$B$11,IF('제외 후보'!L166&lt;=3,'선정 규칙'!$B$12,IF('제외 후보'!L166&lt;=3.5,'선정 규칙'!$B$13,IF('제외 후보'!L166&gt;=4.5,'선정 규칙'!$B$14,0)))))))</x:f>
        <x:v>0</x:v>
      </x:c>
      <x:c r="F166" s="11" t="n">
        <x:f>IF('제외 후보'!Y166=0,'선정 규칙'!$B$15,IF('제외 후보'!Y166&gt;=100,'선정 규칙'!$B$16,'선정 규칙'!$B$17))</x:f>
        <x:v>-25</x:v>
      </x:c>
      <x:c r="G166" s="11" t="n">
        <x:f>IF('제외 후보'!M166="있음",'선정 규칙'!$B$18,'선정 규칙'!$B$19)</x:f>
        <x:v>6</x:v>
      </x:c>
      <x:c r="H166" s="11" t="n">
        <x:f>IF(ISNUMBER(SEARCH("freq-core",'제외 후보'!AD166)),'선정 규칙'!$B$20,0)</x:f>
        <x:v>0</x:v>
      </x:c>
      <x:c r="I166" s="11" t="n">
        <x:f>IF(ISNUMBER(SEARCH("weak_legacy_content",'제외 후보'!P166)),'선정 규칙'!$B$21,0)</x:f>
        <x:v>5</x:v>
      </x:c>
      <x:c r="J166" s="11" t="n">
        <x:f>IF('제외 후보'!AC166&lt;&gt;"",'선정 규칙'!$B$22,0)</x:f>
        <x:v>0</x:v>
      </x:c>
      <x:c r="K166" s="11" t="n">
        <x:f>SUM(B166:J166)</x:f>
        <x:v>46</x:v>
      </x:c>
      <x:c r="L166" s="11" t="n">
        <x:f>'제외 후보'!N166</x:f>
        <x:v>46</x:v>
      </x:c>
      <x:c r="M166" s="2" t="str">
        <x:f>IF(K166=L166,"OK","MISMATCH")</x:f>
        <x:v>OK</x:v>
      </x:c>
    </x:row>
    <x:row r="167">
      <x:c r="A167" s="2" t="str">
        <x:f>'제외 후보'!G167</x:f>
        <x:v>w_7cd2a64b26436658</x:v>
      </x:c>
      <x:c r="B167" s="11" t="n">
        <x:f>IF('제외 후보'!Q167&lt;&gt;"",'선정 규칙'!$B$4,0)</x:f>
        <x:v>60</x:v>
      </x:c>
      <x:c r="C167" s="11" t="n">
        <x:f>IF(ISNUMBER(SEARCH("jmdict_uncommon_or_irregular",'제외 후보'!P167)),'선정 규칙'!$B$5,IF(ISNUMBER(SEARCH("jmdict_rare_or_dated",'제외 후보'!P167)),'선정 규칙'!$B$6,0))</x:f>
        <x:v>0</x:v>
      </x:c>
      <x:c r="D167" s="11" t="n">
        <x:f>IF(ISNUMBER(SEARCH("jmdict_exact_pair_not_found",'제외 후보'!P167)),'선정 규칙'!$B$7,0)</x:f>
        <x:v>0</x:v>
      </x:c>
      <x:c r="E167" s="11" t="n">
        <x:f>IF(OR('제외 후보'!L167="",'제외 후보'!L167&lt;=0),'선정 규칙'!$B$8,IF('제외 후보'!L167&lt;=1.5,'선정 규칙'!$B$9,IF('제외 후보'!L167&lt;=2,'선정 규칙'!$B$10,IF('제외 후보'!L167&lt;=2.5,'선정 규칙'!$B$11,IF('제외 후보'!L167&lt;=3,'선정 규칙'!$B$12,IF('제외 후보'!L167&lt;=3.5,'선정 규칙'!$B$13,IF('제외 후보'!L167&gt;=4.5,'선정 규칙'!$B$14,0)))))))</x:f>
        <x:v>0</x:v>
      </x:c>
      <x:c r="F167" s="11" t="n">
        <x:f>IF('제외 후보'!Y167=0,'선정 규칙'!$B$15,IF('제외 후보'!Y167&gt;=100,'선정 규칙'!$B$16,'선정 규칙'!$B$17))</x:f>
        <x:v>-25</x:v>
      </x:c>
      <x:c r="G167" s="11" t="n">
        <x:f>IF('제외 후보'!M167="있음",'선정 규칙'!$B$18,'선정 규칙'!$B$19)</x:f>
        <x:v>6</x:v>
      </x:c>
      <x:c r="H167" s="11" t="n">
        <x:f>IF(ISNUMBER(SEARCH("freq-core",'제외 후보'!AD167)),'선정 규칙'!$B$20,0)</x:f>
        <x:v>0</x:v>
      </x:c>
      <x:c r="I167" s="11" t="n">
        <x:f>IF(ISNUMBER(SEARCH("weak_legacy_content",'제외 후보'!P167)),'선정 규칙'!$B$21,0)</x:f>
        <x:v>5</x:v>
      </x:c>
      <x:c r="J167" s="11" t="n">
        <x:f>IF('제외 후보'!AC167&lt;&gt;"",'선정 규칙'!$B$22,0)</x:f>
        <x:v>0</x:v>
      </x:c>
      <x:c r="K167" s="11" t="n">
        <x:f>SUM(B167:J167)</x:f>
        <x:v>46</x:v>
      </x:c>
      <x:c r="L167" s="11" t="n">
        <x:f>'제외 후보'!N167</x:f>
        <x:v>46</x:v>
      </x:c>
      <x:c r="M167" s="2" t="str">
        <x:f>IF(K167=L167,"OK","MISMATCH")</x:f>
        <x:v>OK</x:v>
      </x:c>
    </x:row>
    <x:row r="168">
      <x:c r="A168" s="2" t="str">
        <x:f>'제외 후보'!G168</x:f>
        <x:v>w_016ef21c6de7dbf3</x:v>
      </x:c>
      <x:c r="B168" s="11" t="n">
        <x:f>IF('제외 후보'!Q168&lt;&gt;"",'선정 규칙'!$B$4,0)</x:f>
        <x:v>60</x:v>
      </x:c>
      <x:c r="C168" s="11" t="n">
        <x:f>IF(ISNUMBER(SEARCH("jmdict_uncommon_or_irregular",'제외 후보'!P168)),'선정 규칙'!$B$5,IF(ISNUMBER(SEARCH("jmdict_rare_or_dated",'제외 후보'!P168)),'선정 규칙'!$B$6,0))</x:f>
        <x:v>0</x:v>
      </x:c>
      <x:c r="D168" s="11" t="n">
        <x:f>IF(ISNUMBER(SEARCH("jmdict_exact_pair_not_found",'제외 후보'!P168)),'선정 규칙'!$B$7,0)</x:f>
        <x:v>0</x:v>
      </x:c>
      <x:c r="E168" s="11" t="n">
        <x:f>IF(OR('제외 후보'!L168="",'제외 후보'!L168&lt;=0),'선정 규칙'!$B$8,IF('제외 후보'!L168&lt;=1.5,'선정 규칙'!$B$9,IF('제외 후보'!L168&lt;=2,'선정 규칙'!$B$10,IF('제외 후보'!L168&lt;=2.5,'선정 규칙'!$B$11,IF('제외 후보'!L168&lt;=3,'선정 규칙'!$B$12,IF('제외 후보'!L168&lt;=3.5,'선정 규칙'!$B$13,IF('제외 후보'!L168&gt;=4.5,'선정 규칙'!$B$14,0)))))))</x:f>
        <x:v>0</x:v>
      </x:c>
      <x:c r="F168" s="11" t="n">
        <x:f>IF('제외 후보'!Y168=0,'선정 규칙'!$B$15,IF('제외 후보'!Y168&gt;=100,'선정 규칙'!$B$16,'선정 규칙'!$B$17))</x:f>
        <x:v>-25</x:v>
      </x:c>
      <x:c r="G168" s="11" t="n">
        <x:f>IF('제외 후보'!M168="있음",'선정 규칙'!$B$18,'선정 규칙'!$B$19)</x:f>
        <x:v>6</x:v>
      </x:c>
      <x:c r="H168" s="11" t="n">
        <x:f>IF(ISNUMBER(SEARCH("freq-core",'제외 후보'!AD168)),'선정 규칙'!$B$20,0)</x:f>
        <x:v>0</x:v>
      </x:c>
      <x:c r="I168" s="11" t="n">
        <x:f>IF(ISNUMBER(SEARCH("weak_legacy_content",'제외 후보'!P168)),'선정 규칙'!$B$21,0)</x:f>
        <x:v>5</x:v>
      </x:c>
      <x:c r="J168" s="11" t="n">
        <x:f>IF('제외 후보'!AC168&lt;&gt;"",'선정 규칙'!$B$22,0)</x:f>
        <x:v>0</x:v>
      </x:c>
      <x:c r="K168" s="11" t="n">
        <x:f>SUM(B168:J168)</x:f>
        <x:v>46</x:v>
      </x:c>
      <x:c r="L168" s="11" t="n">
        <x:f>'제외 후보'!N168</x:f>
        <x:v>46</x:v>
      </x:c>
      <x:c r="M168" s="2" t="str">
        <x:f>IF(K168=L168,"OK","MISMATCH")</x:f>
        <x:v>OK</x:v>
      </x:c>
    </x:row>
    <x:row r="169">
      <x:c r="A169" s="2" t="str">
        <x:f>'제외 후보'!G169</x:f>
        <x:v>w_c764decd3f5b167e</x:v>
      </x:c>
      <x:c r="B169" s="11" t="n">
        <x:f>IF('제외 후보'!Q169&lt;&gt;"",'선정 규칙'!$B$4,0)</x:f>
        <x:v>60</x:v>
      </x:c>
      <x:c r="C169" s="11" t="n">
        <x:f>IF(ISNUMBER(SEARCH("jmdict_uncommon_or_irregular",'제외 후보'!P169)),'선정 규칙'!$B$5,IF(ISNUMBER(SEARCH("jmdict_rare_or_dated",'제외 후보'!P169)),'선정 규칙'!$B$6,0))</x:f>
        <x:v>0</x:v>
      </x:c>
      <x:c r="D169" s="11" t="n">
        <x:f>IF(ISNUMBER(SEARCH("jmdict_exact_pair_not_found",'제외 후보'!P169)),'선정 규칙'!$B$7,0)</x:f>
        <x:v>0</x:v>
      </x:c>
      <x:c r="E169" s="11" t="n">
        <x:f>IF(OR('제외 후보'!L169="",'제외 후보'!L169&lt;=0),'선정 규칙'!$B$8,IF('제외 후보'!L169&lt;=1.5,'선정 규칙'!$B$9,IF('제외 후보'!L169&lt;=2,'선정 규칙'!$B$10,IF('제외 후보'!L169&lt;=2.5,'선정 규칙'!$B$11,IF('제외 후보'!L169&lt;=3,'선정 규칙'!$B$12,IF('제외 후보'!L169&lt;=3.5,'선정 규칙'!$B$13,IF('제외 후보'!L169&gt;=4.5,'선정 규칙'!$B$14,0)))))))</x:f>
        <x:v>0</x:v>
      </x:c>
      <x:c r="F169" s="11" t="n">
        <x:f>IF('제외 후보'!Y169=0,'선정 규칙'!$B$15,IF('제외 후보'!Y169&gt;=100,'선정 규칙'!$B$16,'선정 규칙'!$B$17))</x:f>
        <x:v>-25</x:v>
      </x:c>
      <x:c r="G169" s="11" t="n">
        <x:f>IF('제외 후보'!M169="있음",'선정 규칙'!$B$18,'선정 규칙'!$B$19)</x:f>
        <x:v>6</x:v>
      </x:c>
      <x:c r="H169" s="11" t="n">
        <x:f>IF(ISNUMBER(SEARCH("freq-core",'제외 후보'!AD169)),'선정 규칙'!$B$20,0)</x:f>
        <x:v>0</x:v>
      </x:c>
      <x:c r="I169" s="11" t="n">
        <x:f>IF(ISNUMBER(SEARCH("weak_legacy_content",'제외 후보'!P169)),'선정 규칙'!$B$21,0)</x:f>
        <x:v>5</x:v>
      </x:c>
      <x:c r="J169" s="11" t="n">
        <x:f>IF('제외 후보'!AC169&lt;&gt;"",'선정 규칙'!$B$22,0)</x:f>
        <x:v>0</x:v>
      </x:c>
      <x:c r="K169" s="11" t="n">
        <x:f>SUM(B169:J169)</x:f>
        <x:v>46</x:v>
      </x:c>
      <x:c r="L169" s="11" t="n">
        <x:f>'제외 후보'!N169</x:f>
        <x:v>46</x:v>
      </x:c>
      <x:c r="M169" s="2" t="str">
        <x:f>IF(K169=L169,"OK","MISMATCH")</x:f>
        <x:v>OK</x:v>
      </x:c>
    </x:row>
    <x:row r="170">
      <x:c r="A170" s="2" t="str">
        <x:f>'제외 후보'!G170</x:f>
        <x:v>w_5d5826a8be45b592</x:v>
      </x:c>
      <x:c r="B170" s="11" t="n">
        <x:f>IF('제외 후보'!Q170&lt;&gt;"",'선정 규칙'!$B$4,0)</x:f>
        <x:v>0</x:v>
      </x:c>
      <x:c r="C170" s="11" t="n">
        <x:f>IF(ISNUMBER(SEARCH("jmdict_uncommon_or_irregular",'제외 후보'!P170)),'선정 규칙'!$B$5,IF(ISNUMBER(SEARCH("jmdict_rare_or_dated",'제외 후보'!P170)),'선정 규칙'!$B$6,0))</x:f>
        <x:v>0</x:v>
      </x:c>
      <x:c r="D170" s="11" t="n">
        <x:f>IF(ISNUMBER(SEARCH("jmdict_exact_pair_not_found",'제외 후보'!P170)),'선정 규칙'!$B$7,0)</x:f>
        <x:v>0</x:v>
      </x:c>
      <x:c r="E170" s="11" t="n">
        <x:f>IF(OR('제외 후보'!L170="",'제외 후보'!L170&lt;=0),'선정 규칙'!$B$8,IF('제외 후보'!L170&lt;=1.5,'선정 규칙'!$B$9,IF('제외 후보'!L170&lt;=2,'선정 규칙'!$B$10,IF('제외 후보'!L170&lt;=2.5,'선정 규칙'!$B$11,IF('제외 후보'!L170&lt;=3,'선정 규칙'!$B$12,IF('제외 후보'!L170&lt;=3.5,'선정 규칙'!$B$13,IF('제외 후보'!L170&gt;=4.5,'선정 규칙'!$B$14,0)))))))</x:f>
        <x:v>12</x:v>
      </x:c>
      <x:c r="F170" s="11" t="n">
        <x:f>IF('제외 후보'!Y170=0,'선정 규칙'!$B$15,IF('제외 후보'!Y170&gt;=100,'선정 규칙'!$B$16,'선정 규칙'!$B$17))</x:f>
        <x:v>12</x:v>
      </x:c>
      <x:c r="G170" s="11" t="n">
        <x:f>IF('제외 후보'!M170="있음",'선정 규칙'!$B$18,'선정 규칙'!$B$19)</x:f>
        <x:v>6</x:v>
      </x:c>
      <x:c r="H170" s="11" t="n">
        <x:f>IF(ISNUMBER(SEARCH("freq-core",'제외 후보'!AD170)),'선정 규칙'!$B$20,0)</x:f>
        <x:v>0</x:v>
      </x:c>
      <x:c r="I170" s="11" t="n">
        <x:f>IF(ISNUMBER(SEARCH("weak_legacy_content",'제외 후보'!P170)),'선정 규칙'!$B$21,0)</x:f>
        <x:v>5</x:v>
      </x:c>
      <x:c r="J170" s="11" t="n">
        <x:f>IF('제외 후보'!AC170&lt;&gt;"",'선정 규칙'!$B$22,0)</x:f>
        <x:v>10</x:v>
      </x:c>
      <x:c r="K170" s="11" t="n">
        <x:f>SUM(B170:J170)</x:f>
        <x:v>45</x:v>
      </x:c>
      <x:c r="L170" s="11" t="n">
        <x:f>'제외 후보'!N170</x:f>
        <x:v>45</x:v>
      </x:c>
      <x:c r="M170" s="2" t="str">
        <x:f>IF(K170=L170,"OK","MISMATCH")</x:f>
        <x:v>OK</x:v>
      </x:c>
    </x:row>
    <x:row r="171">
      <x:c r="A171" s="2" t="str">
        <x:f>'제외 후보'!G171</x:f>
        <x:v>w_42ce78ae437fd971</x:v>
      </x:c>
      <x:c r="B171" s="11" t="n">
        <x:f>IF('제외 후보'!Q171&lt;&gt;"",'선정 규칙'!$B$4,0)</x:f>
        <x:v>0</x:v>
      </x:c>
      <x:c r="C171" s="11" t="n">
        <x:f>IF(ISNUMBER(SEARCH("jmdict_uncommon_or_irregular",'제외 후보'!P171)),'선정 규칙'!$B$5,IF(ISNUMBER(SEARCH("jmdict_rare_or_dated",'제외 후보'!P171)),'선정 규칙'!$B$6,0))</x:f>
        <x:v>0</x:v>
      </x:c>
      <x:c r="D171" s="11" t="n">
        <x:f>IF(ISNUMBER(SEARCH("jmdict_exact_pair_not_found",'제외 후보'!P171)),'선정 규칙'!$B$7,0)</x:f>
        <x:v>0</x:v>
      </x:c>
      <x:c r="E171" s="11" t="n">
        <x:f>IF(OR('제외 후보'!L171="",'제외 후보'!L171&lt;=0),'선정 규칙'!$B$8,IF('제외 후보'!L171&lt;=1.5,'선정 규칙'!$B$9,IF('제외 후보'!L171&lt;=2,'선정 규칙'!$B$10,IF('제외 후보'!L171&lt;=2.5,'선정 규칙'!$B$11,IF('제외 후보'!L171&lt;=3,'선정 규칙'!$B$12,IF('제외 후보'!L171&lt;=3.5,'선정 규칙'!$B$13,IF('제외 후보'!L171&gt;=4.5,'선정 규칙'!$B$14,0)))))))</x:f>
        <x:v>12</x:v>
      </x:c>
      <x:c r="F171" s="11" t="n">
        <x:f>IF('제외 후보'!Y171=0,'선정 규칙'!$B$15,IF('제외 후보'!Y171&gt;=100,'선정 규칙'!$B$16,'선정 규칙'!$B$17))</x:f>
        <x:v>12</x:v>
      </x:c>
      <x:c r="G171" s="11" t="n">
        <x:f>IF('제외 후보'!M171="있음",'선정 규칙'!$B$18,'선정 규칙'!$B$19)</x:f>
        <x:v>6</x:v>
      </x:c>
      <x:c r="H171" s="11" t="n">
        <x:f>IF(ISNUMBER(SEARCH("freq-core",'제외 후보'!AD171)),'선정 규칙'!$B$20,0)</x:f>
        <x:v>0</x:v>
      </x:c>
      <x:c r="I171" s="11" t="n">
        <x:f>IF(ISNUMBER(SEARCH("weak_legacy_content",'제외 후보'!P171)),'선정 규칙'!$B$21,0)</x:f>
        <x:v>5</x:v>
      </x:c>
      <x:c r="J171" s="11" t="n">
        <x:f>IF('제외 후보'!AC171&lt;&gt;"",'선정 규칙'!$B$22,0)</x:f>
        <x:v>10</x:v>
      </x:c>
      <x:c r="K171" s="11" t="n">
        <x:f>SUM(B171:J171)</x:f>
        <x:v>45</x:v>
      </x:c>
      <x:c r="L171" s="11" t="n">
        <x:f>'제외 후보'!N171</x:f>
        <x:v>45</x:v>
      </x:c>
      <x:c r="M171" s="2" t="str">
        <x:f>IF(K171=L171,"OK","MISMATCH")</x:f>
        <x:v>OK</x:v>
      </x:c>
    </x:row>
    <x:row r="172">
      <x:c r="A172" s="2" t="str">
        <x:f>'제외 후보'!G172</x:f>
        <x:v>w_8620630325882eef</x:v>
      </x:c>
      <x:c r="B172" s="11" t="n">
        <x:f>IF('제외 후보'!Q172&lt;&gt;"",'선정 규칙'!$B$4,0)</x:f>
        <x:v>0</x:v>
      </x:c>
      <x:c r="C172" s="11" t="n">
        <x:f>IF(ISNUMBER(SEARCH("jmdict_uncommon_or_irregular",'제외 후보'!P172)),'선정 규칙'!$B$5,IF(ISNUMBER(SEARCH("jmdict_rare_or_dated",'제외 후보'!P172)),'선정 규칙'!$B$6,0))</x:f>
        <x:v>0</x:v>
      </x:c>
      <x:c r="D172" s="11" t="n">
        <x:f>IF(ISNUMBER(SEARCH("jmdict_exact_pair_not_found",'제외 후보'!P172)),'선정 규칙'!$B$7,0)</x:f>
        <x:v>0</x:v>
      </x:c>
      <x:c r="E172" s="11" t="n">
        <x:f>IF(OR('제외 후보'!L172="",'제외 후보'!L172&lt;=0),'선정 규칙'!$B$8,IF('제외 후보'!L172&lt;=1.5,'선정 규칙'!$B$9,IF('제외 후보'!L172&lt;=2,'선정 규칙'!$B$10,IF('제외 후보'!L172&lt;=2.5,'선정 규칙'!$B$11,IF('제외 후보'!L172&lt;=3,'선정 규칙'!$B$12,IF('제외 후보'!L172&lt;=3.5,'선정 규칙'!$B$13,IF('제외 후보'!L172&gt;=4.5,'선정 규칙'!$B$14,0)))))))</x:f>
        <x:v>26</x:v>
      </x:c>
      <x:c r="F172" s="11" t="n">
        <x:f>IF('제외 후보'!Y172=0,'선정 규칙'!$B$15,IF('제외 후보'!Y172&gt;=100,'선정 규칙'!$B$16,'선정 규칙'!$B$17))</x:f>
        <x:v>12</x:v>
      </x:c>
      <x:c r="G172" s="11" t="n">
        <x:f>IF('제외 후보'!M172="있음",'선정 규칙'!$B$18,'선정 규칙'!$B$19)</x:f>
        <x:v>6</x:v>
      </x:c>
      <x:c r="H172" s="11" t="n">
        <x:f>IF(ISNUMBER(SEARCH("freq-core",'제외 후보'!AD172)),'선정 규칙'!$B$20,0)</x:f>
        <x:v>0</x:v>
      </x:c>
      <x:c r="I172" s="11" t="n">
        <x:f>IF(ISNUMBER(SEARCH("weak_legacy_content",'제외 후보'!P172)),'선정 규칙'!$B$21,0)</x:f>
        <x:v>0</x:v>
      </x:c>
      <x:c r="J172" s="11" t="n">
        <x:f>IF('제외 후보'!AC172&lt;&gt;"",'선정 규칙'!$B$22,0)</x:f>
        <x:v>0</x:v>
      </x:c>
      <x:c r="K172" s="11" t="n">
        <x:f>SUM(B172:J172)</x:f>
        <x:v>44</x:v>
      </x:c>
      <x:c r="L172" s="11" t="n">
        <x:f>'제외 후보'!N172</x:f>
        <x:v>44</x:v>
      </x:c>
      <x:c r="M172" s="2" t="str">
        <x:f>IF(K172=L172,"OK","MISMATCH")</x:f>
        <x:v>OK</x:v>
      </x:c>
    </x:row>
    <x:row r="173">
      <x:c r="A173" s="2" t="str">
        <x:f>'제외 후보'!G173</x:f>
        <x:v>w_c04ce01d6f5db784</x:v>
      </x:c>
      <x:c r="B173" s="11" t="n">
        <x:f>IF('제외 후보'!Q173&lt;&gt;"",'선정 규칙'!$B$4,0)</x:f>
        <x:v>0</x:v>
      </x:c>
      <x:c r="C173" s="11" t="n">
        <x:f>IF(ISNUMBER(SEARCH("jmdict_uncommon_or_irregular",'제외 후보'!P173)),'선정 규칙'!$B$5,IF(ISNUMBER(SEARCH("jmdict_rare_or_dated",'제외 후보'!P173)),'선정 규칙'!$B$6,0))</x:f>
        <x:v>0</x:v>
      </x:c>
      <x:c r="D173" s="11" t="n">
        <x:f>IF(ISNUMBER(SEARCH("jmdict_exact_pair_not_found",'제외 후보'!P173)),'선정 규칙'!$B$7,0)</x:f>
        <x:v>0</x:v>
      </x:c>
      <x:c r="E173" s="11" t="n">
        <x:f>IF(OR('제외 후보'!L173="",'제외 후보'!L173&lt;=0),'선정 규칙'!$B$8,IF('제외 후보'!L173&lt;=1.5,'선정 규칙'!$B$9,IF('제외 후보'!L173&lt;=2,'선정 규칙'!$B$10,IF('제외 후보'!L173&lt;=2.5,'선정 규칙'!$B$11,IF('제외 후보'!L173&lt;=3,'선정 규칙'!$B$12,IF('제외 후보'!L173&lt;=3.5,'선정 규칙'!$B$13,IF('제외 후보'!L173&gt;=4.5,'선정 규칙'!$B$14,0)))))))</x:f>
        <x:v>26</x:v>
      </x:c>
      <x:c r="F173" s="11" t="n">
        <x:f>IF('제외 후보'!Y173=0,'선정 규칙'!$B$15,IF('제외 후보'!Y173&gt;=100,'선정 규칙'!$B$16,'선정 규칙'!$B$17))</x:f>
        <x:v>12</x:v>
      </x:c>
      <x:c r="G173" s="11" t="n">
        <x:f>IF('제외 후보'!M173="있음",'선정 규칙'!$B$18,'선정 규칙'!$B$19)</x:f>
        <x:v>6</x:v>
      </x:c>
      <x:c r="H173" s="11" t="n">
        <x:f>IF(ISNUMBER(SEARCH("freq-core",'제외 후보'!AD173)),'선정 규칙'!$B$20,0)</x:f>
        <x:v>0</x:v>
      </x:c>
      <x:c r="I173" s="11" t="n">
        <x:f>IF(ISNUMBER(SEARCH("weak_legacy_content",'제외 후보'!P173)),'선정 규칙'!$B$21,0)</x:f>
        <x:v>0</x:v>
      </x:c>
      <x:c r="J173" s="11" t="n">
        <x:f>IF('제외 후보'!AC173&lt;&gt;"",'선정 규칙'!$B$22,0)</x:f>
        <x:v>0</x:v>
      </x:c>
      <x:c r="K173" s="11" t="n">
        <x:f>SUM(B173:J173)</x:f>
        <x:v>44</x:v>
      </x:c>
      <x:c r="L173" s="11" t="n">
        <x:f>'제외 후보'!N173</x:f>
        <x:v>44</x:v>
      </x:c>
      <x:c r="M173" s="2" t="str">
        <x:f>IF(K173=L173,"OK","MISMATCH")</x:f>
        <x:v>OK</x:v>
      </x:c>
    </x:row>
    <x:row r="174">
      <x:c r="A174" s="2" t="str">
        <x:f>'제외 후보'!G174</x:f>
        <x:v>w_4867b4450104d27c</x:v>
      </x:c>
      <x:c r="B174" s="11" t="n">
        <x:f>IF('제외 후보'!Q174&lt;&gt;"",'선정 규칙'!$B$4,0)</x:f>
        <x:v>0</x:v>
      </x:c>
      <x:c r="C174" s="11" t="n">
        <x:f>IF(ISNUMBER(SEARCH("jmdict_uncommon_or_irregular",'제외 후보'!P174)),'선정 규칙'!$B$5,IF(ISNUMBER(SEARCH("jmdict_rare_or_dated",'제외 후보'!P174)),'선정 규칙'!$B$6,0))</x:f>
        <x:v>0</x:v>
      </x:c>
      <x:c r="D174" s="11" t="n">
        <x:f>IF(ISNUMBER(SEARCH("jmdict_exact_pair_not_found",'제외 후보'!P174)),'선정 규칙'!$B$7,0)</x:f>
        <x:v>0</x:v>
      </x:c>
      <x:c r="E174" s="11" t="n">
        <x:f>IF(OR('제외 후보'!L174="",'제외 후보'!L174&lt;=0),'선정 규칙'!$B$8,IF('제외 후보'!L174&lt;=1.5,'선정 규칙'!$B$9,IF('제외 후보'!L174&lt;=2,'선정 규칙'!$B$10,IF('제외 후보'!L174&lt;=2.5,'선정 규칙'!$B$11,IF('제외 후보'!L174&lt;=3,'선정 규칙'!$B$12,IF('제외 후보'!L174&lt;=3.5,'선정 규칙'!$B$13,IF('제외 후보'!L174&gt;=4.5,'선정 규칙'!$B$14,0)))))))</x:f>
        <x:v>26</x:v>
      </x:c>
      <x:c r="F174" s="11" t="n">
        <x:f>IF('제외 후보'!Y174=0,'선정 규칙'!$B$15,IF('제외 후보'!Y174&gt;=100,'선정 규칙'!$B$16,'선정 규칙'!$B$17))</x:f>
        <x:v>12</x:v>
      </x:c>
      <x:c r="G174" s="11" t="n">
        <x:f>IF('제외 후보'!M174="있음",'선정 규칙'!$B$18,'선정 규칙'!$B$19)</x:f>
        <x:v>6</x:v>
      </x:c>
      <x:c r="H174" s="11" t="n">
        <x:f>IF(ISNUMBER(SEARCH("freq-core",'제외 후보'!AD174)),'선정 규칙'!$B$20,0)</x:f>
        <x:v>0</x:v>
      </x:c>
      <x:c r="I174" s="11" t="n">
        <x:f>IF(ISNUMBER(SEARCH("weak_legacy_content",'제외 후보'!P174)),'선정 규칙'!$B$21,0)</x:f>
        <x:v>0</x:v>
      </x:c>
      <x:c r="J174" s="11" t="n">
        <x:f>IF('제외 후보'!AC174&lt;&gt;"",'선정 규칙'!$B$22,0)</x:f>
        <x:v>0</x:v>
      </x:c>
      <x:c r="K174" s="11" t="n">
        <x:f>SUM(B174:J174)</x:f>
        <x:v>44</x:v>
      </x:c>
      <x:c r="L174" s="11" t="n">
        <x:f>'제외 후보'!N174</x:f>
        <x:v>44</x:v>
      </x:c>
      <x:c r="M174" s="2" t="str">
        <x:f>IF(K174=L174,"OK","MISMATCH")</x:f>
        <x:v>OK</x:v>
      </x:c>
    </x:row>
    <x:row r="175">
      <x:c r="A175" s="2" t="str">
        <x:f>'제외 후보'!G175</x:f>
        <x:v>w_a6b82112020af822</x:v>
      </x:c>
      <x:c r="B175" s="11" t="n">
        <x:f>IF('제외 후보'!Q175&lt;&gt;"",'선정 규칙'!$B$4,0)</x:f>
        <x:v>0</x:v>
      </x:c>
      <x:c r="C175" s="11" t="n">
        <x:f>IF(ISNUMBER(SEARCH("jmdict_uncommon_or_irregular",'제외 후보'!P175)),'선정 규칙'!$B$5,IF(ISNUMBER(SEARCH("jmdict_rare_or_dated",'제외 후보'!P175)),'선정 규칙'!$B$6,0))</x:f>
        <x:v>0</x:v>
      </x:c>
      <x:c r="D175" s="11" t="n">
        <x:f>IF(ISNUMBER(SEARCH("jmdict_exact_pair_not_found",'제외 후보'!P175)),'선정 규칙'!$B$7,0)</x:f>
        <x:v>0</x:v>
      </x:c>
      <x:c r="E175" s="11" t="n">
        <x:f>IF(OR('제외 후보'!L175="",'제외 후보'!L175&lt;=0),'선정 규칙'!$B$8,IF('제외 후보'!L175&lt;=1.5,'선정 규칙'!$B$9,IF('제외 후보'!L175&lt;=2,'선정 규칙'!$B$10,IF('제외 후보'!L175&lt;=2.5,'선정 규칙'!$B$11,IF('제외 후보'!L175&lt;=3,'선정 규칙'!$B$12,IF('제외 후보'!L175&lt;=3.5,'선정 규칙'!$B$13,IF('제외 후보'!L175&gt;=4.5,'선정 규칙'!$B$14,0)))))))</x:f>
        <x:v>26</x:v>
      </x:c>
      <x:c r="F175" s="11" t="n">
        <x:f>IF('제외 후보'!Y175=0,'선정 규칙'!$B$15,IF('제외 후보'!Y175&gt;=100,'선정 규칙'!$B$16,'선정 규칙'!$B$17))</x:f>
        <x:v>12</x:v>
      </x:c>
      <x:c r="G175" s="11" t="n">
        <x:f>IF('제외 후보'!M175="있음",'선정 규칙'!$B$18,'선정 규칙'!$B$19)</x:f>
        <x:v>6</x:v>
      </x:c>
      <x:c r="H175" s="11" t="n">
        <x:f>IF(ISNUMBER(SEARCH("freq-core",'제외 후보'!AD175)),'선정 규칙'!$B$20,0)</x:f>
        <x:v>0</x:v>
      </x:c>
      <x:c r="I175" s="11" t="n">
        <x:f>IF(ISNUMBER(SEARCH("weak_legacy_content",'제외 후보'!P175)),'선정 규칙'!$B$21,0)</x:f>
        <x:v>0</x:v>
      </x:c>
      <x:c r="J175" s="11" t="n">
        <x:f>IF('제외 후보'!AC175&lt;&gt;"",'선정 규칙'!$B$22,0)</x:f>
        <x:v>0</x:v>
      </x:c>
      <x:c r="K175" s="11" t="n">
        <x:f>SUM(B175:J175)</x:f>
        <x:v>44</x:v>
      </x:c>
      <x:c r="L175" s="11" t="n">
        <x:f>'제외 후보'!N175</x:f>
        <x:v>44</x:v>
      </x:c>
      <x:c r="M175" s="2" t="str">
        <x:f>IF(K175=L175,"OK","MISMATCH")</x:f>
        <x:v>OK</x:v>
      </x:c>
    </x:row>
    <x:row r="176">
      <x:c r="A176" s="2" t="str">
        <x:f>'제외 후보'!G176</x:f>
        <x:v>w_560fcad7938d0b0c</x:v>
      </x:c>
      <x:c r="B176" s="11" t="n">
        <x:f>IF('제외 후보'!Q176&lt;&gt;"",'선정 규칙'!$B$4,0)</x:f>
        <x:v>0</x:v>
      </x:c>
      <x:c r="C176" s="11" t="n">
        <x:f>IF(ISNUMBER(SEARCH("jmdict_uncommon_or_irregular",'제외 후보'!P176)),'선정 규칙'!$B$5,IF(ISNUMBER(SEARCH("jmdict_rare_or_dated",'제외 후보'!P176)),'선정 규칙'!$B$6,0))</x:f>
        <x:v>0</x:v>
      </x:c>
      <x:c r="D176" s="11" t="n">
        <x:f>IF(ISNUMBER(SEARCH("jmdict_exact_pair_not_found",'제외 후보'!P176)),'선정 규칙'!$B$7,0)</x:f>
        <x:v>0</x:v>
      </x:c>
      <x:c r="E176" s="11" t="n">
        <x:f>IF(OR('제외 후보'!L176="",'제외 후보'!L176&lt;=0),'선정 규칙'!$B$8,IF('제외 후보'!L176&lt;=1.5,'선정 규칙'!$B$9,IF('제외 후보'!L176&lt;=2,'선정 규칙'!$B$10,IF('제외 후보'!L176&lt;=2.5,'선정 규칙'!$B$11,IF('제외 후보'!L176&lt;=3,'선정 규칙'!$B$12,IF('제외 후보'!L176&lt;=3.5,'선정 규칙'!$B$13,IF('제외 후보'!L176&gt;=4.5,'선정 규칙'!$B$14,0)))))))</x:f>
        <x:v>26</x:v>
      </x:c>
      <x:c r="F176" s="11" t="n">
        <x:f>IF('제외 후보'!Y176=0,'선정 규칙'!$B$15,IF('제외 후보'!Y176&gt;=100,'선정 규칙'!$B$16,'선정 규칙'!$B$17))</x:f>
        <x:v>12</x:v>
      </x:c>
      <x:c r="G176" s="11" t="n">
        <x:f>IF('제외 후보'!M176="있음",'선정 규칙'!$B$18,'선정 규칙'!$B$19)</x:f>
        <x:v>6</x:v>
      </x:c>
      <x:c r="H176" s="11" t="n">
        <x:f>IF(ISNUMBER(SEARCH("freq-core",'제외 후보'!AD176)),'선정 규칙'!$B$20,0)</x:f>
        <x:v>0</x:v>
      </x:c>
      <x:c r="I176" s="11" t="n">
        <x:f>IF(ISNUMBER(SEARCH("weak_legacy_content",'제외 후보'!P176)),'선정 규칙'!$B$21,0)</x:f>
        <x:v>0</x:v>
      </x:c>
      <x:c r="J176" s="11" t="n">
        <x:f>IF('제외 후보'!AC176&lt;&gt;"",'선정 규칙'!$B$22,0)</x:f>
        <x:v>0</x:v>
      </x:c>
      <x:c r="K176" s="11" t="n">
        <x:f>SUM(B176:J176)</x:f>
        <x:v>44</x:v>
      </x:c>
      <x:c r="L176" s="11" t="n">
        <x:f>'제외 후보'!N176</x:f>
        <x:v>44</x:v>
      </x:c>
      <x:c r="M176" s="2" t="str">
        <x:f>IF(K176=L176,"OK","MISMATCH")</x:f>
        <x:v>OK</x:v>
      </x:c>
    </x:row>
    <x:row r="177">
      <x:c r="A177" s="2" t="str">
        <x:f>'제외 후보'!G177</x:f>
        <x:v>w_6fddc1e91dadbf61</x:v>
      </x:c>
      <x:c r="B177" s="11" t="n">
        <x:f>IF('제외 후보'!Q177&lt;&gt;"",'선정 규칙'!$B$4,0)</x:f>
        <x:v>0</x:v>
      </x:c>
      <x:c r="C177" s="11" t="n">
        <x:f>IF(ISNUMBER(SEARCH("jmdict_uncommon_or_irregular",'제외 후보'!P177)),'선정 규칙'!$B$5,IF(ISNUMBER(SEARCH("jmdict_rare_or_dated",'제외 후보'!P177)),'선정 규칙'!$B$6,0))</x:f>
        <x:v>0</x:v>
      </x:c>
      <x:c r="D177" s="11" t="n">
        <x:f>IF(ISNUMBER(SEARCH("jmdict_exact_pair_not_found",'제외 후보'!P177)),'선정 규칙'!$B$7,0)</x:f>
        <x:v>0</x:v>
      </x:c>
      <x:c r="E177" s="11" t="n">
        <x:f>IF(OR('제외 후보'!L177="",'제외 후보'!L177&lt;=0),'선정 규칙'!$B$8,IF('제외 후보'!L177&lt;=1.5,'선정 규칙'!$B$9,IF('제외 후보'!L177&lt;=2,'선정 규칙'!$B$10,IF('제외 후보'!L177&lt;=2.5,'선정 규칙'!$B$11,IF('제외 후보'!L177&lt;=3,'선정 규칙'!$B$12,IF('제외 후보'!L177&lt;=3.5,'선정 규칙'!$B$13,IF('제외 후보'!L177&gt;=4.5,'선정 규칙'!$B$14,0)))))))</x:f>
        <x:v>26</x:v>
      </x:c>
      <x:c r="F177" s="11" t="n">
        <x:f>IF('제외 후보'!Y177=0,'선정 규칙'!$B$15,IF('제외 후보'!Y177&gt;=100,'선정 규칙'!$B$16,'선정 규칙'!$B$17))</x:f>
        <x:v>12</x:v>
      </x:c>
      <x:c r="G177" s="11" t="n">
        <x:f>IF('제외 후보'!M177="있음",'선정 규칙'!$B$18,'선정 규칙'!$B$19)</x:f>
        <x:v>6</x:v>
      </x:c>
      <x:c r="H177" s="11" t="n">
        <x:f>IF(ISNUMBER(SEARCH("freq-core",'제외 후보'!AD177)),'선정 규칙'!$B$20,0)</x:f>
        <x:v>0</x:v>
      </x:c>
      <x:c r="I177" s="11" t="n">
        <x:f>IF(ISNUMBER(SEARCH("weak_legacy_content",'제외 후보'!P177)),'선정 규칙'!$B$21,0)</x:f>
        <x:v>0</x:v>
      </x:c>
      <x:c r="J177" s="11" t="n">
        <x:f>IF('제외 후보'!AC177&lt;&gt;"",'선정 규칙'!$B$22,0)</x:f>
        <x:v>0</x:v>
      </x:c>
      <x:c r="K177" s="11" t="n">
        <x:f>SUM(B177:J177)</x:f>
        <x:v>44</x:v>
      </x:c>
      <x:c r="L177" s="11" t="n">
        <x:f>'제외 후보'!N177</x:f>
        <x:v>44</x:v>
      </x:c>
      <x:c r="M177" s="2" t="str">
        <x:f>IF(K177=L177,"OK","MISMATCH")</x:f>
        <x:v>OK</x:v>
      </x:c>
    </x:row>
    <x:row r="178">
      <x:c r="A178" s="2" t="str">
        <x:f>'제외 후보'!G178</x:f>
        <x:v>w_81d9a253570bac6e</x:v>
      </x:c>
      <x:c r="B178" s="11" t="n">
        <x:f>IF('제외 후보'!Q178&lt;&gt;"",'선정 규칙'!$B$4,0)</x:f>
        <x:v>0</x:v>
      </x:c>
      <x:c r="C178" s="11" t="n">
        <x:f>IF(ISNUMBER(SEARCH("jmdict_uncommon_or_irregular",'제외 후보'!P178)),'선정 규칙'!$B$5,IF(ISNUMBER(SEARCH("jmdict_rare_or_dated",'제외 후보'!P178)),'선정 규칙'!$B$6,0))</x:f>
        <x:v>0</x:v>
      </x:c>
      <x:c r="D178" s="11" t="n">
        <x:f>IF(ISNUMBER(SEARCH("jmdict_exact_pair_not_found",'제외 후보'!P178)),'선정 규칙'!$B$7,0)</x:f>
        <x:v>0</x:v>
      </x:c>
      <x:c r="E178" s="11" t="n">
        <x:f>IF(OR('제외 후보'!L178="",'제외 후보'!L178&lt;=0),'선정 규칙'!$B$8,IF('제외 후보'!L178&lt;=1.5,'선정 규칙'!$B$9,IF('제외 후보'!L178&lt;=2,'선정 규칙'!$B$10,IF('제외 후보'!L178&lt;=2.5,'선정 규칙'!$B$11,IF('제외 후보'!L178&lt;=3,'선정 규칙'!$B$12,IF('제외 후보'!L178&lt;=3.5,'선정 규칙'!$B$13,IF('제외 후보'!L178&gt;=4.5,'선정 규칙'!$B$14,0)))))))</x:f>
        <x:v>26</x:v>
      </x:c>
      <x:c r="F178" s="11" t="n">
        <x:f>IF('제외 후보'!Y178=0,'선정 규칙'!$B$15,IF('제외 후보'!Y178&gt;=100,'선정 규칙'!$B$16,'선정 규칙'!$B$17))</x:f>
        <x:v>12</x:v>
      </x:c>
      <x:c r="G178" s="11" t="n">
        <x:f>IF('제외 후보'!M178="있음",'선정 규칙'!$B$18,'선정 규칙'!$B$19)</x:f>
        <x:v>6</x:v>
      </x:c>
      <x:c r="H178" s="11" t="n">
        <x:f>IF(ISNUMBER(SEARCH("freq-core",'제외 후보'!AD178)),'선정 규칙'!$B$20,0)</x:f>
        <x:v>0</x:v>
      </x:c>
      <x:c r="I178" s="11" t="n">
        <x:f>IF(ISNUMBER(SEARCH("weak_legacy_content",'제외 후보'!P178)),'선정 규칙'!$B$21,0)</x:f>
        <x:v>0</x:v>
      </x:c>
      <x:c r="J178" s="11" t="n">
        <x:f>IF('제외 후보'!AC178&lt;&gt;"",'선정 규칙'!$B$22,0)</x:f>
        <x:v>0</x:v>
      </x:c>
      <x:c r="K178" s="11" t="n">
        <x:f>SUM(B178:J178)</x:f>
        <x:v>44</x:v>
      </x:c>
      <x:c r="L178" s="11" t="n">
        <x:f>'제외 후보'!N178</x:f>
        <x:v>44</x:v>
      </x:c>
      <x:c r="M178" s="2" t="str">
        <x:f>IF(K178=L178,"OK","MISMATCH")</x:f>
        <x:v>OK</x:v>
      </x:c>
    </x:row>
    <x:row r="179">
      <x:c r="A179" s="2" t="str">
        <x:f>'제외 후보'!G179</x:f>
        <x:v>w_837681aeccee5dd7</x:v>
      </x:c>
      <x:c r="B179" s="11" t="n">
        <x:f>IF('제외 후보'!Q179&lt;&gt;"",'선정 규칙'!$B$4,0)</x:f>
        <x:v>0</x:v>
      </x:c>
      <x:c r="C179" s="11" t="n">
        <x:f>IF(ISNUMBER(SEARCH("jmdict_uncommon_or_irregular",'제외 후보'!P179)),'선정 규칙'!$B$5,IF(ISNUMBER(SEARCH("jmdict_rare_or_dated",'제외 후보'!P179)),'선정 규칙'!$B$6,0))</x:f>
        <x:v>0</x:v>
      </x:c>
      <x:c r="D179" s="11" t="n">
        <x:f>IF(ISNUMBER(SEARCH("jmdict_exact_pair_not_found",'제외 후보'!P179)),'선정 규칙'!$B$7,0)</x:f>
        <x:v>0</x:v>
      </x:c>
      <x:c r="E179" s="11" t="n">
        <x:f>IF(OR('제외 후보'!L179="",'제외 후보'!L179&lt;=0),'선정 규칙'!$B$8,IF('제외 후보'!L179&lt;=1.5,'선정 규칙'!$B$9,IF('제외 후보'!L179&lt;=2,'선정 규칙'!$B$10,IF('제외 후보'!L179&lt;=2.5,'선정 규칙'!$B$11,IF('제외 후보'!L179&lt;=3,'선정 규칙'!$B$12,IF('제외 후보'!L179&lt;=3.5,'선정 규칙'!$B$13,IF('제외 후보'!L179&gt;=4.5,'선정 규칙'!$B$14,0)))))))</x:f>
        <x:v>26</x:v>
      </x:c>
      <x:c r="F179" s="11" t="n">
        <x:f>IF('제외 후보'!Y179=0,'선정 규칙'!$B$15,IF('제외 후보'!Y179&gt;=100,'선정 규칙'!$B$16,'선정 규칙'!$B$17))</x:f>
        <x:v>12</x:v>
      </x:c>
      <x:c r="G179" s="11" t="n">
        <x:f>IF('제외 후보'!M179="있음",'선정 규칙'!$B$18,'선정 규칙'!$B$19)</x:f>
        <x:v>6</x:v>
      </x:c>
      <x:c r="H179" s="11" t="n">
        <x:f>IF(ISNUMBER(SEARCH("freq-core",'제외 후보'!AD179)),'선정 규칙'!$B$20,0)</x:f>
        <x:v>0</x:v>
      </x:c>
      <x:c r="I179" s="11" t="n">
        <x:f>IF(ISNUMBER(SEARCH("weak_legacy_content",'제외 후보'!P179)),'선정 규칙'!$B$21,0)</x:f>
        <x:v>0</x:v>
      </x:c>
      <x:c r="J179" s="11" t="n">
        <x:f>IF('제외 후보'!AC179&lt;&gt;"",'선정 규칙'!$B$22,0)</x:f>
        <x:v>0</x:v>
      </x:c>
      <x:c r="K179" s="11" t="n">
        <x:f>SUM(B179:J179)</x:f>
        <x:v>44</x:v>
      </x:c>
      <x:c r="L179" s="11" t="n">
        <x:f>'제외 후보'!N179</x:f>
        <x:v>44</x:v>
      </x:c>
      <x:c r="M179" s="2" t="str">
        <x:f>IF(K179=L179,"OK","MISMATCH")</x:f>
        <x:v>OK</x:v>
      </x:c>
    </x:row>
    <x:row r="180">
      <x:c r="A180" s="2" t="str">
        <x:f>'제외 후보'!G180</x:f>
        <x:v>w_58e7dc3697f3b7ef</x:v>
      </x:c>
      <x:c r="B180" s="11" t="n">
        <x:f>IF('제외 후보'!Q180&lt;&gt;"",'선정 규칙'!$B$4,0)</x:f>
        <x:v>0</x:v>
      </x:c>
      <x:c r="C180" s="11" t="n">
        <x:f>IF(ISNUMBER(SEARCH("jmdict_uncommon_or_irregular",'제외 후보'!P180)),'선정 규칙'!$B$5,IF(ISNUMBER(SEARCH("jmdict_rare_or_dated",'제외 후보'!P180)),'선정 규칙'!$B$6,0))</x:f>
        <x:v>0</x:v>
      </x:c>
      <x:c r="D180" s="11" t="n">
        <x:f>IF(ISNUMBER(SEARCH("jmdict_exact_pair_not_found",'제외 후보'!P180)),'선정 규칙'!$B$7,0)</x:f>
        <x:v>0</x:v>
      </x:c>
      <x:c r="E180" s="11" t="n">
        <x:f>IF(OR('제외 후보'!L180="",'제외 후보'!L180&lt;=0),'선정 규칙'!$B$8,IF('제외 후보'!L180&lt;=1.5,'선정 규칙'!$B$9,IF('제외 후보'!L180&lt;=2,'선정 규칙'!$B$10,IF('제외 후보'!L180&lt;=2.5,'선정 규칙'!$B$11,IF('제외 후보'!L180&lt;=3,'선정 규칙'!$B$12,IF('제외 후보'!L180&lt;=3.5,'선정 규칙'!$B$13,IF('제외 후보'!L180&gt;=4.5,'선정 규칙'!$B$14,0)))))))</x:f>
        <x:v>26</x:v>
      </x:c>
      <x:c r="F180" s="11" t="n">
        <x:f>IF('제외 후보'!Y180=0,'선정 규칙'!$B$15,IF('제외 후보'!Y180&gt;=100,'선정 규칙'!$B$16,'선정 규칙'!$B$17))</x:f>
        <x:v>12</x:v>
      </x:c>
      <x:c r="G180" s="11" t="n">
        <x:f>IF('제외 후보'!M180="있음",'선정 규칙'!$B$18,'선정 규칙'!$B$19)</x:f>
        <x:v>6</x:v>
      </x:c>
      <x:c r="H180" s="11" t="n">
        <x:f>IF(ISNUMBER(SEARCH("freq-core",'제외 후보'!AD180)),'선정 규칙'!$B$20,0)</x:f>
        <x:v>0</x:v>
      </x:c>
      <x:c r="I180" s="11" t="n">
        <x:f>IF(ISNUMBER(SEARCH("weak_legacy_content",'제외 후보'!P180)),'선정 규칙'!$B$21,0)</x:f>
        <x:v>0</x:v>
      </x:c>
      <x:c r="J180" s="11" t="n">
        <x:f>IF('제외 후보'!AC180&lt;&gt;"",'선정 규칙'!$B$22,0)</x:f>
        <x:v>0</x:v>
      </x:c>
      <x:c r="K180" s="11" t="n">
        <x:f>SUM(B180:J180)</x:f>
        <x:v>44</x:v>
      </x:c>
      <x:c r="L180" s="11" t="n">
        <x:f>'제외 후보'!N180</x:f>
        <x:v>44</x:v>
      </x:c>
      <x:c r="M180" s="2" t="str">
        <x:f>IF(K180=L180,"OK","MISMATCH")</x:f>
        <x:v>OK</x:v>
      </x:c>
    </x:row>
    <x:row r="181">
      <x:c r="A181" s="2" t="str">
        <x:f>'제외 후보'!G181</x:f>
        <x:v>w_53cc9946cf9a22e6</x:v>
      </x:c>
      <x:c r="B181" s="11" t="n">
        <x:f>IF('제외 후보'!Q181&lt;&gt;"",'선정 규칙'!$B$4,0)</x:f>
        <x:v>0</x:v>
      </x:c>
      <x:c r="C181" s="11" t="n">
        <x:f>IF(ISNUMBER(SEARCH("jmdict_uncommon_or_irregular",'제외 후보'!P181)),'선정 규칙'!$B$5,IF(ISNUMBER(SEARCH("jmdict_rare_or_dated",'제외 후보'!P181)),'선정 규칙'!$B$6,0))</x:f>
        <x:v>0</x:v>
      </x:c>
      <x:c r="D181" s="11" t="n">
        <x:f>IF(ISNUMBER(SEARCH("jmdict_exact_pair_not_found",'제외 후보'!P181)),'선정 규칙'!$B$7,0)</x:f>
        <x:v>0</x:v>
      </x:c>
      <x:c r="E181" s="11" t="n">
        <x:f>IF(OR('제외 후보'!L181="",'제외 후보'!L181&lt;=0),'선정 규칙'!$B$8,IF('제외 후보'!L181&lt;=1.5,'선정 규칙'!$B$9,IF('제외 후보'!L181&lt;=2,'선정 규칙'!$B$10,IF('제외 후보'!L181&lt;=2.5,'선정 규칙'!$B$11,IF('제외 후보'!L181&lt;=3,'선정 규칙'!$B$12,IF('제외 후보'!L181&lt;=3.5,'선정 규칙'!$B$13,IF('제외 후보'!L181&gt;=4.5,'선정 규칙'!$B$14,0)))))))</x:f>
        <x:v>26</x:v>
      </x:c>
      <x:c r="F181" s="11" t="n">
        <x:f>IF('제외 후보'!Y181=0,'선정 규칙'!$B$15,IF('제외 후보'!Y181&gt;=100,'선정 규칙'!$B$16,'선정 규칙'!$B$17))</x:f>
        <x:v>12</x:v>
      </x:c>
      <x:c r="G181" s="11" t="n">
        <x:f>IF('제외 후보'!M181="있음",'선정 규칙'!$B$18,'선정 규칙'!$B$19)</x:f>
        <x:v>6</x:v>
      </x:c>
      <x:c r="H181" s="11" t="n">
        <x:f>IF(ISNUMBER(SEARCH("freq-core",'제외 후보'!AD181)),'선정 규칙'!$B$20,0)</x:f>
        <x:v>0</x:v>
      </x:c>
      <x:c r="I181" s="11" t="n">
        <x:f>IF(ISNUMBER(SEARCH("weak_legacy_content",'제외 후보'!P181)),'선정 규칙'!$B$21,0)</x:f>
        <x:v>0</x:v>
      </x:c>
      <x:c r="J181" s="11" t="n">
        <x:f>IF('제외 후보'!AC181&lt;&gt;"",'선정 규칙'!$B$22,0)</x:f>
        <x:v>0</x:v>
      </x:c>
      <x:c r="K181" s="11" t="n">
        <x:f>SUM(B181:J181)</x:f>
        <x:v>44</x:v>
      </x:c>
      <x:c r="L181" s="11" t="n">
        <x:f>'제외 후보'!N181</x:f>
        <x:v>44</x:v>
      </x:c>
      <x:c r="M181" s="2" t="str">
        <x:f>IF(K181=L181,"OK","MISMATCH")</x:f>
        <x:v>OK</x:v>
      </x:c>
    </x:row>
    <x:row r="182">
      <x:c r="A182" s="2" t="str">
        <x:f>'제외 후보'!G182</x:f>
        <x:v>w_6836fd47438485b3</x:v>
      </x:c>
      <x:c r="B182" s="11" t="n">
        <x:f>IF('제외 후보'!Q182&lt;&gt;"",'선정 규칙'!$B$4,0)</x:f>
        <x:v>0</x:v>
      </x:c>
      <x:c r="C182" s="11" t="n">
        <x:f>IF(ISNUMBER(SEARCH("jmdict_uncommon_or_irregular",'제외 후보'!P182)),'선정 규칙'!$B$5,IF(ISNUMBER(SEARCH("jmdict_rare_or_dated",'제외 후보'!P182)),'선정 규칙'!$B$6,0))</x:f>
        <x:v>0</x:v>
      </x:c>
      <x:c r="D182" s="11" t="n">
        <x:f>IF(ISNUMBER(SEARCH("jmdict_exact_pair_not_found",'제외 후보'!P182)),'선정 규칙'!$B$7,0)</x:f>
        <x:v>0</x:v>
      </x:c>
      <x:c r="E182" s="11" t="n">
        <x:f>IF(OR('제외 후보'!L182="",'제외 후보'!L182&lt;=0),'선정 규칙'!$B$8,IF('제외 후보'!L182&lt;=1.5,'선정 규칙'!$B$9,IF('제외 후보'!L182&lt;=2,'선정 규칙'!$B$10,IF('제외 후보'!L182&lt;=2.5,'선정 규칙'!$B$11,IF('제외 후보'!L182&lt;=3,'선정 규칙'!$B$12,IF('제외 후보'!L182&lt;=3.5,'선정 규칙'!$B$13,IF('제외 후보'!L182&gt;=4.5,'선정 규칙'!$B$14,0)))))))</x:f>
        <x:v>26</x:v>
      </x:c>
      <x:c r="F182" s="11" t="n">
        <x:f>IF('제외 후보'!Y182=0,'선정 규칙'!$B$15,IF('제외 후보'!Y182&gt;=100,'선정 규칙'!$B$16,'선정 규칙'!$B$17))</x:f>
        <x:v>12</x:v>
      </x:c>
      <x:c r="G182" s="11" t="n">
        <x:f>IF('제외 후보'!M182="있음",'선정 규칙'!$B$18,'선정 규칙'!$B$19)</x:f>
        <x:v>6</x:v>
      </x:c>
      <x:c r="H182" s="11" t="n">
        <x:f>IF(ISNUMBER(SEARCH("freq-core",'제외 후보'!AD182)),'선정 규칙'!$B$20,0)</x:f>
        <x:v>0</x:v>
      </x:c>
      <x:c r="I182" s="11" t="n">
        <x:f>IF(ISNUMBER(SEARCH("weak_legacy_content",'제외 후보'!P182)),'선정 규칙'!$B$21,0)</x:f>
        <x:v>0</x:v>
      </x:c>
      <x:c r="J182" s="11" t="n">
        <x:f>IF('제외 후보'!AC182&lt;&gt;"",'선정 규칙'!$B$22,0)</x:f>
        <x:v>0</x:v>
      </x:c>
      <x:c r="K182" s="11" t="n">
        <x:f>SUM(B182:J182)</x:f>
        <x:v>44</x:v>
      </x:c>
      <x:c r="L182" s="11" t="n">
        <x:f>'제외 후보'!N182</x:f>
        <x:v>44</x:v>
      </x:c>
      <x:c r="M182" s="2" t="str">
        <x:f>IF(K182=L182,"OK","MISMATCH")</x:f>
        <x:v>OK</x:v>
      </x:c>
    </x:row>
    <x:row r="183">
      <x:c r="A183" s="2" t="str">
        <x:f>'제외 후보'!G183</x:f>
        <x:v>w_e740ff488d8fb2ff</x:v>
      </x:c>
      <x:c r="B183" s="11" t="n">
        <x:f>IF('제외 후보'!Q183&lt;&gt;"",'선정 규칙'!$B$4,0)</x:f>
        <x:v>0</x:v>
      </x:c>
      <x:c r="C183" s="11" t="n">
        <x:f>IF(ISNUMBER(SEARCH("jmdict_uncommon_or_irregular",'제외 후보'!P183)),'선정 규칙'!$B$5,IF(ISNUMBER(SEARCH("jmdict_rare_or_dated",'제외 후보'!P183)),'선정 규칙'!$B$6,0))</x:f>
        <x:v>0</x:v>
      </x:c>
      <x:c r="D183" s="11" t="n">
        <x:f>IF(ISNUMBER(SEARCH("jmdict_exact_pair_not_found",'제외 후보'!P183)),'선정 규칙'!$B$7,0)</x:f>
        <x:v>0</x:v>
      </x:c>
      <x:c r="E183" s="11" t="n">
        <x:f>IF(OR('제외 후보'!L183="",'제외 후보'!L183&lt;=0),'선정 규칙'!$B$8,IF('제외 후보'!L183&lt;=1.5,'선정 규칙'!$B$9,IF('제외 후보'!L183&lt;=2,'선정 규칙'!$B$10,IF('제외 후보'!L183&lt;=2.5,'선정 규칙'!$B$11,IF('제외 후보'!L183&lt;=3,'선정 규칙'!$B$12,IF('제외 후보'!L183&lt;=3.5,'선정 규칙'!$B$13,IF('제외 후보'!L183&gt;=4.5,'선정 규칙'!$B$14,0)))))))</x:f>
        <x:v>20</x:v>
      </x:c>
      <x:c r="F183" s="11" t="n">
        <x:f>IF('제외 후보'!Y183=0,'선정 규칙'!$B$15,IF('제외 후보'!Y183&gt;=100,'선정 규칙'!$B$16,'선정 규칙'!$B$17))</x:f>
        <x:v>12</x:v>
      </x:c>
      <x:c r="G183" s="11" t="n">
        <x:f>IF('제외 후보'!M183="있음",'선정 규칙'!$B$18,'선정 규칙'!$B$19)</x:f>
        <x:v>6</x:v>
      </x:c>
      <x:c r="H183" s="11" t="n">
        <x:f>IF(ISNUMBER(SEARCH("freq-core",'제외 후보'!AD183)),'선정 규칙'!$B$20,0)</x:f>
        <x:v>0</x:v>
      </x:c>
      <x:c r="I183" s="11" t="n">
        <x:f>IF(ISNUMBER(SEARCH("weak_legacy_content",'제외 후보'!P183)),'선정 규칙'!$B$21,0)</x:f>
        <x:v>5</x:v>
      </x:c>
      <x:c r="J183" s="11" t="n">
        <x:f>IF('제외 후보'!AC183&lt;&gt;"",'선정 규칙'!$B$22,0)</x:f>
        <x:v>0</x:v>
      </x:c>
      <x:c r="K183" s="11" t="n">
        <x:f>SUM(B183:J183)</x:f>
        <x:v>43</x:v>
      </x:c>
      <x:c r="L183" s="11" t="n">
        <x:f>'제외 후보'!N183</x:f>
        <x:v>43</x:v>
      </x:c>
      <x:c r="M183" s="2" t="str">
        <x:f>IF(K183=L183,"OK","MISMATCH")</x:f>
        <x:v>OK</x:v>
      </x:c>
    </x:row>
    <x:row r="184">
      <x:c r="A184" s="2" t="str">
        <x:f>'제외 후보'!G184</x:f>
        <x:v>w_22505daebb227709</x:v>
      </x:c>
      <x:c r="B184" s="11" t="n">
        <x:f>IF('제외 후보'!Q184&lt;&gt;"",'선정 규칙'!$B$4,0)</x:f>
        <x:v>0</x:v>
      </x:c>
      <x:c r="C184" s="11" t="n">
        <x:f>IF(ISNUMBER(SEARCH("jmdict_uncommon_or_irregular",'제외 후보'!P184)),'선정 규칙'!$B$5,IF(ISNUMBER(SEARCH("jmdict_rare_or_dated",'제외 후보'!P184)),'선정 규칙'!$B$6,0))</x:f>
        <x:v>0</x:v>
      </x:c>
      <x:c r="D184" s="11" t="n">
        <x:f>IF(ISNUMBER(SEARCH("jmdict_exact_pair_not_found",'제외 후보'!P184)),'선정 규칙'!$B$7,0)</x:f>
        <x:v>0</x:v>
      </x:c>
      <x:c r="E184" s="11" t="n">
        <x:f>IF(OR('제외 후보'!L184="",'제외 후보'!L184&lt;=0),'선정 규칙'!$B$8,IF('제외 후보'!L184&lt;=1.5,'선정 규칙'!$B$9,IF('제외 후보'!L184&lt;=2,'선정 규칙'!$B$10,IF('제외 후보'!L184&lt;=2.5,'선정 규칙'!$B$11,IF('제외 후보'!L184&lt;=3,'선정 규칙'!$B$12,IF('제외 후보'!L184&lt;=3.5,'선정 규칙'!$B$13,IF('제외 후보'!L184&gt;=4.5,'선정 규칙'!$B$14,0)))))))</x:f>
        <x:v>20</x:v>
      </x:c>
      <x:c r="F184" s="11" t="n">
        <x:f>IF('제외 후보'!Y184=0,'선정 규칙'!$B$15,IF('제외 후보'!Y184&gt;=100,'선정 규칙'!$B$16,'선정 규칙'!$B$17))</x:f>
        <x:v>12</x:v>
      </x:c>
      <x:c r="G184" s="11" t="n">
        <x:f>IF('제외 후보'!M184="있음",'선정 규칙'!$B$18,'선정 규칙'!$B$19)</x:f>
        <x:v>6</x:v>
      </x:c>
      <x:c r="H184" s="11" t="n">
        <x:f>IF(ISNUMBER(SEARCH("freq-core",'제외 후보'!AD184)),'선정 규칙'!$B$20,0)</x:f>
        <x:v>0</x:v>
      </x:c>
      <x:c r="I184" s="11" t="n">
        <x:f>IF(ISNUMBER(SEARCH("weak_legacy_content",'제외 후보'!P184)),'선정 규칙'!$B$21,0)</x:f>
        <x:v>5</x:v>
      </x:c>
      <x:c r="J184" s="11" t="n">
        <x:f>IF('제외 후보'!AC184&lt;&gt;"",'선정 규칙'!$B$22,0)</x:f>
        <x:v>0</x:v>
      </x:c>
      <x:c r="K184" s="11" t="n">
        <x:f>SUM(B184:J184)</x:f>
        <x:v>43</x:v>
      </x:c>
      <x:c r="L184" s="11" t="n">
        <x:f>'제외 후보'!N184</x:f>
        <x:v>43</x:v>
      </x:c>
      <x:c r="M184" s="2" t="str">
        <x:f>IF(K184=L184,"OK","MISMATCH")</x:f>
        <x:v>OK</x:v>
      </x:c>
    </x:row>
    <x:row r="185">
      <x:c r="A185" s="2" t="str">
        <x:f>'제외 후보'!G185</x:f>
        <x:v>w_49b1b9da6abfc4b4</x:v>
      </x:c>
      <x:c r="B185" s="11" t="n">
        <x:f>IF('제외 후보'!Q185&lt;&gt;"",'선정 규칙'!$B$4,0)</x:f>
        <x:v>0</x:v>
      </x:c>
      <x:c r="C185" s="11" t="n">
        <x:f>IF(ISNUMBER(SEARCH("jmdict_uncommon_or_irregular",'제외 후보'!P185)),'선정 규칙'!$B$5,IF(ISNUMBER(SEARCH("jmdict_rare_or_dated",'제외 후보'!P185)),'선정 규칙'!$B$6,0))</x:f>
        <x:v>0</x:v>
      </x:c>
      <x:c r="D185" s="11" t="n">
        <x:f>IF(ISNUMBER(SEARCH("jmdict_exact_pair_not_found",'제외 후보'!P185)),'선정 규칙'!$B$7,0)</x:f>
        <x:v>0</x:v>
      </x:c>
      <x:c r="E185" s="11" t="n">
        <x:f>IF(OR('제외 후보'!L185="",'제외 후보'!L185&lt;=0),'선정 규칙'!$B$8,IF('제외 후보'!L185&lt;=1.5,'선정 규칙'!$B$9,IF('제외 후보'!L185&lt;=2,'선정 규칙'!$B$10,IF('제외 후보'!L185&lt;=2.5,'선정 규칙'!$B$11,IF('제외 후보'!L185&lt;=3,'선정 규칙'!$B$12,IF('제외 후보'!L185&lt;=3.5,'선정 규칙'!$B$13,IF('제외 후보'!L185&gt;=4.5,'선정 규칙'!$B$14,0)))))))</x:f>
        <x:v>20</x:v>
      </x:c>
      <x:c r="F185" s="11" t="n">
        <x:f>IF('제외 후보'!Y185=0,'선정 규칙'!$B$15,IF('제외 후보'!Y185&gt;=100,'선정 규칙'!$B$16,'선정 규칙'!$B$17))</x:f>
        <x:v>12</x:v>
      </x:c>
      <x:c r="G185" s="11" t="n">
        <x:f>IF('제외 후보'!M185="있음",'선정 규칙'!$B$18,'선정 규칙'!$B$19)</x:f>
        <x:v>6</x:v>
      </x:c>
      <x:c r="H185" s="11" t="n">
        <x:f>IF(ISNUMBER(SEARCH("freq-core",'제외 후보'!AD185)),'선정 규칙'!$B$20,0)</x:f>
        <x:v>0</x:v>
      </x:c>
      <x:c r="I185" s="11" t="n">
        <x:f>IF(ISNUMBER(SEARCH("weak_legacy_content",'제외 후보'!P185)),'선정 규칙'!$B$21,0)</x:f>
        <x:v>5</x:v>
      </x:c>
      <x:c r="J185" s="11" t="n">
        <x:f>IF('제외 후보'!AC185&lt;&gt;"",'선정 규칙'!$B$22,0)</x:f>
        <x:v>0</x:v>
      </x:c>
      <x:c r="K185" s="11" t="n">
        <x:f>SUM(B185:J185)</x:f>
        <x:v>43</x:v>
      </x:c>
      <x:c r="L185" s="11" t="n">
        <x:f>'제외 후보'!N185</x:f>
        <x:v>43</x:v>
      </x:c>
      <x:c r="M185" s="2" t="str">
        <x:f>IF(K185=L185,"OK","MISMATCH")</x:f>
        <x:v>OK</x:v>
      </x:c>
    </x:row>
    <x:row r="186">
      <x:c r="A186" s="2" t="str">
        <x:f>'제외 후보'!G186</x:f>
        <x:v>w_fd8de04bcf7491cf</x:v>
      </x:c>
      <x:c r="B186" s="11" t="n">
        <x:f>IF('제외 후보'!Q186&lt;&gt;"",'선정 규칙'!$B$4,0)</x:f>
        <x:v>0</x:v>
      </x:c>
      <x:c r="C186" s="11" t="n">
        <x:f>IF(ISNUMBER(SEARCH("jmdict_uncommon_or_irregular",'제외 후보'!P186)),'선정 규칙'!$B$5,IF(ISNUMBER(SEARCH("jmdict_rare_or_dated",'제외 후보'!P186)),'선정 규칙'!$B$6,0))</x:f>
        <x:v>0</x:v>
      </x:c>
      <x:c r="D186" s="11" t="n">
        <x:f>IF(ISNUMBER(SEARCH("jmdict_exact_pair_not_found",'제외 후보'!P186)),'선정 규칙'!$B$7,0)</x:f>
        <x:v>0</x:v>
      </x:c>
      <x:c r="E186" s="11" t="n">
        <x:f>IF(OR('제외 후보'!L186="",'제외 후보'!L186&lt;=0),'선정 규칙'!$B$8,IF('제외 후보'!L186&lt;=1.5,'선정 규칙'!$B$9,IF('제외 후보'!L186&lt;=2,'선정 규칙'!$B$10,IF('제외 후보'!L186&lt;=2.5,'선정 규칙'!$B$11,IF('제외 후보'!L186&lt;=3,'선정 규칙'!$B$12,IF('제외 후보'!L186&lt;=3.5,'선정 규칙'!$B$13,IF('제외 후보'!L186&gt;=4.5,'선정 규칙'!$B$14,0)))))))</x:f>
        <x:v>20</x:v>
      </x:c>
      <x:c r="F186" s="11" t="n">
        <x:f>IF('제외 후보'!Y186=0,'선정 규칙'!$B$15,IF('제외 후보'!Y186&gt;=100,'선정 규칙'!$B$16,'선정 규칙'!$B$17))</x:f>
        <x:v>12</x:v>
      </x:c>
      <x:c r="G186" s="11" t="n">
        <x:f>IF('제외 후보'!M186="있음",'선정 규칙'!$B$18,'선정 규칙'!$B$19)</x:f>
        <x:v>6</x:v>
      </x:c>
      <x:c r="H186" s="11" t="n">
        <x:f>IF(ISNUMBER(SEARCH("freq-core",'제외 후보'!AD186)),'선정 규칙'!$B$20,0)</x:f>
        <x:v>0</x:v>
      </x:c>
      <x:c r="I186" s="11" t="n">
        <x:f>IF(ISNUMBER(SEARCH("weak_legacy_content",'제외 후보'!P186)),'선정 규칙'!$B$21,0)</x:f>
        <x:v>5</x:v>
      </x:c>
      <x:c r="J186" s="11" t="n">
        <x:f>IF('제외 후보'!AC186&lt;&gt;"",'선정 규칙'!$B$22,0)</x:f>
        <x:v>0</x:v>
      </x:c>
      <x:c r="K186" s="11" t="n">
        <x:f>SUM(B186:J186)</x:f>
        <x:v>43</x:v>
      </x:c>
      <x:c r="L186" s="11" t="n">
        <x:f>'제외 후보'!N186</x:f>
        <x:v>43</x:v>
      </x:c>
      <x:c r="M186" s="2" t="str">
        <x:f>IF(K186=L186,"OK","MISMATCH")</x:f>
        <x:v>OK</x:v>
      </x:c>
    </x:row>
    <x:row r="187">
      <x:c r="A187" s="2" t="str">
        <x:f>'제외 후보'!G187</x:f>
        <x:v>w_0076e56c5517d460</x:v>
      </x:c>
      <x:c r="B187" s="11" t="n">
        <x:f>IF('제외 후보'!Q187&lt;&gt;"",'선정 규칙'!$B$4,0)</x:f>
        <x:v>0</x:v>
      </x:c>
      <x:c r="C187" s="11" t="n">
        <x:f>IF(ISNUMBER(SEARCH("jmdict_uncommon_or_irregular",'제외 후보'!P187)),'선정 규칙'!$B$5,IF(ISNUMBER(SEARCH("jmdict_rare_or_dated",'제외 후보'!P187)),'선정 규칙'!$B$6,0))</x:f>
        <x:v>0</x:v>
      </x:c>
      <x:c r="D187" s="11" t="n">
        <x:f>IF(ISNUMBER(SEARCH("jmdict_exact_pair_not_found",'제외 후보'!P187)),'선정 규칙'!$B$7,0)</x:f>
        <x:v>0</x:v>
      </x:c>
      <x:c r="E187" s="11" t="n">
        <x:f>IF(OR('제외 후보'!L187="",'제외 후보'!L187&lt;=0),'선정 규칙'!$B$8,IF('제외 후보'!L187&lt;=1.5,'선정 규칙'!$B$9,IF('제외 후보'!L187&lt;=2,'선정 규칙'!$B$10,IF('제외 후보'!L187&lt;=2.5,'선정 규칙'!$B$11,IF('제외 후보'!L187&lt;=3,'선정 규칙'!$B$12,IF('제외 후보'!L187&lt;=3.5,'선정 규칙'!$B$13,IF('제외 후보'!L187&gt;=4.5,'선정 규칙'!$B$14,0)))))))</x:f>
        <x:v>20</x:v>
      </x:c>
      <x:c r="F187" s="11" t="n">
        <x:f>IF('제외 후보'!Y187=0,'선정 규칙'!$B$15,IF('제외 후보'!Y187&gt;=100,'선정 규칙'!$B$16,'선정 규칙'!$B$17))</x:f>
        <x:v>12</x:v>
      </x:c>
      <x:c r="G187" s="11" t="n">
        <x:f>IF('제외 후보'!M187="있음",'선정 규칙'!$B$18,'선정 규칙'!$B$19)</x:f>
        <x:v>6</x:v>
      </x:c>
      <x:c r="H187" s="11" t="n">
        <x:f>IF(ISNUMBER(SEARCH("freq-core",'제외 후보'!AD187)),'선정 규칙'!$B$20,0)</x:f>
        <x:v>0</x:v>
      </x:c>
      <x:c r="I187" s="11" t="n">
        <x:f>IF(ISNUMBER(SEARCH("weak_legacy_content",'제외 후보'!P187)),'선정 규칙'!$B$21,0)</x:f>
        <x:v>5</x:v>
      </x:c>
      <x:c r="J187" s="11" t="n">
        <x:f>IF('제외 후보'!AC187&lt;&gt;"",'선정 규칙'!$B$22,0)</x:f>
        <x:v>0</x:v>
      </x:c>
      <x:c r="K187" s="11" t="n">
        <x:f>SUM(B187:J187)</x:f>
        <x:v>43</x:v>
      </x:c>
      <x:c r="L187" s="11" t="n">
        <x:f>'제외 후보'!N187</x:f>
        <x:v>43</x:v>
      </x:c>
      <x:c r="M187" s="2" t="str">
        <x:f>IF(K187=L187,"OK","MISMATCH")</x:f>
        <x:v>OK</x:v>
      </x:c>
    </x:row>
    <x:row r="188">
      <x:c r="A188" s="2" t="str">
        <x:f>'제외 후보'!G188</x:f>
        <x:v>w_c062f1fced55c802</x:v>
      </x:c>
      <x:c r="B188" s="11" t="n">
        <x:f>IF('제외 후보'!Q188&lt;&gt;"",'선정 규칙'!$B$4,0)</x:f>
        <x:v>0</x:v>
      </x:c>
      <x:c r="C188" s="11" t="n">
        <x:f>IF(ISNUMBER(SEARCH("jmdict_uncommon_or_irregular",'제외 후보'!P188)),'선정 규칙'!$B$5,IF(ISNUMBER(SEARCH("jmdict_rare_or_dated",'제외 후보'!P188)),'선정 규칙'!$B$6,0))</x:f>
        <x:v>0</x:v>
      </x:c>
      <x:c r="D188" s="11" t="n">
        <x:f>IF(ISNUMBER(SEARCH("jmdict_exact_pair_not_found",'제외 후보'!P188)),'선정 규칙'!$B$7,0)</x:f>
        <x:v>0</x:v>
      </x:c>
      <x:c r="E188" s="11" t="n">
        <x:f>IF(OR('제외 후보'!L188="",'제외 후보'!L188&lt;=0),'선정 규칙'!$B$8,IF('제외 후보'!L188&lt;=1.5,'선정 규칙'!$B$9,IF('제외 후보'!L188&lt;=2,'선정 규칙'!$B$10,IF('제외 후보'!L188&lt;=2.5,'선정 규칙'!$B$11,IF('제외 후보'!L188&lt;=3,'선정 규칙'!$B$12,IF('제외 후보'!L188&lt;=3.5,'선정 규칙'!$B$13,IF('제외 후보'!L188&gt;=4.5,'선정 규칙'!$B$14,0)))))))</x:f>
        <x:v>20</x:v>
      </x:c>
      <x:c r="F188" s="11" t="n">
        <x:f>IF('제외 후보'!Y188=0,'선정 규칙'!$B$15,IF('제외 후보'!Y188&gt;=100,'선정 규칙'!$B$16,'선정 규칙'!$B$17))</x:f>
        <x:v>12</x:v>
      </x:c>
      <x:c r="G188" s="11" t="n">
        <x:f>IF('제외 후보'!M188="있음",'선정 규칙'!$B$18,'선정 규칙'!$B$19)</x:f>
        <x:v>6</x:v>
      </x:c>
      <x:c r="H188" s="11" t="n">
        <x:f>IF(ISNUMBER(SEARCH("freq-core",'제외 후보'!AD188)),'선정 규칙'!$B$20,0)</x:f>
        <x:v>0</x:v>
      </x:c>
      <x:c r="I188" s="11" t="n">
        <x:f>IF(ISNUMBER(SEARCH("weak_legacy_content",'제외 후보'!P188)),'선정 규칙'!$B$21,0)</x:f>
        <x:v>5</x:v>
      </x:c>
      <x:c r="J188" s="11" t="n">
        <x:f>IF('제외 후보'!AC188&lt;&gt;"",'선정 규칙'!$B$22,0)</x:f>
        <x:v>0</x:v>
      </x:c>
      <x:c r="K188" s="11" t="n">
        <x:f>SUM(B188:J188)</x:f>
        <x:v>43</x:v>
      </x:c>
      <x:c r="L188" s="11" t="n">
        <x:f>'제외 후보'!N188</x:f>
        <x:v>43</x:v>
      </x:c>
      <x:c r="M188" s="2" t="str">
        <x:f>IF(K188=L188,"OK","MISMATCH")</x:f>
        <x:v>OK</x:v>
      </x:c>
    </x:row>
    <x:row r="189">
      <x:c r="A189" s="2" t="str">
        <x:f>'제외 후보'!G189</x:f>
        <x:v>w_463b73e9be94bc29</x:v>
      </x:c>
      <x:c r="B189" s="11" t="n">
        <x:f>IF('제외 후보'!Q189&lt;&gt;"",'선정 규칙'!$B$4,0)</x:f>
        <x:v>0</x:v>
      </x:c>
      <x:c r="C189" s="11" t="n">
        <x:f>IF(ISNUMBER(SEARCH("jmdict_uncommon_or_irregular",'제외 후보'!P189)),'선정 규칙'!$B$5,IF(ISNUMBER(SEARCH("jmdict_rare_or_dated",'제외 후보'!P189)),'선정 규칙'!$B$6,0))</x:f>
        <x:v>0</x:v>
      </x:c>
      <x:c r="D189" s="11" t="n">
        <x:f>IF(ISNUMBER(SEARCH("jmdict_exact_pair_not_found",'제외 후보'!P189)),'선정 규칙'!$B$7,0)</x:f>
        <x:v>0</x:v>
      </x:c>
      <x:c r="E189" s="11" t="n">
        <x:f>IF(OR('제외 후보'!L189="",'제외 후보'!L189&lt;=0),'선정 규칙'!$B$8,IF('제외 후보'!L189&lt;=1.5,'선정 규칙'!$B$9,IF('제외 후보'!L189&lt;=2,'선정 규칙'!$B$10,IF('제외 후보'!L189&lt;=2.5,'선정 규칙'!$B$11,IF('제외 후보'!L189&lt;=3,'선정 규칙'!$B$12,IF('제외 후보'!L189&lt;=3.5,'선정 규칙'!$B$13,IF('제외 후보'!L189&gt;=4.5,'선정 규칙'!$B$14,0)))))))</x:f>
        <x:v>20</x:v>
      </x:c>
      <x:c r="F189" s="11" t="n">
        <x:f>IF('제외 후보'!Y189=0,'선정 규칙'!$B$15,IF('제외 후보'!Y189&gt;=100,'선정 규칙'!$B$16,'선정 규칙'!$B$17))</x:f>
        <x:v>12</x:v>
      </x:c>
      <x:c r="G189" s="11" t="n">
        <x:f>IF('제외 후보'!M189="있음",'선정 규칙'!$B$18,'선정 규칙'!$B$19)</x:f>
        <x:v>6</x:v>
      </x:c>
      <x:c r="H189" s="11" t="n">
        <x:f>IF(ISNUMBER(SEARCH("freq-core",'제외 후보'!AD189)),'선정 규칙'!$B$20,0)</x:f>
        <x:v>0</x:v>
      </x:c>
      <x:c r="I189" s="11" t="n">
        <x:f>IF(ISNUMBER(SEARCH("weak_legacy_content",'제외 후보'!P189)),'선정 규칙'!$B$21,0)</x:f>
        <x:v>5</x:v>
      </x:c>
      <x:c r="J189" s="11" t="n">
        <x:f>IF('제외 후보'!AC189&lt;&gt;"",'선정 규칙'!$B$22,0)</x:f>
        <x:v>0</x:v>
      </x:c>
      <x:c r="K189" s="11" t="n">
        <x:f>SUM(B189:J189)</x:f>
        <x:v>43</x:v>
      </x:c>
      <x:c r="L189" s="11" t="n">
        <x:f>'제외 후보'!N189</x:f>
        <x:v>43</x:v>
      </x:c>
      <x:c r="M189" s="2" t="str">
        <x:f>IF(K189=L189,"OK","MISMATCH")</x:f>
        <x:v>OK</x:v>
      </x:c>
    </x:row>
    <x:row r="190">
      <x:c r="A190" s="2" t="str">
        <x:f>'제외 후보'!G190</x:f>
        <x:v>w_5046fc7a902c0eeb</x:v>
      </x:c>
      <x:c r="B190" s="11" t="n">
        <x:f>IF('제외 후보'!Q190&lt;&gt;"",'선정 규칙'!$B$4,0)</x:f>
        <x:v>0</x:v>
      </x:c>
      <x:c r="C190" s="11" t="n">
        <x:f>IF(ISNUMBER(SEARCH("jmdict_uncommon_or_irregular",'제외 후보'!P190)),'선정 규칙'!$B$5,IF(ISNUMBER(SEARCH("jmdict_rare_or_dated",'제외 후보'!P190)),'선정 규칙'!$B$6,0))</x:f>
        <x:v>0</x:v>
      </x:c>
      <x:c r="D190" s="11" t="n">
        <x:f>IF(ISNUMBER(SEARCH("jmdict_exact_pair_not_found",'제외 후보'!P190)),'선정 규칙'!$B$7,0)</x:f>
        <x:v>0</x:v>
      </x:c>
      <x:c r="E190" s="11" t="n">
        <x:f>IF(OR('제외 후보'!L190="",'제외 후보'!L190&lt;=0),'선정 규칙'!$B$8,IF('제외 후보'!L190&lt;=1.5,'선정 규칙'!$B$9,IF('제외 후보'!L190&lt;=2,'선정 규칙'!$B$10,IF('제외 후보'!L190&lt;=2.5,'선정 규칙'!$B$11,IF('제외 후보'!L190&lt;=3,'선정 규칙'!$B$12,IF('제외 후보'!L190&lt;=3.5,'선정 규칙'!$B$13,IF('제외 후보'!L190&gt;=4.5,'선정 규칙'!$B$14,0)))))))</x:f>
        <x:v>20</x:v>
      </x:c>
      <x:c r="F190" s="11" t="n">
        <x:f>IF('제외 후보'!Y190=0,'선정 규칙'!$B$15,IF('제외 후보'!Y190&gt;=100,'선정 규칙'!$B$16,'선정 규칙'!$B$17))</x:f>
        <x:v>12</x:v>
      </x:c>
      <x:c r="G190" s="11" t="n">
        <x:f>IF('제외 후보'!M190="있음",'선정 규칙'!$B$18,'선정 규칙'!$B$19)</x:f>
        <x:v>6</x:v>
      </x:c>
      <x:c r="H190" s="11" t="n">
        <x:f>IF(ISNUMBER(SEARCH("freq-core",'제외 후보'!AD190)),'선정 규칙'!$B$20,0)</x:f>
        <x:v>0</x:v>
      </x:c>
      <x:c r="I190" s="11" t="n">
        <x:f>IF(ISNUMBER(SEARCH("weak_legacy_content",'제외 후보'!P190)),'선정 규칙'!$B$21,0)</x:f>
        <x:v>5</x:v>
      </x:c>
      <x:c r="J190" s="11" t="n">
        <x:f>IF('제외 후보'!AC190&lt;&gt;"",'선정 규칙'!$B$22,0)</x:f>
        <x:v>0</x:v>
      </x:c>
      <x:c r="K190" s="11" t="n">
        <x:f>SUM(B190:J190)</x:f>
        <x:v>43</x:v>
      </x:c>
      <x:c r="L190" s="11" t="n">
        <x:f>'제외 후보'!N190</x:f>
        <x:v>43</x:v>
      </x:c>
      <x:c r="M190" s="2" t="str">
        <x:f>IF(K190=L190,"OK","MISMATCH")</x:f>
        <x:v>OK</x:v>
      </x:c>
    </x:row>
    <x:row r="191">
      <x:c r="A191" s="2" t="str">
        <x:f>'제외 후보'!G191</x:f>
        <x:v>w_824f367e56efc87d</x:v>
      </x:c>
      <x:c r="B191" s="11" t="n">
        <x:f>IF('제외 후보'!Q191&lt;&gt;"",'선정 규칙'!$B$4,0)</x:f>
        <x:v>0</x:v>
      </x:c>
      <x:c r="C191" s="11" t="n">
        <x:f>IF(ISNUMBER(SEARCH("jmdict_uncommon_or_irregular",'제외 후보'!P191)),'선정 규칙'!$B$5,IF(ISNUMBER(SEARCH("jmdict_rare_or_dated",'제외 후보'!P191)),'선정 규칙'!$B$6,0))</x:f>
        <x:v>0</x:v>
      </x:c>
      <x:c r="D191" s="11" t="n">
        <x:f>IF(ISNUMBER(SEARCH("jmdict_exact_pair_not_found",'제외 후보'!P191)),'선정 규칙'!$B$7,0)</x:f>
        <x:v>0</x:v>
      </x:c>
      <x:c r="E191" s="11" t="n">
        <x:f>IF(OR('제외 후보'!L191="",'제외 후보'!L191&lt;=0),'선정 규칙'!$B$8,IF('제외 후보'!L191&lt;=1.5,'선정 규칙'!$B$9,IF('제외 후보'!L191&lt;=2,'선정 규칙'!$B$10,IF('제외 후보'!L191&lt;=2.5,'선정 규칙'!$B$11,IF('제외 후보'!L191&lt;=3,'선정 규칙'!$B$12,IF('제외 후보'!L191&lt;=3.5,'선정 규칙'!$B$13,IF('제외 후보'!L191&gt;=4.5,'선정 규칙'!$B$14,0)))))))</x:f>
        <x:v>20</x:v>
      </x:c>
      <x:c r="F191" s="11" t="n">
        <x:f>IF('제외 후보'!Y191=0,'선정 규칙'!$B$15,IF('제외 후보'!Y191&gt;=100,'선정 규칙'!$B$16,'선정 규칙'!$B$17))</x:f>
        <x:v>12</x:v>
      </x:c>
      <x:c r="G191" s="11" t="n">
        <x:f>IF('제외 후보'!M191="있음",'선정 규칙'!$B$18,'선정 규칙'!$B$19)</x:f>
        <x:v>6</x:v>
      </x:c>
      <x:c r="H191" s="11" t="n">
        <x:f>IF(ISNUMBER(SEARCH("freq-core",'제외 후보'!AD191)),'선정 규칙'!$B$20,0)</x:f>
        <x:v>0</x:v>
      </x:c>
      <x:c r="I191" s="11" t="n">
        <x:f>IF(ISNUMBER(SEARCH("weak_legacy_content",'제외 후보'!P191)),'선정 규칙'!$B$21,0)</x:f>
        <x:v>5</x:v>
      </x:c>
      <x:c r="J191" s="11" t="n">
        <x:f>IF('제외 후보'!AC191&lt;&gt;"",'선정 규칙'!$B$22,0)</x:f>
        <x:v>0</x:v>
      </x:c>
      <x:c r="K191" s="11" t="n">
        <x:f>SUM(B191:J191)</x:f>
        <x:v>43</x:v>
      </x:c>
      <x:c r="L191" s="11" t="n">
        <x:f>'제외 후보'!N191</x:f>
        <x:v>43</x:v>
      </x:c>
      <x:c r="M191" s="2" t="str">
        <x:f>IF(K191=L191,"OK","MISMATCH")</x:f>
        <x:v>OK</x:v>
      </x:c>
    </x:row>
    <x:row r="192">
      <x:c r="A192" s="2" t="str">
        <x:f>'제외 후보'!G192</x:f>
        <x:v>w_f0d163848d3fa09e</x:v>
      </x:c>
      <x:c r="B192" s="11" t="n">
        <x:f>IF('제외 후보'!Q192&lt;&gt;"",'선정 규칙'!$B$4,0)</x:f>
        <x:v>0</x:v>
      </x:c>
      <x:c r="C192" s="11" t="n">
        <x:f>IF(ISNUMBER(SEARCH("jmdict_uncommon_or_irregular",'제외 후보'!P192)),'선정 규칙'!$B$5,IF(ISNUMBER(SEARCH("jmdict_rare_or_dated",'제외 후보'!P192)),'선정 규칙'!$B$6,0))</x:f>
        <x:v>0</x:v>
      </x:c>
      <x:c r="D192" s="11" t="n">
        <x:f>IF(ISNUMBER(SEARCH("jmdict_exact_pair_not_found",'제외 후보'!P192)),'선정 규칙'!$B$7,0)</x:f>
        <x:v>0</x:v>
      </x:c>
      <x:c r="E192" s="11" t="n">
        <x:f>IF(OR('제외 후보'!L192="",'제외 후보'!L192&lt;=0),'선정 규칙'!$B$8,IF('제외 후보'!L192&lt;=1.5,'선정 규칙'!$B$9,IF('제외 후보'!L192&lt;=2,'선정 규칙'!$B$10,IF('제외 후보'!L192&lt;=2.5,'선정 규칙'!$B$11,IF('제외 후보'!L192&lt;=3,'선정 규칙'!$B$12,IF('제외 후보'!L192&lt;=3.5,'선정 규칙'!$B$13,IF('제외 후보'!L192&gt;=4.5,'선정 규칙'!$B$14,0)))))))</x:f>
        <x:v>20</x:v>
      </x:c>
      <x:c r="F192" s="11" t="n">
        <x:f>IF('제외 후보'!Y192=0,'선정 규칙'!$B$15,IF('제외 후보'!Y192&gt;=100,'선정 규칙'!$B$16,'선정 규칙'!$B$17))</x:f>
        <x:v>12</x:v>
      </x:c>
      <x:c r="G192" s="11" t="n">
        <x:f>IF('제외 후보'!M192="있음",'선정 규칙'!$B$18,'선정 규칙'!$B$19)</x:f>
        <x:v>6</x:v>
      </x:c>
      <x:c r="H192" s="11" t="n">
        <x:f>IF(ISNUMBER(SEARCH("freq-core",'제외 후보'!AD192)),'선정 규칙'!$B$20,0)</x:f>
        <x:v>0</x:v>
      </x:c>
      <x:c r="I192" s="11" t="n">
        <x:f>IF(ISNUMBER(SEARCH("weak_legacy_content",'제외 후보'!P192)),'선정 규칙'!$B$21,0)</x:f>
        <x:v>5</x:v>
      </x:c>
      <x:c r="J192" s="11" t="n">
        <x:f>IF('제외 후보'!AC192&lt;&gt;"",'선정 규칙'!$B$22,0)</x:f>
        <x:v>0</x:v>
      </x:c>
      <x:c r="K192" s="11" t="n">
        <x:f>SUM(B192:J192)</x:f>
        <x:v>43</x:v>
      </x:c>
      <x:c r="L192" s="11" t="n">
        <x:f>'제외 후보'!N192</x:f>
        <x:v>43</x:v>
      </x:c>
      <x:c r="M192" s="2" t="str">
        <x:f>IF(K192=L192,"OK","MISMATCH")</x:f>
        <x:v>OK</x:v>
      </x:c>
    </x:row>
    <x:row r="193">
      <x:c r="A193" s="2" t="str">
        <x:f>'제외 후보'!G193</x:f>
        <x:v>w_244b27baa8480151</x:v>
      </x:c>
      <x:c r="B193" s="11" t="n">
        <x:f>IF('제외 후보'!Q193&lt;&gt;"",'선정 규칙'!$B$4,0)</x:f>
        <x:v>0</x:v>
      </x:c>
      <x:c r="C193" s="11" t="n">
        <x:f>IF(ISNUMBER(SEARCH("jmdict_uncommon_or_irregular",'제외 후보'!P193)),'선정 규칙'!$B$5,IF(ISNUMBER(SEARCH("jmdict_rare_or_dated",'제외 후보'!P193)),'선정 규칙'!$B$6,0))</x:f>
        <x:v>0</x:v>
      </x:c>
      <x:c r="D193" s="11" t="n">
        <x:f>IF(ISNUMBER(SEARCH("jmdict_exact_pair_not_found",'제외 후보'!P193)),'선정 규칙'!$B$7,0)</x:f>
        <x:v>0</x:v>
      </x:c>
      <x:c r="E193" s="11" t="n">
        <x:f>IF(OR('제외 후보'!L193="",'제외 후보'!L193&lt;=0),'선정 규칙'!$B$8,IF('제외 후보'!L193&lt;=1.5,'선정 규칙'!$B$9,IF('제외 후보'!L193&lt;=2,'선정 규칙'!$B$10,IF('제외 후보'!L193&lt;=2.5,'선정 규칙'!$B$11,IF('제외 후보'!L193&lt;=3,'선정 규칙'!$B$12,IF('제외 후보'!L193&lt;=3.5,'선정 규칙'!$B$13,IF('제외 후보'!L193&gt;=4.5,'선정 규칙'!$B$14,0)))))))</x:f>
        <x:v>20</x:v>
      </x:c>
      <x:c r="F193" s="11" t="n">
        <x:f>IF('제외 후보'!Y193=0,'선정 규칙'!$B$15,IF('제외 후보'!Y193&gt;=100,'선정 규칙'!$B$16,'선정 규칙'!$B$17))</x:f>
        <x:v>12</x:v>
      </x:c>
      <x:c r="G193" s="11" t="n">
        <x:f>IF('제외 후보'!M193="있음",'선정 규칙'!$B$18,'선정 규칙'!$B$19)</x:f>
        <x:v>6</x:v>
      </x:c>
      <x:c r="H193" s="11" t="n">
        <x:f>IF(ISNUMBER(SEARCH("freq-core",'제외 후보'!AD193)),'선정 규칙'!$B$20,0)</x:f>
        <x:v>0</x:v>
      </x:c>
      <x:c r="I193" s="11" t="n">
        <x:f>IF(ISNUMBER(SEARCH("weak_legacy_content",'제외 후보'!P193)),'선정 규칙'!$B$21,0)</x:f>
        <x:v>5</x:v>
      </x:c>
      <x:c r="J193" s="11" t="n">
        <x:f>IF('제외 후보'!AC193&lt;&gt;"",'선정 규칙'!$B$22,0)</x:f>
        <x:v>0</x:v>
      </x:c>
      <x:c r="K193" s="11" t="n">
        <x:f>SUM(B193:J193)</x:f>
        <x:v>43</x:v>
      </x:c>
      <x:c r="L193" s="11" t="n">
        <x:f>'제외 후보'!N193</x:f>
        <x:v>43</x:v>
      </x:c>
      <x:c r="M193" s="2" t="str">
        <x:f>IF(K193=L193,"OK","MISMATCH")</x:f>
        <x:v>OK</x:v>
      </x:c>
    </x:row>
    <x:row r="194">
      <x:c r="A194" s="2" t="str">
        <x:f>'제외 후보'!G194</x:f>
        <x:v>w_86772cf44aaa74e8</x:v>
      </x:c>
      <x:c r="B194" s="11" t="n">
        <x:f>IF('제외 후보'!Q194&lt;&gt;"",'선정 규칙'!$B$4,0)</x:f>
        <x:v>0</x:v>
      </x:c>
      <x:c r="C194" s="11" t="n">
        <x:f>IF(ISNUMBER(SEARCH("jmdict_uncommon_or_irregular",'제외 후보'!P194)),'선정 규칙'!$B$5,IF(ISNUMBER(SEARCH("jmdict_rare_or_dated",'제외 후보'!P194)),'선정 규칙'!$B$6,0))</x:f>
        <x:v>0</x:v>
      </x:c>
      <x:c r="D194" s="11" t="n">
        <x:f>IF(ISNUMBER(SEARCH("jmdict_exact_pair_not_found",'제외 후보'!P194)),'선정 규칙'!$B$7,0)</x:f>
        <x:v>0</x:v>
      </x:c>
      <x:c r="E194" s="11" t="n">
        <x:f>IF(OR('제외 후보'!L194="",'제외 후보'!L194&lt;=0),'선정 규칙'!$B$8,IF('제외 후보'!L194&lt;=1.5,'선정 규칙'!$B$9,IF('제외 후보'!L194&lt;=2,'선정 규칙'!$B$10,IF('제외 후보'!L194&lt;=2.5,'선정 규칙'!$B$11,IF('제외 후보'!L194&lt;=3,'선정 규칙'!$B$12,IF('제외 후보'!L194&lt;=3.5,'선정 규칙'!$B$13,IF('제외 후보'!L194&gt;=4.5,'선정 규칙'!$B$14,0)))))))</x:f>
        <x:v>20</x:v>
      </x:c>
      <x:c r="F194" s="11" t="n">
        <x:f>IF('제외 후보'!Y194=0,'선정 규칙'!$B$15,IF('제외 후보'!Y194&gt;=100,'선정 규칙'!$B$16,'선정 규칙'!$B$17))</x:f>
        <x:v>12</x:v>
      </x:c>
      <x:c r="G194" s="11" t="n">
        <x:f>IF('제외 후보'!M194="있음",'선정 규칙'!$B$18,'선정 규칙'!$B$19)</x:f>
        <x:v>6</x:v>
      </x:c>
      <x:c r="H194" s="11" t="n">
        <x:f>IF(ISNUMBER(SEARCH("freq-core",'제외 후보'!AD194)),'선정 규칙'!$B$20,0)</x:f>
        <x:v>0</x:v>
      </x:c>
      <x:c r="I194" s="11" t="n">
        <x:f>IF(ISNUMBER(SEARCH("weak_legacy_content",'제외 후보'!P194)),'선정 규칙'!$B$21,0)</x:f>
        <x:v>5</x:v>
      </x:c>
      <x:c r="J194" s="11" t="n">
        <x:f>IF('제외 후보'!AC194&lt;&gt;"",'선정 규칙'!$B$22,0)</x:f>
        <x:v>0</x:v>
      </x:c>
      <x:c r="K194" s="11" t="n">
        <x:f>SUM(B194:J194)</x:f>
        <x:v>43</x:v>
      </x:c>
      <x:c r="L194" s="11" t="n">
        <x:f>'제외 후보'!N194</x:f>
        <x:v>43</x:v>
      </x:c>
      <x:c r="M194" s="2" t="str">
        <x:f>IF(K194=L194,"OK","MISMATCH")</x:f>
        <x:v>OK</x:v>
      </x:c>
    </x:row>
    <x:row r="195">
      <x:c r="A195" s="2" t="str">
        <x:f>'제외 후보'!G195</x:f>
        <x:v>w_5dcb43ede1c974c9</x:v>
      </x:c>
      <x:c r="B195" s="11" t="n">
        <x:f>IF('제외 후보'!Q195&lt;&gt;"",'선정 규칙'!$B$4,0)</x:f>
        <x:v>0</x:v>
      </x:c>
      <x:c r="C195" s="11" t="n">
        <x:f>IF(ISNUMBER(SEARCH("jmdict_uncommon_or_irregular",'제외 후보'!P195)),'선정 규칙'!$B$5,IF(ISNUMBER(SEARCH("jmdict_rare_or_dated",'제외 후보'!P195)),'선정 규칙'!$B$6,0))</x:f>
        <x:v>0</x:v>
      </x:c>
      <x:c r="D195" s="11" t="n">
        <x:f>IF(ISNUMBER(SEARCH("jmdict_exact_pair_not_found",'제외 후보'!P195)),'선정 규칙'!$B$7,0)</x:f>
        <x:v>0</x:v>
      </x:c>
      <x:c r="E195" s="11" t="n">
        <x:f>IF(OR('제외 후보'!L195="",'제외 후보'!L195&lt;=0),'선정 규칙'!$B$8,IF('제외 후보'!L195&lt;=1.5,'선정 규칙'!$B$9,IF('제외 후보'!L195&lt;=2,'선정 규칙'!$B$10,IF('제외 후보'!L195&lt;=2.5,'선정 규칙'!$B$11,IF('제외 후보'!L195&lt;=3,'선정 규칙'!$B$12,IF('제외 후보'!L195&lt;=3.5,'선정 규칙'!$B$13,IF('제외 후보'!L195&gt;=4.5,'선정 규칙'!$B$14,0)))))))</x:f>
        <x:v>20</x:v>
      </x:c>
      <x:c r="F195" s="11" t="n">
        <x:f>IF('제외 후보'!Y195=0,'선정 규칙'!$B$15,IF('제외 후보'!Y195&gt;=100,'선정 규칙'!$B$16,'선정 규칙'!$B$17))</x:f>
        <x:v>12</x:v>
      </x:c>
      <x:c r="G195" s="11" t="n">
        <x:f>IF('제외 후보'!M195="있음",'선정 규칙'!$B$18,'선정 규칙'!$B$19)</x:f>
        <x:v>6</x:v>
      </x:c>
      <x:c r="H195" s="11" t="n">
        <x:f>IF(ISNUMBER(SEARCH("freq-core",'제외 후보'!AD195)),'선정 규칙'!$B$20,0)</x:f>
        <x:v>0</x:v>
      </x:c>
      <x:c r="I195" s="11" t="n">
        <x:f>IF(ISNUMBER(SEARCH("weak_legacy_content",'제외 후보'!P195)),'선정 규칙'!$B$21,0)</x:f>
        <x:v>5</x:v>
      </x:c>
      <x:c r="J195" s="11" t="n">
        <x:f>IF('제외 후보'!AC195&lt;&gt;"",'선정 규칙'!$B$22,0)</x:f>
        <x:v>0</x:v>
      </x:c>
      <x:c r="K195" s="11" t="n">
        <x:f>SUM(B195:J195)</x:f>
        <x:v>43</x:v>
      </x:c>
      <x:c r="L195" s="11" t="n">
        <x:f>'제외 후보'!N195</x:f>
        <x:v>43</x:v>
      </x:c>
      <x:c r="M195" s="2" t="str">
        <x:f>IF(K195=L195,"OK","MISMATCH")</x:f>
        <x:v>OK</x:v>
      </x:c>
    </x:row>
    <x:row r="196">
      <x:c r="A196" s="2" t="str">
        <x:f>'제외 후보'!G196</x:f>
        <x:v>w_b5ea7422554eec0c</x:v>
      </x:c>
      <x:c r="B196" s="11" t="n">
        <x:f>IF('제외 후보'!Q196&lt;&gt;"",'선정 규칙'!$B$4,0)</x:f>
        <x:v>0</x:v>
      </x:c>
      <x:c r="C196" s="11" t="n">
        <x:f>IF(ISNUMBER(SEARCH("jmdict_uncommon_or_irregular",'제외 후보'!P196)),'선정 규칙'!$B$5,IF(ISNUMBER(SEARCH("jmdict_rare_or_dated",'제외 후보'!P196)),'선정 규칙'!$B$6,0))</x:f>
        <x:v>0</x:v>
      </x:c>
      <x:c r="D196" s="11" t="n">
        <x:f>IF(ISNUMBER(SEARCH("jmdict_exact_pair_not_found",'제외 후보'!P196)),'선정 규칙'!$B$7,0)</x:f>
        <x:v>0</x:v>
      </x:c>
      <x:c r="E196" s="11" t="n">
        <x:f>IF(OR('제외 후보'!L196="",'제외 후보'!L196&lt;=0),'선정 규칙'!$B$8,IF('제외 후보'!L196&lt;=1.5,'선정 규칙'!$B$9,IF('제외 후보'!L196&lt;=2,'선정 규칙'!$B$10,IF('제외 후보'!L196&lt;=2.5,'선정 규칙'!$B$11,IF('제외 후보'!L196&lt;=3,'선정 규칙'!$B$12,IF('제외 후보'!L196&lt;=3.5,'선정 규칙'!$B$13,IF('제외 후보'!L196&gt;=4.5,'선정 규칙'!$B$14,0)))))))</x:f>
        <x:v>20</x:v>
      </x:c>
      <x:c r="F196" s="11" t="n">
        <x:f>IF('제외 후보'!Y196=0,'선정 규칙'!$B$15,IF('제외 후보'!Y196&gt;=100,'선정 규칙'!$B$16,'선정 규칙'!$B$17))</x:f>
        <x:v>12</x:v>
      </x:c>
      <x:c r="G196" s="11" t="n">
        <x:f>IF('제외 후보'!M196="있음",'선정 규칙'!$B$18,'선정 규칙'!$B$19)</x:f>
        <x:v>6</x:v>
      </x:c>
      <x:c r="H196" s="11" t="n">
        <x:f>IF(ISNUMBER(SEARCH("freq-core",'제외 후보'!AD196)),'선정 규칙'!$B$20,0)</x:f>
        <x:v>0</x:v>
      </x:c>
      <x:c r="I196" s="11" t="n">
        <x:f>IF(ISNUMBER(SEARCH("weak_legacy_content",'제외 후보'!P196)),'선정 규칙'!$B$21,0)</x:f>
        <x:v>5</x:v>
      </x:c>
      <x:c r="J196" s="11" t="n">
        <x:f>IF('제외 후보'!AC196&lt;&gt;"",'선정 규칙'!$B$22,0)</x:f>
        <x:v>0</x:v>
      </x:c>
      <x:c r="K196" s="11" t="n">
        <x:f>SUM(B196:J196)</x:f>
        <x:v>43</x:v>
      </x:c>
      <x:c r="L196" s="11" t="n">
        <x:f>'제외 후보'!N196</x:f>
        <x:v>43</x:v>
      </x:c>
      <x:c r="M196" s="2" t="str">
        <x:f>IF(K196=L196,"OK","MISMATCH")</x:f>
        <x:v>OK</x:v>
      </x:c>
    </x:row>
    <x:row r="197">
      <x:c r="A197" s="2" t="str">
        <x:f>'제외 후보'!G197</x:f>
        <x:v>w_576098eca2c5c7c0</x:v>
      </x:c>
      <x:c r="B197" s="11" t="n">
        <x:f>IF('제외 후보'!Q197&lt;&gt;"",'선정 규칙'!$B$4,0)</x:f>
        <x:v>0</x:v>
      </x:c>
      <x:c r="C197" s="11" t="n">
        <x:f>IF(ISNUMBER(SEARCH("jmdict_uncommon_or_irregular",'제외 후보'!P197)),'선정 규칙'!$B$5,IF(ISNUMBER(SEARCH("jmdict_rare_or_dated",'제외 후보'!P197)),'선정 규칙'!$B$6,0))</x:f>
        <x:v>0</x:v>
      </x:c>
      <x:c r="D197" s="11" t="n">
        <x:f>IF(ISNUMBER(SEARCH("jmdict_exact_pair_not_found",'제외 후보'!P197)),'선정 규칙'!$B$7,0)</x:f>
        <x:v>0</x:v>
      </x:c>
      <x:c r="E197" s="11" t="n">
        <x:f>IF(OR('제외 후보'!L197="",'제외 후보'!L197&lt;=0),'선정 규칙'!$B$8,IF('제외 후보'!L197&lt;=1.5,'선정 규칙'!$B$9,IF('제외 후보'!L197&lt;=2,'선정 규칙'!$B$10,IF('제외 후보'!L197&lt;=2.5,'선정 규칙'!$B$11,IF('제외 후보'!L197&lt;=3,'선정 규칙'!$B$12,IF('제외 후보'!L197&lt;=3.5,'선정 규칙'!$B$13,IF('제외 후보'!L197&gt;=4.5,'선정 규칙'!$B$14,0)))))))</x:f>
        <x:v>20</x:v>
      </x:c>
      <x:c r="F197" s="11" t="n">
        <x:f>IF('제외 후보'!Y197=0,'선정 규칙'!$B$15,IF('제외 후보'!Y197&gt;=100,'선정 규칙'!$B$16,'선정 규칙'!$B$17))</x:f>
        <x:v>12</x:v>
      </x:c>
      <x:c r="G197" s="11" t="n">
        <x:f>IF('제외 후보'!M197="있음",'선정 규칙'!$B$18,'선정 규칙'!$B$19)</x:f>
        <x:v>6</x:v>
      </x:c>
      <x:c r="H197" s="11" t="n">
        <x:f>IF(ISNUMBER(SEARCH("freq-core",'제외 후보'!AD197)),'선정 규칙'!$B$20,0)</x:f>
        <x:v>0</x:v>
      </x:c>
      <x:c r="I197" s="11" t="n">
        <x:f>IF(ISNUMBER(SEARCH("weak_legacy_content",'제외 후보'!P197)),'선정 규칙'!$B$21,0)</x:f>
        <x:v>5</x:v>
      </x:c>
      <x:c r="J197" s="11" t="n">
        <x:f>IF('제외 후보'!AC197&lt;&gt;"",'선정 규칙'!$B$22,0)</x:f>
        <x:v>0</x:v>
      </x:c>
      <x:c r="K197" s="11" t="n">
        <x:f>SUM(B197:J197)</x:f>
        <x:v>43</x:v>
      </x:c>
      <x:c r="L197" s="11" t="n">
        <x:f>'제외 후보'!N197</x:f>
        <x:v>43</x:v>
      </x:c>
      <x:c r="M197" s="2" t="str">
        <x:f>IF(K197=L197,"OK","MISMATCH")</x:f>
        <x:v>OK</x:v>
      </x:c>
    </x:row>
    <x:row r="198">
      <x:c r="A198" s="2" t="str">
        <x:f>'제외 후보'!G198</x:f>
        <x:v>w_3f6beba4a6bb1e23</x:v>
      </x:c>
      <x:c r="B198" s="11" t="n">
        <x:f>IF('제외 후보'!Q198&lt;&gt;"",'선정 규칙'!$B$4,0)</x:f>
        <x:v>0</x:v>
      </x:c>
      <x:c r="C198" s="11" t="n">
        <x:f>IF(ISNUMBER(SEARCH("jmdict_uncommon_or_irregular",'제외 후보'!P198)),'선정 규칙'!$B$5,IF(ISNUMBER(SEARCH("jmdict_rare_or_dated",'제외 후보'!P198)),'선정 규칙'!$B$6,0))</x:f>
        <x:v>0</x:v>
      </x:c>
      <x:c r="D198" s="11" t="n">
        <x:f>IF(ISNUMBER(SEARCH("jmdict_exact_pair_not_found",'제외 후보'!P198)),'선정 규칙'!$B$7,0)</x:f>
        <x:v>0</x:v>
      </x:c>
      <x:c r="E198" s="11" t="n">
        <x:f>IF(OR('제외 후보'!L198="",'제외 후보'!L198&lt;=0),'선정 규칙'!$B$8,IF('제외 후보'!L198&lt;=1.5,'선정 규칙'!$B$9,IF('제외 후보'!L198&lt;=2,'선정 규칙'!$B$10,IF('제외 후보'!L198&lt;=2.5,'선정 규칙'!$B$11,IF('제외 후보'!L198&lt;=3,'선정 규칙'!$B$12,IF('제외 후보'!L198&lt;=3.5,'선정 규칙'!$B$13,IF('제외 후보'!L198&gt;=4.5,'선정 규칙'!$B$14,0)))))))</x:f>
        <x:v>20</x:v>
      </x:c>
      <x:c r="F198" s="11" t="n">
        <x:f>IF('제외 후보'!Y198=0,'선정 규칙'!$B$15,IF('제외 후보'!Y198&gt;=100,'선정 규칙'!$B$16,'선정 규칙'!$B$17))</x:f>
        <x:v>12</x:v>
      </x:c>
      <x:c r="G198" s="11" t="n">
        <x:f>IF('제외 후보'!M198="있음",'선정 규칙'!$B$18,'선정 규칙'!$B$19)</x:f>
        <x:v>6</x:v>
      </x:c>
      <x:c r="H198" s="11" t="n">
        <x:f>IF(ISNUMBER(SEARCH("freq-core",'제외 후보'!AD198)),'선정 규칙'!$B$20,0)</x:f>
        <x:v>0</x:v>
      </x:c>
      <x:c r="I198" s="11" t="n">
        <x:f>IF(ISNUMBER(SEARCH("weak_legacy_content",'제외 후보'!P198)),'선정 규칙'!$B$21,0)</x:f>
        <x:v>5</x:v>
      </x:c>
      <x:c r="J198" s="11" t="n">
        <x:f>IF('제외 후보'!AC198&lt;&gt;"",'선정 규칙'!$B$22,0)</x:f>
        <x:v>0</x:v>
      </x:c>
      <x:c r="K198" s="11" t="n">
        <x:f>SUM(B198:J198)</x:f>
        <x:v>43</x:v>
      </x:c>
      <x:c r="L198" s="11" t="n">
        <x:f>'제외 후보'!N198</x:f>
        <x:v>43</x:v>
      </x:c>
      <x:c r="M198" s="2" t="str">
        <x:f>IF(K198=L198,"OK","MISMATCH")</x:f>
        <x:v>OK</x:v>
      </x:c>
    </x:row>
    <x:row r="199">
      <x:c r="A199" s="2" t="str">
        <x:f>'제외 후보'!G199</x:f>
        <x:v>w_cfe9a75c1b556e63</x:v>
      </x:c>
      <x:c r="B199" s="11" t="n">
        <x:f>IF('제외 후보'!Q199&lt;&gt;"",'선정 규칙'!$B$4,0)</x:f>
        <x:v>0</x:v>
      </x:c>
      <x:c r="C199" s="11" t="n">
        <x:f>IF(ISNUMBER(SEARCH("jmdict_uncommon_or_irregular",'제외 후보'!P199)),'선정 규칙'!$B$5,IF(ISNUMBER(SEARCH("jmdict_rare_or_dated",'제외 후보'!P199)),'선정 규칙'!$B$6,0))</x:f>
        <x:v>0</x:v>
      </x:c>
      <x:c r="D199" s="11" t="n">
        <x:f>IF(ISNUMBER(SEARCH("jmdict_exact_pair_not_found",'제외 후보'!P199)),'선정 규칙'!$B$7,0)</x:f>
        <x:v>0</x:v>
      </x:c>
      <x:c r="E199" s="11" t="n">
        <x:f>IF(OR('제외 후보'!L199="",'제외 후보'!L199&lt;=0),'선정 규칙'!$B$8,IF('제외 후보'!L199&lt;=1.5,'선정 규칙'!$B$9,IF('제외 후보'!L199&lt;=2,'선정 규칙'!$B$10,IF('제외 후보'!L199&lt;=2.5,'선정 규칙'!$B$11,IF('제외 후보'!L199&lt;=3,'선정 규칙'!$B$12,IF('제외 후보'!L199&lt;=3.5,'선정 규칙'!$B$13,IF('제외 후보'!L199&gt;=4.5,'선정 규칙'!$B$14,0)))))))</x:f>
        <x:v>20</x:v>
      </x:c>
      <x:c r="F199" s="11" t="n">
        <x:f>IF('제외 후보'!Y199=0,'선정 규칙'!$B$15,IF('제외 후보'!Y199&gt;=100,'선정 규칙'!$B$16,'선정 규칙'!$B$17))</x:f>
        <x:v>12</x:v>
      </x:c>
      <x:c r="G199" s="11" t="n">
        <x:f>IF('제외 후보'!M199="있음",'선정 규칙'!$B$18,'선정 규칙'!$B$19)</x:f>
        <x:v>6</x:v>
      </x:c>
      <x:c r="H199" s="11" t="n">
        <x:f>IF(ISNUMBER(SEARCH("freq-core",'제외 후보'!AD199)),'선정 규칙'!$B$20,0)</x:f>
        <x:v>0</x:v>
      </x:c>
      <x:c r="I199" s="11" t="n">
        <x:f>IF(ISNUMBER(SEARCH("weak_legacy_content",'제외 후보'!P199)),'선정 규칙'!$B$21,0)</x:f>
        <x:v>5</x:v>
      </x:c>
      <x:c r="J199" s="11" t="n">
        <x:f>IF('제외 후보'!AC199&lt;&gt;"",'선정 규칙'!$B$22,0)</x:f>
        <x:v>0</x:v>
      </x:c>
      <x:c r="K199" s="11" t="n">
        <x:f>SUM(B199:J199)</x:f>
        <x:v>43</x:v>
      </x:c>
      <x:c r="L199" s="11" t="n">
        <x:f>'제외 후보'!N199</x:f>
        <x:v>43</x:v>
      </x:c>
      <x:c r="M199" s="2" t="str">
        <x:f>IF(K199=L199,"OK","MISMATCH")</x:f>
        <x:v>OK</x:v>
      </x:c>
    </x:row>
    <x:row r="200">
      <x:c r="A200" s="2" t="str">
        <x:f>'제외 후보'!G200</x:f>
        <x:v>w_0e243c6681fb79d2</x:v>
      </x:c>
      <x:c r="B200" s="11" t="n">
        <x:f>IF('제외 후보'!Q200&lt;&gt;"",'선정 규칙'!$B$4,0)</x:f>
        <x:v>0</x:v>
      </x:c>
      <x:c r="C200" s="11" t="n">
        <x:f>IF(ISNUMBER(SEARCH("jmdict_uncommon_or_irregular",'제외 후보'!P200)),'선정 규칙'!$B$5,IF(ISNUMBER(SEARCH("jmdict_rare_or_dated",'제외 후보'!P200)),'선정 규칙'!$B$6,0))</x:f>
        <x:v>50</x:v>
      </x:c>
      <x:c r="D200" s="11" t="n">
        <x:f>IF(ISNUMBER(SEARCH("jmdict_exact_pair_not_found",'제외 후보'!P200)),'선정 규칙'!$B$7,0)</x:f>
        <x:v>0</x:v>
      </x:c>
      <x:c r="E200" s="11" t="n">
        <x:f>IF(OR('제외 후보'!L200="",'제외 후보'!L200&lt;=0),'선정 규칙'!$B$8,IF('제외 후보'!L200&lt;=1.5,'선정 규칙'!$B$9,IF('제외 후보'!L200&lt;=2,'선정 규칙'!$B$10,IF('제외 후보'!L200&lt;=2.5,'선정 규칙'!$B$11,IF('제외 후보'!L200&lt;=3,'선정 규칙'!$B$12,IF('제외 후보'!L200&lt;=3.5,'선정 규칙'!$B$13,IF('제외 후보'!L200&gt;=4.5,'선정 규칙'!$B$14,0)))))))</x:f>
        <x:v>12</x:v>
      </x:c>
      <x:c r="F200" s="11" t="n">
        <x:f>IF('제외 후보'!Y200=0,'선정 규칙'!$B$15,IF('제외 후보'!Y200&gt;=100,'선정 규칙'!$B$16,'선정 규칙'!$B$17))</x:f>
        <x:v>-25</x:v>
      </x:c>
      <x:c r="G200" s="11" t="n">
        <x:f>IF('제외 후보'!M200="있음",'선정 규칙'!$B$18,'선정 규칙'!$B$19)</x:f>
        <x:v>6</x:v>
      </x:c>
      <x:c r="H200" s="11" t="n">
        <x:f>IF(ISNUMBER(SEARCH("freq-core",'제외 후보'!AD200)),'선정 규칙'!$B$20,0)</x:f>
        <x:v>0</x:v>
      </x:c>
      <x:c r="I200" s="11" t="n">
        <x:f>IF(ISNUMBER(SEARCH("weak_legacy_content",'제외 후보'!P200)),'선정 규칙'!$B$21,0)</x:f>
        <x:v>0</x:v>
      </x:c>
      <x:c r="J200" s="11" t="n">
        <x:f>IF('제외 후보'!AC200&lt;&gt;"",'선정 규칙'!$B$22,0)</x:f>
        <x:v>0</x:v>
      </x:c>
      <x:c r="K200" s="11" t="n">
        <x:f>SUM(B200:J200)</x:f>
        <x:v>43</x:v>
      </x:c>
      <x:c r="L200" s="11" t="n">
        <x:f>'제외 후보'!N200</x:f>
        <x:v>43</x:v>
      </x:c>
      <x:c r="M200" s="2" t="str">
        <x:f>IF(K200=L200,"OK","MISMATCH")</x:f>
        <x:v>OK</x:v>
      </x:c>
    </x:row>
    <x:row r="201">
      <x:c r="A201" s="2" t="str">
        <x:f>'제외 후보'!G201</x:f>
        <x:v>w_9832c96412b45fec</x:v>
      </x:c>
      <x:c r="B201" s="11" t="n">
        <x:f>IF('제외 후보'!Q201&lt;&gt;"",'선정 규칙'!$B$4,0)</x:f>
        <x:v>0</x:v>
      </x:c>
      <x:c r="C201" s="11" t="n">
        <x:f>IF(ISNUMBER(SEARCH("jmdict_uncommon_or_irregular",'제외 후보'!P201)),'선정 규칙'!$B$5,IF(ISNUMBER(SEARCH("jmdict_rare_or_dated",'제외 후보'!P201)),'선정 규칙'!$B$6,0))</x:f>
        <x:v>50</x:v>
      </x:c>
      <x:c r="D201" s="11" t="n">
        <x:f>IF(ISNUMBER(SEARCH("jmdict_exact_pair_not_found",'제외 후보'!P201)),'선정 규칙'!$B$7,0)</x:f>
        <x:v>0</x:v>
      </x:c>
      <x:c r="E201" s="11" t="n">
        <x:f>IF(OR('제외 후보'!L201="",'제외 후보'!L201&lt;=0),'선정 규칙'!$B$8,IF('제외 후보'!L201&lt;=1.5,'선정 규칙'!$B$9,IF('제외 후보'!L201&lt;=2,'선정 규칙'!$B$10,IF('제외 후보'!L201&lt;=2.5,'선정 규칙'!$B$11,IF('제외 후보'!L201&lt;=3,'선정 규칙'!$B$12,IF('제외 후보'!L201&lt;=3.5,'선정 규칙'!$B$13,IF('제외 후보'!L201&gt;=4.5,'선정 규칙'!$B$14,0)))))))</x:f>
        <x:v>12</x:v>
      </x:c>
      <x:c r="F201" s="11" t="n">
        <x:f>IF('제외 후보'!Y201=0,'선정 규칙'!$B$15,IF('제외 후보'!Y201&gt;=100,'선정 규칙'!$B$16,'선정 규칙'!$B$17))</x:f>
        <x:v>-25</x:v>
      </x:c>
      <x:c r="G201" s="11" t="n">
        <x:f>IF('제외 후보'!M201="있음",'선정 규칙'!$B$18,'선정 규칙'!$B$19)</x:f>
        <x:v>6</x:v>
      </x:c>
      <x:c r="H201" s="11" t="n">
        <x:f>IF(ISNUMBER(SEARCH("freq-core",'제외 후보'!AD201)),'선정 규칙'!$B$20,0)</x:f>
        <x:v>0</x:v>
      </x:c>
      <x:c r="I201" s="11" t="n">
        <x:f>IF(ISNUMBER(SEARCH("weak_legacy_content",'제외 후보'!P201)),'선정 규칙'!$B$21,0)</x:f>
        <x:v>0</x:v>
      </x:c>
      <x:c r="J201" s="11" t="n">
        <x:f>IF('제외 후보'!AC201&lt;&gt;"",'선정 규칙'!$B$22,0)</x:f>
        <x:v>0</x:v>
      </x:c>
      <x:c r="K201" s="11" t="n">
        <x:f>SUM(B201:J201)</x:f>
        <x:v>43</x:v>
      </x:c>
      <x:c r="L201" s="11" t="n">
        <x:f>'제외 후보'!N201</x:f>
        <x:v>43</x:v>
      </x:c>
      <x:c r="M201" s="2" t="str">
        <x:f>IF(K201=L201,"OK","MISMATCH")</x:f>
        <x:v>OK</x:v>
      </x:c>
    </x:row>
    <x:row r="202">
      <x:c r="A202" s="2" t="str">
        <x:f>'제외 후보'!G202</x:f>
        <x:v>w_1f5508db6aa19315</x:v>
      </x:c>
      <x:c r="B202" s="11" t="n">
        <x:f>IF('제외 후보'!Q202&lt;&gt;"",'선정 규칙'!$B$4,0)</x:f>
        <x:v>0</x:v>
      </x:c>
      <x:c r="C202" s="11" t="n">
        <x:f>IF(ISNUMBER(SEARCH("jmdict_uncommon_or_irregular",'제외 후보'!P202)),'선정 규칙'!$B$5,IF(ISNUMBER(SEARCH("jmdict_rare_or_dated",'제외 후보'!P202)),'선정 규칙'!$B$6,0))</x:f>
        <x:v>50</x:v>
      </x:c>
      <x:c r="D202" s="11" t="n">
        <x:f>IF(ISNUMBER(SEARCH("jmdict_exact_pair_not_found",'제외 후보'!P202)),'선정 규칙'!$B$7,0)</x:f>
        <x:v>0</x:v>
      </x:c>
      <x:c r="E202" s="11" t="n">
        <x:f>IF(OR('제외 후보'!L202="",'제외 후보'!L202&lt;=0),'선정 규칙'!$B$8,IF('제외 후보'!L202&lt;=1.5,'선정 규칙'!$B$9,IF('제외 후보'!L202&lt;=2,'선정 규칙'!$B$10,IF('제외 후보'!L202&lt;=2.5,'선정 규칙'!$B$11,IF('제외 후보'!L202&lt;=3,'선정 규칙'!$B$12,IF('제외 후보'!L202&lt;=3.5,'선정 규칙'!$B$13,IF('제외 후보'!L202&gt;=4.5,'선정 규칙'!$B$14,0)))))))</x:f>
        <x:v>12</x:v>
      </x:c>
      <x:c r="F202" s="11" t="n">
        <x:f>IF('제외 후보'!Y202=0,'선정 규칙'!$B$15,IF('제외 후보'!Y202&gt;=100,'선정 규칙'!$B$16,'선정 규칙'!$B$17))</x:f>
        <x:v>-25</x:v>
      </x:c>
      <x:c r="G202" s="11" t="n">
        <x:f>IF('제외 후보'!M202="있음",'선정 규칙'!$B$18,'선정 규칙'!$B$19)</x:f>
        <x:v>6</x:v>
      </x:c>
      <x:c r="H202" s="11" t="n">
        <x:f>IF(ISNUMBER(SEARCH("freq-core",'제외 후보'!AD202)),'선정 규칙'!$B$20,0)</x:f>
        <x:v>0</x:v>
      </x:c>
      <x:c r="I202" s="11" t="n">
        <x:f>IF(ISNUMBER(SEARCH("weak_legacy_content",'제외 후보'!P202)),'선정 규칙'!$B$21,0)</x:f>
        <x:v>0</x:v>
      </x:c>
      <x:c r="J202" s="11" t="n">
        <x:f>IF('제외 후보'!AC202&lt;&gt;"",'선정 규칙'!$B$22,0)</x:f>
        <x:v>0</x:v>
      </x:c>
      <x:c r="K202" s="11" t="n">
        <x:f>SUM(B202:J202)</x:f>
        <x:v>43</x:v>
      </x:c>
      <x:c r="L202" s="11" t="n">
        <x:f>'제외 후보'!N202</x:f>
        <x:v>43</x:v>
      </x:c>
      <x:c r="M202" s="2" t="str">
        <x:f>IF(K202=L202,"OK","MISMATCH")</x:f>
        <x:v>OK</x:v>
      </x:c>
    </x:row>
    <x:row r="203">
      <x:c r="A203" s="2" t="str">
        <x:f>'제외 후보'!G203</x:f>
        <x:v>w_10ff23f2d6f00e95</x:v>
      </x:c>
      <x:c r="B203" s="11" t="n">
        <x:f>IF('제외 후보'!Q203&lt;&gt;"",'선정 규칙'!$B$4,0)</x:f>
        <x:v>0</x:v>
      </x:c>
      <x:c r="C203" s="11" t="n">
        <x:f>IF(ISNUMBER(SEARCH("jmdict_uncommon_or_irregular",'제외 후보'!P203)),'선정 규칙'!$B$5,IF(ISNUMBER(SEARCH("jmdict_rare_or_dated",'제외 후보'!P203)),'선정 규칙'!$B$6,0))</x:f>
        <x:v>50</x:v>
      </x:c>
      <x:c r="D203" s="11" t="n">
        <x:f>IF(ISNUMBER(SEARCH("jmdict_exact_pair_not_found",'제외 후보'!P203)),'선정 규칙'!$B$7,0)</x:f>
        <x:v>0</x:v>
      </x:c>
      <x:c r="E203" s="11" t="n">
        <x:f>IF(OR('제외 후보'!L203="",'제외 후보'!L203&lt;=0),'선정 규칙'!$B$8,IF('제외 후보'!L203&lt;=1.5,'선정 규칙'!$B$9,IF('제외 후보'!L203&lt;=2,'선정 규칙'!$B$10,IF('제외 후보'!L203&lt;=2.5,'선정 규칙'!$B$11,IF('제외 후보'!L203&lt;=3,'선정 규칙'!$B$12,IF('제외 후보'!L203&lt;=3.5,'선정 규칙'!$B$13,IF('제외 후보'!L203&gt;=4.5,'선정 규칙'!$B$14,0)))))))</x:f>
        <x:v>6</x:v>
      </x:c>
      <x:c r="F203" s="11" t="n">
        <x:f>IF('제외 후보'!Y203=0,'선정 규칙'!$B$15,IF('제외 후보'!Y203&gt;=100,'선정 규칙'!$B$16,'선정 규칙'!$B$17))</x:f>
        <x:v>12</x:v>
      </x:c>
      <x:c r="G203" s="11" t="n">
        <x:f>IF('제외 후보'!M203="있음",'선정 규칙'!$B$18,'선정 규칙'!$B$19)</x:f>
        <x:v>-25</x:v>
      </x:c>
      <x:c r="H203" s="11" t="n">
        <x:f>IF(ISNUMBER(SEARCH("freq-core",'제외 후보'!AD203)),'선정 규칙'!$B$20,0)</x:f>
        <x:v>0</x:v>
      </x:c>
      <x:c r="I203" s="11" t="n">
        <x:f>IF(ISNUMBER(SEARCH("weak_legacy_content",'제외 후보'!P203)),'선정 규칙'!$B$21,0)</x:f>
        <x:v>0</x:v>
      </x:c>
      <x:c r="J203" s="11" t="n">
        <x:f>IF('제외 후보'!AC203&lt;&gt;"",'선정 규칙'!$B$22,0)</x:f>
        <x:v>0</x:v>
      </x:c>
      <x:c r="K203" s="11" t="n">
        <x:f>SUM(B203:J203)</x:f>
        <x:v>43</x:v>
      </x:c>
      <x:c r="L203" s="11" t="n">
        <x:f>'제외 후보'!N203</x:f>
        <x:v>43</x:v>
      </x:c>
      <x:c r="M203" s="2" t="str">
        <x:f>IF(K203=L203,"OK","MISMATCH")</x:f>
        <x:v>OK</x:v>
      </x:c>
    </x:row>
    <x:row r="204">
      <x:c r="A204" s="2" t="str">
        <x:f>'제외 후보'!G204</x:f>
        <x:v>w_8112103205b7d884</x:v>
      </x:c>
      <x:c r="B204" s="11" t="n">
        <x:f>IF('제외 후보'!Q204&lt;&gt;"",'선정 규칙'!$B$4,0)</x:f>
        <x:v>0</x:v>
      </x:c>
      <x:c r="C204" s="11" t="n">
        <x:f>IF(ISNUMBER(SEARCH("jmdict_uncommon_or_irregular",'제외 후보'!P204)),'선정 규칙'!$B$5,IF(ISNUMBER(SEARCH("jmdict_rare_or_dated",'제외 후보'!P204)),'선정 규칙'!$B$6,0))</x:f>
        <x:v>50</x:v>
      </x:c>
      <x:c r="D204" s="11" t="n">
        <x:f>IF(ISNUMBER(SEARCH("jmdict_exact_pair_not_found",'제외 후보'!P204)),'선정 규칙'!$B$7,0)</x:f>
        <x:v>0</x:v>
      </x:c>
      <x:c r="E204" s="11" t="n">
        <x:f>IF(OR('제외 후보'!L204="",'제외 후보'!L204&lt;=0),'선정 규칙'!$B$8,IF('제외 후보'!L204&lt;=1.5,'선정 규칙'!$B$9,IF('제외 후보'!L204&lt;=2,'선정 규칙'!$B$10,IF('제외 후보'!L204&lt;=2.5,'선정 규칙'!$B$11,IF('제외 후보'!L204&lt;=3,'선정 규칙'!$B$12,IF('제외 후보'!L204&lt;=3.5,'선정 규칙'!$B$13,IF('제외 후보'!L204&gt;=4.5,'선정 규칙'!$B$14,0)))))))</x:f>
        <x:v>6</x:v>
      </x:c>
      <x:c r="F204" s="11" t="n">
        <x:f>IF('제외 후보'!Y204=0,'선정 규칙'!$B$15,IF('제외 후보'!Y204&gt;=100,'선정 규칙'!$B$16,'선정 규칙'!$B$17))</x:f>
        <x:v>-25</x:v>
      </x:c>
      <x:c r="G204" s="11" t="n">
        <x:f>IF('제외 후보'!M204="있음",'선정 규칙'!$B$18,'선정 규칙'!$B$19)</x:f>
        <x:v>6</x:v>
      </x:c>
      <x:c r="H204" s="11" t="n">
        <x:f>IF(ISNUMBER(SEARCH("freq-core",'제외 후보'!AD204)),'선정 규칙'!$B$20,0)</x:f>
        <x:v>0</x:v>
      </x:c>
      <x:c r="I204" s="11" t="n">
        <x:f>IF(ISNUMBER(SEARCH("weak_legacy_content",'제외 후보'!P204)),'선정 규칙'!$B$21,0)</x:f>
        <x:v>5</x:v>
      </x:c>
      <x:c r="J204" s="11" t="n">
        <x:f>IF('제외 후보'!AC204&lt;&gt;"",'선정 규칙'!$B$22,0)</x:f>
        <x:v>0</x:v>
      </x:c>
      <x:c r="K204" s="11" t="n">
        <x:f>SUM(B204:J204)</x:f>
        <x:v>42</x:v>
      </x:c>
      <x:c r="L204" s="11" t="n">
        <x:f>'제외 후보'!N204</x:f>
        <x:v>42</x:v>
      </x:c>
      <x:c r="M204" s="2" t="str">
        <x:f>IF(K204=L204,"OK","MISMATCH")</x:f>
        <x:v>OK</x:v>
      </x:c>
    </x:row>
    <x:row r="205">
      <x:c r="A205" s="2" t="str">
        <x:f>'제외 후보'!G205</x:f>
        <x:v>w_17036d0d07dbde4f</x:v>
      </x:c>
      <x:c r="B205" s="11" t="n">
        <x:f>IF('제외 후보'!Q205&lt;&gt;"",'선정 규칙'!$B$4,0)</x:f>
        <x:v>0</x:v>
      </x:c>
      <x:c r="C205" s="11" t="n">
        <x:f>IF(ISNUMBER(SEARCH("jmdict_uncommon_or_irregular",'제외 후보'!P205)),'선정 규칙'!$B$5,IF(ISNUMBER(SEARCH("jmdict_rare_or_dated",'제외 후보'!P205)),'선정 규칙'!$B$6,0))</x:f>
        <x:v>50</x:v>
      </x:c>
      <x:c r="D205" s="11" t="n">
        <x:f>IF(ISNUMBER(SEARCH("jmdict_exact_pair_not_found",'제외 후보'!P205)),'선정 규칙'!$B$7,0)</x:f>
        <x:v>0</x:v>
      </x:c>
      <x:c r="E205" s="11" t="n">
        <x:f>IF(OR('제외 후보'!L205="",'제외 후보'!L205&lt;=0),'선정 규칙'!$B$8,IF('제외 후보'!L205&lt;=1.5,'선정 규칙'!$B$9,IF('제외 후보'!L205&lt;=2,'선정 규칙'!$B$10,IF('제외 후보'!L205&lt;=2.5,'선정 규칙'!$B$11,IF('제외 후보'!L205&lt;=3,'선정 규칙'!$B$12,IF('제외 후보'!L205&lt;=3.5,'선정 규칙'!$B$13,IF('제외 후보'!L205&gt;=4.5,'선정 규칙'!$B$14,0)))))))</x:f>
        <x:v>6</x:v>
      </x:c>
      <x:c r="F205" s="11" t="n">
        <x:f>IF('제외 후보'!Y205=0,'선정 규칙'!$B$15,IF('제외 후보'!Y205&gt;=100,'선정 규칙'!$B$16,'선정 규칙'!$B$17))</x:f>
        <x:v>-25</x:v>
      </x:c>
      <x:c r="G205" s="11" t="n">
        <x:f>IF('제외 후보'!M205="있음",'선정 규칙'!$B$18,'선정 규칙'!$B$19)</x:f>
        <x:v>6</x:v>
      </x:c>
      <x:c r="H205" s="11" t="n">
        <x:f>IF(ISNUMBER(SEARCH("freq-core",'제외 후보'!AD205)),'선정 규칙'!$B$20,0)</x:f>
        <x:v>0</x:v>
      </x:c>
      <x:c r="I205" s="11" t="n">
        <x:f>IF(ISNUMBER(SEARCH("weak_legacy_content",'제외 후보'!P205)),'선정 규칙'!$B$21,0)</x:f>
        <x:v>5</x:v>
      </x:c>
      <x:c r="J205" s="11" t="n">
        <x:f>IF('제외 후보'!AC205&lt;&gt;"",'선정 규칙'!$B$22,0)</x:f>
        <x:v>0</x:v>
      </x:c>
      <x:c r="K205" s="11" t="n">
        <x:f>SUM(B205:J205)</x:f>
        <x:v>42</x:v>
      </x:c>
      <x:c r="L205" s="11" t="n">
        <x:f>'제외 후보'!N205</x:f>
        <x:v>42</x:v>
      </x:c>
      <x:c r="M205" s="2" t="str">
        <x:f>IF(K205=L205,"OK","MISMATCH")</x:f>
        <x:v>OK</x:v>
      </x:c>
    </x:row>
    <x:row r="206">
      <x:c r="A206" s="2" t="str">
        <x:f>'제외 후보'!G206</x:f>
        <x:v>w_c73083f7ce0f1120</x:v>
      </x:c>
      <x:c r="B206" s="11" t="n">
        <x:f>IF('제외 후보'!Q206&lt;&gt;"",'선정 규칙'!$B$4,0)</x:f>
        <x:v>0</x:v>
      </x:c>
      <x:c r="C206" s="11" t="n">
        <x:f>IF(ISNUMBER(SEARCH("jmdict_uncommon_or_irregular",'제외 후보'!P206)),'선정 규칙'!$B$5,IF(ISNUMBER(SEARCH("jmdict_rare_or_dated",'제외 후보'!P206)),'선정 규칙'!$B$6,0))</x:f>
        <x:v>50</x:v>
      </x:c>
      <x:c r="D206" s="11" t="n">
        <x:f>IF(ISNUMBER(SEARCH("jmdict_exact_pair_not_found",'제외 후보'!P206)),'선정 규칙'!$B$7,0)</x:f>
        <x:v>0</x:v>
      </x:c>
      <x:c r="E206" s="11" t="n">
        <x:f>IF(OR('제외 후보'!L206="",'제외 후보'!L206&lt;=0),'선정 규칙'!$B$8,IF('제외 후보'!L206&lt;=1.5,'선정 규칙'!$B$9,IF('제외 후보'!L206&lt;=2,'선정 규칙'!$B$10,IF('제외 후보'!L206&lt;=2.5,'선정 규칙'!$B$11,IF('제외 후보'!L206&lt;=3,'선정 규칙'!$B$12,IF('제외 후보'!L206&lt;=3.5,'선정 규칙'!$B$13,IF('제외 후보'!L206&gt;=4.5,'선정 규칙'!$B$14,0)))))))</x:f>
        <x:v>6</x:v>
      </x:c>
      <x:c r="F206" s="11" t="n">
        <x:f>IF('제외 후보'!Y206=0,'선정 규칙'!$B$15,IF('제외 후보'!Y206&gt;=100,'선정 규칙'!$B$16,'선정 규칙'!$B$17))</x:f>
        <x:v>-25</x:v>
      </x:c>
      <x:c r="G206" s="11" t="n">
        <x:f>IF('제외 후보'!M206="있음",'선정 규칙'!$B$18,'선정 규칙'!$B$19)</x:f>
        <x:v>6</x:v>
      </x:c>
      <x:c r="H206" s="11" t="n">
        <x:f>IF(ISNUMBER(SEARCH("freq-core",'제외 후보'!AD206)),'선정 규칙'!$B$20,0)</x:f>
        <x:v>0</x:v>
      </x:c>
      <x:c r="I206" s="11" t="n">
        <x:f>IF(ISNUMBER(SEARCH("weak_legacy_content",'제외 후보'!P206)),'선정 규칙'!$B$21,0)</x:f>
        <x:v>5</x:v>
      </x:c>
      <x:c r="J206" s="11" t="n">
        <x:f>IF('제외 후보'!AC206&lt;&gt;"",'선정 규칙'!$B$22,0)</x:f>
        <x:v>0</x:v>
      </x:c>
      <x:c r="K206" s="11" t="n">
        <x:f>SUM(B206:J206)</x:f>
        <x:v>42</x:v>
      </x:c>
      <x:c r="L206" s="11" t="n">
        <x:f>'제외 후보'!N206</x:f>
        <x:v>42</x:v>
      </x:c>
      <x:c r="M206" s="2" t="str">
        <x:f>IF(K206=L206,"OK","MISMATCH")</x:f>
        <x:v>OK</x:v>
      </x:c>
    </x:row>
    <x:row r="207">
      <x:c r="A207" s="2" t="str">
        <x:f>'제외 후보'!G207</x:f>
        <x:v>w_70fd64391d08ee53</x:v>
      </x:c>
      <x:c r="B207" s="11" t="n">
        <x:f>IF('제외 후보'!Q207&lt;&gt;"",'선정 규칙'!$B$4,0)</x:f>
        <x:v>0</x:v>
      </x:c>
      <x:c r="C207" s="11" t="n">
        <x:f>IF(ISNUMBER(SEARCH("jmdict_uncommon_or_irregular",'제외 후보'!P207)),'선정 규칙'!$B$5,IF(ISNUMBER(SEARCH("jmdict_rare_or_dated",'제외 후보'!P207)),'선정 규칙'!$B$6,0))</x:f>
        <x:v>50</x:v>
      </x:c>
      <x:c r="D207" s="11" t="n">
        <x:f>IF(ISNUMBER(SEARCH("jmdict_exact_pair_not_found",'제외 후보'!P207)),'선정 규칙'!$B$7,0)</x:f>
        <x:v>0</x:v>
      </x:c>
      <x:c r="E207" s="11" t="n">
        <x:f>IF(OR('제외 후보'!L207="",'제외 후보'!L207&lt;=0),'선정 규칙'!$B$8,IF('제외 후보'!L207&lt;=1.5,'선정 규칙'!$B$9,IF('제외 후보'!L207&lt;=2,'선정 규칙'!$B$10,IF('제외 후보'!L207&lt;=2.5,'선정 규칙'!$B$11,IF('제외 후보'!L207&lt;=3,'선정 규칙'!$B$12,IF('제외 후보'!L207&lt;=3.5,'선정 규칙'!$B$13,IF('제외 후보'!L207&gt;=4.5,'선정 규칙'!$B$14,0)))))))</x:f>
        <x:v>6</x:v>
      </x:c>
      <x:c r="F207" s="11" t="n">
        <x:f>IF('제외 후보'!Y207=0,'선정 규칙'!$B$15,IF('제외 후보'!Y207&gt;=100,'선정 규칙'!$B$16,'선정 규칙'!$B$17))</x:f>
        <x:v>-25</x:v>
      </x:c>
      <x:c r="G207" s="11" t="n">
        <x:f>IF('제외 후보'!M207="있음",'선정 규칙'!$B$18,'선정 규칙'!$B$19)</x:f>
        <x:v>6</x:v>
      </x:c>
      <x:c r="H207" s="11" t="n">
        <x:f>IF(ISNUMBER(SEARCH("freq-core",'제외 후보'!AD207)),'선정 규칙'!$B$20,0)</x:f>
        <x:v>0</x:v>
      </x:c>
      <x:c r="I207" s="11" t="n">
        <x:f>IF(ISNUMBER(SEARCH("weak_legacy_content",'제외 후보'!P207)),'선정 규칙'!$B$21,0)</x:f>
        <x:v>5</x:v>
      </x:c>
      <x:c r="J207" s="11" t="n">
        <x:f>IF('제외 후보'!AC207&lt;&gt;"",'선정 규칙'!$B$22,0)</x:f>
        <x:v>0</x:v>
      </x:c>
      <x:c r="K207" s="11" t="n">
        <x:f>SUM(B207:J207)</x:f>
        <x:v>42</x:v>
      </x:c>
      <x:c r="L207" s="11" t="n">
        <x:f>'제외 후보'!N207</x:f>
        <x:v>42</x:v>
      </x:c>
      <x:c r="M207" s="2" t="str">
        <x:f>IF(K207=L207,"OK","MISMATCH")</x:f>
        <x:v>OK</x:v>
      </x:c>
    </x:row>
    <x:row r="208">
      <x:c r="A208" s="2" t="str">
        <x:f>'제외 후보'!G208</x:f>
        <x:v>w_68f04444965e780c</x:v>
      </x:c>
      <x:c r="B208" s="11" t="n">
        <x:f>IF('제외 후보'!Q208&lt;&gt;"",'선정 규칙'!$B$4,0)</x:f>
        <x:v>0</x:v>
      </x:c>
      <x:c r="C208" s="11" t="n">
        <x:f>IF(ISNUMBER(SEARCH("jmdict_uncommon_or_irregular",'제외 후보'!P208)),'선정 규칙'!$B$5,IF(ISNUMBER(SEARCH("jmdict_rare_or_dated",'제외 후보'!P208)),'선정 규칙'!$B$6,0))</x:f>
        <x:v>50</x:v>
      </x:c>
      <x:c r="D208" s="11" t="n">
        <x:f>IF(ISNUMBER(SEARCH("jmdict_exact_pair_not_found",'제외 후보'!P208)),'선정 규칙'!$B$7,0)</x:f>
        <x:v>0</x:v>
      </x:c>
      <x:c r="E208" s="11" t="n">
        <x:f>IF(OR('제외 후보'!L208="",'제외 후보'!L208&lt;=0),'선정 규칙'!$B$8,IF('제외 후보'!L208&lt;=1.5,'선정 규칙'!$B$9,IF('제외 후보'!L208&lt;=2,'선정 규칙'!$B$10,IF('제외 후보'!L208&lt;=2.5,'선정 규칙'!$B$11,IF('제외 후보'!L208&lt;=3,'선정 규칙'!$B$12,IF('제외 후보'!L208&lt;=3.5,'선정 규칙'!$B$13,IF('제외 후보'!L208&gt;=4.5,'선정 규칙'!$B$14,0)))))))</x:f>
        <x:v>6</x:v>
      </x:c>
      <x:c r="F208" s="11" t="n">
        <x:f>IF('제외 후보'!Y208=0,'선정 규칙'!$B$15,IF('제외 후보'!Y208&gt;=100,'선정 규칙'!$B$16,'선정 규칙'!$B$17))</x:f>
        <x:v>-25</x:v>
      </x:c>
      <x:c r="G208" s="11" t="n">
        <x:f>IF('제외 후보'!M208="있음",'선정 규칙'!$B$18,'선정 규칙'!$B$19)</x:f>
        <x:v>6</x:v>
      </x:c>
      <x:c r="H208" s="11" t="n">
        <x:f>IF(ISNUMBER(SEARCH("freq-core",'제외 후보'!AD208)),'선정 규칙'!$B$20,0)</x:f>
        <x:v>0</x:v>
      </x:c>
      <x:c r="I208" s="11" t="n">
        <x:f>IF(ISNUMBER(SEARCH("weak_legacy_content",'제외 후보'!P208)),'선정 규칙'!$B$21,0)</x:f>
        <x:v>5</x:v>
      </x:c>
      <x:c r="J208" s="11" t="n">
        <x:f>IF('제외 후보'!AC208&lt;&gt;"",'선정 규칙'!$B$22,0)</x:f>
        <x:v>0</x:v>
      </x:c>
      <x:c r="K208" s="11" t="n">
        <x:f>SUM(B208:J208)</x:f>
        <x:v>42</x:v>
      </x:c>
      <x:c r="L208" s="11" t="n">
        <x:f>'제외 후보'!N208</x:f>
        <x:v>42</x:v>
      </x:c>
      <x:c r="M208" s="2" t="str">
        <x:f>IF(K208=L208,"OK","MISMATCH")</x:f>
        <x:v>OK</x:v>
      </x:c>
    </x:row>
    <x:row r="209">
      <x:c r="A209" s="2" t="str">
        <x:f>'제외 후보'!G209</x:f>
        <x:v>w_d7f8d04860ff93aa</x:v>
      </x:c>
      <x:c r="B209" s="11" t="n">
        <x:f>IF('제외 후보'!Q209&lt;&gt;"",'선정 규칙'!$B$4,0)</x:f>
        <x:v>0</x:v>
      </x:c>
      <x:c r="C209" s="11" t="n">
        <x:f>IF(ISNUMBER(SEARCH("jmdict_uncommon_or_irregular",'제외 후보'!P209)),'선정 규칙'!$B$5,IF(ISNUMBER(SEARCH("jmdict_rare_or_dated",'제외 후보'!P209)),'선정 규칙'!$B$6,0))</x:f>
        <x:v>50</x:v>
      </x:c>
      <x:c r="D209" s="11" t="n">
        <x:f>IF(ISNUMBER(SEARCH("jmdict_exact_pair_not_found",'제외 후보'!P209)),'선정 규칙'!$B$7,0)</x:f>
        <x:v>0</x:v>
      </x:c>
      <x:c r="E209" s="11" t="n">
        <x:f>IF(OR('제외 후보'!L209="",'제외 후보'!L209&lt;=0),'선정 규칙'!$B$8,IF('제외 후보'!L209&lt;=1.5,'선정 규칙'!$B$9,IF('제외 후보'!L209&lt;=2,'선정 규칙'!$B$10,IF('제외 후보'!L209&lt;=2.5,'선정 규칙'!$B$11,IF('제외 후보'!L209&lt;=3,'선정 규칙'!$B$12,IF('제외 후보'!L209&lt;=3.5,'선정 규칙'!$B$13,IF('제외 후보'!L209&gt;=4.5,'선정 규칙'!$B$14,0)))))))</x:f>
        <x:v>6</x:v>
      </x:c>
      <x:c r="F209" s="11" t="n">
        <x:f>IF('제외 후보'!Y209=0,'선정 규칙'!$B$15,IF('제외 후보'!Y209&gt;=100,'선정 규칙'!$B$16,'선정 규칙'!$B$17))</x:f>
        <x:v>-25</x:v>
      </x:c>
      <x:c r="G209" s="11" t="n">
        <x:f>IF('제외 후보'!M209="있음",'선정 규칙'!$B$18,'선정 규칙'!$B$19)</x:f>
        <x:v>6</x:v>
      </x:c>
      <x:c r="H209" s="11" t="n">
        <x:f>IF(ISNUMBER(SEARCH("freq-core",'제외 후보'!AD209)),'선정 규칙'!$B$20,0)</x:f>
        <x:v>0</x:v>
      </x:c>
      <x:c r="I209" s="11" t="n">
        <x:f>IF(ISNUMBER(SEARCH("weak_legacy_content",'제외 후보'!P209)),'선정 규칙'!$B$21,0)</x:f>
        <x:v>5</x:v>
      </x:c>
      <x:c r="J209" s="11" t="n">
        <x:f>IF('제외 후보'!AC209&lt;&gt;"",'선정 규칙'!$B$22,0)</x:f>
        <x:v>0</x:v>
      </x:c>
      <x:c r="K209" s="11" t="n">
        <x:f>SUM(B209:J209)</x:f>
        <x:v>42</x:v>
      </x:c>
      <x:c r="L209" s="11" t="n">
        <x:f>'제외 후보'!N209</x:f>
        <x:v>42</x:v>
      </x:c>
      <x:c r="M209" s="2" t="str">
        <x:f>IF(K209=L209,"OK","MISMATCH")</x:f>
        <x:v>OK</x:v>
      </x:c>
    </x:row>
    <x:row r="210">
      <x:c r="A210" s="2" t="str">
        <x:f>'제외 후보'!G210</x:f>
        <x:v>w_d728d1f32a31b6f6</x:v>
      </x:c>
      <x:c r="B210" s="11" t="n">
        <x:f>IF('제외 후보'!Q210&lt;&gt;"",'선정 규칙'!$B$4,0)</x:f>
        <x:v>60</x:v>
      </x:c>
      <x:c r="C210" s="11" t="n">
        <x:f>IF(ISNUMBER(SEARCH("jmdict_uncommon_or_irregular",'제외 후보'!P210)),'선정 규칙'!$B$5,IF(ISNUMBER(SEARCH("jmdict_rare_or_dated",'제외 후보'!P210)),'선정 규칙'!$B$6,0))</x:f>
        <x:v>0</x:v>
      </x:c>
      <x:c r="D210" s="11" t="n">
        <x:f>IF(ISNUMBER(SEARCH("jmdict_exact_pair_not_found",'제외 후보'!P210)),'선정 규칙'!$B$7,0)</x:f>
        <x:v>0</x:v>
      </x:c>
      <x:c r="E210" s="11" t="n">
        <x:f>IF(OR('제외 후보'!L210="",'제외 후보'!L210&lt;=0),'선정 규칙'!$B$8,IF('제외 후보'!L210&lt;=1.5,'선정 규칙'!$B$9,IF('제외 후보'!L210&lt;=2,'선정 규칙'!$B$10,IF('제외 후보'!L210&lt;=2.5,'선정 규칙'!$B$11,IF('제외 후보'!L210&lt;=3,'선정 규칙'!$B$12,IF('제외 후보'!L210&lt;=3.5,'선정 규칙'!$B$13,IF('제외 후보'!L210&gt;=4.5,'선정 규칙'!$B$14,0)))))))</x:f>
        <x:v>0</x:v>
      </x:c>
      <x:c r="F210" s="11" t="n">
        <x:f>IF('제외 후보'!Y210=0,'선정 규칙'!$B$15,IF('제외 후보'!Y210&gt;=100,'선정 규칙'!$B$16,'선정 규칙'!$B$17))</x:f>
        <x:v>-25</x:v>
      </x:c>
      <x:c r="G210" s="11" t="n">
        <x:f>IF('제외 후보'!M210="있음",'선정 규칙'!$B$18,'선정 규칙'!$B$19)</x:f>
        <x:v>6</x:v>
      </x:c>
      <x:c r="H210" s="11" t="n">
        <x:f>IF(ISNUMBER(SEARCH("freq-core",'제외 후보'!AD210)),'선정 규칙'!$B$20,0)</x:f>
        <x:v>0</x:v>
      </x:c>
      <x:c r="I210" s="11" t="n">
        <x:f>IF(ISNUMBER(SEARCH("weak_legacy_content",'제외 후보'!P210)),'선정 규칙'!$B$21,0)</x:f>
        <x:v>0</x:v>
      </x:c>
      <x:c r="J210" s="11" t="n">
        <x:f>IF('제외 후보'!AC210&lt;&gt;"",'선정 규칙'!$B$22,0)</x:f>
        <x:v>0</x:v>
      </x:c>
      <x:c r="K210" s="11" t="n">
        <x:f>SUM(B210:J210)</x:f>
        <x:v>41</x:v>
      </x:c>
      <x:c r="L210" s="11" t="n">
        <x:f>'제외 후보'!N210</x:f>
        <x:v>41</x:v>
      </x:c>
      <x:c r="M210" s="2" t="str">
        <x:f>IF(K210=L210,"OK","MISMATCH")</x:f>
        <x:v>OK</x:v>
      </x:c>
    </x:row>
    <x:row r="211">
      <x:c r="A211" s="2" t="str">
        <x:f>'제외 후보'!G211</x:f>
        <x:v>w_4886cebbe81a296f</x:v>
      </x:c>
      <x:c r="B211" s="11" t="n">
        <x:f>IF('제외 후보'!Q211&lt;&gt;"",'선정 규칙'!$B$4,0)</x:f>
        <x:v>60</x:v>
      </x:c>
      <x:c r="C211" s="11" t="n">
        <x:f>IF(ISNUMBER(SEARCH("jmdict_uncommon_or_irregular",'제외 후보'!P211)),'선정 규칙'!$B$5,IF(ISNUMBER(SEARCH("jmdict_rare_or_dated",'제외 후보'!P211)),'선정 규칙'!$B$6,0))</x:f>
        <x:v>0</x:v>
      </x:c>
      <x:c r="D211" s="11" t="n">
        <x:f>IF(ISNUMBER(SEARCH("jmdict_exact_pair_not_found",'제외 후보'!P211)),'선정 규칙'!$B$7,0)</x:f>
        <x:v>0</x:v>
      </x:c>
      <x:c r="E211" s="11" t="n">
        <x:f>IF(OR('제외 후보'!L211="",'제외 후보'!L211&lt;=0),'선정 규칙'!$B$8,IF('제외 후보'!L211&lt;=1.5,'선정 규칙'!$B$9,IF('제외 후보'!L211&lt;=2,'선정 규칙'!$B$10,IF('제외 후보'!L211&lt;=2.5,'선정 규칙'!$B$11,IF('제외 후보'!L211&lt;=3,'선정 규칙'!$B$12,IF('제외 후보'!L211&lt;=3.5,'선정 규칙'!$B$13,IF('제외 후보'!L211&gt;=4.5,'선정 규칙'!$B$14,0)))))))</x:f>
        <x:v>0</x:v>
      </x:c>
      <x:c r="F211" s="11" t="n">
        <x:f>IF('제외 후보'!Y211=0,'선정 규칙'!$B$15,IF('제외 후보'!Y211&gt;=100,'선정 규칙'!$B$16,'선정 규칙'!$B$17))</x:f>
        <x:v>-25</x:v>
      </x:c>
      <x:c r="G211" s="11" t="n">
        <x:f>IF('제외 후보'!M211="있음",'선정 규칙'!$B$18,'선정 규칙'!$B$19)</x:f>
        <x:v>6</x:v>
      </x:c>
      <x:c r="H211" s="11" t="n">
        <x:f>IF(ISNUMBER(SEARCH("freq-core",'제외 후보'!AD211)),'선정 규칙'!$B$20,0)</x:f>
        <x:v>0</x:v>
      </x:c>
      <x:c r="I211" s="11" t="n">
        <x:f>IF(ISNUMBER(SEARCH("weak_legacy_content",'제외 후보'!P211)),'선정 규칙'!$B$21,0)</x:f>
        <x:v>0</x:v>
      </x:c>
      <x:c r="J211" s="11" t="n">
        <x:f>IF('제외 후보'!AC211&lt;&gt;"",'선정 규칙'!$B$22,0)</x:f>
        <x:v>0</x:v>
      </x:c>
      <x:c r="K211" s="11" t="n">
        <x:f>SUM(B211:J211)</x:f>
        <x:v>41</x:v>
      </x:c>
      <x:c r="L211" s="11" t="n">
        <x:f>'제외 후보'!N211</x:f>
        <x:v>41</x:v>
      </x:c>
      <x:c r="M211" s="2" t="str">
        <x:f>IF(K211=L211,"OK","MISMATCH")</x:f>
        <x:v>OK</x:v>
      </x:c>
    </x:row>
    <x:row r="212">
      <x:c r="A212" s="2" t="str">
        <x:f>'제외 후보'!G212</x:f>
        <x:v>w_9da5d3e318f2c437</x:v>
      </x:c>
      <x:c r="B212" s="11" t="n">
        <x:f>IF('제외 후보'!Q212&lt;&gt;"",'선정 규칙'!$B$4,0)</x:f>
        <x:v>60</x:v>
      </x:c>
      <x:c r="C212" s="11" t="n">
        <x:f>IF(ISNUMBER(SEARCH("jmdict_uncommon_or_irregular",'제외 후보'!P212)),'선정 규칙'!$B$5,IF(ISNUMBER(SEARCH("jmdict_rare_or_dated",'제외 후보'!P212)),'선정 규칙'!$B$6,0))</x:f>
        <x:v>0</x:v>
      </x:c>
      <x:c r="D212" s="11" t="n">
        <x:f>IF(ISNUMBER(SEARCH("jmdict_exact_pair_not_found",'제외 후보'!P212)),'선정 규칙'!$B$7,0)</x:f>
        <x:v>0</x:v>
      </x:c>
      <x:c r="E212" s="11" t="n">
        <x:f>IF(OR('제외 후보'!L212="",'제외 후보'!L212&lt;=0),'선정 규칙'!$B$8,IF('제외 후보'!L212&lt;=1.5,'선정 규칙'!$B$9,IF('제외 후보'!L212&lt;=2,'선정 규칙'!$B$10,IF('제외 후보'!L212&lt;=2.5,'선정 규칙'!$B$11,IF('제외 후보'!L212&lt;=3,'선정 규칙'!$B$12,IF('제외 후보'!L212&lt;=3.5,'선정 규칙'!$B$13,IF('제외 후보'!L212&gt;=4.5,'선정 규칙'!$B$14,0)))))))</x:f>
        <x:v>0</x:v>
      </x:c>
      <x:c r="F212" s="11" t="n">
        <x:f>IF('제외 후보'!Y212=0,'선정 규칙'!$B$15,IF('제외 후보'!Y212&gt;=100,'선정 규칙'!$B$16,'선정 규칙'!$B$17))</x:f>
        <x:v>-25</x:v>
      </x:c>
      <x:c r="G212" s="11" t="n">
        <x:f>IF('제외 후보'!M212="있음",'선정 규칙'!$B$18,'선정 규칙'!$B$19)</x:f>
        <x:v>6</x:v>
      </x:c>
      <x:c r="H212" s="11" t="n">
        <x:f>IF(ISNUMBER(SEARCH("freq-core",'제외 후보'!AD212)),'선정 규칙'!$B$20,0)</x:f>
        <x:v>0</x:v>
      </x:c>
      <x:c r="I212" s="11" t="n">
        <x:f>IF(ISNUMBER(SEARCH("weak_legacy_content",'제외 후보'!P212)),'선정 규칙'!$B$21,0)</x:f>
        <x:v>0</x:v>
      </x:c>
      <x:c r="J212" s="11" t="n">
        <x:f>IF('제외 후보'!AC212&lt;&gt;"",'선정 규칙'!$B$22,0)</x:f>
        <x:v>0</x:v>
      </x:c>
      <x:c r="K212" s="11" t="n">
        <x:f>SUM(B212:J212)</x:f>
        <x:v>41</x:v>
      </x:c>
      <x:c r="L212" s="11" t="n">
        <x:f>'제외 후보'!N212</x:f>
        <x:v>41</x:v>
      </x:c>
      <x:c r="M212" s="2" t="str">
        <x:f>IF(K212=L212,"OK","MISMATCH")</x:f>
        <x:v>OK</x:v>
      </x:c>
    </x:row>
    <x:row r="213">
      <x:c r="A213" s="2" t="str">
        <x:f>'제외 후보'!G213</x:f>
        <x:v>w_00c99649445717dd</x:v>
      </x:c>
      <x:c r="B213" s="11" t="n">
        <x:f>IF('제외 후보'!Q213&lt;&gt;"",'선정 규칙'!$B$4,0)</x:f>
        <x:v>60</x:v>
      </x:c>
      <x:c r="C213" s="11" t="n">
        <x:f>IF(ISNUMBER(SEARCH("jmdict_uncommon_or_irregular",'제외 후보'!P213)),'선정 규칙'!$B$5,IF(ISNUMBER(SEARCH("jmdict_rare_or_dated",'제외 후보'!P213)),'선정 규칙'!$B$6,0))</x:f>
        <x:v>0</x:v>
      </x:c>
      <x:c r="D213" s="11" t="n">
        <x:f>IF(ISNUMBER(SEARCH("jmdict_exact_pair_not_found",'제외 후보'!P213)),'선정 규칙'!$B$7,0)</x:f>
        <x:v>0</x:v>
      </x:c>
      <x:c r="E213" s="11" t="n">
        <x:f>IF(OR('제외 후보'!L213="",'제외 후보'!L213&lt;=0),'선정 규칙'!$B$8,IF('제외 후보'!L213&lt;=1.5,'선정 규칙'!$B$9,IF('제외 후보'!L213&lt;=2,'선정 규칙'!$B$10,IF('제외 후보'!L213&lt;=2.5,'선정 규칙'!$B$11,IF('제외 후보'!L213&lt;=3,'선정 규칙'!$B$12,IF('제외 후보'!L213&lt;=3.5,'선정 규칙'!$B$13,IF('제외 후보'!L213&gt;=4.5,'선정 규칙'!$B$14,0)))))))</x:f>
        <x:v>0</x:v>
      </x:c>
      <x:c r="F213" s="11" t="n">
        <x:f>IF('제외 후보'!Y213=0,'선정 규칙'!$B$15,IF('제외 후보'!Y213&gt;=100,'선정 규칙'!$B$16,'선정 규칙'!$B$17))</x:f>
        <x:v>-25</x:v>
      </x:c>
      <x:c r="G213" s="11" t="n">
        <x:f>IF('제외 후보'!M213="있음",'선정 규칙'!$B$18,'선정 규칙'!$B$19)</x:f>
        <x:v>6</x:v>
      </x:c>
      <x:c r="H213" s="11" t="n">
        <x:f>IF(ISNUMBER(SEARCH("freq-core",'제외 후보'!AD213)),'선정 규칙'!$B$20,0)</x:f>
        <x:v>0</x:v>
      </x:c>
      <x:c r="I213" s="11" t="n">
        <x:f>IF(ISNUMBER(SEARCH("weak_legacy_content",'제외 후보'!P213)),'선정 규칙'!$B$21,0)</x:f>
        <x:v>0</x:v>
      </x:c>
      <x:c r="J213" s="11" t="n">
        <x:f>IF('제외 후보'!AC213&lt;&gt;"",'선정 규칙'!$B$22,0)</x:f>
        <x:v>0</x:v>
      </x:c>
      <x:c r="K213" s="11" t="n">
        <x:f>SUM(B213:J213)</x:f>
        <x:v>41</x:v>
      </x:c>
      <x:c r="L213" s="11" t="n">
        <x:f>'제외 후보'!N213</x:f>
        <x:v>41</x:v>
      </x:c>
      <x:c r="M213" s="2" t="str">
        <x:f>IF(K213=L213,"OK","MISMATCH")</x:f>
        <x:v>OK</x:v>
      </x:c>
    </x:row>
    <x:row r="214">
      <x:c r="A214" s="2" t="str">
        <x:f>'제외 후보'!G214</x:f>
        <x:v>w_88d4a0016b8cd6a1</x:v>
      </x:c>
      <x:c r="B214" s="11" t="n">
        <x:f>IF('제외 후보'!Q214&lt;&gt;"",'선정 규칙'!$B$4,0)</x:f>
        <x:v>60</x:v>
      </x:c>
      <x:c r="C214" s="11" t="n">
        <x:f>IF(ISNUMBER(SEARCH("jmdict_uncommon_or_irregular",'제외 후보'!P214)),'선정 규칙'!$B$5,IF(ISNUMBER(SEARCH("jmdict_rare_or_dated",'제외 후보'!P214)),'선정 규칙'!$B$6,0))</x:f>
        <x:v>0</x:v>
      </x:c>
      <x:c r="D214" s="11" t="n">
        <x:f>IF(ISNUMBER(SEARCH("jmdict_exact_pair_not_found",'제외 후보'!P214)),'선정 규칙'!$B$7,0)</x:f>
        <x:v>0</x:v>
      </x:c>
      <x:c r="E214" s="11" t="n">
        <x:f>IF(OR('제외 후보'!L214="",'제외 후보'!L214&lt;=0),'선정 규칙'!$B$8,IF('제외 후보'!L214&lt;=1.5,'선정 규칙'!$B$9,IF('제외 후보'!L214&lt;=2,'선정 규칙'!$B$10,IF('제외 후보'!L214&lt;=2.5,'선정 규칙'!$B$11,IF('제외 후보'!L214&lt;=3,'선정 규칙'!$B$12,IF('제외 후보'!L214&lt;=3.5,'선정 규칙'!$B$13,IF('제외 후보'!L214&gt;=4.5,'선정 규칙'!$B$14,0)))))))</x:f>
        <x:v>0</x:v>
      </x:c>
      <x:c r="F214" s="11" t="n">
        <x:f>IF('제외 후보'!Y214=0,'선정 규칙'!$B$15,IF('제외 후보'!Y214&gt;=100,'선정 규칙'!$B$16,'선정 규칙'!$B$17))</x:f>
        <x:v>-25</x:v>
      </x:c>
      <x:c r="G214" s="11" t="n">
        <x:f>IF('제외 후보'!M214="있음",'선정 규칙'!$B$18,'선정 규칙'!$B$19)</x:f>
        <x:v>6</x:v>
      </x:c>
      <x:c r="H214" s="11" t="n">
        <x:f>IF(ISNUMBER(SEARCH("freq-core",'제외 후보'!AD214)),'선정 규칙'!$B$20,0)</x:f>
        <x:v>0</x:v>
      </x:c>
      <x:c r="I214" s="11" t="n">
        <x:f>IF(ISNUMBER(SEARCH("weak_legacy_content",'제외 후보'!P214)),'선정 규칙'!$B$21,0)</x:f>
        <x:v>0</x:v>
      </x:c>
      <x:c r="J214" s="11" t="n">
        <x:f>IF('제외 후보'!AC214&lt;&gt;"",'선정 규칙'!$B$22,0)</x:f>
        <x:v>0</x:v>
      </x:c>
      <x:c r="K214" s="11" t="n">
        <x:f>SUM(B214:J214)</x:f>
        <x:v>41</x:v>
      </x:c>
      <x:c r="L214" s="11" t="n">
        <x:f>'제외 후보'!N214</x:f>
        <x:v>41</x:v>
      </x:c>
      <x:c r="M214" s="2" t="str">
        <x:f>IF(K214=L214,"OK","MISMATCH")</x:f>
        <x:v>OK</x:v>
      </x:c>
    </x:row>
    <x:row r="215">
      <x:c r="A215" s="2" t="str">
        <x:f>'제외 후보'!G215</x:f>
        <x:v>w_333895c749853e94</x:v>
      </x:c>
      <x:c r="B215" s="11" t="n">
        <x:f>IF('제외 후보'!Q215&lt;&gt;"",'선정 규칙'!$B$4,0)</x:f>
        <x:v>60</x:v>
      </x:c>
      <x:c r="C215" s="11" t="n">
        <x:f>IF(ISNUMBER(SEARCH("jmdict_uncommon_or_irregular",'제외 후보'!P215)),'선정 규칙'!$B$5,IF(ISNUMBER(SEARCH("jmdict_rare_or_dated",'제외 후보'!P215)),'선정 규칙'!$B$6,0))</x:f>
        <x:v>0</x:v>
      </x:c>
      <x:c r="D215" s="11" t="n">
        <x:f>IF(ISNUMBER(SEARCH("jmdict_exact_pair_not_found",'제외 후보'!P215)),'선정 규칙'!$B$7,0)</x:f>
        <x:v>0</x:v>
      </x:c>
      <x:c r="E215" s="11" t="n">
        <x:f>IF(OR('제외 후보'!L215="",'제외 후보'!L215&lt;=0),'선정 규칙'!$B$8,IF('제외 후보'!L215&lt;=1.5,'선정 규칙'!$B$9,IF('제외 후보'!L215&lt;=2,'선정 규칙'!$B$10,IF('제외 후보'!L215&lt;=2.5,'선정 규칙'!$B$11,IF('제외 후보'!L215&lt;=3,'선정 규칙'!$B$12,IF('제외 후보'!L215&lt;=3.5,'선정 규칙'!$B$13,IF('제외 후보'!L215&gt;=4.5,'선정 규칙'!$B$14,0)))))))</x:f>
        <x:v>0</x:v>
      </x:c>
      <x:c r="F215" s="11" t="n">
        <x:f>IF('제외 후보'!Y215=0,'선정 규칙'!$B$15,IF('제외 후보'!Y215&gt;=100,'선정 규칙'!$B$16,'선정 규칙'!$B$17))</x:f>
        <x:v>-25</x:v>
      </x:c>
      <x:c r="G215" s="11" t="n">
        <x:f>IF('제외 후보'!M215="있음",'선정 규칙'!$B$18,'선정 규칙'!$B$19)</x:f>
        <x:v>6</x:v>
      </x:c>
      <x:c r="H215" s="11" t="n">
        <x:f>IF(ISNUMBER(SEARCH("freq-core",'제외 후보'!AD215)),'선정 규칙'!$B$20,0)</x:f>
        <x:v>0</x:v>
      </x:c>
      <x:c r="I215" s="11" t="n">
        <x:f>IF(ISNUMBER(SEARCH("weak_legacy_content",'제외 후보'!P215)),'선정 규칙'!$B$21,0)</x:f>
        <x:v>0</x:v>
      </x:c>
      <x:c r="J215" s="11" t="n">
        <x:f>IF('제외 후보'!AC215&lt;&gt;"",'선정 규칙'!$B$22,0)</x:f>
        <x:v>0</x:v>
      </x:c>
      <x:c r="K215" s="11" t="n">
        <x:f>SUM(B215:J215)</x:f>
        <x:v>41</x:v>
      </x:c>
      <x:c r="L215" s="11" t="n">
        <x:f>'제외 후보'!N215</x:f>
        <x:v>41</x:v>
      </x:c>
      <x:c r="M215" s="2" t="str">
        <x:f>IF(K215=L215,"OK","MISMATCH")</x:f>
        <x:v>OK</x:v>
      </x:c>
    </x:row>
    <x:row r="216">
      <x:c r="A216" s="2" t="str">
        <x:f>'제외 후보'!G216</x:f>
        <x:v>w_0abbc28c61b474ee</x:v>
      </x:c>
      <x:c r="B216" s="11" t="n">
        <x:f>IF('제외 후보'!Q216&lt;&gt;"",'선정 규칙'!$B$4,0)</x:f>
        <x:v>0</x:v>
      </x:c>
      <x:c r="C216" s="11" t="n">
        <x:f>IF(ISNUMBER(SEARCH("jmdict_uncommon_or_irregular",'제외 후보'!P216)),'선정 규칙'!$B$5,IF(ISNUMBER(SEARCH("jmdict_rare_or_dated",'제외 후보'!P216)),'선정 규칙'!$B$6,0))</x:f>
        <x:v>0</x:v>
      </x:c>
      <x:c r="D216" s="11" t="n">
        <x:f>IF(ISNUMBER(SEARCH("jmdict_exact_pair_not_found",'제외 후보'!P216)),'선정 규칙'!$B$7,0)</x:f>
        <x:v>0</x:v>
      </x:c>
      <x:c r="E216" s="11" t="n">
        <x:f>IF(OR('제외 후보'!L216="",'제외 후보'!L216&lt;=0),'선정 규칙'!$B$8,IF('제외 후보'!L216&lt;=1.5,'선정 규칙'!$B$9,IF('제외 후보'!L216&lt;=2,'선정 규칙'!$B$10,IF('제외 후보'!L216&lt;=2.5,'선정 규칙'!$B$11,IF('제외 후보'!L216&lt;=3,'선정 규칙'!$B$12,IF('제외 후보'!L216&lt;=3.5,'선정 규칙'!$B$13,IF('제외 후보'!L216&gt;=4.5,'선정 규칙'!$B$14,0)))))))</x:f>
        <x:v>40</x:v>
      </x:c>
      <x:c r="F216" s="11" t="n">
        <x:f>IF('제외 후보'!Y216=0,'선정 규칙'!$B$15,IF('제외 후보'!Y216&gt;=100,'선정 규칙'!$B$16,'선정 규칙'!$B$17))</x:f>
        <x:v>-12</x:v>
      </x:c>
      <x:c r="G216" s="11" t="n">
        <x:f>IF('제외 후보'!M216="있음",'선정 규칙'!$B$18,'선정 규칙'!$B$19)</x:f>
        <x:v>6</x:v>
      </x:c>
      <x:c r="H216" s="11" t="n">
        <x:f>IF(ISNUMBER(SEARCH("freq-core",'제외 후보'!AD216)),'선정 규칙'!$B$20,0)</x:f>
        <x:v>0</x:v>
      </x:c>
      <x:c r="I216" s="11" t="n">
        <x:f>IF(ISNUMBER(SEARCH("weak_legacy_content",'제외 후보'!P216)),'선정 규칙'!$B$21,0)</x:f>
        <x:v>5</x:v>
      </x:c>
      <x:c r="J216" s="11" t="n">
        <x:f>IF('제외 후보'!AC216&lt;&gt;"",'선정 규칙'!$B$22,0)</x:f>
        <x:v>0</x:v>
      </x:c>
      <x:c r="K216" s="11" t="n">
        <x:f>SUM(B216:J216)</x:f>
        <x:v>39</x:v>
      </x:c>
      <x:c r="L216" s="11" t="n">
        <x:f>'제외 후보'!N216</x:f>
        <x:v>39</x:v>
      </x:c>
      <x:c r="M216" s="2" t="str">
        <x:f>IF(K216=L216,"OK","MISMATCH")</x:f>
        <x:v>OK</x:v>
      </x:c>
    </x:row>
    <x:row r="217">
      <x:c r="A217" s="2" t="str">
        <x:f>'제외 후보'!G217</x:f>
        <x:v>w_a82845946fd52380</x:v>
      </x:c>
      <x:c r="B217" s="11" t="n">
        <x:f>IF('제외 후보'!Q217&lt;&gt;"",'선정 규칙'!$B$4,0)</x:f>
        <x:v>0</x:v>
      </x:c>
      <x:c r="C217" s="11" t="n">
        <x:f>IF(ISNUMBER(SEARCH("jmdict_uncommon_or_irregular",'제외 후보'!P217)),'선정 규칙'!$B$5,IF(ISNUMBER(SEARCH("jmdict_rare_or_dated",'제외 후보'!P217)),'선정 규칙'!$B$6,0))</x:f>
        <x:v>0</x:v>
      </x:c>
      <x:c r="D217" s="11" t="n">
        <x:f>IF(ISNUMBER(SEARCH("jmdict_exact_pair_not_found",'제외 후보'!P217)),'선정 규칙'!$B$7,0)</x:f>
        <x:v>0</x:v>
      </x:c>
      <x:c r="E217" s="11" t="n">
        <x:f>IF(OR('제외 후보'!L217="",'제외 후보'!L217&lt;=0),'선정 규칙'!$B$8,IF('제외 후보'!L217&lt;=1.5,'선정 규칙'!$B$9,IF('제외 후보'!L217&lt;=2,'선정 규칙'!$B$10,IF('제외 후보'!L217&lt;=2.5,'선정 규칙'!$B$11,IF('제외 후보'!L217&lt;=3,'선정 규칙'!$B$12,IF('제외 후보'!L217&lt;=3.5,'선정 규칙'!$B$13,IF('제외 후보'!L217&gt;=4.5,'선정 규칙'!$B$14,0)))))))</x:f>
        <x:v>40</x:v>
      </x:c>
      <x:c r="F217" s="11" t="n">
        <x:f>IF('제외 후보'!Y217=0,'선정 규칙'!$B$15,IF('제외 후보'!Y217&gt;=100,'선정 규칙'!$B$16,'선정 규칙'!$B$17))</x:f>
        <x:v>-12</x:v>
      </x:c>
      <x:c r="G217" s="11" t="n">
        <x:f>IF('제외 후보'!M217="있음",'선정 규칙'!$B$18,'선정 규칙'!$B$19)</x:f>
        <x:v>6</x:v>
      </x:c>
      <x:c r="H217" s="11" t="n">
        <x:f>IF(ISNUMBER(SEARCH("freq-core",'제외 후보'!AD217)),'선정 규칙'!$B$20,0)</x:f>
        <x:v>0</x:v>
      </x:c>
      <x:c r="I217" s="11" t="n">
        <x:f>IF(ISNUMBER(SEARCH("weak_legacy_content",'제외 후보'!P217)),'선정 규칙'!$B$21,0)</x:f>
        <x:v>5</x:v>
      </x:c>
      <x:c r="J217" s="11" t="n">
        <x:f>IF('제외 후보'!AC217&lt;&gt;"",'선정 규칙'!$B$22,0)</x:f>
        <x:v>0</x:v>
      </x:c>
      <x:c r="K217" s="11" t="n">
        <x:f>SUM(B217:J217)</x:f>
        <x:v>39</x:v>
      </x:c>
      <x:c r="L217" s="11" t="n">
        <x:f>'제외 후보'!N217</x:f>
        <x:v>39</x:v>
      </x:c>
      <x:c r="M217" s="2" t="str">
        <x:f>IF(K217=L217,"OK","MISMATCH")</x:f>
        <x:v>OK</x:v>
      </x:c>
    </x:row>
    <x:row r="218">
      <x:c r="A218" s="2" t="str">
        <x:f>'제외 후보'!G218</x:f>
        <x:v>w_d1d11476923d652c</x:v>
      </x:c>
      <x:c r="B218" s="11" t="n">
        <x:f>IF('제외 후보'!Q218&lt;&gt;"",'선정 규칙'!$B$4,0)</x:f>
        <x:v>0</x:v>
      </x:c>
      <x:c r="C218" s="11" t="n">
        <x:f>IF(ISNUMBER(SEARCH("jmdict_uncommon_or_irregular",'제외 후보'!P218)),'선정 규칙'!$B$5,IF(ISNUMBER(SEARCH("jmdict_rare_or_dated",'제외 후보'!P218)),'선정 규칙'!$B$6,0))</x:f>
        <x:v>0</x:v>
      </x:c>
      <x:c r="D218" s="11" t="n">
        <x:f>IF(ISNUMBER(SEARCH("jmdict_exact_pair_not_found",'제외 후보'!P218)),'선정 규칙'!$B$7,0)</x:f>
        <x:v>0</x:v>
      </x:c>
      <x:c r="E218" s="11" t="n">
        <x:f>IF(OR('제외 후보'!L218="",'제외 후보'!L218&lt;=0),'선정 규칙'!$B$8,IF('제외 후보'!L218&lt;=1.5,'선정 규칙'!$B$9,IF('제외 후보'!L218&lt;=2,'선정 규칙'!$B$10,IF('제외 후보'!L218&lt;=2.5,'선정 규칙'!$B$11,IF('제외 후보'!L218&lt;=3,'선정 규칙'!$B$12,IF('제외 후보'!L218&lt;=3.5,'선정 규칙'!$B$13,IF('제외 후보'!L218&gt;=4.5,'선정 규칙'!$B$14,0)))))))</x:f>
        <x:v>40</x:v>
      </x:c>
      <x:c r="F218" s="11" t="n">
        <x:f>IF('제외 후보'!Y218=0,'선정 규칙'!$B$15,IF('제외 후보'!Y218&gt;=100,'선정 규칙'!$B$16,'선정 규칙'!$B$17))</x:f>
        <x:v>-12</x:v>
      </x:c>
      <x:c r="G218" s="11" t="n">
        <x:f>IF('제외 후보'!M218="있음",'선정 규칙'!$B$18,'선정 규칙'!$B$19)</x:f>
        <x:v>6</x:v>
      </x:c>
      <x:c r="H218" s="11" t="n">
        <x:f>IF(ISNUMBER(SEARCH("freq-core",'제외 후보'!AD218)),'선정 규칙'!$B$20,0)</x:f>
        <x:v>0</x:v>
      </x:c>
      <x:c r="I218" s="11" t="n">
        <x:f>IF(ISNUMBER(SEARCH("weak_legacy_content",'제외 후보'!P218)),'선정 규칙'!$B$21,0)</x:f>
        <x:v>5</x:v>
      </x:c>
      <x:c r="J218" s="11" t="n">
        <x:f>IF('제외 후보'!AC218&lt;&gt;"",'선정 규칙'!$B$22,0)</x:f>
        <x:v>0</x:v>
      </x:c>
      <x:c r="K218" s="11" t="n">
        <x:f>SUM(B218:J218)</x:f>
        <x:v>39</x:v>
      </x:c>
      <x:c r="L218" s="11" t="n">
        <x:f>'제외 후보'!N218</x:f>
        <x:v>39</x:v>
      </x:c>
      <x:c r="M218" s="2" t="str">
        <x:f>IF(K218=L218,"OK","MISMATCH")</x:f>
        <x:v>OK</x:v>
      </x:c>
    </x:row>
    <x:row r="219">
      <x:c r="A219" s="2" t="str">
        <x:f>'제외 후보'!G219</x:f>
        <x:v>w_f674a6e474771268</x:v>
      </x:c>
      <x:c r="B219" s="11" t="n">
        <x:f>IF('제외 후보'!Q219&lt;&gt;"",'선정 규칙'!$B$4,0)</x:f>
        <x:v>60</x:v>
      </x:c>
      <x:c r="C219" s="11" t="n">
        <x:f>IF(ISNUMBER(SEARCH("jmdict_uncommon_or_irregular",'제외 후보'!P219)),'선정 규칙'!$B$5,IF(ISNUMBER(SEARCH("jmdict_rare_or_dated",'제외 후보'!P219)),'선정 규칙'!$B$6,0))</x:f>
        <x:v>0</x:v>
      </x:c>
      <x:c r="D219" s="11" t="n">
        <x:f>IF(ISNUMBER(SEARCH("jmdict_exact_pair_not_found",'제외 후보'!P219)),'선정 규칙'!$B$7,0)</x:f>
        <x:v>0</x:v>
      </x:c>
      <x:c r="E219" s="11" t="n">
        <x:f>IF(OR('제외 후보'!L219="",'제외 후보'!L219&lt;=0),'선정 규칙'!$B$8,IF('제외 후보'!L219&lt;=1.5,'선정 규칙'!$B$9,IF('제외 후보'!L219&lt;=2,'선정 규칙'!$B$10,IF('제외 후보'!L219&lt;=2.5,'선정 규칙'!$B$11,IF('제외 후보'!L219&lt;=3,'선정 규칙'!$B$12,IF('제외 후보'!L219&lt;=3.5,'선정 규칙'!$B$13,IF('제외 후보'!L219&gt;=4.5,'선정 규칙'!$B$14,0)))))))</x:f>
        <x:v>-20</x:v>
      </x:c>
      <x:c r="F219" s="11" t="n">
        <x:f>IF('제외 후보'!Y219=0,'선정 규칙'!$B$15,IF('제외 후보'!Y219&gt;=100,'선정 규칙'!$B$16,'선정 규칙'!$B$17))</x:f>
        <x:v>-12</x:v>
      </x:c>
      <x:c r="G219" s="11" t="n">
        <x:f>IF('제외 후보'!M219="있음",'선정 규칙'!$B$18,'선정 규칙'!$B$19)</x:f>
        <x:v>6</x:v>
      </x:c>
      <x:c r="H219" s="11" t="n">
        <x:f>IF(ISNUMBER(SEARCH("freq-core",'제외 후보'!AD219)),'선정 규칙'!$B$20,0)</x:f>
        <x:v>0</x:v>
      </x:c>
      <x:c r="I219" s="11" t="n">
        <x:f>IF(ISNUMBER(SEARCH("weak_legacy_content",'제외 후보'!P219)),'선정 규칙'!$B$21,0)</x:f>
        <x:v>5</x:v>
      </x:c>
      <x:c r="J219" s="11" t="n">
        <x:f>IF('제외 후보'!AC219&lt;&gt;"",'선정 규칙'!$B$22,0)</x:f>
        <x:v>0</x:v>
      </x:c>
      <x:c r="K219" s="11" t="n">
        <x:f>SUM(B219:J219)</x:f>
        <x:v>39</x:v>
      </x:c>
      <x:c r="L219" s="11" t="n">
        <x:f>'제외 후보'!N219</x:f>
        <x:v>39</x:v>
      </x:c>
      <x:c r="M219" s="2" t="str">
        <x:f>IF(K219=L219,"OK","MISMATCH")</x:f>
        <x:v>OK</x:v>
      </x:c>
    </x:row>
    <x:row r="220">
      <x:c r="A220" s="2" t="str">
        <x:f>'제외 후보'!G220</x:f>
        <x:v>w_e010e97d5f09b8ea</x:v>
      </x:c>
      <x:c r="B220" s="11" t="n">
        <x:f>IF('제외 후보'!Q220&lt;&gt;"",'선정 규칙'!$B$4,0)</x:f>
        <x:v>0</x:v>
      </x:c>
      <x:c r="C220" s="11" t="n">
        <x:f>IF(ISNUMBER(SEARCH("jmdict_uncommon_or_irregular",'제외 후보'!P220)),'선정 규칙'!$B$5,IF(ISNUMBER(SEARCH("jmdict_rare_or_dated",'제외 후보'!P220)),'선정 규칙'!$B$6,0))</x:f>
        <x:v>0</x:v>
      </x:c>
      <x:c r="D220" s="11" t="n">
        <x:f>IF(ISNUMBER(SEARCH("jmdict_exact_pair_not_found",'제외 후보'!P220)),'선정 규칙'!$B$7,0)</x:f>
        <x:v>0</x:v>
      </x:c>
      <x:c r="E220" s="11" t="n">
        <x:f>IF(OR('제외 후보'!L220="",'제외 후보'!L220&lt;=0),'선정 규칙'!$B$8,IF('제외 후보'!L220&lt;=1.5,'선정 규칙'!$B$9,IF('제외 후보'!L220&lt;=2,'선정 규칙'!$B$10,IF('제외 후보'!L220&lt;=2.5,'선정 규칙'!$B$11,IF('제외 후보'!L220&lt;=3,'선정 규칙'!$B$12,IF('제외 후보'!L220&lt;=3.5,'선정 규칙'!$B$13,IF('제외 후보'!L220&gt;=4.5,'선정 규칙'!$B$14,0)))))))</x:f>
        <x:v>20</x:v>
      </x:c>
      <x:c r="F220" s="11" t="n">
        <x:f>IF('제외 후보'!Y220=0,'선정 규칙'!$B$15,IF('제외 후보'!Y220&gt;=100,'선정 규칙'!$B$16,'선정 규칙'!$B$17))</x:f>
        <x:v>12</x:v>
      </x:c>
      <x:c r="G220" s="11" t="n">
        <x:f>IF('제외 후보'!M220="있음",'선정 규칙'!$B$18,'선정 규칙'!$B$19)</x:f>
        <x:v>6</x:v>
      </x:c>
      <x:c r="H220" s="11" t="n">
        <x:f>IF(ISNUMBER(SEARCH("freq-core",'제외 후보'!AD220)),'선정 규칙'!$B$20,0)</x:f>
        <x:v>0</x:v>
      </x:c>
      <x:c r="I220" s="11" t="n">
        <x:f>IF(ISNUMBER(SEARCH("weak_legacy_content",'제외 후보'!P220)),'선정 규칙'!$B$21,0)</x:f>
        <x:v>0</x:v>
      </x:c>
      <x:c r="J220" s="11" t="n">
        <x:f>IF('제외 후보'!AC220&lt;&gt;"",'선정 규칙'!$B$22,0)</x:f>
        <x:v>0</x:v>
      </x:c>
      <x:c r="K220" s="11" t="n">
        <x:f>SUM(B220:J220)</x:f>
        <x:v>38</x:v>
      </x:c>
      <x:c r="L220" s="11" t="n">
        <x:f>'제외 후보'!N220</x:f>
        <x:v>38</x:v>
      </x:c>
      <x:c r="M220" s="2" t="str">
        <x:f>IF(K220=L220,"OK","MISMATCH")</x:f>
        <x:v>OK</x:v>
      </x:c>
    </x:row>
    <x:row r="221">
      <x:c r="A221" s="2" t="str">
        <x:f>'제외 후보'!G221</x:f>
        <x:v>w_b8d36d89b9d7a2e4</x:v>
      </x:c>
      <x:c r="B221" s="11" t="n">
        <x:f>IF('제외 후보'!Q221&lt;&gt;"",'선정 규칙'!$B$4,0)</x:f>
        <x:v>0</x:v>
      </x:c>
      <x:c r="C221" s="11" t="n">
        <x:f>IF(ISNUMBER(SEARCH("jmdict_uncommon_or_irregular",'제외 후보'!P221)),'선정 규칙'!$B$5,IF(ISNUMBER(SEARCH("jmdict_rare_or_dated",'제외 후보'!P221)),'선정 규칙'!$B$6,0))</x:f>
        <x:v>0</x:v>
      </x:c>
      <x:c r="D221" s="11" t="n">
        <x:f>IF(ISNUMBER(SEARCH("jmdict_exact_pair_not_found",'제외 후보'!P221)),'선정 규칙'!$B$7,0)</x:f>
        <x:v>0</x:v>
      </x:c>
      <x:c r="E221" s="11" t="n">
        <x:f>IF(OR('제외 후보'!L221="",'제외 후보'!L221&lt;=0),'선정 규칙'!$B$8,IF('제외 후보'!L221&lt;=1.5,'선정 규칙'!$B$9,IF('제외 후보'!L221&lt;=2,'선정 규칙'!$B$10,IF('제외 후보'!L221&lt;=2.5,'선정 규칙'!$B$11,IF('제외 후보'!L221&lt;=3,'선정 규칙'!$B$12,IF('제외 후보'!L221&lt;=3.5,'선정 규칙'!$B$13,IF('제외 후보'!L221&gt;=4.5,'선정 규칙'!$B$14,0)))))))</x:f>
        <x:v>20</x:v>
      </x:c>
      <x:c r="F221" s="11" t="n">
        <x:f>IF('제외 후보'!Y221=0,'선정 규칙'!$B$15,IF('제외 후보'!Y221&gt;=100,'선정 규칙'!$B$16,'선정 규칙'!$B$17))</x:f>
        <x:v>12</x:v>
      </x:c>
      <x:c r="G221" s="11" t="n">
        <x:f>IF('제외 후보'!M221="있음",'선정 규칙'!$B$18,'선정 규칙'!$B$19)</x:f>
        <x:v>6</x:v>
      </x:c>
      <x:c r="H221" s="11" t="n">
        <x:f>IF(ISNUMBER(SEARCH("freq-core",'제외 후보'!AD221)),'선정 규칙'!$B$20,0)</x:f>
        <x:v>0</x:v>
      </x:c>
      <x:c r="I221" s="11" t="n">
        <x:f>IF(ISNUMBER(SEARCH("weak_legacy_content",'제외 후보'!P221)),'선정 규칙'!$B$21,0)</x:f>
        <x:v>0</x:v>
      </x:c>
      <x:c r="J221" s="11" t="n">
        <x:f>IF('제외 후보'!AC221&lt;&gt;"",'선정 규칙'!$B$22,0)</x:f>
        <x:v>0</x:v>
      </x:c>
      <x:c r="K221" s="11" t="n">
        <x:f>SUM(B221:J221)</x:f>
        <x:v>38</x:v>
      </x:c>
      <x:c r="L221" s="11" t="n">
        <x:f>'제외 후보'!N221</x:f>
        <x:v>38</x:v>
      </x:c>
      <x:c r="M221" s="2" t="str">
        <x:f>IF(K221=L221,"OK","MISMATCH")</x:f>
        <x:v>OK</x:v>
      </x:c>
    </x:row>
    <x:row r="222">
      <x:c r="A222" s="2" t="str">
        <x:f>'제외 후보'!G222</x:f>
        <x:v>w_b1c2aa5444f0f1c7</x:v>
      </x:c>
      <x:c r="B222" s="11" t="n">
        <x:f>IF('제외 후보'!Q222&lt;&gt;"",'선정 규칙'!$B$4,0)</x:f>
        <x:v>0</x:v>
      </x:c>
      <x:c r="C222" s="11" t="n">
        <x:f>IF(ISNUMBER(SEARCH("jmdict_uncommon_or_irregular",'제외 후보'!P222)),'선정 규칙'!$B$5,IF(ISNUMBER(SEARCH("jmdict_rare_or_dated",'제외 후보'!P222)),'선정 규칙'!$B$6,0))</x:f>
        <x:v>0</x:v>
      </x:c>
      <x:c r="D222" s="11" t="n">
        <x:f>IF(ISNUMBER(SEARCH("jmdict_exact_pair_not_found",'제외 후보'!P222)),'선정 규칙'!$B$7,0)</x:f>
        <x:v>0</x:v>
      </x:c>
      <x:c r="E222" s="11" t="n">
        <x:f>IF(OR('제외 후보'!L222="",'제외 후보'!L222&lt;=0),'선정 규칙'!$B$8,IF('제외 후보'!L222&lt;=1.5,'선정 규칙'!$B$9,IF('제외 후보'!L222&lt;=2,'선정 규칙'!$B$10,IF('제외 후보'!L222&lt;=2.5,'선정 규칙'!$B$11,IF('제외 후보'!L222&lt;=3,'선정 규칙'!$B$12,IF('제외 후보'!L222&lt;=3.5,'선정 규칙'!$B$13,IF('제외 후보'!L222&gt;=4.5,'선정 규칙'!$B$14,0)))))))</x:f>
        <x:v>20</x:v>
      </x:c>
      <x:c r="F222" s="11" t="n">
        <x:f>IF('제외 후보'!Y222=0,'선정 규칙'!$B$15,IF('제외 후보'!Y222&gt;=100,'선정 규칙'!$B$16,'선정 규칙'!$B$17))</x:f>
        <x:v>12</x:v>
      </x:c>
      <x:c r="G222" s="11" t="n">
        <x:f>IF('제외 후보'!M222="있음",'선정 규칙'!$B$18,'선정 규칙'!$B$19)</x:f>
        <x:v>6</x:v>
      </x:c>
      <x:c r="H222" s="11" t="n">
        <x:f>IF(ISNUMBER(SEARCH("freq-core",'제외 후보'!AD222)),'선정 규칙'!$B$20,0)</x:f>
        <x:v>0</x:v>
      </x:c>
      <x:c r="I222" s="11" t="n">
        <x:f>IF(ISNUMBER(SEARCH("weak_legacy_content",'제외 후보'!P222)),'선정 규칙'!$B$21,0)</x:f>
        <x:v>0</x:v>
      </x:c>
      <x:c r="J222" s="11" t="n">
        <x:f>IF('제외 후보'!AC222&lt;&gt;"",'선정 규칙'!$B$22,0)</x:f>
        <x:v>0</x:v>
      </x:c>
      <x:c r="K222" s="11" t="n">
        <x:f>SUM(B222:J222)</x:f>
        <x:v>38</x:v>
      </x:c>
      <x:c r="L222" s="11" t="n">
        <x:f>'제외 후보'!N222</x:f>
        <x:v>38</x:v>
      </x:c>
      <x:c r="M222" s="2" t="str">
        <x:f>IF(K222=L222,"OK","MISMATCH")</x:f>
        <x:v>OK</x:v>
      </x:c>
    </x:row>
    <x:row r="223">
      <x:c r="A223" s="2" t="str">
        <x:f>'제외 후보'!G223</x:f>
        <x:v>w_d06e6a26243b7c24</x:v>
      </x:c>
      <x:c r="B223" s="11" t="n">
        <x:f>IF('제외 후보'!Q223&lt;&gt;"",'선정 규칙'!$B$4,0)</x:f>
        <x:v>0</x:v>
      </x:c>
      <x:c r="C223" s="11" t="n">
        <x:f>IF(ISNUMBER(SEARCH("jmdict_uncommon_or_irregular",'제외 후보'!P223)),'선정 규칙'!$B$5,IF(ISNUMBER(SEARCH("jmdict_rare_or_dated",'제외 후보'!P223)),'선정 규칙'!$B$6,0))</x:f>
        <x:v>0</x:v>
      </x:c>
      <x:c r="D223" s="11" t="n">
        <x:f>IF(ISNUMBER(SEARCH("jmdict_exact_pair_not_found",'제외 후보'!P223)),'선정 규칙'!$B$7,0)</x:f>
        <x:v>0</x:v>
      </x:c>
      <x:c r="E223" s="11" t="n">
        <x:f>IF(OR('제외 후보'!L223="",'제외 후보'!L223&lt;=0),'선정 규칙'!$B$8,IF('제외 후보'!L223&lt;=1.5,'선정 규칙'!$B$9,IF('제외 후보'!L223&lt;=2,'선정 규칙'!$B$10,IF('제외 후보'!L223&lt;=2.5,'선정 규칙'!$B$11,IF('제외 후보'!L223&lt;=3,'선정 규칙'!$B$12,IF('제외 후보'!L223&lt;=3.5,'선정 규칙'!$B$13,IF('제외 후보'!L223&gt;=4.5,'선정 규칙'!$B$14,0)))))))</x:f>
        <x:v>20</x:v>
      </x:c>
      <x:c r="F223" s="11" t="n">
        <x:f>IF('제외 후보'!Y223=0,'선정 규칙'!$B$15,IF('제외 후보'!Y223&gt;=100,'선정 규칙'!$B$16,'선정 규칙'!$B$17))</x:f>
        <x:v>12</x:v>
      </x:c>
      <x:c r="G223" s="11" t="n">
        <x:f>IF('제외 후보'!M223="있음",'선정 규칙'!$B$18,'선정 규칙'!$B$19)</x:f>
        <x:v>6</x:v>
      </x:c>
      <x:c r="H223" s="11" t="n">
        <x:f>IF(ISNUMBER(SEARCH("freq-core",'제외 후보'!AD223)),'선정 규칙'!$B$20,0)</x:f>
        <x:v>0</x:v>
      </x:c>
      <x:c r="I223" s="11" t="n">
        <x:f>IF(ISNUMBER(SEARCH("weak_legacy_content",'제외 후보'!P223)),'선정 규칙'!$B$21,0)</x:f>
        <x:v>0</x:v>
      </x:c>
      <x:c r="J223" s="11" t="n">
        <x:f>IF('제외 후보'!AC223&lt;&gt;"",'선정 규칙'!$B$22,0)</x:f>
        <x:v>0</x:v>
      </x:c>
      <x:c r="K223" s="11" t="n">
        <x:f>SUM(B223:J223)</x:f>
        <x:v>38</x:v>
      </x:c>
      <x:c r="L223" s="11" t="n">
        <x:f>'제외 후보'!N223</x:f>
        <x:v>38</x:v>
      </x:c>
      <x:c r="M223" s="2" t="str">
        <x:f>IF(K223=L223,"OK","MISMATCH")</x:f>
        <x:v>OK</x:v>
      </x:c>
    </x:row>
    <x:row r="224">
      <x:c r="A224" s="2" t="str">
        <x:f>'제외 후보'!G224</x:f>
        <x:v>w_a0605c89158e116f</x:v>
      </x:c>
      <x:c r="B224" s="11" t="n">
        <x:f>IF('제외 후보'!Q224&lt;&gt;"",'선정 규칙'!$B$4,0)</x:f>
        <x:v>0</x:v>
      </x:c>
      <x:c r="C224" s="11" t="n">
        <x:f>IF(ISNUMBER(SEARCH("jmdict_uncommon_or_irregular",'제외 후보'!P224)),'선정 규칙'!$B$5,IF(ISNUMBER(SEARCH("jmdict_rare_or_dated",'제외 후보'!P224)),'선정 규칙'!$B$6,0))</x:f>
        <x:v>0</x:v>
      </x:c>
      <x:c r="D224" s="11" t="n">
        <x:f>IF(ISNUMBER(SEARCH("jmdict_exact_pair_not_found",'제외 후보'!P224)),'선정 규칙'!$B$7,0)</x:f>
        <x:v>0</x:v>
      </x:c>
      <x:c r="E224" s="11" t="n">
        <x:f>IF(OR('제외 후보'!L224="",'제외 후보'!L224&lt;=0),'선정 규칙'!$B$8,IF('제외 후보'!L224&lt;=1.5,'선정 규칙'!$B$9,IF('제외 후보'!L224&lt;=2,'선정 규칙'!$B$10,IF('제외 후보'!L224&lt;=2.5,'선정 규칙'!$B$11,IF('제외 후보'!L224&lt;=3,'선정 규칙'!$B$12,IF('제외 후보'!L224&lt;=3.5,'선정 규칙'!$B$13,IF('제외 후보'!L224&gt;=4.5,'선정 규칙'!$B$14,0)))))))</x:f>
        <x:v>20</x:v>
      </x:c>
      <x:c r="F224" s="11" t="n">
        <x:f>IF('제외 후보'!Y224=0,'선정 규칙'!$B$15,IF('제외 후보'!Y224&gt;=100,'선정 규칙'!$B$16,'선정 규칙'!$B$17))</x:f>
        <x:v>12</x:v>
      </x:c>
      <x:c r="G224" s="11" t="n">
        <x:f>IF('제외 후보'!M224="있음",'선정 규칙'!$B$18,'선정 규칙'!$B$19)</x:f>
        <x:v>6</x:v>
      </x:c>
      <x:c r="H224" s="11" t="n">
        <x:f>IF(ISNUMBER(SEARCH("freq-core",'제외 후보'!AD224)),'선정 규칙'!$B$20,0)</x:f>
        <x:v>0</x:v>
      </x:c>
      <x:c r="I224" s="11" t="n">
        <x:f>IF(ISNUMBER(SEARCH("weak_legacy_content",'제외 후보'!P224)),'선정 규칙'!$B$21,0)</x:f>
        <x:v>0</x:v>
      </x:c>
      <x:c r="J224" s="11" t="n">
        <x:f>IF('제외 후보'!AC224&lt;&gt;"",'선정 규칙'!$B$22,0)</x:f>
        <x:v>0</x:v>
      </x:c>
      <x:c r="K224" s="11" t="n">
        <x:f>SUM(B224:J224)</x:f>
        <x:v>38</x:v>
      </x:c>
      <x:c r="L224" s="11" t="n">
        <x:f>'제외 후보'!N224</x:f>
        <x:v>38</x:v>
      </x:c>
      <x:c r="M224" s="2" t="str">
        <x:f>IF(K224=L224,"OK","MISMATCH")</x:f>
        <x:v>OK</x:v>
      </x:c>
    </x:row>
    <x:row r="225">
      <x:c r="A225" s="2" t="str">
        <x:f>'제외 후보'!G225</x:f>
        <x:v>w_308680a8ffac242b</x:v>
      </x:c>
      <x:c r="B225" s="11" t="n">
        <x:f>IF('제외 후보'!Q225&lt;&gt;"",'선정 규칙'!$B$4,0)</x:f>
        <x:v>0</x:v>
      </x:c>
      <x:c r="C225" s="11" t="n">
        <x:f>IF(ISNUMBER(SEARCH("jmdict_uncommon_or_irregular",'제외 후보'!P225)),'선정 규칙'!$B$5,IF(ISNUMBER(SEARCH("jmdict_rare_or_dated",'제외 후보'!P225)),'선정 규칙'!$B$6,0))</x:f>
        <x:v>0</x:v>
      </x:c>
      <x:c r="D225" s="11" t="n">
        <x:f>IF(ISNUMBER(SEARCH("jmdict_exact_pair_not_found",'제외 후보'!P225)),'선정 규칙'!$B$7,0)</x:f>
        <x:v>0</x:v>
      </x:c>
      <x:c r="E225" s="11" t="n">
        <x:f>IF(OR('제외 후보'!L225="",'제외 후보'!L225&lt;=0),'선정 규칙'!$B$8,IF('제외 후보'!L225&lt;=1.5,'선정 규칙'!$B$9,IF('제외 후보'!L225&lt;=2,'선정 규칙'!$B$10,IF('제외 후보'!L225&lt;=2.5,'선정 규칙'!$B$11,IF('제외 후보'!L225&lt;=3,'선정 규칙'!$B$12,IF('제외 후보'!L225&lt;=3.5,'선정 규칙'!$B$13,IF('제외 후보'!L225&gt;=4.5,'선정 규칙'!$B$14,0)))))))</x:f>
        <x:v>20</x:v>
      </x:c>
      <x:c r="F225" s="11" t="n">
        <x:f>IF('제외 후보'!Y225=0,'선정 규칙'!$B$15,IF('제외 후보'!Y225&gt;=100,'선정 규칙'!$B$16,'선정 규칙'!$B$17))</x:f>
        <x:v>12</x:v>
      </x:c>
      <x:c r="G225" s="11" t="n">
        <x:f>IF('제외 후보'!M225="있음",'선정 규칙'!$B$18,'선정 규칙'!$B$19)</x:f>
        <x:v>6</x:v>
      </x:c>
      <x:c r="H225" s="11" t="n">
        <x:f>IF(ISNUMBER(SEARCH("freq-core",'제외 후보'!AD225)),'선정 규칙'!$B$20,0)</x:f>
        <x:v>0</x:v>
      </x:c>
      <x:c r="I225" s="11" t="n">
        <x:f>IF(ISNUMBER(SEARCH("weak_legacy_content",'제외 후보'!P225)),'선정 규칙'!$B$21,0)</x:f>
        <x:v>0</x:v>
      </x:c>
      <x:c r="J225" s="11" t="n">
        <x:f>IF('제외 후보'!AC225&lt;&gt;"",'선정 규칙'!$B$22,0)</x:f>
        <x:v>0</x:v>
      </x:c>
      <x:c r="K225" s="11" t="n">
        <x:f>SUM(B225:J225)</x:f>
        <x:v>38</x:v>
      </x:c>
      <x:c r="L225" s="11" t="n">
        <x:f>'제외 후보'!N225</x:f>
        <x:v>38</x:v>
      </x:c>
      <x:c r="M225" s="2" t="str">
        <x:f>IF(K225=L225,"OK","MISMATCH")</x:f>
        <x:v>OK</x:v>
      </x:c>
    </x:row>
    <x:row r="226">
      <x:c r="A226" s="2" t="str">
        <x:f>'제외 후보'!G226</x:f>
        <x:v>w_c972bbd86d419db3</x:v>
      </x:c>
      <x:c r="B226" s="11" t="n">
        <x:f>IF('제외 후보'!Q226&lt;&gt;"",'선정 규칙'!$B$4,0)</x:f>
        <x:v>0</x:v>
      </x:c>
      <x:c r="C226" s="11" t="n">
        <x:f>IF(ISNUMBER(SEARCH("jmdict_uncommon_or_irregular",'제외 후보'!P226)),'선정 규칙'!$B$5,IF(ISNUMBER(SEARCH("jmdict_rare_or_dated",'제외 후보'!P226)),'선정 규칙'!$B$6,0))</x:f>
        <x:v>0</x:v>
      </x:c>
      <x:c r="D226" s="11" t="n">
        <x:f>IF(ISNUMBER(SEARCH("jmdict_exact_pair_not_found",'제외 후보'!P226)),'선정 규칙'!$B$7,0)</x:f>
        <x:v>0</x:v>
      </x:c>
      <x:c r="E226" s="11" t="n">
        <x:f>IF(OR('제외 후보'!L226="",'제외 후보'!L226&lt;=0),'선정 규칙'!$B$8,IF('제외 후보'!L226&lt;=1.5,'선정 규칙'!$B$9,IF('제외 후보'!L226&lt;=2,'선정 규칙'!$B$10,IF('제외 후보'!L226&lt;=2.5,'선정 규칙'!$B$11,IF('제외 후보'!L226&lt;=3,'선정 규칙'!$B$12,IF('제외 후보'!L226&lt;=3.5,'선정 규칙'!$B$13,IF('제외 후보'!L226&gt;=4.5,'선정 규칙'!$B$14,0)))))))</x:f>
        <x:v>20</x:v>
      </x:c>
      <x:c r="F226" s="11" t="n">
        <x:f>IF('제외 후보'!Y226=0,'선정 규칙'!$B$15,IF('제외 후보'!Y226&gt;=100,'선정 규칙'!$B$16,'선정 규칙'!$B$17))</x:f>
        <x:v>12</x:v>
      </x:c>
      <x:c r="G226" s="11" t="n">
        <x:f>IF('제외 후보'!M226="있음",'선정 규칙'!$B$18,'선정 규칙'!$B$19)</x:f>
        <x:v>6</x:v>
      </x:c>
      <x:c r="H226" s="11" t="n">
        <x:f>IF(ISNUMBER(SEARCH("freq-core",'제외 후보'!AD226)),'선정 규칙'!$B$20,0)</x:f>
        <x:v>0</x:v>
      </x:c>
      <x:c r="I226" s="11" t="n">
        <x:f>IF(ISNUMBER(SEARCH("weak_legacy_content",'제외 후보'!P226)),'선정 규칙'!$B$21,0)</x:f>
        <x:v>0</x:v>
      </x:c>
      <x:c r="J226" s="11" t="n">
        <x:f>IF('제외 후보'!AC226&lt;&gt;"",'선정 규칙'!$B$22,0)</x:f>
        <x:v>0</x:v>
      </x:c>
      <x:c r="K226" s="11" t="n">
        <x:f>SUM(B226:J226)</x:f>
        <x:v>38</x:v>
      </x:c>
      <x:c r="L226" s="11" t="n">
        <x:f>'제외 후보'!N226</x:f>
        <x:v>38</x:v>
      </x:c>
      <x:c r="M226" s="2" t="str">
        <x:f>IF(K226=L226,"OK","MISMATCH")</x:f>
        <x:v>OK</x:v>
      </x:c>
    </x:row>
    <x:row r="227">
      <x:c r="A227" s="2" t="str">
        <x:f>'제외 후보'!G227</x:f>
        <x:v>w_fd385a3adcbade21</x:v>
      </x:c>
      <x:c r="B227" s="11" t="n">
        <x:f>IF('제외 후보'!Q227&lt;&gt;"",'선정 규칙'!$B$4,0)</x:f>
        <x:v>0</x:v>
      </x:c>
      <x:c r="C227" s="11" t="n">
        <x:f>IF(ISNUMBER(SEARCH("jmdict_uncommon_or_irregular",'제외 후보'!P227)),'선정 규칙'!$B$5,IF(ISNUMBER(SEARCH("jmdict_rare_or_dated",'제외 후보'!P227)),'선정 규칙'!$B$6,0))</x:f>
        <x:v>0</x:v>
      </x:c>
      <x:c r="D227" s="11" t="n">
        <x:f>IF(ISNUMBER(SEARCH("jmdict_exact_pair_not_found",'제외 후보'!P227)),'선정 규칙'!$B$7,0)</x:f>
        <x:v>0</x:v>
      </x:c>
      <x:c r="E227" s="11" t="n">
        <x:f>IF(OR('제외 후보'!L227="",'제외 후보'!L227&lt;=0),'선정 규칙'!$B$8,IF('제외 후보'!L227&lt;=1.5,'선정 규칙'!$B$9,IF('제외 후보'!L227&lt;=2,'선정 규칙'!$B$10,IF('제외 후보'!L227&lt;=2.5,'선정 규칙'!$B$11,IF('제외 후보'!L227&lt;=3,'선정 규칙'!$B$12,IF('제외 후보'!L227&lt;=3.5,'선정 규칙'!$B$13,IF('제외 후보'!L227&gt;=4.5,'선정 규칙'!$B$14,0)))))))</x:f>
        <x:v>20</x:v>
      </x:c>
      <x:c r="F227" s="11" t="n">
        <x:f>IF('제외 후보'!Y227=0,'선정 규칙'!$B$15,IF('제외 후보'!Y227&gt;=100,'선정 규칙'!$B$16,'선정 규칙'!$B$17))</x:f>
        <x:v>12</x:v>
      </x:c>
      <x:c r="G227" s="11" t="n">
        <x:f>IF('제외 후보'!M227="있음",'선정 규칙'!$B$18,'선정 규칙'!$B$19)</x:f>
        <x:v>6</x:v>
      </x:c>
      <x:c r="H227" s="11" t="n">
        <x:f>IF(ISNUMBER(SEARCH("freq-core",'제외 후보'!AD227)),'선정 규칙'!$B$20,0)</x:f>
        <x:v>0</x:v>
      </x:c>
      <x:c r="I227" s="11" t="n">
        <x:f>IF(ISNUMBER(SEARCH("weak_legacy_content",'제외 후보'!P227)),'선정 규칙'!$B$21,0)</x:f>
        <x:v>0</x:v>
      </x:c>
      <x:c r="J227" s="11" t="n">
        <x:f>IF('제외 후보'!AC227&lt;&gt;"",'선정 규칙'!$B$22,0)</x:f>
        <x:v>0</x:v>
      </x:c>
      <x:c r="K227" s="11" t="n">
        <x:f>SUM(B227:J227)</x:f>
        <x:v>38</x:v>
      </x:c>
      <x:c r="L227" s="11" t="n">
        <x:f>'제외 후보'!N227</x:f>
        <x:v>38</x:v>
      </x:c>
      <x:c r="M227" s="2" t="str">
        <x:f>IF(K227=L227,"OK","MISMATCH")</x:f>
        <x:v>OK</x:v>
      </x:c>
    </x:row>
    <x:row r="228">
      <x:c r="A228" s="2" t="str">
        <x:f>'제외 후보'!G228</x:f>
        <x:v>w_af0b21362a37916f</x:v>
      </x:c>
      <x:c r="B228" s="11" t="n">
        <x:f>IF('제외 후보'!Q228&lt;&gt;"",'선정 규칙'!$B$4,0)</x:f>
        <x:v>0</x:v>
      </x:c>
      <x:c r="C228" s="11" t="n">
        <x:f>IF(ISNUMBER(SEARCH("jmdict_uncommon_or_irregular",'제외 후보'!P228)),'선정 규칙'!$B$5,IF(ISNUMBER(SEARCH("jmdict_rare_or_dated",'제외 후보'!P228)),'선정 규칙'!$B$6,0))</x:f>
        <x:v>0</x:v>
      </x:c>
      <x:c r="D228" s="11" t="n">
        <x:f>IF(ISNUMBER(SEARCH("jmdict_exact_pair_not_found",'제외 후보'!P228)),'선정 규칙'!$B$7,0)</x:f>
        <x:v>0</x:v>
      </x:c>
      <x:c r="E228" s="11" t="n">
        <x:f>IF(OR('제외 후보'!L228="",'제외 후보'!L228&lt;=0),'선정 규칙'!$B$8,IF('제외 후보'!L228&lt;=1.5,'선정 규칙'!$B$9,IF('제외 후보'!L228&lt;=2,'선정 규칙'!$B$10,IF('제외 후보'!L228&lt;=2.5,'선정 규칙'!$B$11,IF('제외 후보'!L228&lt;=3,'선정 규칙'!$B$12,IF('제외 후보'!L228&lt;=3.5,'선정 규칙'!$B$13,IF('제외 후보'!L228&gt;=4.5,'선정 규칙'!$B$14,0)))))))</x:f>
        <x:v>20</x:v>
      </x:c>
      <x:c r="F228" s="11" t="n">
        <x:f>IF('제외 후보'!Y228=0,'선정 규칙'!$B$15,IF('제외 후보'!Y228&gt;=100,'선정 규칙'!$B$16,'선정 규칙'!$B$17))</x:f>
        <x:v>12</x:v>
      </x:c>
      <x:c r="G228" s="11" t="n">
        <x:f>IF('제외 후보'!M228="있음",'선정 규칙'!$B$18,'선정 규칙'!$B$19)</x:f>
        <x:v>6</x:v>
      </x:c>
      <x:c r="H228" s="11" t="n">
        <x:f>IF(ISNUMBER(SEARCH("freq-core",'제외 후보'!AD228)),'선정 규칙'!$B$20,0)</x:f>
        <x:v>0</x:v>
      </x:c>
      <x:c r="I228" s="11" t="n">
        <x:f>IF(ISNUMBER(SEARCH("weak_legacy_content",'제외 후보'!P228)),'선정 규칙'!$B$21,0)</x:f>
        <x:v>0</x:v>
      </x:c>
      <x:c r="J228" s="11" t="n">
        <x:f>IF('제외 후보'!AC228&lt;&gt;"",'선정 규칙'!$B$22,0)</x:f>
        <x:v>0</x:v>
      </x:c>
      <x:c r="K228" s="11" t="n">
        <x:f>SUM(B228:J228)</x:f>
        <x:v>38</x:v>
      </x:c>
      <x:c r="L228" s="11" t="n">
        <x:f>'제외 후보'!N228</x:f>
        <x:v>38</x:v>
      </x:c>
      <x:c r="M228" s="2" t="str">
        <x:f>IF(K228=L228,"OK","MISMATCH")</x:f>
        <x:v>OK</x:v>
      </x:c>
    </x:row>
    <x:row r="229">
      <x:c r="A229" s="2" t="str">
        <x:f>'제외 후보'!G229</x:f>
        <x:v>w_e1858aa5a7439d43</x:v>
      </x:c>
      <x:c r="B229" s="11" t="n">
        <x:f>IF('제외 후보'!Q229&lt;&gt;"",'선정 규칙'!$B$4,0)</x:f>
        <x:v>0</x:v>
      </x:c>
      <x:c r="C229" s="11" t="n">
        <x:f>IF(ISNUMBER(SEARCH("jmdict_uncommon_or_irregular",'제외 후보'!P229)),'선정 규칙'!$B$5,IF(ISNUMBER(SEARCH("jmdict_rare_or_dated",'제외 후보'!P229)),'선정 규칙'!$B$6,0))</x:f>
        <x:v>0</x:v>
      </x:c>
      <x:c r="D229" s="11" t="n">
        <x:f>IF(ISNUMBER(SEARCH("jmdict_exact_pair_not_found",'제외 후보'!P229)),'선정 규칙'!$B$7,0)</x:f>
        <x:v>0</x:v>
      </x:c>
      <x:c r="E229" s="11" t="n">
        <x:f>IF(OR('제외 후보'!L229="",'제외 후보'!L229&lt;=0),'선정 규칙'!$B$8,IF('제외 후보'!L229&lt;=1.5,'선정 규칙'!$B$9,IF('제외 후보'!L229&lt;=2,'선정 규칙'!$B$10,IF('제외 후보'!L229&lt;=2.5,'선정 규칙'!$B$11,IF('제외 후보'!L229&lt;=3,'선정 규칙'!$B$12,IF('제외 후보'!L229&lt;=3.5,'선정 규칙'!$B$13,IF('제외 후보'!L229&gt;=4.5,'선정 규칙'!$B$14,0)))))))</x:f>
        <x:v>20</x:v>
      </x:c>
      <x:c r="F229" s="11" t="n">
        <x:f>IF('제외 후보'!Y229=0,'선정 규칙'!$B$15,IF('제외 후보'!Y229&gt;=100,'선정 규칙'!$B$16,'선정 규칙'!$B$17))</x:f>
        <x:v>12</x:v>
      </x:c>
      <x:c r="G229" s="11" t="n">
        <x:f>IF('제외 후보'!M229="있음",'선정 규칙'!$B$18,'선정 규칙'!$B$19)</x:f>
        <x:v>6</x:v>
      </x:c>
      <x:c r="H229" s="11" t="n">
        <x:f>IF(ISNUMBER(SEARCH("freq-core",'제외 후보'!AD229)),'선정 규칙'!$B$20,0)</x:f>
        <x:v>0</x:v>
      </x:c>
      <x:c r="I229" s="11" t="n">
        <x:f>IF(ISNUMBER(SEARCH("weak_legacy_content",'제외 후보'!P229)),'선정 규칙'!$B$21,0)</x:f>
        <x:v>0</x:v>
      </x:c>
      <x:c r="J229" s="11" t="n">
        <x:f>IF('제외 후보'!AC229&lt;&gt;"",'선정 규칙'!$B$22,0)</x:f>
        <x:v>0</x:v>
      </x:c>
      <x:c r="K229" s="11" t="n">
        <x:f>SUM(B229:J229)</x:f>
        <x:v>38</x:v>
      </x:c>
      <x:c r="L229" s="11" t="n">
        <x:f>'제외 후보'!N229</x:f>
        <x:v>38</x:v>
      </x:c>
      <x:c r="M229" s="2" t="str">
        <x:f>IF(K229=L229,"OK","MISMATCH")</x:f>
        <x:v>OK</x:v>
      </x:c>
    </x:row>
    <x:row r="230">
      <x:c r="A230" s="2" t="str">
        <x:f>'제외 후보'!G230</x:f>
        <x:v>w_311d49f34203a161</x:v>
      </x:c>
      <x:c r="B230" s="11" t="n">
        <x:f>IF('제외 후보'!Q230&lt;&gt;"",'선정 규칙'!$B$4,0)</x:f>
        <x:v>0</x:v>
      </x:c>
      <x:c r="C230" s="11" t="n">
        <x:f>IF(ISNUMBER(SEARCH("jmdict_uncommon_or_irregular",'제외 후보'!P230)),'선정 규칙'!$B$5,IF(ISNUMBER(SEARCH("jmdict_rare_or_dated",'제외 후보'!P230)),'선정 규칙'!$B$6,0))</x:f>
        <x:v>0</x:v>
      </x:c>
      <x:c r="D230" s="11" t="n">
        <x:f>IF(ISNUMBER(SEARCH("jmdict_exact_pair_not_found",'제외 후보'!P230)),'선정 규칙'!$B$7,0)</x:f>
        <x:v>0</x:v>
      </x:c>
      <x:c r="E230" s="11" t="n">
        <x:f>IF(OR('제외 후보'!L230="",'제외 후보'!L230&lt;=0),'선정 규칙'!$B$8,IF('제외 후보'!L230&lt;=1.5,'선정 규칙'!$B$9,IF('제외 후보'!L230&lt;=2,'선정 규칙'!$B$10,IF('제외 후보'!L230&lt;=2.5,'선정 규칙'!$B$11,IF('제외 후보'!L230&lt;=3,'선정 규칙'!$B$12,IF('제외 후보'!L230&lt;=3.5,'선정 규칙'!$B$13,IF('제외 후보'!L230&gt;=4.5,'선정 규칙'!$B$14,0)))))))</x:f>
        <x:v>20</x:v>
      </x:c>
      <x:c r="F230" s="11" t="n">
        <x:f>IF('제외 후보'!Y230=0,'선정 규칙'!$B$15,IF('제외 후보'!Y230&gt;=100,'선정 규칙'!$B$16,'선정 규칙'!$B$17))</x:f>
        <x:v>12</x:v>
      </x:c>
      <x:c r="G230" s="11" t="n">
        <x:f>IF('제외 후보'!M230="있음",'선정 규칙'!$B$18,'선정 규칙'!$B$19)</x:f>
        <x:v>6</x:v>
      </x:c>
      <x:c r="H230" s="11" t="n">
        <x:f>IF(ISNUMBER(SEARCH("freq-core",'제외 후보'!AD230)),'선정 규칙'!$B$20,0)</x:f>
        <x:v>0</x:v>
      </x:c>
      <x:c r="I230" s="11" t="n">
        <x:f>IF(ISNUMBER(SEARCH("weak_legacy_content",'제외 후보'!P230)),'선정 규칙'!$B$21,0)</x:f>
        <x:v>0</x:v>
      </x:c>
      <x:c r="J230" s="11" t="n">
        <x:f>IF('제외 후보'!AC230&lt;&gt;"",'선정 규칙'!$B$22,0)</x:f>
        <x:v>0</x:v>
      </x:c>
      <x:c r="K230" s="11" t="n">
        <x:f>SUM(B230:J230)</x:f>
        <x:v>38</x:v>
      </x:c>
      <x:c r="L230" s="11" t="n">
        <x:f>'제외 후보'!N230</x:f>
        <x:v>38</x:v>
      </x:c>
      <x:c r="M230" s="2" t="str">
        <x:f>IF(K230=L230,"OK","MISMATCH")</x:f>
        <x:v>OK</x:v>
      </x:c>
    </x:row>
    <x:row r="231">
      <x:c r="A231" s="2" t="str">
        <x:f>'제외 후보'!G231</x:f>
        <x:v>w_a4092744f57bc1a2</x:v>
      </x:c>
      <x:c r="B231" s="11" t="n">
        <x:f>IF('제외 후보'!Q231&lt;&gt;"",'선정 규칙'!$B$4,0)</x:f>
        <x:v>0</x:v>
      </x:c>
      <x:c r="C231" s="11" t="n">
        <x:f>IF(ISNUMBER(SEARCH("jmdict_uncommon_or_irregular",'제외 후보'!P231)),'선정 규칙'!$B$5,IF(ISNUMBER(SEARCH("jmdict_rare_or_dated",'제외 후보'!P231)),'선정 규칙'!$B$6,0))</x:f>
        <x:v>0</x:v>
      </x:c>
      <x:c r="D231" s="11" t="n">
        <x:f>IF(ISNUMBER(SEARCH("jmdict_exact_pair_not_found",'제외 후보'!P231)),'선정 규칙'!$B$7,0)</x:f>
        <x:v>0</x:v>
      </x:c>
      <x:c r="E231" s="11" t="n">
        <x:f>IF(OR('제외 후보'!L231="",'제외 후보'!L231&lt;=0),'선정 규칙'!$B$8,IF('제외 후보'!L231&lt;=1.5,'선정 규칙'!$B$9,IF('제외 후보'!L231&lt;=2,'선정 규칙'!$B$10,IF('제외 후보'!L231&lt;=2.5,'선정 규칙'!$B$11,IF('제외 후보'!L231&lt;=3,'선정 규칙'!$B$12,IF('제외 후보'!L231&lt;=3.5,'선정 규칙'!$B$13,IF('제외 후보'!L231&gt;=4.5,'선정 규칙'!$B$14,0)))))))</x:f>
        <x:v>20</x:v>
      </x:c>
      <x:c r="F231" s="11" t="n">
        <x:f>IF('제외 후보'!Y231=0,'선정 규칙'!$B$15,IF('제외 후보'!Y231&gt;=100,'선정 규칙'!$B$16,'선정 규칙'!$B$17))</x:f>
        <x:v>12</x:v>
      </x:c>
      <x:c r="G231" s="11" t="n">
        <x:f>IF('제외 후보'!M231="있음",'선정 규칙'!$B$18,'선정 규칙'!$B$19)</x:f>
        <x:v>6</x:v>
      </x:c>
      <x:c r="H231" s="11" t="n">
        <x:f>IF(ISNUMBER(SEARCH("freq-core",'제외 후보'!AD231)),'선정 규칙'!$B$20,0)</x:f>
        <x:v>0</x:v>
      </x:c>
      <x:c r="I231" s="11" t="n">
        <x:f>IF(ISNUMBER(SEARCH("weak_legacy_content",'제외 후보'!P231)),'선정 규칙'!$B$21,0)</x:f>
        <x:v>0</x:v>
      </x:c>
      <x:c r="J231" s="11" t="n">
        <x:f>IF('제외 후보'!AC231&lt;&gt;"",'선정 규칙'!$B$22,0)</x:f>
        <x:v>0</x:v>
      </x:c>
      <x:c r="K231" s="11" t="n">
        <x:f>SUM(B231:J231)</x:f>
        <x:v>38</x:v>
      </x:c>
      <x:c r="L231" s="11" t="n">
        <x:f>'제외 후보'!N231</x:f>
        <x:v>38</x:v>
      </x:c>
      <x:c r="M231" s="2" t="str">
        <x:f>IF(K231=L231,"OK","MISMATCH")</x:f>
        <x:v>OK</x:v>
      </x:c>
    </x:row>
    <x:row r="232">
      <x:c r="A232" s="2" t="str">
        <x:f>'제외 후보'!G232</x:f>
        <x:v>w_a5222bbb582e5063</x:v>
      </x:c>
      <x:c r="B232" s="11" t="n">
        <x:f>IF('제외 후보'!Q232&lt;&gt;"",'선정 규칙'!$B$4,0)</x:f>
        <x:v>0</x:v>
      </x:c>
      <x:c r="C232" s="11" t="n">
        <x:f>IF(ISNUMBER(SEARCH("jmdict_uncommon_or_irregular",'제외 후보'!P232)),'선정 규칙'!$B$5,IF(ISNUMBER(SEARCH("jmdict_rare_or_dated",'제외 후보'!P232)),'선정 규칙'!$B$6,0))</x:f>
        <x:v>0</x:v>
      </x:c>
      <x:c r="D232" s="11" t="n">
        <x:f>IF(ISNUMBER(SEARCH("jmdict_exact_pair_not_found",'제외 후보'!P232)),'선정 규칙'!$B$7,0)</x:f>
        <x:v>0</x:v>
      </x:c>
      <x:c r="E232" s="11" t="n">
        <x:f>IF(OR('제외 후보'!L232="",'제외 후보'!L232&lt;=0),'선정 규칙'!$B$8,IF('제외 후보'!L232&lt;=1.5,'선정 규칙'!$B$9,IF('제외 후보'!L232&lt;=2,'선정 규칙'!$B$10,IF('제외 후보'!L232&lt;=2.5,'선정 규칙'!$B$11,IF('제외 후보'!L232&lt;=3,'선정 규칙'!$B$12,IF('제외 후보'!L232&lt;=3.5,'선정 규칙'!$B$13,IF('제외 후보'!L232&gt;=4.5,'선정 규칙'!$B$14,0)))))))</x:f>
        <x:v>20</x:v>
      </x:c>
      <x:c r="F232" s="11" t="n">
        <x:f>IF('제외 후보'!Y232=0,'선정 규칙'!$B$15,IF('제외 후보'!Y232&gt;=100,'선정 규칙'!$B$16,'선정 규칙'!$B$17))</x:f>
        <x:v>12</x:v>
      </x:c>
      <x:c r="G232" s="11" t="n">
        <x:f>IF('제외 후보'!M232="있음",'선정 규칙'!$B$18,'선정 규칙'!$B$19)</x:f>
        <x:v>6</x:v>
      </x:c>
      <x:c r="H232" s="11" t="n">
        <x:f>IF(ISNUMBER(SEARCH("freq-core",'제외 후보'!AD232)),'선정 규칙'!$B$20,0)</x:f>
        <x:v>0</x:v>
      </x:c>
      <x:c r="I232" s="11" t="n">
        <x:f>IF(ISNUMBER(SEARCH("weak_legacy_content",'제외 후보'!P232)),'선정 규칙'!$B$21,0)</x:f>
        <x:v>0</x:v>
      </x:c>
      <x:c r="J232" s="11" t="n">
        <x:f>IF('제외 후보'!AC232&lt;&gt;"",'선정 규칙'!$B$22,0)</x:f>
        <x:v>0</x:v>
      </x:c>
      <x:c r="K232" s="11" t="n">
        <x:f>SUM(B232:J232)</x:f>
        <x:v>38</x:v>
      </x:c>
      <x:c r="L232" s="11" t="n">
        <x:f>'제외 후보'!N232</x:f>
        <x:v>38</x:v>
      </x:c>
      <x:c r="M232" s="2" t="str">
        <x:f>IF(K232=L232,"OK","MISMATCH")</x:f>
        <x:v>OK</x:v>
      </x:c>
    </x:row>
    <x:row r="233">
      <x:c r="A233" s="2" t="str">
        <x:f>'제외 후보'!G233</x:f>
        <x:v>w_0437d636307ba5e5</x:v>
      </x:c>
      <x:c r="B233" s="11" t="n">
        <x:f>IF('제외 후보'!Q233&lt;&gt;"",'선정 규칙'!$B$4,0)</x:f>
        <x:v>0</x:v>
      </x:c>
      <x:c r="C233" s="11" t="n">
        <x:f>IF(ISNUMBER(SEARCH("jmdict_uncommon_or_irregular",'제외 후보'!P233)),'선정 규칙'!$B$5,IF(ISNUMBER(SEARCH("jmdict_rare_or_dated",'제외 후보'!P233)),'선정 규칙'!$B$6,0))</x:f>
        <x:v>0</x:v>
      </x:c>
      <x:c r="D233" s="11" t="n">
        <x:f>IF(ISNUMBER(SEARCH("jmdict_exact_pair_not_found",'제외 후보'!P233)),'선정 규칙'!$B$7,0)</x:f>
        <x:v>0</x:v>
      </x:c>
      <x:c r="E233" s="11" t="n">
        <x:f>IF(OR('제외 후보'!L233="",'제외 후보'!L233&lt;=0),'선정 규칙'!$B$8,IF('제외 후보'!L233&lt;=1.5,'선정 규칙'!$B$9,IF('제외 후보'!L233&lt;=2,'선정 규칙'!$B$10,IF('제외 후보'!L233&lt;=2.5,'선정 규칙'!$B$11,IF('제외 후보'!L233&lt;=3,'선정 규칙'!$B$12,IF('제외 후보'!L233&lt;=3.5,'선정 규칙'!$B$13,IF('제외 후보'!L233&gt;=4.5,'선정 규칙'!$B$14,0)))))))</x:f>
        <x:v>20</x:v>
      </x:c>
      <x:c r="F233" s="11" t="n">
        <x:f>IF('제외 후보'!Y233=0,'선정 규칙'!$B$15,IF('제외 후보'!Y233&gt;=100,'선정 규칙'!$B$16,'선정 규칙'!$B$17))</x:f>
        <x:v>12</x:v>
      </x:c>
      <x:c r="G233" s="11" t="n">
        <x:f>IF('제외 후보'!M233="있음",'선정 규칙'!$B$18,'선정 규칙'!$B$19)</x:f>
        <x:v>6</x:v>
      </x:c>
      <x:c r="H233" s="11" t="n">
        <x:f>IF(ISNUMBER(SEARCH("freq-core",'제외 후보'!AD233)),'선정 규칙'!$B$20,0)</x:f>
        <x:v>0</x:v>
      </x:c>
      <x:c r="I233" s="11" t="n">
        <x:f>IF(ISNUMBER(SEARCH("weak_legacy_content",'제외 후보'!P233)),'선정 규칙'!$B$21,0)</x:f>
        <x:v>0</x:v>
      </x:c>
      <x:c r="J233" s="11" t="n">
        <x:f>IF('제외 후보'!AC233&lt;&gt;"",'선정 규칙'!$B$22,0)</x:f>
        <x:v>0</x:v>
      </x:c>
      <x:c r="K233" s="11" t="n">
        <x:f>SUM(B233:J233)</x:f>
        <x:v>38</x:v>
      </x:c>
      <x:c r="L233" s="11" t="n">
        <x:f>'제외 후보'!N233</x:f>
        <x:v>38</x:v>
      </x:c>
      <x:c r="M233" s="2" t="str">
        <x:f>IF(K233=L233,"OK","MISMATCH")</x:f>
        <x:v>OK</x:v>
      </x:c>
    </x:row>
    <x:row r="234">
      <x:c r="A234" s="2" t="str">
        <x:f>'제외 후보'!G234</x:f>
        <x:v>w_ac9469bbfc665be5</x:v>
      </x:c>
      <x:c r="B234" s="11" t="n">
        <x:f>IF('제외 후보'!Q234&lt;&gt;"",'선정 규칙'!$B$4,0)</x:f>
        <x:v>0</x:v>
      </x:c>
      <x:c r="C234" s="11" t="n">
        <x:f>IF(ISNUMBER(SEARCH("jmdict_uncommon_or_irregular",'제외 후보'!P234)),'선정 규칙'!$B$5,IF(ISNUMBER(SEARCH("jmdict_rare_or_dated",'제외 후보'!P234)),'선정 규칙'!$B$6,0))</x:f>
        <x:v>0</x:v>
      </x:c>
      <x:c r="D234" s="11" t="n">
        <x:f>IF(ISNUMBER(SEARCH("jmdict_exact_pair_not_found",'제외 후보'!P234)),'선정 규칙'!$B$7,0)</x:f>
        <x:v>0</x:v>
      </x:c>
      <x:c r="E234" s="11" t="n">
        <x:f>IF(OR('제외 후보'!L234="",'제외 후보'!L234&lt;=0),'선정 규칙'!$B$8,IF('제외 후보'!L234&lt;=1.5,'선정 규칙'!$B$9,IF('제외 후보'!L234&lt;=2,'선정 규칙'!$B$10,IF('제외 후보'!L234&lt;=2.5,'선정 규칙'!$B$11,IF('제외 후보'!L234&lt;=3,'선정 규칙'!$B$12,IF('제외 후보'!L234&lt;=3.5,'선정 규칙'!$B$13,IF('제외 후보'!L234&gt;=4.5,'선정 규칙'!$B$14,0)))))))</x:f>
        <x:v>20</x:v>
      </x:c>
      <x:c r="F234" s="11" t="n">
        <x:f>IF('제외 후보'!Y234=0,'선정 규칙'!$B$15,IF('제외 후보'!Y234&gt;=100,'선정 규칙'!$B$16,'선정 규칙'!$B$17))</x:f>
        <x:v>12</x:v>
      </x:c>
      <x:c r="G234" s="11" t="n">
        <x:f>IF('제외 후보'!M234="있음",'선정 규칙'!$B$18,'선정 규칙'!$B$19)</x:f>
        <x:v>6</x:v>
      </x:c>
      <x:c r="H234" s="11" t="n">
        <x:f>IF(ISNUMBER(SEARCH("freq-core",'제외 후보'!AD234)),'선정 규칙'!$B$20,0)</x:f>
        <x:v>0</x:v>
      </x:c>
      <x:c r="I234" s="11" t="n">
        <x:f>IF(ISNUMBER(SEARCH("weak_legacy_content",'제외 후보'!P234)),'선정 규칙'!$B$21,0)</x:f>
        <x:v>0</x:v>
      </x:c>
      <x:c r="J234" s="11" t="n">
        <x:f>IF('제외 후보'!AC234&lt;&gt;"",'선정 규칙'!$B$22,0)</x:f>
        <x:v>0</x:v>
      </x:c>
      <x:c r="K234" s="11" t="n">
        <x:f>SUM(B234:J234)</x:f>
        <x:v>38</x:v>
      </x:c>
      <x:c r="L234" s="11" t="n">
        <x:f>'제외 후보'!N234</x:f>
        <x:v>38</x:v>
      </x:c>
      <x:c r="M234" s="2" t="str">
        <x:f>IF(K234=L234,"OK","MISMATCH")</x:f>
        <x:v>OK</x:v>
      </x:c>
    </x:row>
    <x:row r="235">
      <x:c r="A235" s="2" t="str">
        <x:f>'제외 후보'!G235</x:f>
        <x:v>w_52944f5e09c396f2</x:v>
      </x:c>
      <x:c r="B235" s="11" t="n">
        <x:f>IF('제외 후보'!Q235&lt;&gt;"",'선정 규칙'!$B$4,0)</x:f>
        <x:v>0</x:v>
      </x:c>
      <x:c r="C235" s="11" t="n">
        <x:f>IF(ISNUMBER(SEARCH("jmdict_uncommon_or_irregular",'제외 후보'!P235)),'선정 규칙'!$B$5,IF(ISNUMBER(SEARCH("jmdict_rare_or_dated",'제외 후보'!P235)),'선정 규칙'!$B$6,0))</x:f>
        <x:v>0</x:v>
      </x:c>
      <x:c r="D235" s="11" t="n">
        <x:f>IF(ISNUMBER(SEARCH("jmdict_exact_pair_not_found",'제외 후보'!P235)),'선정 규칙'!$B$7,0)</x:f>
        <x:v>0</x:v>
      </x:c>
      <x:c r="E235" s="11" t="n">
        <x:f>IF(OR('제외 후보'!L235="",'제외 후보'!L235&lt;=0),'선정 규칙'!$B$8,IF('제외 후보'!L235&lt;=1.5,'선정 규칙'!$B$9,IF('제외 후보'!L235&lt;=2,'선정 규칙'!$B$10,IF('제외 후보'!L235&lt;=2.5,'선정 규칙'!$B$11,IF('제외 후보'!L235&lt;=3,'선정 규칙'!$B$12,IF('제외 후보'!L235&lt;=3.5,'선정 규칙'!$B$13,IF('제외 후보'!L235&gt;=4.5,'선정 규칙'!$B$14,0)))))))</x:f>
        <x:v>20</x:v>
      </x:c>
      <x:c r="F235" s="11" t="n">
        <x:f>IF('제외 후보'!Y235=0,'선정 규칙'!$B$15,IF('제외 후보'!Y235&gt;=100,'선정 규칙'!$B$16,'선정 규칙'!$B$17))</x:f>
        <x:v>12</x:v>
      </x:c>
      <x:c r="G235" s="11" t="n">
        <x:f>IF('제외 후보'!M235="있음",'선정 규칙'!$B$18,'선정 규칙'!$B$19)</x:f>
        <x:v>6</x:v>
      </x:c>
      <x:c r="H235" s="11" t="n">
        <x:f>IF(ISNUMBER(SEARCH("freq-core",'제외 후보'!AD235)),'선정 규칙'!$B$20,0)</x:f>
        <x:v>0</x:v>
      </x:c>
      <x:c r="I235" s="11" t="n">
        <x:f>IF(ISNUMBER(SEARCH("weak_legacy_content",'제외 후보'!P235)),'선정 규칙'!$B$21,0)</x:f>
        <x:v>0</x:v>
      </x:c>
      <x:c r="J235" s="11" t="n">
        <x:f>IF('제외 후보'!AC235&lt;&gt;"",'선정 규칙'!$B$22,0)</x:f>
        <x:v>0</x:v>
      </x:c>
      <x:c r="K235" s="11" t="n">
        <x:f>SUM(B235:J235)</x:f>
        <x:v>38</x:v>
      </x:c>
      <x:c r="L235" s="11" t="n">
        <x:f>'제외 후보'!N235</x:f>
        <x:v>38</x:v>
      </x:c>
      <x:c r="M235" s="2" t="str">
        <x:f>IF(K235=L235,"OK","MISMATCH")</x:f>
        <x:v>OK</x:v>
      </x:c>
    </x:row>
    <x:row r="236">
      <x:c r="A236" s="2" t="str">
        <x:f>'제외 후보'!G236</x:f>
        <x:v>w_08ef9125d5971911</x:v>
      </x:c>
      <x:c r="B236" s="11" t="n">
        <x:f>IF('제외 후보'!Q236&lt;&gt;"",'선정 규칙'!$B$4,0)</x:f>
        <x:v>0</x:v>
      </x:c>
      <x:c r="C236" s="11" t="n">
        <x:f>IF(ISNUMBER(SEARCH("jmdict_uncommon_or_irregular",'제외 후보'!P236)),'선정 규칙'!$B$5,IF(ISNUMBER(SEARCH("jmdict_rare_or_dated",'제외 후보'!P236)),'선정 규칙'!$B$6,0))</x:f>
        <x:v>0</x:v>
      </x:c>
      <x:c r="D236" s="11" t="n">
        <x:f>IF(ISNUMBER(SEARCH("jmdict_exact_pair_not_found",'제외 후보'!P236)),'선정 규칙'!$B$7,0)</x:f>
        <x:v>0</x:v>
      </x:c>
      <x:c r="E236" s="11" t="n">
        <x:f>IF(OR('제외 후보'!L236="",'제외 후보'!L236&lt;=0),'선정 규칙'!$B$8,IF('제외 후보'!L236&lt;=1.5,'선정 규칙'!$B$9,IF('제외 후보'!L236&lt;=2,'선정 규칙'!$B$10,IF('제외 후보'!L236&lt;=2.5,'선정 규칙'!$B$11,IF('제외 후보'!L236&lt;=3,'선정 규칙'!$B$12,IF('제외 후보'!L236&lt;=3.5,'선정 규칙'!$B$13,IF('제외 후보'!L236&gt;=4.5,'선정 규칙'!$B$14,0)))))))</x:f>
        <x:v>20</x:v>
      </x:c>
      <x:c r="F236" s="11" t="n">
        <x:f>IF('제외 후보'!Y236=0,'선정 규칙'!$B$15,IF('제외 후보'!Y236&gt;=100,'선정 규칙'!$B$16,'선정 규칙'!$B$17))</x:f>
        <x:v>12</x:v>
      </x:c>
      <x:c r="G236" s="11" t="n">
        <x:f>IF('제외 후보'!M236="있음",'선정 규칙'!$B$18,'선정 규칙'!$B$19)</x:f>
        <x:v>6</x:v>
      </x:c>
      <x:c r="H236" s="11" t="n">
        <x:f>IF(ISNUMBER(SEARCH("freq-core",'제외 후보'!AD236)),'선정 규칙'!$B$20,0)</x:f>
        <x:v>0</x:v>
      </x:c>
      <x:c r="I236" s="11" t="n">
        <x:f>IF(ISNUMBER(SEARCH("weak_legacy_content",'제외 후보'!P236)),'선정 규칙'!$B$21,0)</x:f>
        <x:v>0</x:v>
      </x:c>
      <x:c r="J236" s="11" t="n">
        <x:f>IF('제외 후보'!AC236&lt;&gt;"",'선정 규칙'!$B$22,0)</x:f>
        <x:v>0</x:v>
      </x:c>
      <x:c r="K236" s="11" t="n">
        <x:f>SUM(B236:J236)</x:f>
        <x:v>38</x:v>
      </x:c>
      <x:c r="L236" s="11" t="n">
        <x:f>'제외 후보'!N236</x:f>
        <x:v>38</x:v>
      </x:c>
      <x:c r="M236" s="2" t="str">
        <x:f>IF(K236=L236,"OK","MISMATCH")</x:f>
        <x:v>OK</x:v>
      </x:c>
    </x:row>
    <x:row r="237">
      <x:c r="A237" s="2" t="str">
        <x:f>'제외 후보'!G237</x:f>
        <x:v>w_036a3fdf64057122</x:v>
      </x:c>
      <x:c r="B237" s="11" t="n">
        <x:f>IF('제외 후보'!Q237&lt;&gt;"",'선정 규칙'!$B$4,0)</x:f>
        <x:v>0</x:v>
      </x:c>
      <x:c r="C237" s="11" t="n">
        <x:f>IF(ISNUMBER(SEARCH("jmdict_uncommon_or_irregular",'제외 후보'!P237)),'선정 규칙'!$B$5,IF(ISNUMBER(SEARCH("jmdict_rare_or_dated",'제외 후보'!P237)),'선정 규칙'!$B$6,0))</x:f>
        <x:v>0</x:v>
      </x:c>
      <x:c r="D237" s="11" t="n">
        <x:f>IF(ISNUMBER(SEARCH("jmdict_exact_pair_not_found",'제외 후보'!P237)),'선정 규칙'!$B$7,0)</x:f>
        <x:v>0</x:v>
      </x:c>
      <x:c r="E237" s="11" t="n">
        <x:f>IF(OR('제외 후보'!L237="",'제외 후보'!L237&lt;=0),'선정 규칙'!$B$8,IF('제외 후보'!L237&lt;=1.5,'선정 규칙'!$B$9,IF('제외 후보'!L237&lt;=2,'선정 규칙'!$B$10,IF('제외 후보'!L237&lt;=2.5,'선정 규칙'!$B$11,IF('제외 후보'!L237&lt;=3,'선정 규칙'!$B$12,IF('제외 후보'!L237&lt;=3.5,'선정 규칙'!$B$13,IF('제외 후보'!L237&gt;=4.5,'선정 규칙'!$B$14,0)))))))</x:f>
        <x:v>20</x:v>
      </x:c>
      <x:c r="F237" s="11" t="n">
        <x:f>IF('제외 후보'!Y237=0,'선정 규칙'!$B$15,IF('제외 후보'!Y237&gt;=100,'선정 규칙'!$B$16,'선정 규칙'!$B$17))</x:f>
        <x:v>12</x:v>
      </x:c>
      <x:c r="G237" s="11" t="n">
        <x:f>IF('제외 후보'!M237="있음",'선정 규칙'!$B$18,'선정 규칙'!$B$19)</x:f>
        <x:v>6</x:v>
      </x:c>
      <x:c r="H237" s="11" t="n">
        <x:f>IF(ISNUMBER(SEARCH("freq-core",'제외 후보'!AD237)),'선정 규칙'!$B$20,0)</x:f>
        <x:v>0</x:v>
      </x:c>
      <x:c r="I237" s="11" t="n">
        <x:f>IF(ISNUMBER(SEARCH("weak_legacy_content",'제외 후보'!P237)),'선정 규칙'!$B$21,0)</x:f>
        <x:v>0</x:v>
      </x:c>
      <x:c r="J237" s="11" t="n">
        <x:f>IF('제외 후보'!AC237&lt;&gt;"",'선정 규칙'!$B$22,0)</x:f>
        <x:v>0</x:v>
      </x:c>
      <x:c r="K237" s="11" t="n">
        <x:f>SUM(B237:J237)</x:f>
        <x:v>38</x:v>
      </x:c>
      <x:c r="L237" s="11" t="n">
        <x:f>'제외 후보'!N237</x:f>
        <x:v>38</x:v>
      </x:c>
      <x:c r="M237" s="2" t="str">
        <x:f>IF(K237=L237,"OK","MISMATCH")</x:f>
        <x:v>OK</x:v>
      </x:c>
    </x:row>
    <x:row r="238">
      <x:c r="A238" s="2" t="str">
        <x:f>'제외 후보'!G238</x:f>
        <x:v>w_c195da65cf563168</x:v>
      </x:c>
      <x:c r="B238" s="11" t="n">
        <x:f>IF('제외 후보'!Q238&lt;&gt;"",'선정 규칙'!$B$4,0)</x:f>
        <x:v>0</x:v>
      </x:c>
      <x:c r="C238" s="11" t="n">
        <x:f>IF(ISNUMBER(SEARCH("jmdict_uncommon_or_irregular",'제외 후보'!P238)),'선정 규칙'!$B$5,IF(ISNUMBER(SEARCH("jmdict_rare_or_dated",'제외 후보'!P238)),'선정 규칙'!$B$6,0))</x:f>
        <x:v>0</x:v>
      </x:c>
      <x:c r="D238" s="11" t="n">
        <x:f>IF(ISNUMBER(SEARCH("jmdict_exact_pair_not_found",'제외 후보'!P238)),'선정 규칙'!$B$7,0)</x:f>
        <x:v>0</x:v>
      </x:c>
      <x:c r="E238" s="11" t="n">
        <x:f>IF(OR('제외 후보'!L238="",'제외 후보'!L238&lt;=0),'선정 규칙'!$B$8,IF('제외 후보'!L238&lt;=1.5,'선정 규칙'!$B$9,IF('제외 후보'!L238&lt;=2,'선정 규칙'!$B$10,IF('제외 후보'!L238&lt;=2.5,'선정 규칙'!$B$11,IF('제외 후보'!L238&lt;=3,'선정 규칙'!$B$12,IF('제외 후보'!L238&lt;=3.5,'선정 규칙'!$B$13,IF('제외 후보'!L238&gt;=4.5,'선정 규칙'!$B$14,0)))))))</x:f>
        <x:v>20</x:v>
      </x:c>
      <x:c r="F238" s="11" t="n">
        <x:f>IF('제외 후보'!Y238=0,'선정 규칙'!$B$15,IF('제외 후보'!Y238&gt;=100,'선정 규칙'!$B$16,'선정 규칙'!$B$17))</x:f>
        <x:v>12</x:v>
      </x:c>
      <x:c r="G238" s="11" t="n">
        <x:f>IF('제외 후보'!M238="있음",'선정 규칙'!$B$18,'선정 규칙'!$B$19)</x:f>
        <x:v>6</x:v>
      </x:c>
      <x:c r="H238" s="11" t="n">
        <x:f>IF(ISNUMBER(SEARCH("freq-core",'제외 후보'!AD238)),'선정 규칙'!$B$20,0)</x:f>
        <x:v>0</x:v>
      </x:c>
      <x:c r="I238" s="11" t="n">
        <x:f>IF(ISNUMBER(SEARCH("weak_legacy_content",'제외 후보'!P238)),'선정 규칙'!$B$21,0)</x:f>
        <x:v>0</x:v>
      </x:c>
      <x:c r="J238" s="11" t="n">
        <x:f>IF('제외 후보'!AC238&lt;&gt;"",'선정 규칙'!$B$22,0)</x:f>
        <x:v>0</x:v>
      </x:c>
      <x:c r="K238" s="11" t="n">
        <x:f>SUM(B238:J238)</x:f>
        <x:v>38</x:v>
      </x:c>
      <x:c r="L238" s="11" t="n">
        <x:f>'제외 후보'!N238</x:f>
        <x:v>38</x:v>
      </x:c>
      <x:c r="M238" s="2" t="str">
        <x:f>IF(K238=L238,"OK","MISMATCH")</x:f>
        <x:v>OK</x:v>
      </x:c>
    </x:row>
    <x:row r="239">
      <x:c r="A239" s="2" t="str">
        <x:f>'제외 후보'!G239</x:f>
        <x:v>w_72437cd0f7cb9aa0</x:v>
      </x:c>
      <x:c r="B239" s="11" t="n">
        <x:f>IF('제외 후보'!Q239&lt;&gt;"",'선정 규칙'!$B$4,0)</x:f>
        <x:v>0</x:v>
      </x:c>
      <x:c r="C239" s="11" t="n">
        <x:f>IF(ISNUMBER(SEARCH("jmdict_uncommon_or_irregular",'제외 후보'!P239)),'선정 규칙'!$B$5,IF(ISNUMBER(SEARCH("jmdict_rare_or_dated",'제외 후보'!P239)),'선정 규칙'!$B$6,0))</x:f>
        <x:v>0</x:v>
      </x:c>
      <x:c r="D239" s="11" t="n">
        <x:f>IF(ISNUMBER(SEARCH("jmdict_exact_pair_not_found",'제외 후보'!P239)),'선정 규칙'!$B$7,0)</x:f>
        <x:v>0</x:v>
      </x:c>
      <x:c r="E239" s="11" t="n">
        <x:f>IF(OR('제외 후보'!L239="",'제외 후보'!L239&lt;=0),'선정 규칙'!$B$8,IF('제외 후보'!L239&lt;=1.5,'선정 규칙'!$B$9,IF('제외 후보'!L239&lt;=2,'선정 규칙'!$B$10,IF('제외 후보'!L239&lt;=2.5,'선정 규칙'!$B$11,IF('제외 후보'!L239&lt;=3,'선정 규칙'!$B$12,IF('제외 후보'!L239&lt;=3.5,'선정 규칙'!$B$13,IF('제외 후보'!L239&gt;=4.5,'선정 규칙'!$B$14,0)))))))</x:f>
        <x:v>20</x:v>
      </x:c>
      <x:c r="F239" s="11" t="n">
        <x:f>IF('제외 후보'!Y239=0,'선정 규칙'!$B$15,IF('제외 후보'!Y239&gt;=100,'선정 규칙'!$B$16,'선정 규칙'!$B$17))</x:f>
        <x:v>12</x:v>
      </x:c>
      <x:c r="G239" s="11" t="n">
        <x:f>IF('제외 후보'!M239="있음",'선정 규칙'!$B$18,'선정 규칙'!$B$19)</x:f>
        <x:v>6</x:v>
      </x:c>
      <x:c r="H239" s="11" t="n">
        <x:f>IF(ISNUMBER(SEARCH("freq-core",'제외 후보'!AD239)),'선정 규칙'!$B$20,0)</x:f>
        <x:v>0</x:v>
      </x:c>
      <x:c r="I239" s="11" t="n">
        <x:f>IF(ISNUMBER(SEARCH("weak_legacy_content",'제외 후보'!P239)),'선정 규칙'!$B$21,0)</x:f>
        <x:v>0</x:v>
      </x:c>
      <x:c r="J239" s="11" t="n">
        <x:f>IF('제외 후보'!AC239&lt;&gt;"",'선정 규칙'!$B$22,0)</x:f>
        <x:v>0</x:v>
      </x:c>
      <x:c r="K239" s="11" t="n">
        <x:f>SUM(B239:J239)</x:f>
        <x:v>38</x:v>
      </x:c>
      <x:c r="L239" s="11" t="n">
        <x:f>'제외 후보'!N239</x:f>
        <x:v>38</x:v>
      </x:c>
      <x:c r="M239" s="2" t="str">
        <x:f>IF(K239=L239,"OK","MISMATCH")</x:f>
        <x:v>OK</x:v>
      </x:c>
    </x:row>
    <x:row r="240">
      <x:c r="A240" s="2" t="str">
        <x:f>'제외 후보'!G240</x:f>
        <x:v>w_740c00b0639ea524</x:v>
      </x:c>
      <x:c r="B240" s="11" t="n">
        <x:f>IF('제외 후보'!Q240&lt;&gt;"",'선정 규칙'!$B$4,0)</x:f>
        <x:v>0</x:v>
      </x:c>
      <x:c r="C240" s="11" t="n">
        <x:f>IF(ISNUMBER(SEARCH("jmdict_uncommon_or_irregular",'제외 후보'!P240)),'선정 규칙'!$B$5,IF(ISNUMBER(SEARCH("jmdict_rare_or_dated",'제외 후보'!P240)),'선정 규칙'!$B$6,0))</x:f>
        <x:v>0</x:v>
      </x:c>
      <x:c r="D240" s="11" t="n">
        <x:f>IF(ISNUMBER(SEARCH("jmdict_exact_pair_not_found",'제외 후보'!P240)),'선정 규칙'!$B$7,0)</x:f>
        <x:v>0</x:v>
      </x:c>
      <x:c r="E240" s="11" t="n">
        <x:f>IF(OR('제외 후보'!L240="",'제외 후보'!L240&lt;=0),'선정 규칙'!$B$8,IF('제외 후보'!L240&lt;=1.5,'선정 규칙'!$B$9,IF('제외 후보'!L240&lt;=2,'선정 규칙'!$B$10,IF('제외 후보'!L240&lt;=2.5,'선정 규칙'!$B$11,IF('제외 후보'!L240&lt;=3,'선정 규칙'!$B$12,IF('제외 후보'!L240&lt;=3.5,'선정 규칙'!$B$13,IF('제외 후보'!L240&gt;=4.5,'선정 규칙'!$B$14,0)))))))</x:f>
        <x:v>20</x:v>
      </x:c>
      <x:c r="F240" s="11" t="n">
        <x:f>IF('제외 후보'!Y240=0,'선정 규칙'!$B$15,IF('제외 후보'!Y240&gt;=100,'선정 규칙'!$B$16,'선정 규칙'!$B$17))</x:f>
        <x:v>12</x:v>
      </x:c>
      <x:c r="G240" s="11" t="n">
        <x:f>IF('제외 후보'!M240="있음",'선정 규칙'!$B$18,'선정 규칙'!$B$19)</x:f>
        <x:v>6</x:v>
      </x:c>
      <x:c r="H240" s="11" t="n">
        <x:f>IF(ISNUMBER(SEARCH("freq-core",'제외 후보'!AD240)),'선정 규칙'!$B$20,0)</x:f>
        <x:v>0</x:v>
      </x:c>
      <x:c r="I240" s="11" t="n">
        <x:f>IF(ISNUMBER(SEARCH("weak_legacy_content",'제외 후보'!P240)),'선정 규칙'!$B$21,0)</x:f>
        <x:v>0</x:v>
      </x:c>
      <x:c r="J240" s="11" t="n">
        <x:f>IF('제외 후보'!AC240&lt;&gt;"",'선정 규칙'!$B$22,0)</x:f>
        <x:v>0</x:v>
      </x:c>
      <x:c r="K240" s="11" t="n">
        <x:f>SUM(B240:J240)</x:f>
        <x:v>38</x:v>
      </x:c>
      <x:c r="L240" s="11" t="n">
        <x:f>'제외 후보'!N240</x:f>
        <x:v>38</x:v>
      </x:c>
      <x:c r="M240" s="2" t="str">
        <x:f>IF(K240=L240,"OK","MISMATCH")</x:f>
        <x:v>OK</x:v>
      </x:c>
    </x:row>
    <x:row r="241">
      <x:c r="A241" s="2" t="str">
        <x:f>'제외 후보'!G241</x:f>
        <x:v>w_cc2b86ac2830c1b9</x:v>
      </x:c>
      <x:c r="B241" s="11" t="n">
        <x:f>IF('제외 후보'!Q241&lt;&gt;"",'선정 규칙'!$B$4,0)</x:f>
        <x:v>0</x:v>
      </x:c>
      <x:c r="C241" s="11" t="n">
        <x:f>IF(ISNUMBER(SEARCH("jmdict_uncommon_or_irregular",'제외 후보'!P241)),'선정 규칙'!$B$5,IF(ISNUMBER(SEARCH("jmdict_rare_or_dated",'제외 후보'!P241)),'선정 규칙'!$B$6,0))</x:f>
        <x:v>0</x:v>
      </x:c>
      <x:c r="D241" s="11" t="n">
        <x:f>IF(ISNUMBER(SEARCH("jmdict_exact_pair_not_found",'제외 후보'!P241)),'선정 규칙'!$B$7,0)</x:f>
        <x:v>0</x:v>
      </x:c>
      <x:c r="E241" s="11" t="n">
        <x:f>IF(OR('제외 후보'!L241="",'제외 후보'!L241&lt;=0),'선정 규칙'!$B$8,IF('제외 후보'!L241&lt;=1.5,'선정 규칙'!$B$9,IF('제외 후보'!L241&lt;=2,'선정 규칙'!$B$10,IF('제외 후보'!L241&lt;=2.5,'선정 규칙'!$B$11,IF('제외 후보'!L241&lt;=3,'선정 규칙'!$B$12,IF('제외 후보'!L241&lt;=3.5,'선정 규칙'!$B$13,IF('제외 후보'!L241&gt;=4.5,'선정 규칙'!$B$14,0)))))))</x:f>
        <x:v>20</x:v>
      </x:c>
      <x:c r="F241" s="11" t="n">
        <x:f>IF('제외 후보'!Y241=0,'선정 규칙'!$B$15,IF('제외 후보'!Y241&gt;=100,'선정 규칙'!$B$16,'선정 규칙'!$B$17))</x:f>
        <x:v>12</x:v>
      </x:c>
      <x:c r="G241" s="11" t="n">
        <x:f>IF('제외 후보'!M241="있음",'선정 규칙'!$B$18,'선정 규칙'!$B$19)</x:f>
        <x:v>6</x:v>
      </x:c>
      <x:c r="H241" s="11" t="n">
        <x:f>IF(ISNUMBER(SEARCH("freq-core",'제외 후보'!AD241)),'선정 규칙'!$B$20,0)</x:f>
        <x:v>0</x:v>
      </x:c>
      <x:c r="I241" s="11" t="n">
        <x:f>IF(ISNUMBER(SEARCH("weak_legacy_content",'제외 후보'!P241)),'선정 규칙'!$B$21,0)</x:f>
        <x:v>0</x:v>
      </x:c>
      <x:c r="J241" s="11" t="n">
        <x:f>IF('제외 후보'!AC241&lt;&gt;"",'선정 규칙'!$B$22,0)</x:f>
        <x:v>0</x:v>
      </x:c>
      <x:c r="K241" s="11" t="n">
        <x:f>SUM(B241:J241)</x:f>
        <x:v>38</x:v>
      </x:c>
      <x:c r="L241" s="11" t="n">
        <x:f>'제외 후보'!N241</x:f>
        <x:v>38</x:v>
      </x:c>
      <x:c r="M241" s="2" t="str">
        <x:f>IF(K241=L241,"OK","MISMATCH")</x:f>
        <x:v>OK</x:v>
      </x:c>
    </x:row>
    <x:row r="242">
      <x:c r="A242" s="2" t="str">
        <x:f>'제외 후보'!G242</x:f>
        <x:v>w_a8116b6aadf7fe18</x:v>
      </x:c>
      <x:c r="B242" s="11" t="n">
        <x:f>IF('제외 후보'!Q242&lt;&gt;"",'선정 규칙'!$B$4,0)</x:f>
        <x:v>0</x:v>
      </x:c>
      <x:c r="C242" s="11" t="n">
        <x:f>IF(ISNUMBER(SEARCH("jmdict_uncommon_or_irregular",'제외 후보'!P242)),'선정 규칙'!$B$5,IF(ISNUMBER(SEARCH("jmdict_rare_or_dated",'제외 후보'!P242)),'선정 규칙'!$B$6,0))</x:f>
        <x:v>0</x:v>
      </x:c>
      <x:c r="D242" s="11" t="n">
        <x:f>IF(ISNUMBER(SEARCH("jmdict_exact_pair_not_found",'제외 후보'!P242)),'선정 규칙'!$B$7,0)</x:f>
        <x:v>0</x:v>
      </x:c>
      <x:c r="E242" s="11" t="n">
        <x:f>IF(OR('제외 후보'!L242="",'제외 후보'!L242&lt;=0),'선정 규칙'!$B$8,IF('제외 후보'!L242&lt;=1.5,'선정 규칙'!$B$9,IF('제외 후보'!L242&lt;=2,'선정 규칙'!$B$10,IF('제외 후보'!L242&lt;=2.5,'선정 규칙'!$B$11,IF('제외 후보'!L242&lt;=3,'선정 규칙'!$B$12,IF('제외 후보'!L242&lt;=3.5,'선정 규칙'!$B$13,IF('제외 후보'!L242&gt;=4.5,'선정 규칙'!$B$14,0)))))))</x:f>
        <x:v>20</x:v>
      </x:c>
      <x:c r="F242" s="11" t="n">
        <x:f>IF('제외 후보'!Y242=0,'선정 규칙'!$B$15,IF('제외 후보'!Y242&gt;=100,'선정 규칙'!$B$16,'선정 규칙'!$B$17))</x:f>
        <x:v>12</x:v>
      </x:c>
      <x:c r="G242" s="11" t="n">
        <x:f>IF('제외 후보'!M242="있음",'선정 규칙'!$B$18,'선정 규칙'!$B$19)</x:f>
        <x:v>6</x:v>
      </x:c>
      <x:c r="H242" s="11" t="n">
        <x:f>IF(ISNUMBER(SEARCH("freq-core",'제외 후보'!AD242)),'선정 규칙'!$B$20,0)</x:f>
        <x:v>0</x:v>
      </x:c>
      <x:c r="I242" s="11" t="n">
        <x:f>IF(ISNUMBER(SEARCH("weak_legacy_content",'제외 후보'!P242)),'선정 규칙'!$B$21,0)</x:f>
        <x:v>0</x:v>
      </x:c>
      <x:c r="J242" s="11" t="n">
        <x:f>IF('제외 후보'!AC242&lt;&gt;"",'선정 규칙'!$B$22,0)</x:f>
        <x:v>0</x:v>
      </x:c>
      <x:c r="K242" s="11" t="n">
        <x:f>SUM(B242:J242)</x:f>
        <x:v>38</x:v>
      </x:c>
      <x:c r="L242" s="11" t="n">
        <x:f>'제외 후보'!N242</x:f>
        <x:v>38</x:v>
      </x:c>
      <x:c r="M242" s="2" t="str">
        <x:f>IF(K242=L242,"OK","MISMATCH")</x:f>
        <x:v>OK</x:v>
      </x:c>
    </x:row>
    <x:row r="243">
      <x:c r="A243" s="2" t="str">
        <x:f>'제외 후보'!G243</x:f>
        <x:v>w_f9b4312dd981910b</x:v>
      </x:c>
      <x:c r="B243" s="11" t="n">
        <x:f>IF('제외 후보'!Q243&lt;&gt;"",'선정 규칙'!$B$4,0)</x:f>
        <x:v>0</x:v>
      </x:c>
      <x:c r="C243" s="11" t="n">
        <x:f>IF(ISNUMBER(SEARCH("jmdict_uncommon_or_irregular",'제외 후보'!P243)),'선정 규칙'!$B$5,IF(ISNUMBER(SEARCH("jmdict_rare_or_dated",'제외 후보'!P243)),'선정 규칙'!$B$6,0))</x:f>
        <x:v>0</x:v>
      </x:c>
      <x:c r="D243" s="11" t="n">
        <x:f>IF(ISNUMBER(SEARCH("jmdict_exact_pair_not_found",'제외 후보'!P243)),'선정 규칙'!$B$7,0)</x:f>
        <x:v>35</x:v>
      </x:c>
      <x:c r="E243" s="11" t="n">
        <x:f>IF(OR('제외 후보'!L243="",'제외 후보'!L243&lt;=0),'선정 규칙'!$B$8,IF('제외 후보'!L243&lt;=1.5,'선정 규칙'!$B$9,IF('제외 후보'!L243&lt;=2,'선정 규칙'!$B$10,IF('제외 후보'!L243&lt;=2.5,'선정 규칙'!$B$11,IF('제외 후보'!L243&lt;=3,'선정 규칙'!$B$12,IF('제외 후보'!L243&lt;=3.5,'선정 규칙'!$B$13,IF('제외 후보'!L243&gt;=4.5,'선정 규칙'!$B$14,0)))))))</x:f>
        <x:v>-20</x:v>
      </x:c>
      <x:c r="F243" s="11" t="n">
        <x:f>IF('제외 후보'!Y243=0,'선정 규칙'!$B$15,IF('제외 후보'!Y243&gt;=100,'선정 규칙'!$B$16,'선정 규칙'!$B$17))</x:f>
        <x:v>12</x:v>
      </x:c>
      <x:c r="G243" s="11" t="n">
        <x:f>IF('제외 후보'!M243="있음",'선정 규칙'!$B$18,'선정 규칙'!$B$19)</x:f>
        <x:v>6</x:v>
      </x:c>
      <x:c r="H243" s="11" t="n">
        <x:f>IF(ISNUMBER(SEARCH("freq-core",'제외 후보'!AD243)),'선정 규칙'!$B$20,0)</x:f>
        <x:v>0</x:v>
      </x:c>
      <x:c r="I243" s="11" t="n">
        <x:f>IF(ISNUMBER(SEARCH("weak_legacy_content",'제외 후보'!P243)),'선정 규칙'!$B$21,0)</x:f>
        <x:v>5</x:v>
      </x:c>
      <x:c r="J243" s="11" t="n">
        <x:f>IF('제외 후보'!AC243&lt;&gt;"",'선정 규칙'!$B$22,0)</x:f>
        <x:v>0</x:v>
      </x:c>
      <x:c r="K243" s="11" t="n">
        <x:f>SUM(B243:J243)</x:f>
        <x:v>38</x:v>
      </x:c>
      <x:c r="L243" s="11" t="n">
        <x:f>'제외 후보'!N243</x:f>
        <x:v>38</x:v>
      </x:c>
      <x:c r="M243" s="2" t="str">
        <x:f>IF(K243=L243,"OK","MISMATCH")</x:f>
        <x:v>OK</x:v>
      </x:c>
    </x:row>
    <x:row r="244">
      <x:c r="A244" s="2" t="str">
        <x:f>'제외 후보'!G244</x:f>
        <x:v>w_0a64a641e6c1f808</x:v>
      </x:c>
      <x:c r="B244" s="11" t="n">
        <x:f>IF('제외 후보'!Q244&lt;&gt;"",'선정 규칙'!$B$4,0)</x:f>
        <x:v>0</x:v>
      </x:c>
      <x:c r="C244" s="11" t="n">
        <x:f>IF(ISNUMBER(SEARCH("jmdict_uncommon_or_irregular",'제외 후보'!P244)),'선정 규칙'!$B$5,IF(ISNUMBER(SEARCH("jmdict_rare_or_dated",'제외 후보'!P244)),'선정 규칙'!$B$6,0))</x:f>
        <x:v>0</x:v>
      </x:c>
      <x:c r="D244" s="11" t="n">
        <x:f>IF(ISNUMBER(SEARCH("jmdict_exact_pair_not_found",'제외 후보'!P244)),'선정 규칙'!$B$7,0)</x:f>
        <x:v>35</x:v>
      </x:c>
      <x:c r="E244" s="11" t="n">
        <x:f>IF(OR('제외 후보'!L244="",'제외 후보'!L244&lt;=0),'선정 규칙'!$B$8,IF('제외 후보'!L244&lt;=1.5,'선정 규칙'!$B$9,IF('제외 후보'!L244&lt;=2,'선정 규칙'!$B$10,IF('제외 후보'!L244&lt;=2.5,'선정 규칙'!$B$11,IF('제외 후보'!L244&lt;=3,'선정 규칙'!$B$12,IF('제외 후보'!L244&lt;=3.5,'선정 규칙'!$B$13,IF('제외 후보'!L244&gt;=4.5,'선정 규칙'!$B$14,0)))))))</x:f>
        <x:v>-20</x:v>
      </x:c>
      <x:c r="F244" s="11" t="n">
        <x:f>IF('제외 후보'!Y244=0,'선정 규칙'!$B$15,IF('제외 후보'!Y244&gt;=100,'선정 규칙'!$B$16,'선정 규칙'!$B$17))</x:f>
        <x:v>12</x:v>
      </x:c>
      <x:c r="G244" s="11" t="n">
        <x:f>IF('제외 후보'!M244="있음",'선정 규칙'!$B$18,'선정 규칙'!$B$19)</x:f>
        <x:v>6</x:v>
      </x:c>
      <x:c r="H244" s="11" t="n">
        <x:f>IF(ISNUMBER(SEARCH("freq-core",'제외 후보'!AD244)),'선정 규칙'!$B$20,0)</x:f>
        <x:v>0</x:v>
      </x:c>
      <x:c r="I244" s="11" t="n">
        <x:f>IF(ISNUMBER(SEARCH("weak_legacy_content",'제외 후보'!P244)),'선정 규칙'!$B$21,0)</x:f>
        <x:v>5</x:v>
      </x:c>
      <x:c r="J244" s="11" t="n">
        <x:f>IF('제외 후보'!AC244&lt;&gt;"",'선정 규칙'!$B$22,0)</x:f>
        <x:v>0</x:v>
      </x:c>
      <x:c r="K244" s="11" t="n">
        <x:f>SUM(B244:J244)</x:f>
        <x:v>38</x:v>
      </x:c>
      <x:c r="L244" s="11" t="n">
        <x:f>'제외 후보'!N244</x:f>
        <x:v>38</x:v>
      </x:c>
      <x:c r="M244" s="2" t="str">
        <x:f>IF(K244=L244,"OK","MISMATCH")</x:f>
        <x:v>OK</x:v>
      </x:c>
    </x:row>
    <x:row r="245">
      <x:c r="A245" s="2" t="str">
        <x:f>'제외 후보'!G245</x:f>
        <x:v>w_dab77e023df9eeb0</x:v>
      </x:c>
      <x:c r="B245" s="11" t="n">
        <x:f>IF('제외 후보'!Q245&lt;&gt;"",'선정 규칙'!$B$4,0)</x:f>
        <x:v>0</x:v>
      </x:c>
      <x:c r="C245" s="11" t="n">
        <x:f>IF(ISNUMBER(SEARCH("jmdict_uncommon_or_irregular",'제외 후보'!P245)),'선정 규칙'!$B$5,IF(ISNUMBER(SEARCH("jmdict_rare_or_dated",'제외 후보'!P245)),'선정 규칙'!$B$6,0))</x:f>
        <x:v>0</x:v>
      </x:c>
      <x:c r="D245" s="11" t="n">
        <x:f>IF(ISNUMBER(SEARCH("jmdict_exact_pair_not_found",'제외 후보'!P245)),'선정 규칙'!$B$7,0)</x:f>
        <x:v>35</x:v>
      </x:c>
      <x:c r="E245" s="11" t="n">
        <x:f>IF(OR('제외 후보'!L245="",'제외 후보'!L245&lt;=0),'선정 규칙'!$B$8,IF('제외 후보'!L245&lt;=1.5,'선정 규칙'!$B$9,IF('제외 후보'!L245&lt;=2,'선정 규칙'!$B$10,IF('제외 후보'!L245&lt;=2.5,'선정 규칙'!$B$11,IF('제외 후보'!L245&lt;=3,'선정 규칙'!$B$12,IF('제외 후보'!L245&lt;=3.5,'선정 규칙'!$B$13,IF('제외 후보'!L245&gt;=4.5,'선정 규칙'!$B$14,0)))))))</x:f>
        <x:v>-20</x:v>
      </x:c>
      <x:c r="F245" s="11" t="n">
        <x:f>IF('제외 후보'!Y245=0,'선정 규칙'!$B$15,IF('제외 후보'!Y245&gt;=100,'선정 규칙'!$B$16,'선정 규칙'!$B$17))</x:f>
        <x:v>12</x:v>
      </x:c>
      <x:c r="G245" s="11" t="n">
        <x:f>IF('제외 후보'!M245="있음",'선정 규칙'!$B$18,'선정 규칙'!$B$19)</x:f>
        <x:v>6</x:v>
      </x:c>
      <x:c r="H245" s="11" t="n">
        <x:f>IF(ISNUMBER(SEARCH("freq-core",'제외 후보'!AD245)),'선정 규칙'!$B$20,0)</x:f>
        <x:v>0</x:v>
      </x:c>
      <x:c r="I245" s="11" t="n">
        <x:f>IF(ISNUMBER(SEARCH("weak_legacy_content",'제외 후보'!P245)),'선정 규칙'!$B$21,0)</x:f>
        <x:v>5</x:v>
      </x:c>
      <x:c r="J245" s="11" t="n">
        <x:f>IF('제외 후보'!AC245&lt;&gt;"",'선정 규칙'!$B$22,0)</x:f>
        <x:v>0</x:v>
      </x:c>
      <x:c r="K245" s="11" t="n">
        <x:f>SUM(B245:J245)</x:f>
        <x:v>38</x:v>
      </x:c>
      <x:c r="L245" s="11" t="n">
        <x:f>'제외 후보'!N245</x:f>
        <x:v>38</x:v>
      </x:c>
      <x:c r="M245" s="2" t="str">
        <x:f>IF(K245=L245,"OK","MISMATCH")</x:f>
        <x:v>OK</x:v>
      </x:c>
    </x:row>
    <x:row r="246">
      <x:c r="A246" s="2" t="str">
        <x:f>'제외 후보'!G246</x:f>
        <x:v>w_56ce9e488a887884</x:v>
      </x:c>
      <x:c r="B246" s="11" t="n">
        <x:f>IF('제외 후보'!Q246&lt;&gt;"",'선정 규칙'!$B$4,0)</x:f>
        <x:v>0</x:v>
      </x:c>
      <x:c r="C246" s="11" t="n">
        <x:f>IF(ISNUMBER(SEARCH("jmdict_uncommon_or_irregular",'제외 후보'!P246)),'선정 규칙'!$B$5,IF(ISNUMBER(SEARCH("jmdict_rare_or_dated",'제외 후보'!P246)),'선정 규칙'!$B$6,0))</x:f>
        <x:v>0</x:v>
      </x:c>
      <x:c r="D246" s="11" t="n">
        <x:f>IF(ISNUMBER(SEARCH("jmdict_exact_pair_not_found",'제외 후보'!P246)),'선정 규칙'!$B$7,0)</x:f>
        <x:v>35</x:v>
      </x:c>
      <x:c r="E246" s="11" t="n">
        <x:f>IF(OR('제외 후보'!L246="",'제외 후보'!L246&lt;=0),'선정 규칙'!$B$8,IF('제외 후보'!L246&lt;=1.5,'선정 규칙'!$B$9,IF('제외 후보'!L246&lt;=2,'선정 규칙'!$B$10,IF('제외 후보'!L246&lt;=2.5,'선정 규칙'!$B$11,IF('제외 후보'!L246&lt;=3,'선정 규칙'!$B$12,IF('제외 후보'!L246&lt;=3.5,'선정 규칙'!$B$13,IF('제외 후보'!L246&gt;=4.5,'선정 규칙'!$B$14,0)))))))</x:f>
        <x:v>-20</x:v>
      </x:c>
      <x:c r="F246" s="11" t="n">
        <x:f>IF('제외 후보'!Y246=0,'선정 규칙'!$B$15,IF('제외 후보'!Y246&gt;=100,'선정 규칙'!$B$16,'선정 규칙'!$B$17))</x:f>
        <x:v>12</x:v>
      </x:c>
      <x:c r="G246" s="11" t="n">
        <x:f>IF('제외 후보'!M246="있음",'선정 규칙'!$B$18,'선정 규칙'!$B$19)</x:f>
        <x:v>6</x:v>
      </x:c>
      <x:c r="H246" s="11" t="n">
        <x:f>IF(ISNUMBER(SEARCH("freq-core",'제외 후보'!AD246)),'선정 규칙'!$B$20,0)</x:f>
        <x:v>0</x:v>
      </x:c>
      <x:c r="I246" s="11" t="n">
        <x:f>IF(ISNUMBER(SEARCH("weak_legacy_content",'제외 후보'!P246)),'선정 규칙'!$B$21,0)</x:f>
        <x:v>5</x:v>
      </x:c>
      <x:c r="J246" s="11" t="n">
        <x:f>IF('제외 후보'!AC246&lt;&gt;"",'선정 규칙'!$B$22,0)</x:f>
        <x:v>0</x:v>
      </x:c>
      <x:c r="K246" s="11" t="n">
        <x:f>SUM(B246:J246)</x:f>
        <x:v>38</x:v>
      </x:c>
      <x:c r="L246" s="11" t="n">
        <x:f>'제외 후보'!N246</x:f>
        <x:v>38</x:v>
      </x:c>
      <x:c r="M246" s="2" t="str">
        <x:f>IF(K246=L246,"OK","MISMATCH")</x:f>
        <x:v>OK</x:v>
      </x:c>
    </x:row>
    <x:row r="247">
      <x:c r="A247" s="2" t="str">
        <x:f>'제외 후보'!G247</x:f>
        <x:v>w_ca064e356e1344c4</x:v>
      </x:c>
      <x:c r="B247" s="11" t="n">
        <x:f>IF('제외 후보'!Q247&lt;&gt;"",'선정 규칙'!$B$4,0)</x:f>
        <x:v>0</x:v>
      </x:c>
      <x:c r="C247" s="11" t="n">
        <x:f>IF(ISNUMBER(SEARCH("jmdict_uncommon_or_irregular",'제외 후보'!P247)),'선정 규칙'!$B$5,IF(ISNUMBER(SEARCH("jmdict_rare_or_dated",'제외 후보'!P247)),'선정 규칙'!$B$6,0))</x:f>
        <x:v>0</x:v>
      </x:c>
      <x:c r="D247" s="11" t="n">
        <x:f>IF(ISNUMBER(SEARCH("jmdict_exact_pair_not_found",'제외 후보'!P247)),'선정 규칙'!$B$7,0)</x:f>
        <x:v>35</x:v>
      </x:c>
      <x:c r="E247" s="11" t="n">
        <x:f>IF(OR('제외 후보'!L247="",'제외 후보'!L247&lt;=0),'선정 규칙'!$B$8,IF('제외 후보'!L247&lt;=1.5,'선정 규칙'!$B$9,IF('제외 후보'!L247&lt;=2,'선정 규칙'!$B$10,IF('제외 후보'!L247&lt;=2.5,'선정 규칙'!$B$11,IF('제외 후보'!L247&lt;=3,'선정 규칙'!$B$12,IF('제외 후보'!L247&lt;=3.5,'선정 규칙'!$B$13,IF('제외 후보'!L247&gt;=4.5,'선정 규칙'!$B$14,0)))))))</x:f>
        <x:v>-20</x:v>
      </x:c>
      <x:c r="F247" s="11" t="n">
        <x:f>IF('제외 후보'!Y247=0,'선정 규칙'!$B$15,IF('제외 후보'!Y247&gt;=100,'선정 규칙'!$B$16,'선정 규칙'!$B$17))</x:f>
        <x:v>12</x:v>
      </x:c>
      <x:c r="G247" s="11" t="n">
        <x:f>IF('제외 후보'!M247="있음",'선정 규칙'!$B$18,'선정 규칙'!$B$19)</x:f>
        <x:v>6</x:v>
      </x:c>
      <x:c r="H247" s="11" t="n">
        <x:f>IF(ISNUMBER(SEARCH("freq-core",'제외 후보'!AD247)),'선정 규칙'!$B$20,0)</x:f>
        <x:v>0</x:v>
      </x:c>
      <x:c r="I247" s="11" t="n">
        <x:f>IF(ISNUMBER(SEARCH("weak_legacy_content",'제외 후보'!P247)),'선정 규칙'!$B$21,0)</x:f>
        <x:v>5</x:v>
      </x:c>
      <x:c r="J247" s="11" t="n">
        <x:f>IF('제외 후보'!AC247&lt;&gt;"",'선정 규칙'!$B$22,0)</x:f>
        <x:v>0</x:v>
      </x:c>
      <x:c r="K247" s="11" t="n">
        <x:f>SUM(B247:J247)</x:f>
        <x:v>38</x:v>
      </x:c>
      <x:c r="L247" s="11" t="n">
        <x:f>'제외 후보'!N247</x:f>
        <x:v>38</x:v>
      </x:c>
      <x:c r="M247" s="2" t="str">
        <x:f>IF(K247=L247,"OK","MISMATCH")</x:f>
        <x:v>OK</x:v>
      </x:c>
    </x:row>
    <x:row r="248">
      <x:c r="A248" s="2" t="str">
        <x:f>'제외 후보'!G248</x:f>
        <x:v>w_47bd9d7b1a5057c4</x:v>
      </x:c>
      <x:c r="B248" s="11" t="n">
        <x:f>IF('제외 후보'!Q248&lt;&gt;"",'선정 규칙'!$B$4,0)</x:f>
        <x:v>0</x:v>
      </x:c>
      <x:c r="C248" s="11" t="n">
        <x:f>IF(ISNUMBER(SEARCH("jmdict_uncommon_or_irregular",'제외 후보'!P248)),'선정 규칙'!$B$5,IF(ISNUMBER(SEARCH("jmdict_rare_or_dated",'제외 후보'!P248)),'선정 규칙'!$B$6,0))</x:f>
        <x:v>0</x:v>
      </x:c>
      <x:c r="D248" s="11" t="n">
        <x:f>IF(ISNUMBER(SEARCH("jmdict_exact_pair_not_found",'제외 후보'!P248)),'선정 규칙'!$B$7,0)</x:f>
        <x:v>35</x:v>
      </x:c>
      <x:c r="E248" s="11" t="n">
        <x:f>IF(OR('제외 후보'!L248="",'제외 후보'!L248&lt;=0),'선정 규칙'!$B$8,IF('제외 후보'!L248&lt;=1.5,'선정 규칙'!$B$9,IF('제외 후보'!L248&lt;=2,'선정 규칙'!$B$10,IF('제외 후보'!L248&lt;=2.5,'선정 규칙'!$B$11,IF('제외 후보'!L248&lt;=3,'선정 규칙'!$B$12,IF('제외 후보'!L248&lt;=3.5,'선정 규칙'!$B$13,IF('제외 후보'!L248&gt;=4.5,'선정 규칙'!$B$14,0)))))))</x:f>
        <x:v>-20</x:v>
      </x:c>
      <x:c r="F248" s="11" t="n">
        <x:f>IF('제외 후보'!Y248=0,'선정 규칙'!$B$15,IF('제외 후보'!Y248&gt;=100,'선정 규칙'!$B$16,'선정 규칙'!$B$17))</x:f>
        <x:v>12</x:v>
      </x:c>
      <x:c r="G248" s="11" t="n">
        <x:f>IF('제외 후보'!M248="있음",'선정 규칙'!$B$18,'선정 규칙'!$B$19)</x:f>
        <x:v>6</x:v>
      </x:c>
      <x:c r="H248" s="11" t="n">
        <x:f>IF(ISNUMBER(SEARCH("freq-core",'제외 후보'!AD248)),'선정 규칙'!$B$20,0)</x:f>
        <x:v>0</x:v>
      </x:c>
      <x:c r="I248" s="11" t="n">
        <x:f>IF(ISNUMBER(SEARCH("weak_legacy_content",'제외 후보'!P248)),'선정 규칙'!$B$21,0)</x:f>
        <x:v>5</x:v>
      </x:c>
      <x:c r="J248" s="11" t="n">
        <x:f>IF('제외 후보'!AC248&lt;&gt;"",'선정 규칙'!$B$22,0)</x:f>
        <x:v>0</x:v>
      </x:c>
      <x:c r="K248" s="11" t="n">
        <x:f>SUM(B248:J248)</x:f>
        <x:v>38</x:v>
      </x:c>
      <x:c r="L248" s="11" t="n">
        <x:f>'제외 후보'!N248</x:f>
        <x:v>38</x:v>
      </x:c>
      <x:c r="M248" s="2" t="str">
        <x:f>IF(K248=L248,"OK","MISMATCH")</x:f>
        <x:v>OK</x:v>
      </x:c>
    </x:row>
    <x:row r="249">
      <x:c r="A249" s="2" t="str">
        <x:f>'제외 후보'!G249</x:f>
        <x:v>w_c9497245827a9282</x:v>
      </x:c>
      <x:c r="B249" s="11" t="n">
        <x:f>IF('제외 후보'!Q249&lt;&gt;"",'선정 규칙'!$B$4,0)</x:f>
        <x:v>0</x:v>
      </x:c>
      <x:c r="C249" s="11" t="n">
        <x:f>IF(ISNUMBER(SEARCH("jmdict_uncommon_or_irregular",'제외 후보'!P249)),'선정 규칙'!$B$5,IF(ISNUMBER(SEARCH("jmdict_rare_or_dated",'제외 후보'!P249)),'선정 규칙'!$B$6,0))</x:f>
        <x:v>0</x:v>
      </x:c>
      <x:c r="D249" s="11" t="n">
        <x:f>IF(ISNUMBER(SEARCH("jmdict_exact_pair_not_found",'제외 후보'!P249)),'선정 규칙'!$B$7,0)</x:f>
        <x:v>35</x:v>
      </x:c>
      <x:c r="E249" s="11" t="n">
        <x:f>IF(OR('제외 후보'!L249="",'제외 후보'!L249&lt;=0),'선정 규칙'!$B$8,IF('제외 후보'!L249&lt;=1.5,'선정 규칙'!$B$9,IF('제외 후보'!L249&lt;=2,'선정 규칙'!$B$10,IF('제외 후보'!L249&lt;=2.5,'선정 규칙'!$B$11,IF('제외 후보'!L249&lt;=3,'선정 규칙'!$B$12,IF('제외 후보'!L249&lt;=3.5,'선정 규칙'!$B$13,IF('제외 후보'!L249&gt;=4.5,'선정 규칙'!$B$14,0)))))))</x:f>
        <x:v>-20</x:v>
      </x:c>
      <x:c r="F249" s="11" t="n">
        <x:f>IF('제외 후보'!Y249=0,'선정 규칙'!$B$15,IF('제외 후보'!Y249&gt;=100,'선정 규칙'!$B$16,'선정 규칙'!$B$17))</x:f>
        <x:v>12</x:v>
      </x:c>
      <x:c r="G249" s="11" t="n">
        <x:f>IF('제외 후보'!M249="있음",'선정 규칙'!$B$18,'선정 규칙'!$B$19)</x:f>
        <x:v>6</x:v>
      </x:c>
      <x:c r="H249" s="11" t="n">
        <x:f>IF(ISNUMBER(SEARCH("freq-core",'제외 후보'!AD249)),'선정 규칙'!$B$20,0)</x:f>
        <x:v>0</x:v>
      </x:c>
      <x:c r="I249" s="11" t="n">
        <x:f>IF(ISNUMBER(SEARCH("weak_legacy_content",'제외 후보'!P249)),'선정 규칙'!$B$21,0)</x:f>
        <x:v>5</x:v>
      </x:c>
      <x:c r="J249" s="11" t="n">
        <x:f>IF('제외 후보'!AC249&lt;&gt;"",'선정 규칙'!$B$22,0)</x:f>
        <x:v>0</x:v>
      </x:c>
      <x:c r="K249" s="11" t="n">
        <x:f>SUM(B249:J249)</x:f>
        <x:v>38</x:v>
      </x:c>
      <x:c r="L249" s="11" t="n">
        <x:f>'제외 후보'!N249</x:f>
        <x:v>38</x:v>
      </x:c>
      <x:c r="M249" s="2" t="str">
        <x:f>IF(K249=L249,"OK","MISMATCH")</x:f>
        <x:v>OK</x:v>
      </x:c>
    </x:row>
    <x:row r="250">
      <x:c r="A250" s="2" t="str">
        <x:f>'제외 후보'!G250</x:f>
        <x:v>w_043cc3d8240723e8</x:v>
      </x:c>
      <x:c r="B250" s="11" t="n">
        <x:f>IF('제외 후보'!Q250&lt;&gt;"",'선정 규칙'!$B$4,0)</x:f>
        <x:v>0</x:v>
      </x:c>
      <x:c r="C250" s="11" t="n">
        <x:f>IF(ISNUMBER(SEARCH("jmdict_uncommon_or_irregular",'제외 후보'!P250)),'선정 규칙'!$B$5,IF(ISNUMBER(SEARCH("jmdict_rare_or_dated",'제외 후보'!P250)),'선정 규칙'!$B$6,0))</x:f>
        <x:v>0</x:v>
      </x:c>
      <x:c r="D250" s="11" t="n">
        <x:f>IF(ISNUMBER(SEARCH("jmdict_exact_pair_not_found",'제외 후보'!P250)),'선정 규칙'!$B$7,0)</x:f>
        <x:v>35</x:v>
      </x:c>
      <x:c r="E250" s="11" t="n">
        <x:f>IF(OR('제외 후보'!L250="",'제외 후보'!L250&lt;=0),'선정 규칙'!$B$8,IF('제외 후보'!L250&lt;=1.5,'선정 규칙'!$B$9,IF('제외 후보'!L250&lt;=2,'선정 규칙'!$B$10,IF('제외 후보'!L250&lt;=2.5,'선정 규칙'!$B$11,IF('제외 후보'!L250&lt;=3,'선정 규칙'!$B$12,IF('제외 후보'!L250&lt;=3.5,'선정 규칙'!$B$13,IF('제외 후보'!L250&gt;=4.5,'선정 규칙'!$B$14,0)))))))</x:f>
        <x:v>-20</x:v>
      </x:c>
      <x:c r="F250" s="11" t="n">
        <x:f>IF('제외 후보'!Y250=0,'선정 규칙'!$B$15,IF('제외 후보'!Y250&gt;=100,'선정 규칙'!$B$16,'선정 규칙'!$B$17))</x:f>
        <x:v>12</x:v>
      </x:c>
      <x:c r="G250" s="11" t="n">
        <x:f>IF('제외 후보'!M250="있음",'선정 규칙'!$B$18,'선정 규칙'!$B$19)</x:f>
        <x:v>6</x:v>
      </x:c>
      <x:c r="H250" s="11" t="n">
        <x:f>IF(ISNUMBER(SEARCH("freq-core",'제외 후보'!AD250)),'선정 규칙'!$B$20,0)</x:f>
        <x:v>0</x:v>
      </x:c>
      <x:c r="I250" s="11" t="n">
        <x:f>IF(ISNUMBER(SEARCH("weak_legacy_content",'제외 후보'!P250)),'선정 규칙'!$B$21,0)</x:f>
        <x:v>5</x:v>
      </x:c>
      <x:c r="J250" s="11" t="n">
        <x:f>IF('제외 후보'!AC250&lt;&gt;"",'선정 규칙'!$B$22,0)</x:f>
        <x:v>0</x:v>
      </x:c>
      <x:c r="K250" s="11" t="n">
        <x:f>SUM(B250:J250)</x:f>
        <x:v>38</x:v>
      </x:c>
      <x:c r="L250" s="11" t="n">
        <x:f>'제외 후보'!N250</x:f>
        <x:v>38</x:v>
      </x:c>
      <x:c r="M250" s="2" t="str">
        <x:f>IF(K250=L250,"OK","MISMATCH")</x:f>
        <x:v>OK</x:v>
      </x:c>
    </x:row>
    <x:row r="251">
      <x:c r="A251" s="2" t="str">
        <x:f>'제외 후보'!G251</x:f>
        <x:v>w_6707492979ff8a45</x:v>
      </x:c>
      <x:c r="B251" s="11" t="n">
        <x:f>IF('제외 후보'!Q251&lt;&gt;"",'선정 규칙'!$B$4,0)</x:f>
        <x:v>0</x:v>
      </x:c>
      <x:c r="C251" s="11" t="n">
        <x:f>IF(ISNUMBER(SEARCH("jmdict_uncommon_or_irregular",'제외 후보'!P251)),'선정 규칙'!$B$5,IF(ISNUMBER(SEARCH("jmdict_rare_or_dated",'제외 후보'!P251)),'선정 규칙'!$B$6,0))</x:f>
        <x:v>50</x:v>
      </x:c>
      <x:c r="D251" s="11" t="n">
        <x:f>IF(ISNUMBER(SEARCH("jmdict_exact_pair_not_found",'제외 후보'!P251)),'선정 규칙'!$B$7,0)</x:f>
        <x:v>0</x:v>
      </x:c>
      <x:c r="E251" s="11" t="n">
        <x:f>IF(OR('제외 후보'!L251="",'제외 후보'!L251&lt;=0),'선정 규칙'!$B$8,IF('제외 후보'!L251&lt;=1.5,'선정 규칙'!$B$9,IF('제외 후보'!L251&lt;=2,'선정 규칙'!$B$10,IF('제외 후보'!L251&lt;=2.5,'선정 규칙'!$B$11,IF('제외 후보'!L251&lt;=3,'선정 규칙'!$B$12,IF('제외 후보'!L251&lt;=3.5,'선정 규칙'!$B$13,IF('제외 후보'!L251&gt;=4.5,'선정 규칙'!$B$14,0)))))))</x:f>
        <x:v>32</x:v>
      </x:c>
      <x:c r="F251" s="11" t="n">
        <x:f>IF('제외 후보'!Y251=0,'선정 규칙'!$B$15,IF('제외 후보'!Y251&gt;=100,'선정 규칙'!$B$16,'선정 규칙'!$B$17))</x:f>
        <x:v>-25</x:v>
      </x:c>
      <x:c r="G251" s="11" t="n">
        <x:f>IF('제외 후보'!M251="있음",'선정 규칙'!$B$18,'선정 규칙'!$B$19)</x:f>
        <x:v>-25</x:v>
      </x:c>
      <x:c r="H251" s="11" t="n">
        <x:f>IF(ISNUMBER(SEARCH("freq-core",'제외 후보'!AD251)),'선정 규칙'!$B$20,0)</x:f>
        <x:v>0</x:v>
      </x:c>
      <x:c r="I251" s="11" t="n">
        <x:f>IF(ISNUMBER(SEARCH("weak_legacy_content",'제외 후보'!P251)),'선정 규칙'!$B$21,0)</x:f>
        <x:v>5</x:v>
      </x:c>
      <x:c r="J251" s="11" t="n">
        <x:f>IF('제외 후보'!AC251&lt;&gt;"",'선정 규칙'!$B$22,0)</x:f>
        <x:v>0</x:v>
      </x:c>
      <x:c r="K251" s="11" t="n">
        <x:f>SUM(B251:J251)</x:f>
        <x:v>37</x:v>
      </x:c>
      <x:c r="L251" s="11" t="n">
        <x:f>'제외 후보'!N251</x:f>
        <x:v>37</x:v>
      </x:c>
      <x:c r="M251" s="2" t="str">
        <x:f>IF(K251=L251,"OK","MISMATCH")</x:f>
        <x:v>OK</x:v>
      </x:c>
    </x:row>
    <x:row r="252">
      <x:c r="A252" s="2" t="str">
        <x:f>'제외 후보'!G252</x:f>
        <x:v>w_c3b45aa8963813d2</x:v>
      </x:c>
      <x:c r="B252" s="11" t="n">
        <x:f>IF('제외 후보'!Q252&lt;&gt;"",'선정 규칙'!$B$4,0)</x:f>
        <x:v>0</x:v>
      </x:c>
      <x:c r="C252" s="11" t="n">
        <x:f>IF(ISNUMBER(SEARCH("jmdict_uncommon_or_irregular",'제외 후보'!P252)),'선정 규칙'!$B$5,IF(ISNUMBER(SEARCH("jmdict_rare_or_dated",'제외 후보'!P252)),'선정 규칙'!$B$6,0))</x:f>
        <x:v>50</x:v>
      </x:c>
      <x:c r="D252" s="11" t="n">
        <x:f>IF(ISNUMBER(SEARCH("jmdict_exact_pair_not_found",'제외 후보'!P252)),'선정 규칙'!$B$7,0)</x:f>
        <x:v>0</x:v>
      </x:c>
      <x:c r="E252" s="11" t="n">
        <x:f>IF(OR('제외 후보'!L252="",'제외 후보'!L252&lt;=0),'선정 규칙'!$B$8,IF('제외 후보'!L252&lt;=1.5,'선정 규칙'!$B$9,IF('제외 후보'!L252&lt;=2,'선정 규칙'!$B$10,IF('제외 후보'!L252&lt;=2.5,'선정 규칙'!$B$11,IF('제외 후보'!L252&lt;=3,'선정 규칙'!$B$12,IF('제외 후보'!L252&lt;=3.5,'선정 규칙'!$B$13,IF('제외 후보'!L252&gt;=4.5,'선정 규칙'!$B$14,0)))))))</x:f>
        <x:v>6</x:v>
      </x:c>
      <x:c r="F252" s="11" t="n">
        <x:f>IF('제외 후보'!Y252=0,'선정 규칙'!$B$15,IF('제외 후보'!Y252&gt;=100,'선정 규칙'!$B$16,'선정 규칙'!$B$17))</x:f>
        <x:v>-25</x:v>
      </x:c>
      <x:c r="G252" s="11" t="n">
        <x:f>IF('제외 후보'!M252="있음",'선정 규칙'!$B$18,'선정 규칙'!$B$19)</x:f>
        <x:v>6</x:v>
      </x:c>
      <x:c r="H252" s="11" t="n">
        <x:f>IF(ISNUMBER(SEARCH("freq-core",'제외 후보'!AD252)),'선정 규칙'!$B$20,0)</x:f>
        <x:v>0</x:v>
      </x:c>
      <x:c r="I252" s="11" t="n">
        <x:f>IF(ISNUMBER(SEARCH("weak_legacy_content",'제외 후보'!P252)),'선정 규칙'!$B$21,0)</x:f>
        <x:v>0</x:v>
      </x:c>
      <x:c r="J252" s="11" t="n">
        <x:f>IF('제외 후보'!AC252&lt;&gt;"",'선정 규칙'!$B$22,0)</x:f>
        <x:v>0</x:v>
      </x:c>
      <x:c r="K252" s="11" t="n">
        <x:f>SUM(B252:J252)</x:f>
        <x:v>37</x:v>
      </x:c>
      <x:c r="L252" s="11" t="n">
        <x:f>'제외 후보'!N252</x:f>
        <x:v>37</x:v>
      </x:c>
      <x:c r="M252" s="2" t="str">
        <x:f>IF(K252=L252,"OK","MISMATCH")</x:f>
        <x:v>OK</x:v>
      </x:c>
    </x:row>
    <x:row r="253">
      <x:c r="A253" s="2" t="str">
        <x:f>'제외 후보'!G253</x:f>
        <x:v>w_8af924917469c9f0</x:v>
      </x:c>
      <x:c r="B253" s="11" t="n">
        <x:f>IF('제외 후보'!Q253&lt;&gt;"",'선정 규칙'!$B$4,0)</x:f>
        <x:v>0</x:v>
      </x:c>
      <x:c r="C253" s="11" t="n">
        <x:f>IF(ISNUMBER(SEARCH("jmdict_uncommon_or_irregular",'제외 후보'!P253)),'선정 규칙'!$B$5,IF(ISNUMBER(SEARCH("jmdict_rare_or_dated",'제외 후보'!P253)),'선정 규칙'!$B$6,0))</x:f>
        <x:v>50</x:v>
      </x:c>
      <x:c r="D253" s="11" t="n">
        <x:f>IF(ISNUMBER(SEARCH("jmdict_exact_pair_not_found",'제외 후보'!P253)),'선정 규칙'!$B$7,0)</x:f>
        <x:v>0</x:v>
      </x:c>
      <x:c r="E253" s="11" t="n">
        <x:f>IF(OR('제외 후보'!L253="",'제외 후보'!L253&lt;=0),'선정 규칙'!$B$8,IF('제외 후보'!L253&lt;=1.5,'선정 규칙'!$B$9,IF('제외 후보'!L253&lt;=2,'선정 규칙'!$B$10,IF('제외 후보'!L253&lt;=2.5,'선정 규칙'!$B$11,IF('제외 후보'!L253&lt;=3,'선정 규칙'!$B$12,IF('제외 후보'!L253&lt;=3.5,'선정 규칙'!$B$13,IF('제외 후보'!L253&gt;=4.5,'선정 규칙'!$B$14,0)))))))</x:f>
        <x:v>0</x:v>
      </x:c>
      <x:c r="F253" s="11" t="n">
        <x:f>IF('제외 후보'!Y253=0,'선정 규칙'!$B$15,IF('제외 후보'!Y253&gt;=100,'선정 규칙'!$B$16,'선정 규칙'!$B$17))</x:f>
        <x:v>-25</x:v>
      </x:c>
      <x:c r="G253" s="11" t="n">
        <x:f>IF('제외 후보'!M253="있음",'선정 규칙'!$B$18,'선정 규칙'!$B$19)</x:f>
        <x:v>6</x:v>
      </x:c>
      <x:c r="H253" s="11" t="n">
        <x:f>IF(ISNUMBER(SEARCH("freq-core",'제외 후보'!AD253)),'선정 규칙'!$B$20,0)</x:f>
        <x:v>0</x:v>
      </x:c>
      <x:c r="I253" s="11" t="n">
        <x:f>IF(ISNUMBER(SEARCH("weak_legacy_content",'제외 후보'!P253)),'선정 규칙'!$B$21,0)</x:f>
        <x:v>5</x:v>
      </x:c>
      <x:c r="J253" s="11" t="n">
        <x:f>IF('제외 후보'!AC253&lt;&gt;"",'선정 규칙'!$B$22,0)</x:f>
        <x:v>0</x:v>
      </x:c>
      <x:c r="K253" s="11" t="n">
        <x:f>SUM(B253:J253)</x:f>
        <x:v>36</x:v>
      </x:c>
      <x:c r="L253" s="11" t="n">
        <x:f>'제외 후보'!N253</x:f>
        <x:v>36</x:v>
      </x:c>
      <x:c r="M253" s="2" t="str">
        <x:f>IF(K253=L253,"OK","MISMATCH")</x:f>
        <x:v>OK</x:v>
      </x:c>
    </x:row>
    <x:row r="254">
      <x:c r="A254" s="2" t="str">
        <x:f>'제외 후보'!G254</x:f>
        <x:v>w_073756c8c779b58c</x:v>
      </x:c>
      <x:c r="B254" s="11" t="n">
        <x:f>IF('제외 후보'!Q254&lt;&gt;"",'선정 규칙'!$B$4,0)</x:f>
        <x:v>0</x:v>
      </x:c>
      <x:c r="C254" s="11" t="n">
        <x:f>IF(ISNUMBER(SEARCH("jmdict_uncommon_or_irregular",'제외 후보'!P254)),'선정 규칙'!$B$5,IF(ISNUMBER(SEARCH("jmdict_rare_or_dated",'제외 후보'!P254)),'선정 규칙'!$B$6,0))</x:f>
        <x:v>50</x:v>
      </x:c>
      <x:c r="D254" s="11" t="n">
        <x:f>IF(ISNUMBER(SEARCH("jmdict_exact_pair_not_found",'제외 후보'!P254)),'선정 규칙'!$B$7,0)</x:f>
        <x:v>0</x:v>
      </x:c>
      <x:c r="E254" s="11" t="n">
        <x:f>IF(OR('제외 후보'!L254="",'제외 후보'!L254&lt;=0),'선정 규칙'!$B$8,IF('제외 후보'!L254&lt;=1.5,'선정 규칙'!$B$9,IF('제외 후보'!L254&lt;=2,'선정 규칙'!$B$10,IF('제외 후보'!L254&lt;=2.5,'선정 규칙'!$B$11,IF('제외 후보'!L254&lt;=3,'선정 규칙'!$B$12,IF('제외 후보'!L254&lt;=3.5,'선정 규칙'!$B$13,IF('제외 후보'!L254&gt;=4.5,'선정 규칙'!$B$14,0)))))))</x:f>
        <x:v>0</x:v>
      </x:c>
      <x:c r="F254" s="11" t="n">
        <x:f>IF('제외 후보'!Y254=0,'선정 규칙'!$B$15,IF('제외 후보'!Y254&gt;=100,'선정 규칙'!$B$16,'선정 규칙'!$B$17))</x:f>
        <x:v>-25</x:v>
      </x:c>
      <x:c r="G254" s="11" t="n">
        <x:f>IF('제외 후보'!M254="있음",'선정 규칙'!$B$18,'선정 규칙'!$B$19)</x:f>
        <x:v>6</x:v>
      </x:c>
      <x:c r="H254" s="11" t="n">
        <x:f>IF(ISNUMBER(SEARCH("freq-core",'제외 후보'!AD254)),'선정 규칙'!$B$20,0)</x:f>
        <x:v>0</x:v>
      </x:c>
      <x:c r="I254" s="11" t="n">
        <x:f>IF(ISNUMBER(SEARCH("weak_legacy_content",'제외 후보'!P254)),'선정 규칙'!$B$21,0)</x:f>
        <x:v>5</x:v>
      </x:c>
      <x:c r="J254" s="11" t="n">
        <x:f>IF('제외 후보'!AC254&lt;&gt;"",'선정 규칙'!$B$22,0)</x:f>
        <x:v>0</x:v>
      </x:c>
      <x:c r="K254" s="11" t="n">
        <x:f>SUM(B254:J254)</x:f>
        <x:v>36</x:v>
      </x:c>
      <x:c r="L254" s="11" t="n">
        <x:f>'제외 후보'!N254</x:f>
        <x:v>36</x:v>
      </x:c>
      <x:c r="M254" s="2" t="str">
        <x:f>IF(K254=L254,"OK","MISMATCH")</x:f>
        <x:v>OK</x:v>
      </x:c>
    </x:row>
    <x:row r="255">
      <x:c r="A255" s="2" t="str">
        <x:f>'제외 후보'!G255</x:f>
        <x:v>w_8a81993924cacac2</x:v>
      </x:c>
      <x:c r="B255" s="11" t="n">
        <x:f>IF('제외 후보'!Q255&lt;&gt;"",'선정 규칙'!$B$4,0)</x:f>
        <x:v>0</x:v>
      </x:c>
      <x:c r="C255" s="11" t="n">
        <x:f>IF(ISNUMBER(SEARCH("jmdict_uncommon_or_irregular",'제외 후보'!P255)),'선정 규칙'!$B$5,IF(ISNUMBER(SEARCH("jmdict_rare_or_dated",'제외 후보'!P255)),'선정 규칙'!$B$6,0))</x:f>
        <x:v>50</x:v>
      </x:c>
      <x:c r="D255" s="11" t="n">
        <x:f>IF(ISNUMBER(SEARCH("jmdict_exact_pair_not_found",'제외 후보'!P255)),'선정 규칙'!$B$7,0)</x:f>
        <x:v>0</x:v>
      </x:c>
      <x:c r="E255" s="11" t="n">
        <x:f>IF(OR('제외 후보'!L255="",'제외 후보'!L255&lt;=0),'선정 규칙'!$B$8,IF('제외 후보'!L255&lt;=1.5,'선정 규칙'!$B$9,IF('제외 후보'!L255&lt;=2,'선정 규칙'!$B$10,IF('제외 후보'!L255&lt;=2.5,'선정 규칙'!$B$11,IF('제외 후보'!L255&lt;=3,'선정 규칙'!$B$12,IF('제외 후보'!L255&lt;=3.5,'선정 규칙'!$B$13,IF('제외 후보'!L255&gt;=4.5,'선정 규칙'!$B$14,0)))))))</x:f>
        <x:v>0</x:v>
      </x:c>
      <x:c r="F255" s="11" t="n">
        <x:f>IF('제외 후보'!Y255=0,'선정 규칙'!$B$15,IF('제외 후보'!Y255&gt;=100,'선정 규칙'!$B$16,'선정 규칙'!$B$17))</x:f>
        <x:v>-25</x:v>
      </x:c>
      <x:c r="G255" s="11" t="n">
        <x:f>IF('제외 후보'!M255="있음",'선정 규칙'!$B$18,'선정 규칙'!$B$19)</x:f>
        <x:v>6</x:v>
      </x:c>
      <x:c r="H255" s="11" t="n">
        <x:f>IF(ISNUMBER(SEARCH("freq-core",'제외 후보'!AD255)),'선정 규칙'!$B$20,0)</x:f>
        <x:v>0</x:v>
      </x:c>
      <x:c r="I255" s="11" t="n">
        <x:f>IF(ISNUMBER(SEARCH("weak_legacy_content",'제외 후보'!P255)),'선정 규칙'!$B$21,0)</x:f>
        <x:v>5</x:v>
      </x:c>
      <x:c r="J255" s="11" t="n">
        <x:f>IF('제외 후보'!AC255&lt;&gt;"",'선정 규칙'!$B$22,0)</x:f>
        <x:v>0</x:v>
      </x:c>
      <x:c r="K255" s="11" t="n">
        <x:f>SUM(B255:J255)</x:f>
        <x:v>36</x:v>
      </x:c>
      <x:c r="L255" s="11" t="n">
        <x:f>'제외 후보'!N255</x:f>
        <x:v>36</x:v>
      </x:c>
      <x:c r="M255" s="2" t="str">
        <x:f>IF(K255=L255,"OK","MISMATCH")</x:f>
        <x:v>OK</x:v>
      </x:c>
    </x:row>
    <x:row r="256">
      <x:c r="A256" s="2" t="str">
        <x:f>'제외 후보'!G256</x:f>
        <x:v>w_4ad8e13530a54ae1</x:v>
      </x:c>
      <x:c r="B256" s="11" t="n">
        <x:f>IF('제외 후보'!Q256&lt;&gt;"",'선정 규칙'!$B$4,0)</x:f>
        <x:v>0</x:v>
      </x:c>
      <x:c r="C256" s="11" t="n">
        <x:f>IF(ISNUMBER(SEARCH("jmdict_uncommon_or_irregular",'제외 후보'!P256)),'선정 규칙'!$B$5,IF(ISNUMBER(SEARCH("jmdict_rare_or_dated",'제외 후보'!P256)),'선정 규칙'!$B$6,0))</x:f>
        <x:v>0</x:v>
      </x:c>
      <x:c r="D256" s="11" t="n">
        <x:f>IF(ISNUMBER(SEARCH("jmdict_exact_pair_not_found",'제외 후보'!P256)),'선정 규칙'!$B$7,0)</x:f>
        <x:v>0</x:v>
      </x:c>
      <x:c r="E256" s="11" t="n">
        <x:f>IF(OR('제외 후보'!L256="",'제외 후보'!L256&lt;=0),'선정 규칙'!$B$8,IF('제외 후보'!L256&lt;=1.5,'선정 규칙'!$B$9,IF('제외 후보'!L256&lt;=2,'선정 규칙'!$B$10,IF('제외 후보'!L256&lt;=2.5,'선정 규칙'!$B$11,IF('제외 후보'!L256&lt;=3,'선정 규칙'!$B$12,IF('제외 후보'!L256&lt;=3.5,'선정 규칙'!$B$13,IF('제외 후보'!L256&gt;=4.5,'선정 규칙'!$B$14,0)))))))</x:f>
        <x:v>26</x:v>
      </x:c>
      <x:c r="F256" s="11" t="n">
        <x:f>IF('제외 후보'!Y256=0,'선정 규칙'!$B$15,IF('제외 후보'!Y256&gt;=100,'선정 규칙'!$B$16,'선정 규칙'!$B$17))</x:f>
        <x:v>-12</x:v>
      </x:c>
      <x:c r="G256" s="11" t="n">
        <x:f>IF('제외 후보'!M256="있음",'선정 규칙'!$B$18,'선정 규칙'!$B$19)</x:f>
        <x:v>6</x:v>
      </x:c>
      <x:c r="H256" s="11" t="n">
        <x:f>IF(ISNUMBER(SEARCH("freq-core",'제외 후보'!AD256)),'선정 규칙'!$B$20,0)</x:f>
        <x:v>0</x:v>
      </x:c>
      <x:c r="I256" s="11" t="n">
        <x:f>IF(ISNUMBER(SEARCH("weak_legacy_content",'제외 후보'!P256)),'선정 규칙'!$B$21,0)</x:f>
        <x:v>5</x:v>
      </x:c>
      <x:c r="J256" s="11" t="n">
        <x:f>IF('제외 후보'!AC256&lt;&gt;"",'선정 규칙'!$B$22,0)</x:f>
        <x:v>10</x:v>
      </x:c>
      <x:c r="K256" s="11" t="n">
        <x:f>SUM(B256:J256)</x:f>
        <x:v>35</x:v>
      </x:c>
      <x:c r="L256" s="11" t="n">
        <x:f>'제외 후보'!N256</x:f>
        <x:v>35</x:v>
      </x:c>
      <x:c r="M256" s="2" t="str">
        <x:f>IF(K256=L256,"OK","MISMATCH")</x:f>
        <x:v>OK</x:v>
      </x:c>
    </x:row>
    <x:row r="257">
      <x:c r="A257" s="2" t="str">
        <x:f>'제외 후보'!G257</x:f>
        <x:v>w_8675f76dd0251f4a</x:v>
      </x:c>
      <x:c r="B257" s="11" t="n">
        <x:f>IF('제외 후보'!Q257&lt;&gt;"",'선정 규칙'!$B$4,0)</x:f>
        <x:v>0</x:v>
      </x:c>
      <x:c r="C257" s="11" t="n">
        <x:f>IF(ISNUMBER(SEARCH("jmdict_uncommon_or_irregular",'제외 후보'!P257)),'선정 규칙'!$B$5,IF(ISNUMBER(SEARCH("jmdict_rare_or_dated",'제외 후보'!P257)),'선정 규칙'!$B$6,0))</x:f>
        <x:v>0</x:v>
      </x:c>
      <x:c r="D257" s="11" t="n">
        <x:f>IF(ISNUMBER(SEARCH("jmdict_exact_pair_not_found",'제외 후보'!P257)),'선정 규칙'!$B$7,0)</x:f>
        <x:v>0</x:v>
      </x:c>
      <x:c r="E257" s="11" t="n">
        <x:f>IF(OR('제외 후보'!L257="",'제외 후보'!L257&lt;=0),'선정 규칙'!$B$8,IF('제외 후보'!L257&lt;=1.5,'선정 규칙'!$B$9,IF('제외 후보'!L257&lt;=2,'선정 규칙'!$B$10,IF('제외 후보'!L257&lt;=2.5,'선정 규칙'!$B$11,IF('제외 후보'!L257&lt;=3,'선정 규칙'!$B$12,IF('제외 후보'!L257&lt;=3.5,'선정 규칙'!$B$13,IF('제외 후보'!L257&gt;=4.5,'선정 규칙'!$B$14,0)))))))</x:f>
        <x:v>12</x:v>
      </x:c>
      <x:c r="F257" s="11" t="n">
        <x:f>IF('제외 후보'!Y257=0,'선정 규칙'!$B$15,IF('제외 후보'!Y257&gt;=100,'선정 규칙'!$B$16,'선정 규칙'!$B$17))</x:f>
        <x:v>12</x:v>
      </x:c>
      <x:c r="G257" s="11" t="n">
        <x:f>IF('제외 후보'!M257="있음",'선정 규칙'!$B$18,'선정 규칙'!$B$19)</x:f>
        <x:v>6</x:v>
      </x:c>
      <x:c r="H257" s="11" t="n">
        <x:f>IF(ISNUMBER(SEARCH("freq-core",'제외 후보'!AD257)),'선정 규칙'!$B$20,0)</x:f>
        <x:v>0</x:v>
      </x:c>
      <x:c r="I257" s="11" t="n">
        <x:f>IF(ISNUMBER(SEARCH("weak_legacy_content",'제외 후보'!P257)),'선정 규칙'!$B$21,0)</x:f>
        <x:v>5</x:v>
      </x:c>
      <x:c r="J257" s="11" t="n">
        <x:f>IF('제외 후보'!AC257&lt;&gt;"",'선정 규칙'!$B$22,0)</x:f>
        <x:v>0</x:v>
      </x:c>
      <x:c r="K257" s="11" t="n">
        <x:f>SUM(B257:J257)</x:f>
        <x:v>35</x:v>
      </x:c>
      <x:c r="L257" s="11" t="n">
        <x:f>'제외 후보'!N257</x:f>
        <x:v>35</x:v>
      </x:c>
      <x:c r="M257" s="2" t="str">
        <x:f>IF(K257=L257,"OK","MISMATCH")</x:f>
        <x:v>OK</x:v>
      </x:c>
    </x:row>
    <x:row r="258">
      <x:c r="A258" s="2" t="str">
        <x:f>'제외 후보'!G258</x:f>
        <x:v>w_d7fc9eeb3fe93eec</x:v>
      </x:c>
      <x:c r="B258" s="11" t="n">
        <x:f>IF('제외 후보'!Q258&lt;&gt;"",'선정 규칙'!$B$4,0)</x:f>
        <x:v>0</x:v>
      </x:c>
      <x:c r="C258" s="11" t="n">
        <x:f>IF(ISNUMBER(SEARCH("jmdict_uncommon_or_irregular",'제외 후보'!P258)),'선정 규칙'!$B$5,IF(ISNUMBER(SEARCH("jmdict_rare_or_dated",'제외 후보'!P258)),'선정 규칙'!$B$6,0))</x:f>
        <x:v>0</x:v>
      </x:c>
      <x:c r="D258" s="11" t="n">
        <x:f>IF(ISNUMBER(SEARCH("jmdict_exact_pair_not_found",'제외 후보'!P258)),'선정 규칙'!$B$7,0)</x:f>
        <x:v>0</x:v>
      </x:c>
      <x:c r="E258" s="11" t="n">
        <x:f>IF(OR('제외 후보'!L258="",'제외 후보'!L258&lt;=0),'선정 규칙'!$B$8,IF('제외 후보'!L258&lt;=1.5,'선정 규칙'!$B$9,IF('제외 후보'!L258&lt;=2,'선정 규칙'!$B$10,IF('제외 후보'!L258&lt;=2.5,'선정 규칙'!$B$11,IF('제외 후보'!L258&lt;=3,'선정 규칙'!$B$12,IF('제외 후보'!L258&lt;=3.5,'선정 규칙'!$B$13,IF('제외 후보'!L258&gt;=4.5,'선정 규칙'!$B$14,0)))))))</x:f>
        <x:v>12</x:v>
      </x:c>
      <x:c r="F258" s="11" t="n">
        <x:f>IF('제외 후보'!Y258=0,'선정 규칙'!$B$15,IF('제외 후보'!Y258&gt;=100,'선정 규칙'!$B$16,'선정 규칙'!$B$17))</x:f>
        <x:v>12</x:v>
      </x:c>
      <x:c r="G258" s="11" t="n">
        <x:f>IF('제외 후보'!M258="있음",'선정 규칙'!$B$18,'선정 규칙'!$B$19)</x:f>
        <x:v>6</x:v>
      </x:c>
      <x:c r="H258" s="11" t="n">
        <x:f>IF(ISNUMBER(SEARCH("freq-core",'제외 후보'!AD258)),'선정 규칙'!$B$20,0)</x:f>
        <x:v>0</x:v>
      </x:c>
      <x:c r="I258" s="11" t="n">
        <x:f>IF(ISNUMBER(SEARCH("weak_legacy_content",'제외 후보'!P258)),'선정 규칙'!$B$21,0)</x:f>
        <x:v>5</x:v>
      </x:c>
      <x:c r="J258" s="11" t="n">
        <x:f>IF('제외 후보'!AC258&lt;&gt;"",'선정 규칙'!$B$22,0)</x:f>
        <x:v>0</x:v>
      </x:c>
      <x:c r="K258" s="11" t="n">
        <x:f>SUM(B258:J258)</x:f>
        <x:v>35</x:v>
      </x:c>
      <x:c r="L258" s="11" t="n">
        <x:f>'제외 후보'!N258</x:f>
        <x:v>35</x:v>
      </x:c>
      <x:c r="M258" s="2" t="str">
        <x:f>IF(K258=L258,"OK","MISMATCH")</x:f>
        <x:v>OK</x:v>
      </x:c>
    </x:row>
    <x:row r="259">
      <x:c r="A259" s="2" t="str">
        <x:f>'제외 후보'!G259</x:f>
        <x:v>w_5abb4d30abcb003d</x:v>
      </x:c>
      <x:c r="B259" s="11" t="n">
        <x:f>IF('제외 후보'!Q259&lt;&gt;"",'선정 규칙'!$B$4,0)</x:f>
        <x:v>0</x:v>
      </x:c>
      <x:c r="C259" s="11" t="n">
        <x:f>IF(ISNUMBER(SEARCH("jmdict_uncommon_or_irregular",'제외 후보'!P259)),'선정 규칙'!$B$5,IF(ISNUMBER(SEARCH("jmdict_rare_or_dated",'제외 후보'!P259)),'선정 규칙'!$B$6,0))</x:f>
        <x:v>0</x:v>
      </x:c>
      <x:c r="D259" s="11" t="n">
        <x:f>IF(ISNUMBER(SEARCH("jmdict_exact_pair_not_found",'제외 후보'!P259)),'선정 규칙'!$B$7,0)</x:f>
        <x:v>0</x:v>
      </x:c>
      <x:c r="E259" s="11" t="n">
        <x:f>IF(OR('제외 후보'!L259="",'제외 후보'!L259&lt;=0),'선정 규칙'!$B$8,IF('제외 후보'!L259&lt;=1.5,'선정 규칙'!$B$9,IF('제외 후보'!L259&lt;=2,'선정 규칙'!$B$10,IF('제외 후보'!L259&lt;=2.5,'선정 규칙'!$B$11,IF('제외 후보'!L259&lt;=3,'선정 규칙'!$B$12,IF('제외 후보'!L259&lt;=3.5,'선정 규칙'!$B$13,IF('제외 후보'!L259&gt;=4.5,'선정 규칙'!$B$14,0)))))))</x:f>
        <x:v>12</x:v>
      </x:c>
      <x:c r="F259" s="11" t="n">
        <x:f>IF('제외 후보'!Y259=0,'선정 규칙'!$B$15,IF('제외 후보'!Y259&gt;=100,'선정 규칙'!$B$16,'선정 규칙'!$B$17))</x:f>
        <x:v>12</x:v>
      </x:c>
      <x:c r="G259" s="11" t="n">
        <x:f>IF('제외 후보'!M259="있음",'선정 규칙'!$B$18,'선정 규칙'!$B$19)</x:f>
        <x:v>6</x:v>
      </x:c>
      <x:c r="H259" s="11" t="n">
        <x:f>IF(ISNUMBER(SEARCH("freq-core",'제외 후보'!AD259)),'선정 규칙'!$B$20,0)</x:f>
        <x:v>0</x:v>
      </x:c>
      <x:c r="I259" s="11" t="n">
        <x:f>IF(ISNUMBER(SEARCH("weak_legacy_content",'제외 후보'!P259)),'선정 규칙'!$B$21,0)</x:f>
        <x:v>5</x:v>
      </x:c>
      <x:c r="J259" s="11" t="n">
        <x:f>IF('제외 후보'!AC259&lt;&gt;"",'선정 규칙'!$B$22,0)</x:f>
        <x:v>0</x:v>
      </x:c>
      <x:c r="K259" s="11" t="n">
        <x:f>SUM(B259:J259)</x:f>
        <x:v>35</x:v>
      </x:c>
      <x:c r="L259" s="11" t="n">
        <x:f>'제외 후보'!N259</x:f>
        <x:v>35</x:v>
      </x:c>
      <x:c r="M259" s="2" t="str">
        <x:f>IF(K259=L259,"OK","MISMATCH")</x:f>
        <x:v>OK</x:v>
      </x:c>
    </x:row>
    <x:row r="260">
      <x:c r="A260" s="2" t="str">
        <x:f>'제외 후보'!G260</x:f>
        <x:v>w_7bb2d7c84066075a</x:v>
      </x:c>
      <x:c r="B260" s="11" t="n">
        <x:f>IF('제외 후보'!Q260&lt;&gt;"",'선정 규칙'!$B$4,0)</x:f>
        <x:v>0</x:v>
      </x:c>
      <x:c r="C260" s="11" t="n">
        <x:f>IF(ISNUMBER(SEARCH("jmdict_uncommon_or_irregular",'제외 후보'!P260)),'선정 규칙'!$B$5,IF(ISNUMBER(SEARCH("jmdict_rare_or_dated",'제외 후보'!P260)),'선정 규칙'!$B$6,0))</x:f>
        <x:v>0</x:v>
      </x:c>
      <x:c r="D260" s="11" t="n">
        <x:f>IF(ISNUMBER(SEARCH("jmdict_exact_pair_not_found",'제외 후보'!P260)),'선정 규칙'!$B$7,0)</x:f>
        <x:v>0</x:v>
      </x:c>
      <x:c r="E260" s="11" t="n">
        <x:f>IF(OR('제외 후보'!L260="",'제외 후보'!L260&lt;=0),'선정 규칙'!$B$8,IF('제외 후보'!L260&lt;=1.5,'선정 규칙'!$B$9,IF('제외 후보'!L260&lt;=2,'선정 규칙'!$B$10,IF('제외 후보'!L260&lt;=2.5,'선정 규칙'!$B$11,IF('제외 후보'!L260&lt;=3,'선정 규칙'!$B$12,IF('제외 후보'!L260&lt;=3.5,'선정 규칙'!$B$13,IF('제외 후보'!L260&gt;=4.5,'선정 규칙'!$B$14,0)))))))</x:f>
        <x:v>12</x:v>
      </x:c>
      <x:c r="F260" s="11" t="n">
        <x:f>IF('제외 후보'!Y260=0,'선정 규칙'!$B$15,IF('제외 후보'!Y260&gt;=100,'선정 규칙'!$B$16,'선정 규칙'!$B$17))</x:f>
        <x:v>12</x:v>
      </x:c>
      <x:c r="G260" s="11" t="n">
        <x:f>IF('제외 후보'!M260="있음",'선정 규칙'!$B$18,'선정 규칙'!$B$19)</x:f>
        <x:v>6</x:v>
      </x:c>
      <x:c r="H260" s="11" t="n">
        <x:f>IF(ISNUMBER(SEARCH("freq-core",'제외 후보'!AD260)),'선정 규칙'!$B$20,0)</x:f>
        <x:v>0</x:v>
      </x:c>
      <x:c r="I260" s="11" t="n">
        <x:f>IF(ISNUMBER(SEARCH("weak_legacy_content",'제외 후보'!P260)),'선정 규칙'!$B$21,0)</x:f>
        <x:v>5</x:v>
      </x:c>
      <x:c r="J260" s="11" t="n">
        <x:f>IF('제외 후보'!AC260&lt;&gt;"",'선정 규칙'!$B$22,0)</x:f>
        <x:v>0</x:v>
      </x:c>
      <x:c r="K260" s="11" t="n">
        <x:f>SUM(B260:J260)</x:f>
        <x:v>35</x:v>
      </x:c>
      <x:c r="L260" s="11" t="n">
        <x:f>'제외 후보'!N260</x:f>
        <x:v>35</x:v>
      </x:c>
      <x:c r="M260" s="2" t="str">
        <x:f>IF(K260=L260,"OK","MISMATCH")</x:f>
        <x:v>OK</x:v>
      </x:c>
    </x:row>
    <x:row r="261">
      <x:c r="A261" s="2" t="str">
        <x:f>'제외 후보'!G261</x:f>
        <x:v>w_700bb2d4d1171501</x:v>
      </x:c>
      <x:c r="B261" s="11" t="n">
        <x:f>IF('제외 후보'!Q261&lt;&gt;"",'선정 규칙'!$B$4,0)</x:f>
        <x:v>0</x:v>
      </x:c>
      <x:c r="C261" s="11" t="n">
        <x:f>IF(ISNUMBER(SEARCH("jmdict_uncommon_or_irregular",'제외 후보'!P261)),'선정 규칙'!$B$5,IF(ISNUMBER(SEARCH("jmdict_rare_or_dated",'제외 후보'!P261)),'선정 규칙'!$B$6,0))</x:f>
        <x:v>0</x:v>
      </x:c>
      <x:c r="D261" s="11" t="n">
        <x:f>IF(ISNUMBER(SEARCH("jmdict_exact_pair_not_found",'제외 후보'!P261)),'선정 규칙'!$B$7,0)</x:f>
        <x:v>0</x:v>
      </x:c>
      <x:c r="E261" s="11" t="n">
        <x:f>IF(OR('제외 후보'!L261="",'제외 후보'!L261&lt;=0),'선정 규칙'!$B$8,IF('제외 후보'!L261&lt;=1.5,'선정 규칙'!$B$9,IF('제외 후보'!L261&lt;=2,'선정 규칙'!$B$10,IF('제외 후보'!L261&lt;=2.5,'선정 규칙'!$B$11,IF('제외 후보'!L261&lt;=3,'선정 규칙'!$B$12,IF('제외 후보'!L261&lt;=3.5,'선정 규칙'!$B$13,IF('제외 후보'!L261&gt;=4.5,'선정 규칙'!$B$14,0)))))))</x:f>
        <x:v>12</x:v>
      </x:c>
      <x:c r="F261" s="11" t="n">
        <x:f>IF('제외 후보'!Y261=0,'선정 규칙'!$B$15,IF('제외 후보'!Y261&gt;=100,'선정 규칙'!$B$16,'선정 규칙'!$B$17))</x:f>
        <x:v>12</x:v>
      </x:c>
      <x:c r="G261" s="11" t="n">
        <x:f>IF('제외 후보'!M261="있음",'선정 규칙'!$B$18,'선정 규칙'!$B$19)</x:f>
        <x:v>6</x:v>
      </x:c>
      <x:c r="H261" s="11" t="n">
        <x:f>IF(ISNUMBER(SEARCH("freq-core",'제외 후보'!AD261)),'선정 규칙'!$B$20,0)</x:f>
        <x:v>0</x:v>
      </x:c>
      <x:c r="I261" s="11" t="n">
        <x:f>IF(ISNUMBER(SEARCH("weak_legacy_content",'제외 후보'!P261)),'선정 규칙'!$B$21,0)</x:f>
        <x:v>5</x:v>
      </x:c>
      <x:c r="J261" s="11" t="n">
        <x:f>IF('제외 후보'!AC261&lt;&gt;"",'선정 규칙'!$B$22,0)</x:f>
        <x:v>0</x:v>
      </x:c>
      <x:c r="K261" s="11" t="n">
        <x:f>SUM(B261:J261)</x:f>
        <x:v>35</x:v>
      </x:c>
      <x:c r="L261" s="11" t="n">
        <x:f>'제외 후보'!N261</x:f>
        <x:v>35</x:v>
      </x:c>
      <x:c r="M261" s="2" t="str">
        <x:f>IF(K261=L261,"OK","MISMATCH")</x:f>
        <x:v>OK</x:v>
      </x:c>
    </x:row>
    <x:row r="262">
      <x:c r="A262" s="2" t="str">
        <x:f>'제외 후보'!G262</x:f>
        <x:v>w_b2215a279fa897de</x:v>
      </x:c>
      <x:c r="B262" s="11" t="n">
        <x:f>IF('제외 후보'!Q262&lt;&gt;"",'선정 규칙'!$B$4,0)</x:f>
        <x:v>0</x:v>
      </x:c>
      <x:c r="C262" s="11" t="n">
        <x:f>IF(ISNUMBER(SEARCH("jmdict_uncommon_or_irregular",'제외 후보'!P262)),'선정 규칙'!$B$5,IF(ISNUMBER(SEARCH("jmdict_rare_or_dated",'제외 후보'!P262)),'선정 규칙'!$B$6,0))</x:f>
        <x:v>0</x:v>
      </x:c>
      <x:c r="D262" s="11" t="n">
        <x:f>IF(ISNUMBER(SEARCH("jmdict_exact_pair_not_found",'제외 후보'!P262)),'선정 규칙'!$B$7,0)</x:f>
        <x:v>0</x:v>
      </x:c>
      <x:c r="E262" s="11" t="n">
        <x:f>IF(OR('제외 후보'!L262="",'제외 후보'!L262&lt;=0),'선정 규칙'!$B$8,IF('제외 후보'!L262&lt;=1.5,'선정 규칙'!$B$9,IF('제외 후보'!L262&lt;=2,'선정 규칙'!$B$10,IF('제외 후보'!L262&lt;=2.5,'선정 규칙'!$B$11,IF('제외 후보'!L262&lt;=3,'선정 규칙'!$B$12,IF('제외 후보'!L262&lt;=3.5,'선정 규칙'!$B$13,IF('제외 후보'!L262&gt;=4.5,'선정 규칙'!$B$14,0)))))))</x:f>
        <x:v>12</x:v>
      </x:c>
      <x:c r="F262" s="11" t="n">
        <x:f>IF('제외 후보'!Y262=0,'선정 규칙'!$B$15,IF('제외 후보'!Y262&gt;=100,'선정 규칙'!$B$16,'선정 규칙'!$B$17))</x:f>
        <x:v>12</x:v>
      </x:c>
      <x:c r="G262" s="11" t="n">
        <x:f>IF('제외 후보'!M262="있음",'선정 규칙'!$B$18,'선정 규칙'!$B$19)</x:f>
        <x:v>6</x:v>
      </x:c>
      <x:c r="H262" s="11" t="n">
        <x:f>IF(ISNUMBER(SEARCH("freq-core",'제외 후보'!AD262)),'선정 규칙'!$B$20,0)</x:f>
        <x:v>0</x:v>
      </x:c>
      <x:c r="I262" s="11" t="n">
        <x:f>IF(ISNUMBER(SEARCH("weak_legacy_content",'제외 후보'!P262)),'선정 규칙'!$B$21,0)</x:f>
        <x:v>5</x:v>
      </x:c>
      <x:c r="J262" s="11" t="n">
        <x:f>IF('제외 후보'!AC262&lt;&gt;"",'선정 규칙'!$B$22,0)</x:f>
        <x:v>0</x:v>
      </x:c>
      <x:c r="K262" s="11" t="n">
        <x:f>SUM(B262:J262)</x:f>
        <x:v>35</x:v>
      </x:c>
      <x:c r="L262" s="11" t="n">
        <x:f>'제외 후보'!N262</x:f>
        <x:v>35</x:v>
      </x:c>
      <x:c r="M262" s="2" t="str">
        <x:f>IF(K262=L262,"OK","MISMATCH")</x:f>
        <x:v>OK</x:v>
      </x:c>
    </x:row>
    <x:row r="263">
      <x:c r="A263" s="2" t="str">
        <x:f>'제외 후보'!G263</x:f>
        <x:v>w_6e15592e0d3218f4</x:v>
      </x:c>
      <x:c r="B263" s="11" t="n">
        <x:f>IF('제외 후보'!Q263&lt;&gt;"",'선정 규칙'!$B$4,0)</x:f>
        <x:v>0</x:v>
      </x:c>
      <x:c r="C263" s="11" t="n">
        <x:f>IF(ISNUMBER(SEARCH("jmdict_uncommon_or_irregular",'제외 후보'!P263)),'선정 규칙'!$B$5,IF(ISNUMBER(SEARCH("jmdict_rare_or_dated",'제외 후보'!P263)),'선정 규칙'!$B$6,0))</x:f>
        <x:v>0</x:v>
      </x:c>
      <x:c r="D263" s="11" t="n">
        <x:f>IF(ISNUMBER(SEARCH("jmdict_exact_pair_not_found",'제외 후보'!P263)),'선정 규칙'!$B$7,0)</x:f>
        <x:v>0</x:v>
      </x:c>
      <x:c r="E263" s="11" t="n">
        <x:f>IF(OR('제외 후보'!L263="",'제외 후보'!L263&lt;=0),'선정 규칙'!$B$8,IF('제외 후보'!L263&lt;=1.5,'선정 규칙'!$B$9,IF('제외 후보'!L263&lt;=2,'선정 규칙'!$B$10,IF('제외 후보'!L263&lt;=2.5,'선정 규칙'!$B$11,IF('제외 후보'!L263&lt;=3,'선정 규칙'!$B$12,IF('제외 후보'!L263&lt;=3.5,'선정 규칙'!$B$13,IF('제외 후보'!L263&gt;=4.5,'선정 규칙'!$B$14,0)))))))</x:f>
        <x:v>12</x:v>
      </x:c>
      <x:c r="F263" s="11" t="n">
        <x:f>IF('제외 후보'!Y263=0,'선정 규칙'!$B$15,IF('제외 후보'!Y263&gt;=100,'선정 규칙'!$B$16,'선정 규칙'!$B$17))</x:f>
        <x:v>12</x:v>
      </x:c>
      <x:c r="G263" s="11" t="n">
        <x:f>IF('제외 후보'!M263="있음",'선정 규칙'!$B$18,'선정 규칙'!$B$19)</x:f>
        <x:v>6</x:v>
      </x:c>
      <x:c r="H263" s="11" t="n">
        <x:f>IF(ISNUMBER(SEARCH("freq-core",'제외 후보'!AD263)),'선정 규칙'!$B$20,0)</x:f>
        <x:v>0</x:v>
      </x:c>
      <x:c r="I263" s="11" t="n">
        <x:f>IF(ISNUMBER(SEARCH("weak_legacy_content",'제외 후보'!P263)),'선정 규칙'!$B$21,0)</x:f>
        <x:v>5</x:v>
      </x:c>
      <x:c r="J263" s="11" t="n">
        <x:f>IF('제외 후보'!AC263&lt;&gt;"",'선정 규칙'!$B$22,0)</x:f>
        <x:v>0</x:v>
      </x:c>
      <x:c r="K263" s="11" t="n">
        <x:f>SUM(B263:J263)</x:f>
        <x:v>35</x:v>
      </x:c>
      <x:c r="L263" s="11" t="n">
        <x:f>'제외 후보'!N263</x:f>
        <x:v>35</x:v>
      </x:c>
      <x:c r="M263" s="2" t="str">
        <x:f>IF(K263=L263,"OK","MISMATCH")</x:f>
        <x:v>OK</x:v>
      </x:c>
    </x:row>
    <x:row r="264">
      <x:c r="A264" s="2" t="str">
        <x:f>'제외 후보'!G264</x:f>
        <x:v>w_3a0ead40a10ebf64</x:v>
      </x:c>
      <x:c r="B264" s="11" t="n">
        <x:f>IF('제외 후보'!Q264&lt;&gt;"",'선정 규칙'!$B$4,0)</x:f>
        <x:v>0</x:v>
      </x:c>
      <x:c r="C264" s="11" t="n">
        <x:f>IF(ISNUMBER(SEARCH("jmdict_uncommon_or_irregular",'제외 후보'!P264)),'선정 규칙'!$B$5,IF(ISNUMBER(SEARCH("jmdict_rare_or_dated",'제외 후보'!P264)),'선정 규칙'!$B$6,0))</x:f>
        <x:v>0</x:v>
      </x:c>
      <x:c r="D264" s="11" t="n">
        <x:f>IF(ISNUMBER(SEARCH("jmdict_exact_pair_not_found",'제외 후보'!P264)),'선정 규칙'!$B$7,0)</x:f>
        <x:v>0</x:v>
      </x:c>
      <x:c r="E264" s="11" t="n">
        <x:f>IF(OR('제외 후보'!L264="",'제외 후보'!L264&lt;=0),'선정 규칙'!$B$8,IF('제외 후보'!L264&lt;=1.5,'선정 규칙'!$B$9,IF('제외 후보'!L264&lt;=2,'선정 규칙'!$B$10,IF('제외 후보'!L264&lt;=2.5,'선정 규칙'!$B$11,IF('제외 후보'!L264&lt;=3,'선정 규칙'!$B$12,IF('제외 후보'!L264&lt;=3.5,'선정 규칙'!$B$13,IF('제외 후보'!L264&gt;=4.5,'선정 규칙'!$B$14,0)))))))</x:f>
        <x:v>12</x:v>
      </x:c>
      <x:c r="F264" s="11" t="n">
        <x:f>IF('제외 후보'!Y264=0,'선정 규칙'!$B$15,IF('제외 후보'!Y264&gt;=100,'선정 규칙'!$B$16,'선정 규칙'!$B$17))</x:f>
        <x:v>12</x:v>
      </x:c>
      <x:c r="G264" s="11" t="n">
        <x:f>IF('제외 후보'!M264="있음",'선정 규칙'!$B$18,'선정 규칙'!$B$19)</x:f>
        <x:v>6</x:v>
      </x:c>
      <x:c r="H264" s="11" t="n">
        <x:f>IF(ISNUMBER(SEARCH("freq-core",'제외 후보'!AD264)),'선정 규칙'!$B$20,0)</x:f>
        <x:v>0</x:v>
      </x:c>
      <x:c r="I264" s="11" t="n">
        <x:f>IF(ISNUMBER(SEARCH("weak_legacy_content",'제외 후보'!P264)),'선정 규칙'!$B$21,0)</x:f>
        <x:v>5</x:v>
      </x:c>
      <x:c r="J264" s="11" t="n">
        <x:f>IF('제외 후보'!AC264&lt;&gt;"",'선정 규칙'!$B$22,0)</x:f>
        <x:v>0</x:v>
      </x:c>
      <x:c r="K264" s="11" t="n">
        <x:f>SUM(B264:J264)</x:f>
        <x:v>35</x:v>
      </x:c>
      <x:c r="L264" s="11" t="n">
        <x:f>'제외 후보'!N264</x:f>
        <x:v>35</x:v>
      </x:c>
      <x:c r="M264" s="2" t="str">
        <x:f>IF(K264=L264,"OK","MISMATCH")</x:f>
        <x:v>OK</x:v>
      </x:c>
    </x:row>
    <x:row r="265">
      <x:c r="A265" s="2" t="str">
        <x:f>'제외 후보'!G265</x:f>
        <x:v>w_24d33f85a5c110ea</x:v>
      </x:c>
      <x:c r="B265" s="11" t="n">
        <x:f>IF('제외 후보'!Q265&lt;&gt;"",'선정 규칙'!$B$4,0)</x:f>
        <x:v>0</x:v>
      </x:c>
      <x:c r="C265" s="11" t="n">
        <x:f>IF(ISNUMBER(SEARCH("jmdict_uncommon_or_irregular",'제외 후보'!P265)),'선정 규칙'!$B$5,IF(ISNUMBER(SEARCH("jmdict_rare_or_dated",'제외 후보'!P265)),'선정 규칙'!$B$6,0))</x:f>
        <x:v>0</x:v>
      </x:c>
      <x:c r="D265" s="11" t="n">
        <x:f>IF(ISNUMBER(SEARCH("jmdict_exact_pair_not_found",'제외 후보'!P265)),'선정 규칙'!$B$7,0)</x:f>
        <x:v>0</x:v>
      </x:c>
      <x:c r="E265" s="11" t="n">
        <x:f>IF(OR('제외 후보'!L265="",'제외 후보'!L265&lt;=0),'선정 규칙'!$B$8,IF('제외 후보'!L265&lt;=1.5,'선정 규칙'!$B$9,IF('제외 후보'!L265&lt;=2,'선정 규칙'!$B$10,IF('제외 후보'!L265&lt;=2.5,'선정 규칙'!$B$11,IF('제외 후보'!L265&lt;=3,'선정 규칙'!$B$12,IF('제외 후보'!L265&lt;=3.5,'선정 규칙'!$B$13,IF('제외 후보'!L265&gt;=4.5,'선정 규칙'!$B$14,0)))))))</x:f>
        <x:v>12</x:v>
      </x:c>
      <x:c r="F265" s="11" t="n">
        <x:f>IF('제외 후보'!Y265=0,'선정 규칙'!$B$15,IF('제외 후보'!Y265&gt;=100,'선정 규칙'!$B$16,'선정 규칙'!$B$17))</x:f>
        <x:v>12</x:v>
      </x:c>
      <x:c r="G265" s="11" t="n">
        <x:f>IF('제외 후보'!M265="있음",'선정 규칙'!$B$18,'선정 규칙'!$B$19)</x:f>
        <x:v>6</x:v>
      </x:c>
      <x:c r="H265" s="11" t="n">
        <x:f>IF(ISNUMBER(SEARCH("freq-core",'제외 후보'!AD265)),'선정 규칙'!$B$20,0)</x:f>
        <x:v>0</x:v>
      </x:c>
      <x:c r="I265" s="11" t="n">
        <x:f>IF(ISNUMBER(SEARCH("weak_legacy_content",'제외 후보'!P265)),'선정 규칙'!$B$21,0)</x:f>
        <x:v>5</x:v>
      </x:c>
      <x:c r="J265" s="11" t="n">
        <x:f>IF('제외 후보'!AC265&lt;&gt;"",'선정 규칙'!$B$22,0)</x:f>
        <x:v>0</x:v>
      </x:c>
      <x:c r="K265" s="11" t="n">
        <x:f>SUM(B265:J265)</x:f>
        <x:v>35</x:v>
      </x:c>
      <x:c r="L265" s="11" t="n">
        <x:f>'제외 후보'!N265</x:f>
        <x:v>35</x:v>
      </x:c>
      <x:c r="M265" s="2" t="str">
        <x:f>IF(K265=L265,"OK","MISMATCH")</x:f>
        <x:v>OK</x:v>
      </x:c>
    </x:row>
    <x:row r="266">
      <x:c r="A266" s="2" t="str">
        <x:f>'제외 후보'!G266</x:f>
        <x:v>w_b9199f61ca833a65</x:v>
      </x:c>
      <x:c r="B266" s="11" t="n">
        <x:f>IF('제외 후보'!Q266&lt;&gt;"",'선정 규칙'!$B$4,0)</x:f>
        <x:v>0</x:v>
      </x:c>
      <x:c r="C266" s="11" t="n">
        <x:f>IF(ISNUMBER(SEARCH("jmdict_uncommon_or_irregular",'제외 후보'!P266)),'선정 규칙'!$B$5,IF(ISNUMBER(SEARCH("jmdict_rare_or_dated",'제외 후보'!P266)),'선정 규칙'!$B$6,0))</x:f>
        <x:v>0</x:v>
      </x:c>
      <x:c r="D266" s="11" t="n">
        <x:f>IF(ISNUMBER(SEARCH("jmdict_exact_pair_not_found",'제외 후보'!P266)),'선정 규칙'!$B$7,0)</x:f>
        <x:v>0</x:v>
      </x:c>
      <x:c r="E266" s="11" t="n">
        <x:f>IF(OR('제외 후보'!L266="",'제외 후보'!L266&lt;=0),'선정 규칙'!$B$8,IF('제외 후보'!L266&lt;=1.5,'선정 규칙'!$B$9,IF('제외 후보'!L266&lt;=2,'선정 규칙'!$B$10,IF('제외 후보'!L266&lt;=2.5,'선정 규칙'!$B$11,IF('제외 후보'!L266&lt;=3,'선정 규칙'!$B$12,IF('제외 후보'!L266&lt;=3.5,'선정 규칙'!$B$13,IF('제외 후보'!L266&gt;=4.5,'선정 규칙'!$B$14,0)))))))</x:f>
        <x:v>12</x:v>
      </x:c>
      <x:c r="F266" s="11" t="n">
        <x:f>IF('제외 후보'!Y266=0,'선정 규칙'!$B$15,IF('제외 후보'!Y266&gt;=100,'선정 규칙'!$B$16,'선정 규칙'!$B$17))</x:f>
        <x:v>12</x:v>
      </x:c>
      <x:c r="G266" s="11" t="n">
        <x:f>IF('제외 후보'!M266="있음",'선정 규칙'!$B$18,'선정 규칙'!$B$19)</x:f>
        <x:v>6</x:v>
      </x:c>
      <x:c r="H266" s="11" t="n">
        <x:f>IF(ISNUMBER(SEARCH("freq-core",'제외 후보'!AD266)),'선정 규칙'!$B$20,0)</x:f>
        <x:v>0</x:v>
      </x:c>
      <x:c r="I266" s="11" t="n">
        <x:f>IF(ISNUMBER(SEARCH("weak_legacy_content",'제외 후보'!P266)),'선정 규칙'!$B$21,0)</x:f>
        <x:v>5</x:v>
      </x:c>
      <x:c r="J266" s="11" t="n">
        <x:f>IF('제외 후보'!AC266&lt;&gt;"",'선정 규칙'!$B$22,0)</x:f>
        <x:v>0</x:v>
      </x:c>
      <x:c r="K266" s="11" t="n">
        <x:f>SUM(B266:J266)</x:f>
        <x:v>35</x:v>
      </x:c>
      <x:c r="L266" s="11" t="n">
        <x:f>'제외 후보'!N266</x:f>
        <x:v>35</x:v>
      </x:c>
      <x:c r="M266" s="2" t="str">
        <x:f>IF(K266=L266,"OK","MISMATCH")</x:f>
        <x:v>OK</x:v>
      </x:c>
    </x:row>
    <x:row r="267">
      <x:c r="A267" s="2" t="str">
        <x:f>'제외 후보'!G267</x:f>
        <x:v>w_cd0c435eb0da8b6c</x:v>
      </x:c>
      <x:c r="B267" s="11" t="n">
        <x:f>IF('제외 후보'!Q267&lt;&gt;"",'선정 규칙'!$B$4,0)</x:f>
        <x:v>0</x:v>
      </x:c>
      <x:c r="C267" s="11" t="n">
        <x:f>IF(ISNUMBER(SEARCH("jmdict_uncommon_or_irregular",'제외 후보'!P267)),'선정 규칙'!$B$5,IF(ISNUMBER(SEARCH("jmdict_rare_or_dated",'제외 후보'!P267)),'선정 규칙'!$B$6,0))</x:f>
        <x:v>0</x:v>
      </x:c>
      <x:c r="D267" s="11" t="n">
        <x:f>IF(ISNUMBER(SEARCH("jmdict_exact_pair_not_found",'제외 후보'!P267)),'선정 규칙'!$B$7,0)</x:f>
        <x:v>0</x:v>
      </x:c>
      <x:c r="E267" s="11" t="n">
        <x:f>IF(OR('제외 후보'!L267="",'제외 후보'!L267&lt;=0),'선정 규칙'!$B$8,IF('제외 후보'!L267&lt;=1.5,'선정 규칙'!$B$9,IF('제외 후보'!L267&lt;=2,'선정 규칙'!$B$10,IF('제외 후보'!L267&lt;=2.5,'선정 규칙'!$B$11,IF('제외 후보'!L267&lt;=3,'선정 규칙'!$B$12,IF('제외 후보'!L267&lt;=3.5,'선정 규칙'!$B$13,IF('제외 후보'!L267&gt;=4.5,'선정 규칙'!$B$14,0)))))))</x:f>
        <x:v>12</x:v>
      </x:c>
      <x:c r="F267" s="11" t="n">
        <x:f>IF('제외 후보'!Y267=0,'선정 규칙'!$B$15,IF('제외 후보'!Y267&gt;=100,'선정 규칙'!$B$16,'선정 규칙'!$B$17))</x:f>
        <x:v>12</x:v>
      </x:c>
      <x:c r="G267" s="11" t="n">
        <x:f>IF('제외 후보'!M267="있음",'선정 규칙'!$B$18,'선정 규칙'!$B$19)</x:f>
        <x:v>6</x:v>
      </x:c>
      <x:c r="H267" s="11" t="n">
        <x:f>IF(ISNUMBER(SEARCH("freq-core",'제외 후보'!AD267)),'선정 규칙'!$B$20,0)</x:f>
        <x:v>0</x:v>
      </x:c>
      <x:c r="I267" s="11" t="n">
        <x:f>IF(ISNUMBER(SEARCH("weak_legacy_content",'제외 후보'!P267)),'선정 규칙'!$B$21,0)</x:f>
        <x:v>5</x:v>
      </x:c>
      <x:c r="J267" s="11" t="n">
        <x:f>IF('제외 후보'!AC267&lt;&gt;"",'선정 규칙'!$B$22,0)</x:f>
        <x:v>0</x:v>
      </x:c>
      <x:c r="K267" s="11" t="n">
        <x:f>SUM(B267:J267)</x:f>
        <x:v>35</x:v>
      </x:c>
      <x:c r="L267" s="11" t="n">
        <x:f>'제외 후보'!N267</x:f>
        <x:v>35</x:v>
      </x:c>
      <x:c r="M267" s="2" t="str">
        <x:f>IF(K267=L267,"OK","MISMATCH")</x:f>
        <x:v>OK</x:v>
      </x:c>
    </x:row>
    <x:row r="268">
      <x:c r="A268" s="2" t="str">
        <x:f>'제외 후보'!G268</x:f>
        <x:v>w_5c3644e2a27ea165</x:v>
      </x:c>
      <x:c r="B268" s="11" t="n">
        <x:f>IF('제외 후보'!Q268&lt;&gt;"",'선정 규칙'!$B$4,0)</x:f>
        <x:v>0</x:v>
      </x:c>
      <x:c r="C268" s="11" t="n">
        <x:f>IF(ISNUMBER(SEARCH("jmdict_uncommon_or_irregular",'제외 후보'!P268)),'선정 규칙'!$B$5,IF(ISNUMBER(SEARCH("jmdict_rare_or_dated",'제외 후보'!P268)),'선정 규칙'!$B$6,0))</x:f>
        <x:v>0</x:v>
      </x:c>
      <x:c r="D268" s="11" t="n">
        <x:f>IF(ISNUMBER(SEARCH("jmdict_exact_pair_not_found",'제외 후보'!P268)),'선정 규칙'!$B$7,0)</x:f>
        <x:v>0</x:v>
      </x:c>
      <x:c r="E268" s="11" t="n">
        <x:f>IF(OR('제외 후보'!L268="",'제외 후보'!L268&lt;=0),'선정 규칙'!$B$8,IF('제외 후보'!L268&lt;=1.5,'선정 규칙'!$B$9,IF('제외 후보'!L268&lt;=2,'선정 규칙'!$B$10,IF('제외 후보'!L268&lt;=2.5,'선정 규칙'!$B$11,IF('제외 후보'!L268&lt;=3,'선정 규칙'!$B$12,IF('제외 후보'!L268&lt;=3.5,'선정 규칙'!$B$13,IF('제외 후보'!L268&gt;=4.5,'선정 규칙'!$B$14,0)))))))</x:f>
        <x:v>12</x:v>
      </x:c>
      <x:c r="F268" s="11" t="n">
        <x:f>IF('제외 후보'!Y268=0,'선정 규칙'!$B$15,IF('제외 후보'!Y268&gt;=100,'선정 규칙'!$B$16,'선정 규칙'!$B$17))</x:f>
        <x:v>12</x:v>
      </x:c>
      <x:c r="G268" s="11" t="n">
        <x:f>IF('제외 후보'!M268="있음",'선정 규칙'!$B$18,'선정 규칙'!$B$19)</x:f>
        <x:v>6</x:v>
      </x:c>
      <x:c r="H268" s="11" t="n">
        <x:f>IF(ISNUMBER(SEARCH("freq-core",'제외 후보'!AD268)),'선정 규칙'!$B$20,0)</x:f>
        <x:v>0</x:v>
      </x:c>
      <x:c r="I268" s="11" t="n">
        <x:f>IF(ISNUMBER(SEARCH("weak_legacy_content",'제외 후보'!P268)),'선정 규칙'!$B$21,0)</x:f>
        <x:v>5</x:v>
      </x:c>
      <x:c r="J268" s="11" t="n">
        <x:f>IF('제외 후보'!AC268&lt;&gt;"",'선정 규칙'!$B$22,0)</x:f>
        <x:v>0</x:v>
      </x:c>
      <x:c r="K268" s="11" t="n">
        <x:f>SUM(B268:J268)</x:f>
        <x:v>35</x:v>
      </x:c>
      <x:c r="L268" s="11" t="n">
        <x:f>'제외 후보'!N268</x:f>
        <x:v>35</x:v>
      </x:c>
      <x:c r="M268" s="2" t="str">
        <x:f>IF(K268=L268,"OK","MISMATCH")</x:f>
        <x:v>OK</x:v>
      </x:c>
    </x:row>
    <x:row r="269">
      <x:c r="A269" s="2" t="str">
        <x:f>'제외 후보'!G269</x:f>
        <x:v>w_9bf537e363a396a0</x:v>
      </x:c>
      <x:c r="B269" s="11" t="n">
        <x:f>IF('제외 후보'!Q269&lt;&gt;"",'선정 규칙'!$B$4,0)</x:f>
        <x:v>0</x:v>
      </x:c>
      <x:c r="C269" s="11" t="n">
        <x:f>IF(ISNUMBER(SEARCH("jmdict_uncommon_or_irregular",'제외 후보'!P269)),'선정 규칙'!$B$5,IF(ISNUMBER(SEARCH("jmdict_rare_or_dated",'제외 후보'!P269)),'선정 규칙'!$B$6,0))</x:f>
        <x:v>0</x:v>
      </x:c>
      <x:c r="D269" s="11" t="n">
        <x:f>IF(ISNUMBER(SEARCH("jmdict_exact_pair_not_found",'제외 후보'!P269)),'선정 규칙'!$B$7,0)</x:f>
        <x:v>0</x:v>
      </x:c>
      <x:c r="E269" s="11" t="n">
        <x:f>IF(OR('제외 후보'!L269="",'제외 후보'!L269&lt;=0),'선정 규칙'!$B$8,IF('제외 후보'!L269&lt;=1.5,'선정 규칙'!$B$9,IF('제외 후보'!L269&lt;=2,'선정 규칙'!$B$10,IF('제외 후보'!L269&lt;=2.5,'선정 규칙'!$B$11,IF('제외 후보'!L269&lt;=3,'선정 규칙'!$B$12,IF('제외 후보'!L269&lt;=3.5,'선정 규칙'!$B$13,IF('제외 후보'!L269&gt;=4.5,'선정 규칙'!$B$14,0)))))))</x:f>
        <x:v>12</x:v>
      </x:c>
      <x:c r="F269" s="11" t="n">
        <x:f>IF('제외 후보'!Y269=0,'선정 규칙'!$B$15,IF('제외 후보'!Y269&gt;=100,'선정 규칙'!$B$16,'선정 규칙'!$B$17))</x:f>
        <x:v>12</x:v>
      </x:c>
      <x:c r="G269" s="11" t="n">
        <x:f>IF('제외 후보'!M269="있음",'선정 규칙'!$B$18,'선정 규칙'!$B$19)</x:f>
        <x:v>6</x:v>
      </x:c>
      <x:c r="H269" s="11" t="n">
        <x:f>IF(ISNUMBER(SEARCH("freq-core",'제외 후보'!AD269)),'선정 규칙'!$B$20,0)</x:f>
        <x:v>0</x:v>
      </x:c>
      <x:c r="I269" s="11" t="n">
        <x:f>IF(ISNUMBER(SEARCH("weak_legacy_content",'제외 후보'!P269)),'선정 규칙'!$B$21,0)</x:f>
        <x:v>5</x:v>
      </x:c>
      <x:c r="J269" s="11" t="n">
        <x:f>IF('제외 후보'!AC269&lt;&gt;"",'선정 규칙'!$B$22,0)</x:f>
        <x:v>0</x:v>
      </x:c>
      <x:c r="K269" s="11" t="n">
        <x:f>SUM(B269:J269)</x:f>
        <x:v>35</x:v>
      </x:c>
      <x:c r="L269" s="11" t="n">
        <x:f>'제외 후보'!N269</x:f>
        <x:v>35</x:v>
      </x:c>
      <x:c r="M269" s="2" t="str">
        <x:f>IF(K269=L269,"OK","MISMATCH")</x:f>
        <x:v>OK</x:v>
      </x:c>
    </x:row>
    <x:row r="270">
      <x:c r="A270" s="2" t="str">
        <x:f>'제외 후보'!G270</x:f>
        <x:v>w_2130a9162a1ba310</x:v>
      </x:c>
      <x:c r="B270" s="11" t="n">
        <x:f>IF('제외 후보'!Q270&lt;&gt;"",'선정 규칙'!$B$4,0)</x:f>
        <x:v>0</x:v>
      </x:c>
      <x:c r="C270" s="11" t="n">
        <x:f>IF(ISNUMBER(SEARCH("jmdict_uncommon_or_irregular",'제외 후보'!P270)),'선정 규칙'!$B$5,IF(ISNUMBER(SEARCH("jmdict_rare_or_dated",'제외 후보'!P270)),'선정 규칙'!$B$6,0))</x:f>
        <x:v>0</x:v>
      </x:c>
      <x:c r="D270" s="11" t="n">
        <x:f>IF(ISNUMBER(SEARCH("jmdict_exact_pair_not_found",'제외 후보'!P270)),'선정 규칙'!$B$7,0)</x:f>
        <x:v>0</x:v>
      </x:c>
      <x:c r="E270" s="11" t="n">
        <x:f>IF(OR('제외 후보'!L270="",'제외 후보'!L270&lt;=0),'선정 규칙'!$B$8,IF('제외 후보'!L270&lt;=1.5,'선정 규칙'!$B$9,IF('제외 후보'!L270&lt;=2,'선정 규칙'!$B$10,IF('제외 후보'!L270&lt;=2.5,'선정 규칙'!$B$11,IF('제외 후보'!L270&lt;=3,'선정 규칙'!$B$12,IF('제외 후보'!L270&lt;=3.5,'선정 규칙'!$B$13,IF('제외 후보'!L270&gt;=4.5,'선정 규칙'!$B$14,0)))))))</x:f>
        <x:v>12</x:v>
      </x:c>
      <x:c r="F270" s="11" t="n">
        <x:f>IF('제외 후보'!Y270=0,'선정 규칙'!$B$15,IF('제외 후보'!Y270&gt;=100,'선정 규칙'!$B$16,'선정 규칙'!$B$17))</x:f>
        <x:v>12</x:v>
      </x:c>
      <x:c r="G270" s="11" t="n">
        <x:f>IF('제외 후보'!M270="있음",'선정 규칙'!$B$18,'선정 규칙'!$B$19)</x:f>
        <x:v>6</x:v>
      </x:c>
      <x:c r="H270" s="11" t="n">
        <x:f>IF(ISNUMBER(SEARCH("freq-core",'제외 후보'!AD270)),'선정 규칙'!$B$20,0)</x:f>
        <x:v>0</x:v>
      </x:c>
      <x:c r="I270" s="11" t="n">
        <x:f>IF(ISNUMBER(SEARCH("weak_legacy_content",'제외 후보'!P270)),'선정 규칙'!$B$21,0)</x:f>
        <x:v>5</x:v>
      </x:c>
      <x:c r="J270" s="11" t="n">
        <x:f>IF('제외 후보'!AC270&lt;&gt;"",'선정 규칙'!$B$22,0)</x:f>
        <x:v>0</x:v>
      </x:c>
      <x:c r="K270" s="11" t="n">
        <x:f>SUM(B270:J270)</x:f>
        <x:v>35</x:v>
      </x:c>
      <x:c r="L270" s="11" t="n">
        <x:f>'제외 후보'!N270</x:f>
        <x:v>35</x:v>
      </x:c>
      <x:c r="M270" s="2" t="str">
        <x:f>IF(K270=L270,"OK","MISMATCH")</x:f>
        <x:v>OK</x:v>
      </x:c>
    </x:row>
    <x:row r="271">
      <x:c r="A271" s="2" t="str">
        <x:f>'제외 후보'!G271</x:f>
        <x:v>w_7555d08859aa3cb6</x:v>
      </x:c>
      <x:c r="B271" s="11" t="n">
        <x:f>IF('제외 후보'!Q271&lt;&gt;"",'선정 규칙'!$B$4,0)</x:f>
        <x:v>0</x:v>
      </x:c>
      <x:c r="C271" s="11" t="n">
        <x:f>IF(ISNUMBER(SEARCH("jmdict_uncommon_or_irregular",'제외 후보'!P271)),'선정 규칙'!$B$5,IF(ISNUMBER(SEARCH("jmdict_rare_or_dated",'제외 후보'!P271)),'선정 규칙'!$B$6,0))</x:f>
        <x:v>0</x:v>
      </x:c>
      <x:c r="D271" s="11" t="n">
        <x:f>IF(ISNUMBER(SEARCH("jmdict_exact_pair_not_found",'제외 후보'!P271)),'선정 규칙'!$B$7,0)</x:f>
        <x:v>0</x:v>
      </x:c>
      <x:c r="E271" s="11" t="n">
        <x:f>IF(OR('제외 후보'!L271="",'제외 후보'!L271&lt;=0),'선정 규칙'!$B$8,IF('제외 후보'!L271&lt;=1.5,'선정 규칙'!$B$9,IF('제외 후보'!L271&lt;=2,'선정 규칙'!$B$10,IF('제외 후보'!L271&lt;=2.5,'선정 규칙'!$B$11,IF('제외 후보'!L271&lt;=3,'선정 규칙'!$B$12,IF('제외 후보'!L271&lt;=3.5,'선정 규칙'!$B$13,IF('제외 후보'!L271&gt;=4.5,'선정 규칙'!$B$14,0)))))))</x:f>
        <x:v>12</x:v>
      </x:c>
      <x:c r="F271" s="11" t="n">
        <x:f>IF('제외 후보'!Y271=0,'선정 규칙'!$B$15,IF('제외 후보'!Y271&gt;=100,'선정 규칙'!$B$16,'선정 규칙'!$B$17))</x:f>
        <x:v>12</x:v>
      </x:c>
      <x:c r="G271" s="11" t="n">
        <x:f>IF('제외 후보'!M271="있음",'선정 규칙'!$B$18,'선정 규칙'!$B$19)</x:f>
        <x:v>6</x:v>
      </x:c>
      <x:c r="H271" s="11" t="n">
        <x:f>IF(ISNUMBER(SEARCH("freq-core",'제외 후보'!AD271)),'선정 규칙'!$B$20,0)</x:f>
        <x:v>0</x:v>
      </x:c>
      <x:c r="I271" s="11" t="n">
        <x:f>IF(ISNUMBER(SEARCH("weak_legacy_content",'제외 후보'!P271)),'선정 규칙'!$B$21,0)</x:f>
        <x:v>5</x:v>
      </x:c>
      <x:c r="J271" s="11" t="n">
        <x:f>IF('제외 후보'!AC271&lt;&gt;"",'선정 규칙'!$B$22,0)</x:f>
        <x:v>0</x:v>
      </x:c>
      <x:c r="K271" s="11" t="n">
        <x:f>SUM(B271:J271)</x:f>
        <x:v>35</x:v>
      </x:c>
      <x:c r="L271" s="11" t="n">
        <x:f>'제외 후보'!N271</x:f>
        <x:v>35</x:v>
      </x:c>
      <x:c r="M271" s="2" t="str">
        <x:f>IF(K271=L271,"OK","MISMATCH")</x:f>
        <x:v>OK</x:v>
      </x:c>
    </x:row>
    <x:row r="272">
      <x:c r="A272" s="2" t="str">
        <x:f>'제외 후보'!G272</x:f>
        <x:v>w_9e941e422d0eaa6d</x:v>
      </x:c>
      <x:c r="B272" s="11" t="n">
        <x:f>IF('제외 후보'!Q272&lt;&gt;"",'선정 규칙'!$B$4,0)</x:f>
        <x:v>0</x:v>
      </x:c>
      <x:c r="C272" s="11" t="n">
        <x:f>IF(ISNUMBER(SEARCH("jmdict_uncommon_or_irregular",'제외 후보'!P272)),'선정 규칙'!$B$5,IF(ISNUMBER(SEARCH("jmdict_rare_or_dated",'제외 후보'!P272)),'선정 규칙'!$B$6,0))</x:f>
        <x:v>0</x:v>
      </x:c>
      <x:c r="D272" s="11" t="n">
        <x:f>IF(ISNUMBER(SEARCH("jmdict_exact_pair_not_found",'제외 후보'!P272)),'선정 규칙'!$B$7,0)</x:f>
        <x:v>0</x:v>
      </x:c>
      <x:c r="E272" s="11" t="n">
        <x:f>IF(OR('제외 후보'!L272="",'제외 후보'!L272&lt;=0),'선정 규칙'!$B$8,IF('제외 후보'!L272&lt;=1.5,'선정 규칙'!$B$9,IF('제외 후보'!L272&lt;=2,'선정 규칙'!$B$10,IF('제외 후보'!L272&lt;=2.5,'선정 규칙'!$B$11,IF('제외 후보'!L272&lt;=3,'선정 규칙'!$B$12,IF('제외 후보'!L272&lt;=3.5,'선정 규칙'!$B$13,IF('제외 후보'!L272&gt;=4.5,'선정 규칙'!$B$14,0)))))))</x:f>
        <x:v>12</x:v>
      </x:c>
      <x:c r="F272" s="11" t="n">
        <x:f>IF('제외 후보'!Y272=0,'선정 규칙'!$B$15,IF('제외 후보'!Y272&gt;=100,'선정 규칙'!$B$16,'선정 규칙'!$B$17))</x:f>
        <x:v>12</x:v>
      </x:c>
      <x:c r="G272" s="11" t="n">
        <x:f>IF('제외 후보'!M272="있음",'선정 규칙'!$B$18,'선정 규칙'!$B$19)</x:f>
        <x:v>6</x:v>
      </x:c>
      <x:c r="H272" s="11" t="n">
        <x:f>IF(ISNUMBER(SEARCH("freq-core",'제외 후보'!AD272)),'선정 규칙'!$B$20,0)</x:f>
        <x:v>0</x:v>
      </x:c>
      <x:c r="I272" s="11" t="n">
        <x:f>IF(ISNUMBER(SEARCH("weak_legacy_content",'제외 후보'!P272)),'선정 규칙'!$B$21,0)</x:f>
        <x:v>5</x:v>
      </x:c>
      <x:c r="J272" s="11" t="n">
        <x:f>IF('제외 후보'!AC272&lt;&gt;"",'선정 규칙'!$B$22,0)</x:f>
        <x:v>0</x:v>
      </x:c>
      <x:c r="K272" s="11" t="n">
        <x:f>SUM(B272:J272)</x:f>
        <x:v>35</x:v>
      </x:c>
      <x:c r="L272" s="11" t="n">
        <x:f>'제외 후보'!N272</x:f>
        <x:v>35</x:v>
      </x:c>
      <x:c r="M272" s="2" t="str">
        <x:f>IF(K272=L272,"OK","MISMATCH")</x:f>
        <x:v>OK</x:v>
      </x:c>
    </x:row>
    <x:row r="273">
      <x:c r="A273" s="2" t="str">
        <x:f>'제외 후보'!G273</x:f>
        <x:v>w_3170db651484c889</x:v>
      </x:c>
      <x:c r="B273" s="11" t="n">
        <x:f>IF('제외 후보'!Q273&lt;&gt;"",'선정 규칙'!$B$4,0)</x:f>
        <x:v>0</x:v>
      </x:c>
      <x:c r="C273" s="11" t="n">
        <x:f>IF(ISNUMBER(SEARCH("jmdict_uncommon_or_irregular",'제외 후보'!P273)),'선정 규칙'!$B$5,IF(ISNUMBER(SEARCH("jmdict_rare_or_dated",'제외 후보'!P273)),'선정 규칙'!$B$6,0))</x:f>
        <x:v>0</x:v>
      </x:c>
      <x:c r="D273" s="11" t="n">
        <x:f>IF(ISNUMBER(SEARCH("jmdict_exact_pair_not_found",'제외 후보'!P273)),'선정 규칙'!$B$7,0)</x:f>
        <x:v>0</x:v>
      </x:c>
      <x:c r="E273" s="11" t="n">
        <x:f>IF(OR('제외 후보'!L273="",'제외 후보'!L273&lt;=0),'선정 규칙'!$B$8,IF('제외 후보'!L273&lt;=1.5,'선정 규칙'!$B$9,IF('제외 후보'!L273&lt;=2,'선정 규칙'!$B$10,IF('제외 후보'!L273&lt;=2.5,'선정 규칙'!$B$11,IF('제외 후보'!L273&lt;=3,'선정 규칙'!$B$12,IF('제외 후보'!L273&lt;=3.5,'선정 규칙'!$B$13,IF('제외 후보'!L273&gt;=4.5,'선정 규칙'!$B$14,0)))))))</x:f>
        <x:v>12</x:v>
      </x:c>
      <x:c r="F273" s="11" t="n">
        <x:f>IF('제외 후보'!Y273=0,'선정 규칙'!$B$15,IF('제외 후보'!Y273&gt;=100,'선정 규칙'!$B$16,'선정 규칙'!$B$17))</x:f>
        <x:v>12</x:v>
      </x:c>
      <x:c r="G273" s="11" t="n">
        <x:f>IF('제외 후보'!M273="있음",'선정 규칙'!$B$18,'선정 규칙'!$B$19)</x:f>
        <x:v>6</x:v>
      </x:c>
      <x:c r="H273" s="11" t="n">
        <x:f>IF(ISNUMBER(SEARCH("freq-core",'제외 후보'!AD273)),'선정 규칙'!$B$20,0)</x:f>
        <x:v>0</x:v>
      </x:c>
      <x:c r="I273" s="11" t="n">
        <x:f>IF(ISNUMBER(SEARCH("weak_legacy_content",'제외 후보'!P273)),'선정 규칙'!$B$21,0)</x:f>
        <x:v>5</x:v>
      </x:c>
      <x:c r="J273" s="11" t="n">
        <x:f>IF('제외 후보'!AC273&lt;&gt;"",'선정 규칙'!$B$22,0)</x:f>
        <x:v>0</x:v>
      </x:c>
      <x:c r="K273" s="11" t="n">
        <x:f>SUM(B273:J273)</x:f>
        <x:v>35</x:v>
      </x:c>
      <x:c r="L273" s="11" t="n">
        <x:f>'제외 후보'!N273</x:f>
        <x:v>35</x:v>
      </x:c>
      <x:c r="M273" s="2" t="str">
        <x:f>IF(K273=L273,"OK","MISMATCH")</x:f>
        <x:v>OK</x:v>
      </x:c>
    </x:row>
    <x:row r="274">
      <x:c r="A274" s="2" t="str">
        <x:f>'제외 후보'!G274</x:f>
        <x:v>w_67b28b63ac4251b5</x:v>
      </x:c>
      <x:c r="B274" s="11" t="n">
        <x:f>IF('제외 후보'!Q274&lt;&gt;"",'선정 규칙'!$B$4,0)</x:f>
        <x:v>0</x:v>
      </x:c>
      <x:c r="C274" s="11" t="n">
        <x:f>IF(ISNUMBER(SEARCH("jmdict_uncommon_or_irregular",'제외 후보'!P274)),'선정 규칙'!$B$5,IF(ISNUMBER(SEARCH("jmdict_rare_or_dated",'제외 후보'!P274)),'선정 규칙'!$B$6,0))</x:f>
        <x:v>0</x:v>
      </x:c>
      <x:c r="D274" s="11" t="n">
        <x:f>IF(ISNUMBER(SEARCH("jmdict_exact_pair_not_found",'제외 후보'!P274)),'선정 규칙'!$B$7,0)</x:f>
        <x:v>0</x:v>
      </x:c>
      <x:c r="E274" s="11" t="n">
        <x:f>IF(OR('제외 후보'!L274="",'제외 후보'!L274&lt;=0),'선정 규칙'!$B$8,IF('제외 후보'!L274&lt;=1.5,'선정 규칙'!$B$9,IF('제외 후보'!L274&lt;=2,'선정 규칙'!$B$10,IF('제외 후보'!L274&lt;=2.5,'선정 규칙'!$B$11,IF('제외 후보'!L274&lt;=3,'선정 규칙'!$B$12,IF('제외 후보'!L274&lt;=3.5,'선정 규칙'!$B$13,IF('제외 후보'!L274&gt;=4.5,'선정 규칙'!$B$14,0)))))))</x:f>
        <x:v>12</x:v>
      </x:c>
      <x:c r="F274" s="11" t="n">
        <x:f>IF('제외 후보'!Y274=0,'선정 규칙'!$B$15,IF('제외 후보'!Y274&gt;=100,'선정 규칙'!$B$16,'선정 규칙'!$B$17))</x:f>
        <x:v>12</x:v>
      </x:c>
      <x:c r="G274" s="11" t="n">
        <x:f>IF('제외 후보'!M274="있음",'선정 규칙'!$B$18,'선정 규칙'!$B$19)</x:f>
        <x:v>6</x:v>
      </x:c>
      <x:c r="H274" s="11" t="n">
        <x:f>IF(ISNUMBER(SEARCH("freq-core",'제외 후보'!AD274)),'선정 규칙'!$B$20,0)</x:f>
        <x:v>0</x:v>
      </x:c>
      <x:c r="I274" s="11" t="n">
        <x:f>IF(ISNUMBER(SEARCH("weak_legacy_content",'제외 후보'!P274)),'선정 규칙'!$B$21,0)</x:f>
        <x:v>5</x:v>
      </x:c>
      <x:c r="J274" s="11" t="n">
        <x:f>IF('제외 후보'!AC274&lt;&gt;"",'선정 규칙'!$B$22,0)</x:f>
        <x:v>0</x:v>
      </x:c>
      <x:c r="K274" s="11" t="n">
        <x:f>SUM(B274:J274)</x:f>
        <x:v>35</x:v>
      </x:c>
      <x:c r="L274" s="11" t="n">
        <x:f>'제외 후보'!N274</x:f>
        <x:v>35</x:v>
      </x:c>
      <x:c r="M274" s="2" t="str">
        <x:f>IF(K274=L274,"OK","MISMATCH")</x:f>
        <x:v>OK</x:v>
      </x:c>
    </x:row>
    <x:row r="275">
      <x:c r="A275" s="2" t="str">
        <x:f>'제외 후보'!G275</x:f>
        <x:v>w_f5eb2732357074b8</x:v>
      </x:c>
      <x:c r="B275" s="11" t="n">
        <x:f>IF('제외 후보'!Q275&lt;&gt;"",'선정 규칙'!$B$4,0)</x:f>
        <x:v>0</x:v>
      </x:c>
      <x:c r="C275" s="11" t="n">
        <x:f>IF(ISNUMBER(SEARCH("jmdict_uncommon_or_irregular",'제외 후보'!P275)),'선정 규칙'!$B$5,IF(ISNUMBER(SEARCH("jmdict_rare_or_dated",'제외 후보'!P275)),'선정 규칙'!$B$6,0))</x:f>
        <x:v>0</x:v>
      </x:c>
      <x:c r="D275" s="11" t="n">
        <x:f>IF(ISNUMBER(SEARCH("jmdict_exact_pair_not_found",'제외 후보'!P275)),'선정 규칙'!$B$7,0)</x:f>
        <x:v>0</x:v>
      </x:c>
      <x:c r="E275" s="11" t="n">
        <x:f>IF(OR('제외 후보'!L275="",'제외 후보'!L275&lt;=0),'선정 규칙'!$B$8,IF('제외 후보'!L275&lt;=1.5,'선정 규칙'!$B$9,IF('제외 후보'!L275&lt;=2,'선정 규칙'!$B$10,IF('제외 후보'!L275&lt;=2.5,'선정 규칙'!$B$11,IF('제외 후보'!L275&lt;=3,'선정 규칙'!$B$12,IF('제외 후보'!L275&lt;=3.5,'선정 규칙'!$B$13,IF('제외 후보'!L275&gt;=4.5,'선정 규칙'!$B$14,0)))))))</x:f>
        <x:v>12</x:v>
      </x:c>
      <x:c r="F275" s="11" t="n">
        <x:f>IF('제외 후보'!Y275=0,'선정 규칙'!$B$15,IF('제외 후보'!Y275&gt;=100,'선정 규칙'!$B$16,'선정 규칙'!$B$17))</x:f>
        <x:v>12</x:v>
      </x:c>
      <x:c r="G275" s="11" t="n">
        <x:f>IF('제외 후보'!M275="있음",'선정 규칙'!$B$18,'선정 규칙'!$B$19)</x:f>
        <x:v>6</x:v>
      </x:c>
      <x:c r="H275" s="11" t="n">
        <x:f>IF(ISNUMBER(SEARCH("freq-core",'제외 후보'!AD275)),'선정 규칙'!$B$20,0)</x:f>
        <x:v>0</x:v>
      </x:c>
      <x:c r="I275" s="11" t="n">
        <x:f>IF(ISNUMBER(SEARCH("weak_legacy_content",'제외 후보'!P275)),'선정 규칙'!$B$21,0)</x:f>
        <x:v>5</x:v>
      </x:c>
      <x:c r="J275" s="11" t="n">
        <x:f>IF('제외 후보'!AC275&lt;&gt;"",'선정 규칙'!$B$22,0)</x:f>
        <x:v>0</x:v>
      </x:c>
      <x:c r="K275" s="11" t="n">
        <x:f>SUM(B275:J275)</x:f>
        <x:v>35</x:v>
      </x:c>
      <x:c r="L275" s="11" t="n">
        <x:f>'제외 후보'!N275</x:f>
        <x:v>35</x:v>
      </x:c>
      <x:c r="M275" s="2" t="str">
        <x:f>IF(K275=L275,"OK","MISMATCH")</x:f>
        <x:v>OK</x:v>
      </x:c>
    </x:row>
    <x:row r="276">
      <x:c r="A276" s="2" t="str">
        <x:f>'제외 후보'!G276</x:f>
        <x:v>w_dcf8adb8149357af</x:v>
      </x:c>
      <x:c r="B276" s="11" t="n">
        <x:f>IF('제외 후보'!Q276&lt;&gt;"",'선정 규칙'!$B$4,0)</x:f>
        <x:v>0</x:v>
      </x:c>
      <x:c r="C276" s="11" t="n">
        <x:f>IF(ISNUMBER(SEARCH("jmdict_uncommon_or_irregular",'제외 후보'!P276)),'선정 규칙'!$B$5,IF(ISNUMBER(SEARCH("jmdict_rare_or_dated",'제외 후보'!P276)),'선정 규칙'!$B$6,0))</x:f>
        <x:v>0</x:v>
      </x:c>
      <x:c r="D276" s="11" t="n">
        <x:f>IF(ISNUMBER(SEARCH("jmdict_exact_pair_not_found",'제외 후보'!P276)),'선정 규칙'!$B$7,0)</x:f>
        <x:v>0</x:v>
      </x:c>
      <x:c r="E276" s="11" t="n">
        <x:f>IF(OR('제외 후보'!L276="",'제외 후보'!L276&lt;=0),'선정 규칙'!$B$8,IF('제외 후보'!L276&lt;=1.5,'선정 규칙'!$B$9,IF('제외 후보'!L276&lt;=2,'선정 규칙'!$B$10,IF('제외 후보'!L276&lt;=2.5,'선정 규칙'!$B$11,IF('제외 후보'!L276&lt;=3,'선정 규칙'!$B$12,IF('제외 후보'!L276&lt;=3.5,'선정 규칙'!$B$13,IF('제외 후보'!L276&gt;=4.5,'선정 규칙'!$B$14,0)))))))</x:f>
        <x:v>12</x:v>
      </x:c>
      <x:c r="F276" s="11" t="n">
        <x:f>IF('제외 후보'!Y276=0,'선정 규칙'!$B$15,IF('제외 후보'!Y276&gt;=100,'선정 규칙'!$B$16,'선정 규칙'!$B$17))</x:f>
        <x:v>12</x:v>
      </x:c>
      <x:c r="G276" s="11" t="n">
        <x:f>IF('제외 후보'!M276="있음",'선정 규칙'!$B$18,'선정 규칙'!$B$19)</x:f>
        <x:v>6</x:v>
      </x:c>
      <x:c r="H276" s="11" t="n">
        <x:f>IF(ISNUMBER(SEARCH("freq-core",'제외 후보'!AD276)),'선정 규칙'!$B$20,0)</x:f>
        <x:v>0</x:v>
      </x:c>
      <x:c r="I276" s="11" t="n">
        <x:f>IF(ISNUMBER(SEARCH("weak_legacy_content",'제외 후보'!P276)),'선정 규칙'!$B$21,0)</x:f>
        <x:v>5</x:v>
      </x:c>
      <x:c r="J276" s="11" t="n">
        <x:f>IF('제외 후보'!AC276&lt;&gt;"",'선정 규칙'!$B$22,0)</x:f>
        <x:v>0</x:v>
      </x:c>
      <x:c r="K276" s="11" t="n">
        <x:f>SUM(B276:J276)</x:f>
        <x:v>35</x:v>
      </x:c>
      <x:c r="L276" s="11" t="n">
        <x:f>'제외 후보'!N276</x:f>
        <x:v>35</x:v>
      </x:c>
      <x:c r="M276" s="2" t="str">
        <x:f>IF(K276=L276,"OK","MISMATCH")</x:f>
        <x:v>OK</x:v>
      </x:c>
    </x:row>
    <x:row r="277">
      <x:c r="A277" s="2" t="str">
        <x:f>'제외 후보'!G277</x:f>
        <x:v>w_a5ad65880b0acc9d</x:v>
      </x:c>
      <x:c r="B277" s="11" t="n">
        <x:f>IF('제외 후보'!Q277&lt;&gt;"",'선정 규칙'!$B$4,0)</x:f>
        <x:v>0</x:v>
      </x:c>
      <x:c r="C277" s="11" t="n">
        <x:f>IF(ISNUMBER(SEARCH("jmdict_uncommon_or_irregular",'제외 후보'!P277)),'선정 규칙'!$B$5,IF(ISNUMBER(SEARCH("jmdict_rare_or_dated",'제외 후보'!P277)),'선정 규칙'!$B$6,0))</x:f>
        <x:v>0</x:v>
      </x:c>
      <x:c r="D277" s="11" t="n">
        <x:f>IF(ISNUMBER(SEARCH("jmdict_exact_pair_not_found",'제외 후보'!P277)),'선정 규칙'!$B$7,0)</x:f>
        <x:v>0</x:v>
      </x:c>
      <x:c r="E277" s="11" t="n">
        <x:f>IF(OR('제외 후보'!L277="",'제외 후보'!L277&lt;=0),'선정 규칙'!$B$8,IF('제외 후보'!L277&lt;=1.5,'선정 규칙'!$B$9,IF('제외 후보'!L277&lt;=2,'선정 규칙'!$B$10,IF('제외 후보'!L277&lt;=2.5,'선정 규칙'!$B$11,IF('제외 후보'!L277&lt;=3,'선정 규칙'!$B$12,IF('제외 후보'!L277&lt;=3.5,'선정 규칙'!$B$13,IF('제외 후보'!L277&gt;=4.5,'선정 규칙'!$B$14,0)))))))</x:f>
        <x:v>12</x:v>
      </x:c>
      <x:c r="F277" s="11" t="n">
        <x:f>IF('제외 후보'!Y277=0,'선정 규칙'!$B$15,IF('제외 후보'!Y277&gt;=100,'선정 규칙'!$B$16,'선정 규칙'!$B$17))</x:f>
        <x:v>12</x:v>
      </x:c>
      <x:c r="G277" s="11" t="n">
        <x:f>IF('제외 후보'!M277="있음",'선정 규칙'!$B$18,'선정 규칙'!$B$19)</x:f>
        <x:v>6</x:v>
      </x:c>
      <x:c r="H277" s="11" t="n">
        <x:f>IF(ISNUMBER(SEARCH("freq-core",'제외 후보'!AD277)),'선정 규칙'!$B$20,0)</x:f>
        <x:v>0</x:v>
      </x:c>
      <x:c r="I277" s="11" t="n">
        <x:f>IF(ISNUMBER(SEARCH("weak_legacy_content",'제외 후보'!P277)),'선정 규칙'!$B$21,0)</x:f>
        <x:v>5</x:v>
      </x:c>
      <x:c r="J277" s="11" t="n">
        <x:f>IF('제외 후보'!AC277&lt;&gt;"",'선정 규칙'!$B$22,0)</x:f>
        <x:v>0</x:v>
      </x:c>
      <x:c r="K277" s="11" t="n">
        <x:f>SUM(B277:J277)</x:f>
        <x:v>35</x:v>
      </x:c>
      <x:c r="L277" s="11" t="n">
        <x:f>'제외 후보'!N277</x:f>
        <x:v>35</x:v>
      </x:c>
      <x:c r="M277" s="2" t="str">
        <x:f>IF(K277=L277,"OK","MISMATCH")</x:f>
        <x:v>OK</x:v>
      </x:c>
    </x:row>
    <x:row r="278">
      <x:c r="A278" s="2" t="str">
        <x:f>'제외 후보'!G278</x:f>
        <x:v>w_db53efb60310ae4f</x:v>
      </x:c>
      <x:c r="B278" s="11" t="n">
        <x:f>IF('제외 후보'!Q278&lt;&gt;"",'선정 규칙'!$B$4,0)</x:f>
        <x:v>0</x:v>
      </x:c>
      <x:c r="C278" s="11" t="n">
        <x:f>IF(ISNUMBER(SEARCH("jmdict_uncommon_or_irregular",'제외 후보'!P278)),'선정 규칙'!$B$5,IF(ISNUMBER(SEARCH("jmdict_rare_or_dated",'제외 후보'!P278)),'선정 규칙'!$B$6,0))</x:f>
        <x:v>0</x:v>
      </x:c>
      <x:c r="D278" s="11" t="n">
        <x:f>IF(ISNUMBER(SEARCH("jmdict_exact_pair_not_found",'제외 후보'!P278)),'선정 규칙'!$B$7,0)</x:f>
        <x:v>0</x:v>
      </x:c>
      <x:c r="E278" s="11" t="n">
        <x:f>IF(OR('제외 후보'!L278="",'제외 후보'!L278&lt;=0),'선정 규칙'!$B$8,IF('제외 후보'!L278&lt;=1.5,'선정 규칙'!$B$9,IF('제외 후보'!L278&lt;=2,'선정 규칙'!$B$10,IF('제외 후보'!L278&lt;=2.5,'선정 규칙'!$B$11,IF('제외 후보'!L278&lt;=3,'선정 규칙'!$B$12,IF('제외 후보'!L278&lt;=3.5,'선정 규칙'!$B$13,IF('제외 후보'!L278&gt;=4.5,'선정 규칙'!$B$14,0)))))))</x:f>
        <x:v>12</x:v>
      </x:c>
      <x:c r="F278" s="11" t="n">
        <x:f>IF('제외 후보'!Y278=0,'선정 규칙'!$B$15,IF('제외 후보'!Y278&gt;=100,'선정 규칙'!$B$16,'선정 규칙'!$B$17))</x:f>
        <x:v>12</x:v>
      </x:c>
      <x:c r="G278" s="11" t="n">
        <x:f>IF('제외 후보'!M278="있음",'선정 규칙'!$B$18,'선정 규칙'!$B$19)</x:f>
        <x:v>6</x:v>
      </x:c>
      <x:c r="H278" s="11" t="n">
        <x:f>IF(ISNUMBER(SEARCH("freq-core",'제외 후보'!AD278)),'선정 규칙'!$B$20,0)</x:f>
        <x:v>0</x:v>
      </x:c>
      <x:c r="I278" s="11" t="n">
        <x:f>IF(ISNUMBER(SEARCH("weak_legacy_content",'제외 후보'!P278)),'선정 규칙'!$B$21,0)</x:f>
        <x:v>5</x:v>
      </x:c>
      <x:c r="J278" s="11" t="n">
        <x:f>IF('제외 후보'!AC278&lt;&gt;"",'선정 규칙'!$B$22,0)</x:f>
        <x:v>0</x:v>
      </x:c>
      <x:c r="K278" s="11" t="n">
        <x:f>SUM(B278:J278)</x:f>
        <x:v>35</x:v>
      </x:c>
      <x:c r="L278" s="11" t="n">
        <x:f>'제외 후보'!N278</x:f>
        <x:v>35</x:v>
      </x:c>
      <x:c r="M278" s="2" t="str">
        <x:f>IF(K278=L278,"OK","MISMATCH")</x:f>
        <x:v>OK</x:v>
      </x:c>
    </x:row>
    <x:row r="279">
      <x:c r="A279" s="2" t="str">
        <x:f>'제외 후보'!G279</x:f>
        <x:v>w_a4442edf133878ec</x:v>
      </x:c>
      <x:c r="B279" s="11" t="n">
        <x:f>IF('제외 후보'!Q279&lt;&gt;"",'선정 규칙'!$B$4,0)</x:f>
        <x:v>0</x:v>
      </x:c>
      <x:c r="C279" s="11" t="n">
        <x:f>IF(ISNUMBER(SEARCH("jmdict_uncommon_or_irregular",'제외 후보'!P279)),'선정 규칙'!$B$5,IF(ISNUMBER(SEARCH("jmdict_rare_or_dated",'제외 후보'!P279)),'선정 규칙'!$B$6,0))</x:f>
        <x:v>0</x:v>
      </x:c>
      <x:c r="D279" s="11" t="n">
        <x:f>IF(ISNUMBER(SEARCH("jmdict_exact_pair_not_found",'제외 후보'!P279)),'선정 규칙'!$B$7,0)</x:f>
        <x:v>0</x:v>
      </x:c>
      <x:c r="E279" s="11" t="n">
        <x:f>IF(OR('제외 후보'!L279="",'제외 후보'!L279&lt;=0),'선정 규칙'!$B$8,IF('제외 후보'!L279&lt;=1.5,'선정 규칙'!$B$9,IF('제외 후보'!L279&lt;=2,'선정 규칙'!$B$10,IF('제외 후보'!L279&lt;=2.5,'선정 규칙'!$B$11,IF('제외 후보'!L279&lt;=3,'선정 규칙'!$B$12,IF('제외 후보'!L279&lt;=3.5,'선정 규칙'!$B$13,IF('제외 후보'!L279&gt;=4.5,'선정 규칙'!$B$14,0)))))))</x:f>
        <x:v>12</x:v>
      </x:c>
      <x:c r="F279" s="11" t="n">
        <x:f>IF('제외 후보'!Y279=0,'선정 규칙'!$B$15,IF('제외 후보'!Y279&gt;=100,'선정 규칙'!$B$16,'선정 규칙'!$B$17))</x:f>
        <x:v>12</x:v>
      </x:c>
      <x:c r="G279" s="11" t="n">
        <x:f>IF('제외 후보'!M279="있음",'선정 규칙'!$B$18,'선정 규칙'!$B$19)</x:f>
        <x:v>6</x:v>
      </x:c>
      <x:c r="H279" s="11" t="n">
        <x:f>IF(ISNUMBER(SEARCH("freq-core",'제외 후보'!AD279)),'선정 규칙'!$B$20,0)</x:f>
        <x:v>0</x:v>
      </x:c>
      <x:c r="I279" s="11" t="n">
        <x:f>IF(ISNUMBER(SEARCH("weak_legacy_content",'제외 후보'!P279)),'선정 규칙'!$B$21,0)</x:f>
        <x:v>5</x:v>
      </x:c>
      <x:c r="J279" s="11" t="n">
        <x:f>IF('제외 후보'!AC279&lt;&gt;"",'선정 규칙'!$B$22,0)</x:f>
        <x:v>0</x:v>
      </x:c>
      <x:c r="K279" s="11" t="n">
        <x:f>SUM(B279:J279)</x:f>
        <x:v>35</x:v>
      </x:c>
      <x:c r="L279" s="11" t="n">
        <x:f>'제외 후보'!N279</x:f>
        <x:v>35</x:v>
      </x:c>
      <x:c r="M279" s="2" t="str">
        <x:f>IF(K279=L279,"OK","MISMATCH")</x:f>
        <x:v>OK</x:v>
      </x:c>
    </x:row>
    <x:row r="280">
      <x:c r="A280" s="2" t="str">
        <x:f>'제외 후보'!G280</x:f>
        <x:v>w_36b21a5dbe8c5ca1</x:v>
      </x:c>
      <x:c r="B280" s="11" t="n">
        <x:f>IF('제외 후보'!Q280&lt;&gt;"",'선정 규칙'!$B$4,0)</x:f>
        <x:v>0</x:v>
      </x:c>
      <x:c r="C280" s="11" t="n">
        <x:f>IF(ISNUMBER(SEARCH("jmdict_uncommon_or_irregular",'제외 후보'!P280)),'선정 규칙'!$B$5,IF(ISNUMBER(SEARCH("jmdict_rare_or_dated",'제외 후보'!P280)),'선정 규칙'!$B$6,0))</x:f>
        <x:v>0</x:v>
      </x:c>
      <x:c r="D280" s="11" t="n">
        <x:f>IF(ISNUMBER(SEARCH("jmdict_exact_pair_not_found",'제외 후보'!P280)),'선정 규칙'!$B$7,0)</x:f>
        <x:v>0</x:v>
      </x:c>
      <x:c r="E280" s="11" t="n">
        <x:f>IF(OR('제외 후보'!L280="",'제외 후보'!L280&lt;=0),'선정 규칙'!$B$8,IF('제외 후보'!L280&lt;=1.5,'선정 규칙'!$B$9,IF('제외 후보'!L280&lt;=2,'선정 규칙'!$B$10,IF('제외 후보'!L280&lt;=2.5,'선정 규칙'!$B$11,IF('제외 후보'!L280&lt;=3,'선정 규칙'!$B$12,IF('제외 후보'!L280&lt;=3.5,'선정 규칙'!$B$13,IF('제외 후보'!L280&gt;=4.5,'선정 규칙'!$B$14,0)))))))</x:f>
        <x:v>12</x:v>
      </x:c>
      <x:c r="F280" s="11" t="n">
        <x:f>IF('제외 후보'!Y280=0,'선정 규칙'!$B$15,IF('제외 후보'!Y280&gt;=100,'선정 규칙'!$B$16,'선정 규칙'!$B$17))</x:f>
        <x:v>12</x:v>
      </x:c>
      <x:c r="G280" s="11" t="n">
        <x:f>IF('제외 후보'!M280="있음",'선정 규칙'!$B$18,'선정 규칙'!$B$19)</x:f>
        <x:v>6</x:v>
      </x:c>
      <x:c r="H280" s="11" t="n">
        <x:f>IF(ISNUMBER(SEARCH("freq-core",'제외 후보'!AD280)),'선정 규칙'!$B$20,0)</x:f>
        <x:v>0</x:v>
      </x:c>
      <x:c r="I280" s="11" t="n">
        <x:f>IF(ISNUMBER(SEARCH("weak_legacy_content",'제외 후보'!P280)),'선정 규칙'!$B$21,0)</x:f>
        <x:v>5</x:v>
      </x:c>
      <x:c r="J280" s="11" t="n">
        <x:f>IF('제외 후보'!AC280&lt;&gt;"",'선정 규칙'!$B$22,0)</x:f>
        <x:v>0</x:v>
      </x:c>
      <x:c r="K280" s="11" t="n">
        <x:f>SUM(B280:J280)</x:f>
        <x:v>35</x:v>
      </x:c>
      <x:c r="L280" s="11" t="n">
        <x:f>'제외 후보'!N280</x:f>
        <x:v>35</x:v>
      </x:c>
      <x:c r="M280" s="2" t="str">
        <x:f>IF(K280=L280,"OK","MISMATCH")</x:f>
        <x:v>OK</x:v>
      </x:c>
    </x:row>
    <x:row r="281">
      <x:c r="A281" s="2" t="str">
        <x:f>'제외 후보'!G281</x:f>
        <x:v>w_d9d2afb2697839ee</x:v>
      </x:c>
      <x:c r="B281" s="11" t="n">
        <x:f>IF('제외 후보'!Q281&lt;&gt;"",'선정 규칙'!$B$4,0)</x:f>
        <x:v>0</x:v>
      </x:c>
      <x:c r="C281" s="11" t="n">
        <x:f>IF(ISNUMBER(SEARCH("jmdict_uncommon_or_irregular",'제외 후보'!P281)),'선정 규칙'!$B$5,IF(ISNUMBER(SEARCH("jmdict_rare_or_dated",'제외 후보'!P281)),'선정 규칙'!$B$6,0))</x:f>
        <x:v>0</x:v>
      </x:c>
      <x:c r="D281" s="11" t="n">
        <x:f>IF(ISNUMBER(SEARCH("jmdict_exact_pair_not_found",'제외 후보'!P281)),'선정 규칙'!$B$7,0)</x:f>
        <x:v>0</x:v>
      </x:c>
      <x:c r="E281" s="11" t="n">
        <x:f>IF(OR('제외 후보'!L281="",'제외 후보'!L281&lt;=0),'선정 규칙'!$B$8,IF('제외 후보'!L281&lt;=1.5,'선정 규칙'!$B$9,IF('제외 후보'!L281&lt;=2,'선정 규칙'!$B$10,IF('제외 후보'!L281&lt;=2.5,'선정 규칙'!$B$11,IF('제외 후보'!L281&lt;=3,'선정 규칙'!$B$12,IF('제외 후보'!L281&lt;=3.5,'선정 규칙'!$B$13,IF('제외 후보'!L281&gt;=4.5,'선정 규칙'!$B$14,0)))))))</x:f>
        <x:v>12</x:v>
      </x:c>
      <x:c r="F281" s="11" t="n">
        <x:f>IF('제외 후보'!Y281=0,'선정 규칙'!$B$15,IF('제외 후보'!Y281&gt;=100,'선정 규칙'!$B$16,'선정 규칙'!$B$17))</x:f>
        <x:v>12</x:v>
      </x:c>
      <x:c r="G281" s="11" t="n">
        <x:f>IF('제외 후보'!M281="있음",'선정 규칙'!$B$18,'선정 규칙'!$B$19)</x:f>
        <x:v>6</x:v>
      </x:c>
      <x:c r="H281" s="11" t="n">
        <x:f>IF(ISNUMBER(SEARCH("freq-core",'제외 후보'!AD281)),'선정 규칙'!$B$20,0)</x:f>
        <x:v>0</x:v>
      </x:c>
      <x:c r="I281" s="11" t="n">
        <x:f>IF(ISNUMBER(SEARCH("weak_legacy_content",'제외 후보'!P281)),'선정 규칙'!$B$21,0)</x:f>
        <x:v>5</x:v>
      </x:c>
      <x:c r="J281" s="11" t="n">
        <x:f>IF('제외 후보'!AC281&lt;&gt;"",'선정 규칙'!$B$22,0)</x:f>
        <x:v>0</x:v>
      </x:c>
      <x:c r="K281" s="11" t="n">
        <x:f>SUM(B281:J281)</x:f>
        <x:v>35</x:v>
      </x:c>
      <x:c r="L281" s="11" t="n">
        <x:f>'제외 후보'!N281</x:f>
        <x:v>35</x:v>
      </x:c>
      <x:c r="M281" s="2" t="str">
        <x:f>IF(K281=L281,"OK","MISMATCH")</x:f>
        <x:v>OK</x:v>
      </x:c>
    </x:row>
    <x:row r="282">
      <x:c r="A282" s="2" t="str">
        <x:f>'제외 후보'!G282</x:f>
        <x:v>w_ffa149f764e4030f</x:v>
      </x:c>
      <x:c r="B282" s="11" t="n">
        <x:f>IF('제외 후보'!Q282&lt;&gt;"",'선정 규칙'!$B$4,0)</x:f>
        <x:v>0</x:v>
      </x:c>
      <x:c r="C282" s="11" t="n">
        <x:f>IF(ISNUMBER(SEARCH("jmdict_uncommon_or_irregular",'제외 후보'!P282)),'선정 규칙'!$B$5,IF(ISNUMBER(SEARCH("jmdict_rare_or_dated",'제외 후보'!P282)),'선정 규칙'!$B$6,0))</x:f>
        <x:v>0</x:v>
      </x:c>
      <x:c r="D282" s="11" t="n">
        <x:f>IF(ISNUMBER(SEARCH("jmdict_exact_pair_not_found",'제외 후보'!P282)),'선정 규칙'!$B$7,0)</x:f>
        <x:v>0</x:v>
      </x:c>
      <x:c r="E282" s="11" t="n">
        <x:f>IF(OR('제외 후보'!L282="",'제외 후보'!L282&lt;=0),'선정 규칙'!$B$8,IF('제외 후보'!L282&lt;=1.5,'선정 규칙'!$B$9,IF('제외 후보'!L282&lt;=2,'선정 규칙'!$B$10,IF('제외 후보'!L282&lt;=2.5,'선정 규칙'!$B$11,IF('제외 후보'!L282&lt;=3,'선정 규칙'!$B$12,IF('제외 후보'!L282&lt;=3.5,'선정 규칙'!$B$13,IF('제외 후보'!L282&gt;=4.5,'선정 규칙'!$B$14,0)))))))</x:f>
        <x:v>12</x:v>
      </x:c>
      <x:c r="F282" s="11" t="n">
        <x:f>IF('제외 후보'!Y282=0,'선정 규칙'!$B$15,IF('제외 후보'!Y282&gt;=100,'선정 규칙'!$B$16,'선정 규칙'!$B$17))</x:f>
        <x:v>12</x:v>
      </x:c>
      <x:c r="G282" s="11" t="n">
        <x:f>IF('제외 후보'!M282="있음",'선정 규칙'!$B$18,'선정 규칙'!$B$19)</x:f>
        <x:v>6</x:v>
      </x:c>
      <x:c r="H282" s="11" t="n">
        <x:f>IF(ISNUMBER(SEARCH("freq-core",'제외 후보'!AD282)),'선정 규칙'!$B$20,0)</x:f>
        <x:v>0</x:v>
      </x:c>
      <x:c r="I282" s="11" t="n">
        <x:f>IF(ISNUMBER(SEARCH("weak_legacy_content",'제외 후보'!P282)),'선정 규칙'!$B$21,0)</x:f>
        <x:v>5</x:v>
      </x:c>
      <x:c r="J282" s="11" t="n">
        <x:f>IF('제외 후보'!AC282&lt;&gt;"",'선정 규칙'!$B$22,0)</x:f>
        <x:v>0</x:v>
      </x:c>
      <x:c r="K282" s="11" t="n">
        <x:f>SUM(B282:J282)</x:f>
        <x:v>35</x:v>
      </x:c>
      <x:c r="L282" s="11" t="n">
        <x:f>'제외 후보'!N282</x:f>
        <x:v>35</x:v>
      </x:c>
      <x:c r="M282" s="2" t="str">
        <x:f>IF(K282=L282,"OK","MISMATCH")</x:f>
        <x:v>OK</x:v>
      </x:c>
    </x:row>
    <x:row r="283">
      <x:c r="A283" s="2" t="str">
        <x:f>'제외 후보'!G283</x:f>
        <x:v>w_4143623f19c6c08f</x:v>
      </x:c>
      <x:c r="B283" s="11" t="n">
        <x:f>IF('제외 후보'!Q283&lt;&gt;"",'선정 규칙'!$B$4,0)</x:f>
        <x:v>0</x:v>
      </x:c>
      <x:c r="C283" s="11" t="n">
        <x:f>IF(ISNUMBER(SEARCH("jmdict_uncommon_or_irregular",'제외 후보'!P283)),'선정 규칙'!$B$5,IF(ISNUMBER(SEARCH("jmdict_rare_or_dated",'제외 후보'!P283)),'선정 규칙'!$B$6,0))</x:f>
        <x:v>0</x:v>
      </x:c>
      <x:c r="D283" s="11" t="n">
        <x:f>IF(ISNUMBER(SEARCH("jmdict_exact_pair_not_found",'제외 후보'!P283)),'선정 규칙'!$B$7,0)</x:f>
        <x:v>0</x:v>
      </x:c>
      <x:c r="E283" s="11" t="n">
        <x:f>IF(OR('제외 후보'!L283="",'제외 후보'!L283&lt;=0),'선정 규칙'!$B$8,IF('제외 후보'!L283&lt;=1.5,'선정 규칙'!$B$9,IF('제외 후보'!L283&lt;=2,'선정 규칙'!$B$10,IF('제외 후보'!L283&lt;=2.5,'선정 규칙'!$B$11,IF('제외 후보'!L283&lt;=3,'선정 규칙'!$B$12,IF('제외 후보'!L283&lt;=3.5,'선정 규칙'!$B$13,IF('제외 후보'!L283&gt;=4.5,'선정 규칙'!$B$14,0)))))))</x:f>
        <x:v>12</x:v>
      </x:c>
      <x:c r="F283" s="11" t="n">
        <x:f>IF('제외 후보'!Y283=0,'선정 규칙'!$B$15,IF('제외 후보'!Y283&gt;=100,'선정 규칙'!$B$16,'선정 규칙'!$B$17))</x:f>
        <x:v>12</x:v>
      </x:c>
      <x:c r="G283" s="11" t="n">
        <x:f>IF('제외 후보'!M283="있음",'선정 규칙'!$B$18,'선정 규칙'!$B$19)</x:f>
        <x:v>6</x:v>
      </x:c>
      <x:c r="H283" s="11" t="n">
        <x:f>IF(ISNUMBER(SEARCH("freq-core",'제외 후보'!AD283)),'선정 규칙'!$B$20,0)</x:f>
        <x:v>0</x:v>
      </x:c>
      <x:c r="I283" s="11" t="n">
        <x:f>IF(ISNUMBER(SEARCH("weak_legacy_content",'제외 후보'!P283)),'선정 규칙'!$B$21,0)</x:f>
        <x:v>5</x:v>
      </x:c>
      <x:c r="J283" s="11" t="n">
        <x:f>IF('제외 후보'!AC283&lt;&gt;"",'선정 규칙'!$B$22,0)</x:f>
        <x:v>0</x:v>
      </x:c>
      <x:c r="K283" s="11" t="n">
        <x:f>SUM(B283:J283)</x:f>
        <x:v>35</x:v>
      </x:c>
      <x:c r="L283" s="11" t="n">
        <x:f>'제외 후보'!N283</x:f>
        <x:v>35</x:v>
      </x:c>
      <x:c r="M283" s="2" t="str">
        <x:f>IF(K283=L283,"OK","MISMATCH")</x:f>
        <x:v>OK</x:v>
      </x:c>
    </x:row>
    <x:row r="284">
      <x:c r="A284" s="2" t="str">
        <x:f>'제외 후보'!G284</x:f>
        <x:v>w_3f7be39781ba3513</x:v>
      </x:c>
      <x:c r="B284" s="11" t="n">
        <x:f>IF('제외 후보'!Q284&lt;&gt;"",'선정 규칙'!$B$4,0)</x:f>
        <x:v>0</x:v>
      </x:c>
      <x:c r="C284" s="11" t="n">
        <x:f>IF(ISNUMBER(SEARCH("jmdict_uncommon_or_irregular",'제외 후보'!P284)),'선정 규칙'!$B$5,IF(ISNUMBER(SEARCH("jmdict_rare_or_dated",'제외 후보'!P284)),'선정 규칙'!$B$6,0))</x:f>
        <x:v>0</x:v>
      </x:c>
      <x:c r="D284" s="11" t="n">
        <x:f>IF(ISNUMBER(SEARCH("jmdict_exact_pair_not_found",'제외 후보'!P284)),'선정 규칙'!$B$7,0)</x:f>
        <x:v>0</x:v>
      </x:c>
      <x:c r="E284" s="11" t="n">
        <x:f>IF(OR('제외 후보'!L284="",'제외 후보'!L284&lt;=0),'선정 규칙'!$B$8,IF('제외 후보'!L284&lt;=1.5,'선정 규칙'!$B$9,IF('제외 후보'!L284&lt;=2,'선정 규칙'!$B$10,IF('제외 후보'!L284&lt;=2.5,'선정 규칙'!$B$11,IF('제외 후보'!L284&lt;=3,'선정 규칙'!$B$12,IF('제외 후보'!L284&lt;=3.5,'선정 규칙'!$B$13,IF('제외 후보'!L284&gt;=4.5,'선정 규칙'!$B$14,0)))))))</x:f>
        <x:v>12</x:v>
      </x:c>
      <x:c r="F284" s="11" t="n">
        <x:f>IF('제외 후보'!Y284=0,'선정 규칙'!$B$15,IF('제외 후보'!Y284&gt;=100,'선정 규칙'!$B$16,'선정 규칙'!$B$17))</x:f>
        <x:v>12</x:v>
      </x:c>
      <x:c r="G284" s="11" t="n">
        <x:f>IF('제외 후보'!M284="있음",'선정 규칙'!$B$18,'선정 규칙'!$B$19)</x:f>
        <x:v>6</x:v>
      </x:c>
      <x:c r="H284" s="11" t="n">
        <x:f>IF(ISNUMBER(SEARCH("freq-core",'제외 후보'!AD284)),'선정 규칙'!$B$20,0)</x:f>
        <x:v>0</x:v>
      </x:c>
      <x:c r="I284" s="11" t="n">
        <x:f>IF(ISNUMBER(SEARCH("weak_legacy_content",'제외 후보'!P284)),'선정 규칙'!$B$21,0)</x:f>
        <x:v>5</x:v>
      </x:c>
      <x:c r="J284" s="11" t="n">
        <x:f>IF('제외 후보'!AC284&lt;&gt;"",'선정 규칙'!$B$22,0)</x:f>
        <x:v>0</x:v>
      </x:c>
      <x:c r="K284" s="11" t="n">
        <x:f>SUM(B284:J284)</x:f>
        <x:v>35</x:v>
      </x:c>
      <x:c r="L284" s="11" t="n">
        <x:f>'제외 후보'!N284</x:f>
        <x:v>35</x:v>
      </x:c>
      <x:c r="M284" s="2" t="str">
        <x:f>IF(K284=L284,"OK","MISMATCH")</x:f>
        <x:v>OK</x:v>
      </x:c>
    </x:row>
    <x:row r="285">
      <x:c r="A285" s="2" t="str">
        <x:f>'제외 후보'!G285</x:f>
        <x:v>w_4dad2a91fc9be651</x:v>
      </x:c>
      <x:c r="B285" s="11" t="n">
        <x:f>IF('제외 후보'!Q285&lt;&gt;"",'선정 규칙'!$B$4,0)</x:f>
        <x:v>0</x:v>
      </x:c>
      <x:c r="C285" s="11" t="n">
        <x:f>IF(ISNUMBER(SEARCH("jmdict_uncommon_or_irregular",'제외 후보'!P285)),'선정 규칙'!$B$5,IF(ISNUMBER(SEARCH("jmdict_rare_or_dated",'제외 후보'!P285)),'선정 규칙'!$B$6,0))</x:f>
        <x:v>0</x:v>
      </x:c>
      <x:c r="D285" s="11" t="n">
        <x:f>IF(ISNUMBER(SEARCH("jmdict_exact_pair_not_found",'제외 후보'!P285)),'선정 규칙'!$B$7,0)</x:f>
        <x:v>0</x:v>
      </x:c>
      <x:c r="E285" s="11" t="n">
        <x:f>IF(OR('제외 후보'!L285="",'제외 후보'!L285&lt;=0),'선정 규칙'!$B$8,IF('제외 후보'!L285&lt;=1.5,'선정 규칙'!$B$9,IF('제외 후보'!L285&lt;=2,'선정 규칙'!$B$10,IF('제외 후보'!L285&lt;=2.5,'선정 규칙'!$B$11,IF('제외 후보'!L285&lt;=3,'선정 규칙'!$B$12,IF('제외 후보'!L285&lt;=3.5,'선정 규칙'!$B$13,IF('제외 후보'!L285&gt;=4.5,'선정 규칙'!$B$14,0)))))))</x:f>
        <x:v>12</x:v>
      </x:c>
      <x:c r="F285" s="11" t="n">
        <x:f>IF('제외 후보'!Y285=0,'선정 규칙'!$B$15,IF('제외 후보'!Y285&gt;=100,'선정 규칙'!$B$16,'선정 규칙'!$B$17))</x:f>
        <x:v>12</x:v>
      </x:c>
      <x:c r="G285" s="11" t="n">
        <x:f>IF('제외 후보'!M285="있음",'선정 규칙'!$B$18,'선정 규칙'!$B$19)</x:f>
        <x:v>6</x:v>
      </x:c>
      <x:c r="H285" s="11" t="n">
        <x:f>IF(ISNUMBER(SEARCH("freq-core",'제외 후보'!AD285)),'선정 규칙'!$B$20,0)</x:f>
        <x:v>0</x:v>
      </x:c>
      <x:c r="I285" s="11" t="n">
        <x:f>IF(ISNUMBER(SEARCH("weak_legacy_content",'제외 후보'!P285)),'선정 규칙'!$B$21,0)</x:f>
        <x:v>5</x:v>
      </x:c>
      <x:c r="J285" s="11" t="n">
        <x:f>IF('제외 후보'!AC285&lt;&gt;"",'선정 규칙'!$B$22,0)</x:f>
        <x:v>0</x:v>
      </x:c>
      <x:c r="K285" s="11" t="n">
        <x:f>SUM(B285:J285)</x:f>
        <x:v>35</x:v>
      </x:c>
      <x:c r="L285" s="11" t="n">
        <x:f>'제외 후보'!N285</x:f>
        <x:v>35</x:v>
      </x:c>
      <x:c r="M285" s="2" t="str">
        <x:f>IF(K285=L285,"OK","MISMATCH")</x:f>
        <x:v>OK</x:v>
      </x:c>
    </x:row>
    <x:row r="286">
      <x:c r="A286" s="2" t="str">
        <x:f>'제외 후보'!G286</x:f>
        <x:v>w_b8eb6b0960f13aa3</x:v>
      </x:c>
      <x:c r="B286" s="11" t="n">
        <x:f>IF('제외 후보'!Q286&lt;&gt;"",'선정 규칙'!$B$4,0)</x:f>
        <x:v>0</x:v>
      </x:c>
      <x:c r="C286" s="11" t="n">
        <x:f>IF(ISNUMBER(SEARCH("jmdict_uncommon_or_irregular",'제외 후보'!P286)),'선정 규칙'!$B$5,IF(ISNUMBER(SEARCH("jmdict_rare_or_dated",'제외 후보'!P286)),'선정 규칙'!$B$6,0))</x:f>
        <x:v>0</x:v>
      </x:c>
      <x:c r="D286" s="11" t="n">
        <x:f>IF(ISNUMBER(SEARCH("jmdict_exact_pair_not_found",'제외 후보'!P286)),'선정 규칙'!$B$7,0)</x:f>
        <x:v>0</x:v>
      </x:c>
      <x:c r="E286" s="11" t="n">
        <x:f>IF(OR('제외 후보'!L286="",'제외 후보'!L286&lt;=0),'선정 규칙'!$B$8,IF('제외 후보'!L286&lt;=1.5,'선정 규칙'!$B$9,IF('제외 후보'!L286&lt;=2,'선정 규칙'!$B$10,IF('제외 후보'!L286&lt;=2.5,'선정 규칙'!$B$11,IF('제외 후보'!L286&lt;=3,'선정 규칙'!$B$12,IF('제외 후보'!L286&lt;=3.5,'선정 규칙'!$B$13,IF('제외 후보'!L286&gt;=4.5,'선정 규칙'!$B$14,0)))))))</x:f>
        <x:v>40</x:v>
      </x:c>
      <x:c r="F286" s="11" t="n">
        <x:f>IF('제외 후보'!Y286=0,'선정 규칙'!$B$15,IF('제외 후보'!Y286&gt;=100,'선정 규칙'!$B$16,'선정 규칙'!$B$17))</x:f>
        <x:v>-12</x:v>
      </x:c>
      <x:c r="G286" s="11" t="n">
        <x:f>IF('제외 후보'!M286="있음",'선정 규칙'!$B$18,'선정 규칙'!$B$19)</x:f>
        <x:v>6</x:v>
      </x:c>
      <x:c r="H286" s="11" t="n">
        <x:f>IF(ISNUMBER(SEARCH("freq-core",'제외 후보'!AD286)),'선정 규칙'!$B$20,0)</x:f>
        <x:v>0</x:v>
      </x:c>
      <x:c r="I286" s="11" t="n">
        <x:f>IF(ISNUMBER(SEARCH("weak_legacy_content",'제외 후보'!P286)),'선정 규칙'!$B$21,0)</x:f>
        <x:v>0</x:v>
      </x:c>
      <x:c r="J286" s="11" t="n">
        <x:f>IF('제외 후보'!AC286&lt;&gt;"",'선정 규칙'!$B$22,0)</x:f>
        <x:v>0</x:v>
      </x:c>
      <x:c r="K286" s="11" t="n">
        <x:f>SUM(B286:J286)</x:f>
        <x:v>34</x:v>
      </x:c>
      <x:c r="L286" s="11" t="n">
        <x:f>'제외 후보'!N286</x:f>
        <x:v>34</x:v>
      </x:c>
      <x:c r="M286" s="2" t="str">
        <x:f>IF(K286=L286,"OK","MISMATCH")</x:f>
        <x:v>OK</x:v>
      </x:c>
    </x:row>
    <x:row r="287">
      <x:c r="A287" s="2" t="str">
        <x:f>'제외 후보'!G287</x:f>
        <x:v>w_012a3956391c7abf</x:v>
      </x:c>
      <x:c r="B287" s="11" t="n">
        <x:f>IF('제외 후보'!Q287&lt;&gt;"",'선정 규칙'!$B$4,0)</x:f>
        <x:v>0</x:v>
      </x:c>
      <x:c r="C287" s="11" t="n">
        <x:f>IF(ISNUMBER(SEARCH("jmdict_uncommon_or_irregular",'제외 후보'!P287)),'선정 규칙'!$B$5,IF(ISNUMBER(SEARCH("jmdict_rare_or_dated",'제외 후보'!P287)),'선정 규칙'!$B$6,0))</x:f>
        <x:v>0</x:v>
      </x:c>
      <x:c r="D287" s="11" t="n">
        <x:f>IF(ISNUMBER(SEARCH("jmdict_exact_pair_not_found",'제외 후보'!P287)),'선정 규칙'!$B$7,0)</x:f>
        <x:v>0</x:v>
      </x:c>
      <x:c r="E287" s="11" t="n">
        <x:f>IF(OR('제외 후보'!L287="",'제외 후보'!L287&lt;=0),'선정 규칙'!$B$8,IF('제외 후보'!L287&lt;=1.5,'선정 규칙'!$B$9,IF('제외 후보'!L287&lt;=2,'선정 규칙'!$B$10,IF('제외 후보'!L287&lt;=2.5,'선정 규칙'!$B$11,IF('제외 후보'!L287&lt;=3,'선정 규칙'!$B$12,IF('제외 후보'!L287&lt;=3.5,'선정 규칙'!$B$13,IF('제외 후보'!L287&gt;=4.5,'선정 규칙'!$B$14,0)))))))</x:f>
        <x:v>0</x:v>
      </x:c>
      <x:c r="F287" s="11" t="n">
        <x:f>IF('제외 후보'!Y287=0,'선정 규칙'!$B$15,IF('제외 후보'!Y287&gt;=100,'선정 규칙'!$B$16,'선정 규칙'!$B$17))</x:f>
        <x:v>12</x:v>
      </x:c>
      <x:c r="G287" s="11" t="n">
        <x:f>IF('제외 후보'!M287="있음",'선정 규칙'!$B$18,'선정 규칙'!$B$19)</x:f>
        <x:v>6</x:v>
      </x:c>
      <x:c r="H287" s="11" t="n">
        <x:f>IF(ISNUMBER(SEARCH("freq-core",'제외 후보'!AD287)),'선정 규칙'!$B$20,0)</x:f>
        <x:v>0</x:v>
      </x:c>
      <x:c r="I287" s="11" t="n">
        <x:f>IF(ISNUMBER(SEARCH("weak_legacy_content",'제외 후보'!P287)),'선정 규칙'!$B$21,0)</x:f>
        <x:v>5</x:v>
      </x:c>
      <x:c r="J287" s="11" t="n">
        <x:f>IF('제외 후보'!AC287&lt;&gt;"",'선정 규칙'!$B$22,0)</x:f>
        <x:v>10</x:v>
      </x:c>
      <x:c r="K287" s="11" t="n">
        <x:f>SUM(B287:J287)</x:f>
        <x:v>33</x:v>
      </x:c>
      <x:c r="L287" s="11" t="n">
        <x:f>'제외 후보'!N287</x:f>
        <x:v>33</x:v>
      </x:c>
      <x:c r="M287" s="2" t="str">
        <x:f>IF(K287=L287,"OK","MISMATCH")</x:f>
        <x:v>OK</x:v>
      </x:c>
    </x:row>
    <x:row r="288">
      <x:c r="A288" s="2" t="str">
        <x:f>'제외 후보'!G288</x:f>
        <x:v>w_0d43e738d7130b50</x:v>
      </x:c>
      <x:c r="B288" s="11" t="n">
        <x:f>IF('제외 후보'!Q288&lt;&gt;"",'선정 규칙'!$B$4,0)</x:f>
        <x:v>0</x:v>
      </x:c>
      <x:c r="C288" s="11" t="n">
        <x:f>IF(ISNUMBER(SEARCH("jmdict_uncommon_or_irregular",'제외 후보'!P288)),'선정 규칙'!$B$5,IF(ISNUMBER(SEARCH("jmdict_rare_or_dated",'제외 후보'!P288)),'선정 규칙'!$B$6,0))</x:f>
        <x:v>0</x:v>
      </x:c>
      <x:c r="D288" s="11" t="n">
        <x:f>IF(ISNUMBER(SEARCH("jmdict_exact_pair_not_found",'제외 후보'!P288)),'선정 규칙'!$B$7,0)</x:f>
        <x:v>0</x:v>
      </x:c>
      <x:c r="E288" s="11" t="n">
        <x:f>IF(OR('제외 후보'!L288="",'제외 후보'!L288&lt;=0),'선정 규칙'!$B$8,IF('제외 후보'!L288&lt;=1.5,'선정 규칙'!$B$9,IF('제외 후보'!L288&lt;=2,'선정 규칙'!$B$10,IF('제외 후보'!L288&lt;=2.5,'선정 규칙'!$B$11,IF('제외 후보'!L288&lt;=3,'선정 규칙'!$B$12,IF('제외 후보'!L288&lt;=3.5,'선정 규칙'!$B$13,IF('제외 후보'!L288&gt;=4.5,'선정 규칙'!$B$14,0)))))))</x:f>
        <x:v>0</x:v>
      </x:c>
      <x:c r="F288" s="11" t="n">
        <x:f>IF('제외 후보'!Y288=0,'선정 규칙'!$B$15,IF('제외 후보'!Y288&gt;=100,'선정 규칙'!$B$16,'선정 규칙'!$B$17))</x:f>
        <x:v>12</x:v>
      </x:c>
      <x:c r="G288" s="11" t="n">
        <x:f>IF('제외 후보'!M288="있음",'선정 규칙'!$B$18,'선정 규칙'!$B$19)</x:f>
        <x:v>6</x:v>
      </x:c>
      <x:c r="H288" s="11" t="n">
        <x:f>IF(ISNUMBER(SEARCH("freq-core",'제외 후보'!AD288)),'선정 규칙'!$B$20,0)</x:f>
        <x:v>0</x:v>
      </x:c>
      <x:c r="I288" s="11" t="n">
        <x:f>IF(ISNUMBER(SEARCH("weak_legacy_content",'제외 후보'!P288)),'선정 규칙'!$B$21,0)</x:f>
        <x:v>5</x:v>
      </x:c>
      <x:c r="J288" s="11" t="n">
        <x:f>IF('제외 후보'!AC288&lt;&gt;"",'선정 규칙'!$B$22,0)</x:f>
        <x:v>10</x:v>
      </x:c>
      <x:c r="K288" s="11" t="n">
        <x:f>SUM(B288:J288)</x:f>
        <x:v>33</x:v>
      </x:c>
      <x:c r="L288" s="11" t="n">
        <x:f>'제외 후보'!N288</x:f>
        <x:v>33</x:v>
      </x:c>
      <x:c r="M288" s="2" t="str">
        <x:f>IF(K288=L288,"OK","MISMATCH")</x:f>
        <x:v>OK</x:v>
      </x:c>
    </x:row>
    <x:row r="289">
      <x:c r="A289" s="2" t="str">
        <x:f>'제외 후보'!G289</x:f>
        <x:v>w_0414a344b518ddab</x:v>
      </x:c>
      <x:c r="B289" s="11" t="n">
        <x:f>IF('제외 후보'!Q289&lt;&gt;"",'선정 규칙'!$B$4,0)</x:f>
        <x:v>0</x:v>
      </x:c>
      <x:c r="C289" s="11" t="n">
        <x:f>IF(ISNUMBER(SEARCH("jmdict_uncommon_or_irregular",'제외 후보'!P289)),'선정 규칙'!$B$5,IF(ISNUMBER(SEARCH("jmdict_rare_or_dated",'제외 후보'!P289)),'선정 규칙'!$B$6,0))</x:f>
        <x:v>0</x:v>
      </x:c>
      <x:c r="D289" s="11" t="n">
        <x:f>IF(ISNUMBER(SEARCH("jmdict_exact_pair_not_found",'제외 후보'!P289)),'선정 규칙'!$B$7,0)</x:f>
        <x:v>0</x:v>
      </x:c>
      <x:c r="E289" s="11" t="n">
        <x:f>IF(OR('제외 후보'!L289="",'제외 후보'!L289&lt;=0),'선정 규칙'!$B$8,IF('제외 후보'!L289&lt;=1.5,'선정 규칙'!$B$9,IF('제외 후보'!L289&lt;=2,'선정 규칙'!$B$10,IF('제외 후보'!L289&lt;=2.5,'선정 규칙'!$B$11,IF('제외 후보'!L289&lt;=3,'선정 규칙'!$B$12,IF('제외 후보'!L289&lt;=3.5,'선정 규칙'!$B$13,IF('제외 후보'!L289&gt;=4.5,'선정 규칙'!$B$14,0)))))))</x:f>
        <x:v>0</x:v>
      </x:c>
      <x:c r="F289" s="11" t="n">
        <x:f>IF('제외 후보'!Y289=0,'선정 규칙'!$B$15,IF('제외 후보'!Y289&gt;=100,'선정 규칙'!$B$16,'선정 규칙'!$B$17))</x:f>
        <x:v>12</x:v>
      </x:c>
      <x:c r="G289" s="11" t="n">
        <x:f>IF('제외 후보'!M289="있음",'선정 규칙'!$B$18,'선정 규칙'!$B$19)</x:f>
        <x:v>6</x:v>
      </x:c>
      <x:c r="H289" s="11" t="n">
        <x:f>IF(ISNUMBER(SEARCH("freq-core",'제외 후보'!AD289)),'선정 규칙'!$B$20,0)</x:f>
        <x:v>0</x:v>
      </x:c>
      <x:c r="I289" s="11" t="n">
        <x:f>IF(ISNUMBER(SEARCH("weak_legacy_content",'제외 후보'!P289)),'선정 규칙'!$B$21,0)</x:f>
        <x:v>5</x:v>
      </x:c>
      <x:c r="J289" s="11" t="n">
        <x:f>IF('제외 후보'!AC289&lt;&gt;"",'선정 규칙'!$B$22,0)</x:f>
        <x:v>10</x:v>
      </x:c>
      <x:c r="K289" s="11" t="n">
        <x:f>SUM(B289:J289)</x:f>
        <x:v>33</x:v>
      </x:c>
      <x:c r="L289" s="11" t="n">
        <x:f>'제외 후보'!N289</x:f>
        <x:v>33</x:v>
      </x:c>
      <x:c r="M289" s="2" t="str">
        <x:f>IF(K289=L289,"OK","MISMATCH")</x:f>
        <x:v>OK</x:v>
      </x:c>
    </x:row>
    <x:row r="290">
      <x:c r="A290" s="2" t="str">
        <x:f>'제외 후보'!G290</x:f>
        <x:v>w_070b9ac6c91d1857</x:v>
      </x:c>
      <x:c r="B290" s="11" t="n">
        <x:f>IF('제외 후보'!Q290&lt;&gt;"",'선정 규칙'!$B$4,0)</x:f>
        <x:v>0</x:v>
      </x:c>
      <x:c r="C290" s="11" t="n">
        <x:f>IF(ISNUMBER(SEARCH("jmdict_uncommon_or_irregular",'제외 후보'!P290)),'선정 규칙'!$B$5,IF(ISNUMBER(SEARCH("jmdict_rare_or_dated",'제외 후보'!P290)),'선정 규칙'!$B$6,0))</x:f>
        <x:v>0</x:v>
      </x:c>
      <x:c r="D290" s="11" t="n">
        <x:f>IF(ISNUMBER(SEARCH("jmdict_exact_pair_not_found",'제외 후보'!P290)),'선정 규칙'!$B$7,0)</x:f>
        <x:v>35</x:v>
      </x:c>
      <x:c r="E290" s="11" t="n">
        <x:f>IF(OR('제외 후보'!L290="",'제외 후보'!L290&lt;=0),'선정 규칙'!$B$8,IF('제외 후보'!L290&lt;=1.5,'선정 규칙'!$B$9,IF('제외 후보'!L290&lt;=2,'선정 규칙'!$B$10,IF('제외 후보'!L290&lt;=2.5,'선정 규칙'!$B$11,IF('제외 후보'!L290&lt;=3,'선정 규칙'!$B$12,IF('제외 후보'!L290&lt;=3.5,'선정 규칙'!$B$13,IF('제외 후보'!L290&gt;=4.5,'선정 규칙'!$B$14,0)))))))</x:f>
        <x:v>-20</x:v>
      </x:c>
      <x:c r="F290" s="11" t="n">
        <x:f>IF('제외 후보'!Y290=0,'선정 규칙'!$B$15,IF('제외 후보'!Y290&gt;=100,'선정 규칙'!$B$16,'선정 규칙'!$B$17))</x:f>
        <x:v>12</x:v>
      </x:c>
      <x:c r="G290" s="11" t="n">
        <x:f>IF('제외 후보'!M290="있음",'선정 규칙'!$B$18,'선정 규칙'!$B$19)</x:f>
        <x:v>6</x:v>
      </x:c>
      <x:c r="H290" s="11" t="n">
        <x:f>IF(ISNUMBER(SEARCH("freq-core",'제외 후보'!AD290)),'선정 규칙'!$B$20,0)</x:f>
        <x:v>0</x:v>
      </x:c>
      <x:c r="I290" s="11" t="n">
        <x:f>IF(ISNUMBER(SEARCH("weak_legacy_content",'제외 후보'!P290)),'선정 규칙'!$B$21,0)</x:f>
        <x:v>0</x:v>
      </x:c>
      <x:c r="J290" s="11" t="n">
        <x:f>IF('제외 후보'!AC290&lt;&gt;"",'선정 규칙'!$B$22,0)</x:f>
        <x:v>0</x:v>
      </x:c>
      <x:c r="K290" s="11" t="n">
        <x:f>SUM(B290:J290)</x:f>
        <x:v>33</x:v>
      </x:c>
      <x:c r="L290" s="11" t="n">
        <x:f>'제외 후보'!N290</x:f>
        <x:v>33</x:v>
      </x:c>
      <x:c r="M290" s="2" t="str">
        <x:f>IF(K290=L290,"OK","MISMATCH")</x:f>
        <x:v>OK</x:v>
      </x:c>
    </x:row>
    <x:row r="291">
      <x:c r="A291" s="2" t="str">
        <x:f>'제외 후보'!G291</x:f>
        <x:v>w_31daf16452e196e0</x:v>
      </x:c>
      <x:c r="B291" s="11" t="n">
        <x:f>IF('제외 후보'!Q291&lt;&gt;"",'선정 규칙'!$B$4,0)</x:f>
        <x:v>0</x:v>
      </x:c>
      <x:c r="C291" s="11" t="n">
        <x:f>IF(ISNUMBER(SEARCH("jmdict_uncommon_or_irregular",'제외 후보'!P291)),'선정 규칙'!$B$5,IF(ISNUMBER(SEARCH("jmdict_rare_or_dated",'제외 후보'!P291)),'선정 규칙'!$B$6,0))</x:f>
        <x:v>0</x:v>
      </x:c>
      <x:c r="D291" s="11" t="n">
        <x:f>IF(ISNUMBER(SEARCH("jmdict_exact_pair_not_found",'제외 후보'!P291)),'선정 규칙'!$B$7,0)</x:f>
        <x:v>35</x:v>
      </x:c>
      <x:c r="E291" s="11" t="n">
        <x:f>IF(OR('제외 후보'!L291="",'제외 후보'!L291&lt;=0),'선정 규칙'!$B$8,IF('제외 후보'!L291&lt;=1.5,'선정 규칙'!$B$9,IF('제외 후보'!L291&lt;=2,'선정 규칙'!$B$10,IF('제외 후보'!L291&lt;=2.5,'선정 규칙'!$B$11,IF('제외 후보'!L291&lt;=3,'선정 규칙'!$B$12,IF('제외 후보'!L291&lt;=3.5,'선정 규칙'!$B$13,IF('제외 후보'!L291&gt;=4.5,'선정 규칙'!$B$14,0)))))))</x:f>
        <x:v>-20</x:v>
      </x:c>
      <x:c r="F291" s="11" t="n">
        <x:f>IF('제외 후보'!Y291=0,'선정 규칙'!$B$15,IF('제외 후보'!Y291&gt;=100,'선정 규칙'!$B$16,'선정 규칙'!$B$17))</x:f>
        <x:v>12</x:v>
      </x:c>
      <x:c r="G291" s="11" t="n">
        <x:f>IF('제외 후보'!M291="있음",'선정 규칙'!$B$18,'선정 규칙'!$B$19)</x:f>
        <x:v>6</x:v>
      </x:c>
      <x:c r="H291" s="11" t="n">
        <x:f>IF(ISNUMBER(SEARCH("freq-core",'제외 후보'!AD291)),'선정 규칙'!$B$20,0)</x:f>
        <x:v>0</x:v>
      </x:c>
      <x:c r="I291" s="11" t="n">
        <x:f>IF(ISNUMBER(SEARCH("weak_legacy_content",'제외 후보'!P291)),'선정 규칙'!$B$21,0)</x:f>
        <x:v>0</x:v>
      </x:c>
      <x:c r="J291" s="11" t="n">
        <x:f>IF('제외 후보'!AC291&lt;&gt;"",'선정 규칙'!$B$22,0)</x:f>
        <x:v>0</x:v>
      </x:c>
      <x:c r="K291" s="11" t="n">
        <x:f>SUM(B291:J291)</x:f>
        <x:v>33</x:v>
      </x:c>
      <x:c r="L291" s="11" t="n">
        <x:f>'제외 후보'!N291</x:f>
        <x:v>33</x:v>
      </x:c>
      <x:c r="M291" s="2" t="str">
        <x:f>IF(K291=L291,"OK","MISMATCH")</x:f>
        <x:v>OK</x:v>
      </x:c>
    </x:row>
    <x:row r="292">
      <x:c r="A292" s="2" t="str">
        <x:f>'제외 후보'!G292</x:f>
        <x:v>w_191dfbbe75110b87</x:v>
      </x:c>
      <x:c r="B292" s="11" t="n">
        <x:f>IF('제외 후보'!Q292&lt;&gt;"",'선정 규칙'!$B$4,0)</x:f>
        <x:v>0</x:v>
      </x:c>
      <x:c r="C292" s="11" t="n">
        <x:f>IF(ISNUMBER(SEARCH("jmdict_uncommon_or_irregular",'제외 후보'!P292)),'선정 규칙'!$B$5,IF(ISNUMBER(SEARCH("jmdict_rare_or_dated",'제외 후보'!P292)),'선정 규칙'!$B$6,0))</x:f>
        <x:v>0</x:v>
      </x:c>
      <x:c r="D292" s="11" t="n">
        <x:f>IF(ISNUMBER(SEARCH("jmdict_exact_pair_not_found",'제외 후보'!P292)),'선정 규칙'!$B$7,0)</x:f>
        <x:v>0</x:v>
      </x:c>
      <x:c r="E292" s="11" t="n">
        <x:f>IF(OR('제외 후보'!L292="",'제외 후보'!L292&lt;=0),'선정 규칙'!$B$8,IF('제외 후보'!L292&lt;=1.5,'선정 규칙'!$B$9,IF('제외 후보'!L292&lt;=2,'선정 규칙'!$B$10,IF('제외 후보'!L292&lt;=2.5,'선정 규칙'!$B$11,IF('제외 후보'!L292&lt;=3,'선정 규칙'!$B$12,IF('제외 후보'!L292&lt;=3.5,'선정 규칙'!$B$13,IF('제외 후보'!L292&gt;=4.5,'선정 규칙'!$B$14,0)))))))</x:f>
        <x:v>40</x:v>
      </x:c>
      <x:c r="F292" s="11" t="n">
        <x:f>IF('제외 후보'!Y292=0,'선정 규칙'!$B$15,IF('제외 후보'!Y292&gt;=100,'선정 규칙'!$B$16,'선정 규칙'!$B$17))</x:f>
        <x:v>12</x:v>
      </x:c>
      <x:c r="G292" s="11" t="n">
        <x:f>IF('제외 후보'!M292="있음",'선정 규칙'!$B$18,'선정 규칙'!$B$19)</x:f>
        <x:v>-25</x:v>
      </x:c>
      <x:c r="H292" s="11" t="n">
        <x:f>IF(ISNUMBER(SEARCH("freq-core",'제외 후보'!AD292)),'선정 규칙'!$B$20,0)</x:f>
        <x:v>0</x:v>
      </x:c>
      <x:c r="I292" s="11" t="n">
        <x:f>IF(ISNUMBER(SEARCH("weak_legacy_content",'제외 후보'!P292)),'선정 규칙'!$B$21,0)</x:f>
        <x:v>5</x:v>
      </x:c>
      <x:c r="J292" s="11" t="n">
        <x:f>IF('제외 후보'!AC292&lt;&gt;"",'선정 규칙'!$B$22,0)</x:f>
        <x:v>0</x:v>
      </x:c>
      <x:c r="K292" s="11" t="n">
        <x:f>SUM(B292:J292)</x:f>
        <x:v>32</x:v>
      </x:c>
      <x:c r="L292" s="11" t="n">
        <x:f>'제외 후보'!N292</x:f>
        <x:v>32</x:v>
      </x:c>
      <x:c r="M292" s="2" t="str">
        <x:f>IF(K292=L292,"OK","MISMATCH")</x:f>
        <x:v>OK</x:v>
      </x:c>
    </x:row>
    <x:row r="293">
      <x:c r="A293" s="2" t="str">
        <x:f>'제외 후보'!G293</x:f>
        <x:v>w_286833dcf3d0df18</x:v>
      </x:c>
      <x:c r="B293" s="11" t="n">
        <x:f>IF('제외 후보'!Q293&lt;&gt;"",'선정 규칙'!$B$4,0)</x:f>
        <x:v>0</x:v>
      </x:c>
      <x:c r="C293" s="11" t="n">
        <x:f>IF(ISNUMBER(SEARCH("jmdict_uncommon_or_irregular",'제외 후보'!P293)),'선정 규칙'!$B$5,IF(ISNUMBER(SEARCH("jmdict_rare_or_dated",'제외 후보'!P293)),'선정 규칙'!$B$6,0))</x:f>
        <x:v>0</x:v>
      </x:c>
      <x:c r="D293" s="11" t="n">
        <x:f>IF(ISNUMBER(SEARCH("jmdict_exact_pair_not_found",'제외 후보'!P293)),'선정 규칙'!$B$7,0)</x:f>
        <x:v>0</x:v>
      </x:c>
      <x:c r="E293" s="11" t="n">
        <x:f>IF(OR('제외 후보'!L293="",'제외 후보'!L293&lt;=0),'선정 규칙'!$B$8,IF('제외 후보'!L293&lt;=1.5,'선정 규칙'!$B$9,IF('제외 후보'!L293&lt;=2,'선정 규칙'!$B$10,IF('제외 후보'!L293&lt;=2.5,'선정 규칙'!$B$11,IF('제외 후보'!L293&lt;=3,'선정 규칙'!$B$12,IF('제외 후보'!L293&lt;=3.5,'선정 규칙'!$B$13,IF('제외 후보'!L293&gt;=4.5,'선정 규칙'!$B$14,0)))))))</x:f>
        <x:v>32</x:v>
      </x:c>
      <x:c r="F293" s="11" t="n">
        <x:f>IF('제외 후보'!Y293=0,'선정 규칙'!$B$15,IF('제외 후보'!Y293&gt;=100,'선정 규칙'!$B$16,'선정 규칙'!$B$17))</x:f>
        <x:v>-12</x:v>
      </x:c>
      <x:c r="G293" s="11" t="n">
        <x:f>IF('제외 후보'!M293="있음",'선정 규칙'!$B$18,'선정 규칙'!$B$19)</x:f>
        <x:v>6</x:v>
      </x:c>
      <x:c r="H293" s="11" t="n">
        <x:f>IF(ISNUMBER(SEARCH("freq-core",'제외 후보'!AD293)),'선정 규칙'!$B$20,0)</x:f>
        <x:v>0</x:v>
      </x:c>
      <x:c r="I293" s="11" t="n">
        <x:f>IF(ISNUMBER(SEARCH("weak_legacy_content",'제외 후보'!P293)),'선정 규칙'!$B$21,0)</x:f>
        <x:v>5</x:v>
      </x:c>
      <x:c r="J293" s="11" t="n">
        <x:f>IF('제외 후보'!AC293&lt;&gt;"",'선정 규칙'!$B$22,0)</x:f>
        <x:v>0</x:v>
      </x:c>
      <x:c r="K293" s="11" t="n">
        <x:f>SUM(B293:J293)</x:f>
        <x:v>31</x:v>
      </x:c>
      <x:c r="L293" s="11" t="n">
        <x:f>'제외 후보'!N293</x:f>
        <x:v>31</x:v>
      </x:c>
      <x:c r="M293" s="2" t="str">
        <x:f>IF(K293=L293,"OK","MISMATCH")</x:f>
        <x:v>OK</x:v>
      </x:c>
    </x:row>
    <x:row r="294">
      <x:c r="A294" s="2" t="str">
        <x:f>'제외 후보'!G294</x:f>
        <x:v>w_6309803841c85097</x:v>
      </x:c>
      <x:c r="B294" s="11" t="n">
        <x:f>IF('제외 후보'!Q294&lt;&gt;"",'선정 규칙'!$B$4,0)</x:f>
        <x:v>0</x:v>
      </x:c>
      <x:c r="C294" s="11" t="n">
        <x:f>IF(ISNUMBER(SEARCH("jmdict_uncommon_or_irregular",'제외 후보'!P294)),'선정 규칙'!$B$5,IF(ISNUMBER(SEARCH("jmdict_rare_or_dated",'제외 후보'!P294)),'선정 규칙'!$B$6,0))</x:f>
        <x:v>50</x:v>
      </x:c>
      <x:c r="D294" s="11" t="n">
        <x:f>IF(ISNUMBER(SEARCH("jmdict_exact_pair_not_found",'제외 후보'!P294)),'선정 규칙'!$B$7,0)</x:f>
        <x:v>0</x:v>
      </x:c>
      <x:c r="E294" s="11" t="n">
        <x:f>IF(OR('제외 후보'!L294="",'제외 후보'!L294&lt;=0),'선정 규칙'!$B$8,IF('제외 후보'!L294&lt;=1.5,'선정 규칙'!$B$9,IF('제외 후보'!L294&lt;=2,'선정 규칙'!$B$10,IF('제외 후보'!L294&lt;=2.5,'선정 규칙'!$B$11,IF('제외 후보'!L294&lt;=3,'선정 규칙'!$B$12,IF('제외 후보'!L294&lt;=3.5,'선정 규칙'!$B$13,IF('제외 후보'!L294&gt;=4.5,'선정 규칙'!$B$14,0)))))))</x:f>
        <x:v>0</x:v>
      </x:c>
      <x:c r="F294" s="11" t="n">
        <x:f>IF('제외 후보'!Y294=0,'선정 규칙'!$B$15,IF('제외 후보'!Y294&gt;=100,'선정 규칙'!$B$16,'선정 규칙'!$B$17))</x:f>
        <x:v>-25</x:v>
      </x:c>
      <x:c r="G294" s="11" t="n">
        <x:f>IF('제외 후보'!M294="있음",'선정 규칙'!$B$18,'선정 규칙'!$B$19)</x:f>
        <x:v>6</x:v>
      </x:c>
      <x:c r="H294" s="11" t="n">
        <x:f>IF(ISNUMBER(SEARCH("freq-core",'제외 후보'!AD294)),'선정 규칙'!$B$20,0)</x:f>
        <x:v>0</x:v>
      </x:c>
      <x:c r="I294" s="11" t="n">
        <x:f>IF(ISNUMBER(SEARCH("weak_legacy_content",'제외 후보'!P294)),'선정 규칙'!$B$21,0)</x:f>
        <x:v>0</x:v>
      </x:c>
      <x:c r="J294" s="11" t="n">
        <x:f>IF('제외 후보'!AC294&lt;&gt;"",'선정 규칙'!$B$22,0)</x:f>
        <x:v>0</x:v>
      </x:c>
      <x:c r="K294" s="11" t="n">
        <x:f>SUM(B294:J294)</x:f>
        <x:v>31</x:v>
      </x:c>
      <x:c r="L294" s="11" t="n">
        <x:f>'제외 후보'!N294</x:f>
        <x:v>31</x:v>
      </x:c>
      <x:c r="M294" s="2" t="str">
        <x:f>IF(K294=L294,"OK","MISMATCH")</x:f>
        <x:v>OK</x:v>
      </x:c>
    </x:row>
    <x:row r="295">
      <x:c r="A295" s="2" t="str">
        <x:f>'제외 후보'!G295</x:f>
        <x:v>w_8f43b180efb6a864</x:v>
      </x:c>
      <x:c r="B295" s="11" t="n">
        <x:f>IF('제외 후보'!Q295&lt;&gt;"",'선정 규칙'!$B$4,0)</x:f>
        <x:v>0</x:v>
      </x:c>
      <x:c r="C295" s="11" t="n">
        <x:f>IF(ISNUMBER(SEARCH("jmdict_uncommon_or_irregular",'제외 후보'!P295)),'선정 규칙'!$B$5,IF(ISNUMBER(SEARCH("jmdict_rare_or_dated",'제외 후보'!P295)),'선정 규칙'!$B$6,0))</x:f>
        <x:v>50</x:v>
      </x:c>
      <x:c r="D295" s="11" t="n">
        <x:f>IF(ISNUMBER(SEARCH("jmdict_exact_pair_not_found",'제외 후보'!P295)),'선정 규칙'!$B$7,0)</x:f>
        <x:v>0</x:v>
      </x:c>
      <x:c r="E295" s="11" t="n">
        <x:f>IF(OR('제외 후보'!L295="",'제외 후보'!L295&lt;=0),'선정 규칙'!$B$8,IF('제외 후보'!L295&lt;=1.5,'선정 규칙'!$B$9,IF('제외 후보'!L295&lt;=2,'선정 규칙'!$B$10,IF('제외 후보'!L295&lt;=2.5,'선정 규칙'!$B$11,IF('제외 후보'!L295&lt;=3,'선정 규칙'!$B$12,IF('제외 후보'!L295&lt;=3.5,'선정 규칙'!$B$13,IF('제외 후보'!L295&gt;=4.5,'선정 규칙'!$B$14,0)))))))</x:f>
        <x:v>0</x:v>
      </x:c>
      <x:c r="F295" s="11" t="n">
        <x:f>IF('제외 후보'!Y295=0,'선정 규칙'!$B$15,IF('제외 후보'!Y295&gt;=100,'선정 규칙'!$B$16,'선정 규칙'!$B$17))</x:f>
        <x:v>-25</x:v>
      </x:c>
      <x:c r="G295" s="11" t="n">
        <x:f>IF('제외 후보'!M295="있음",'선정 규칙'!$B$18,'선정 규칙'!$B$19)</x:f>
        <x:v>6</x:v>
      </x:c>
      <x:c r="H295" s="11" t="n">
        <x:f>IF(ISNUMBER(SEARCH("freq-core",'제외 후보'!AD295)),'선정 규칙'!$B$20,0)</x:f>
        <x:v>0</x:v>
      </x:c>
      <x:c r="I295" s="11" t="n">
        <x:f>IF(ISNUMBER(SEARCH("weak_legacy_content",'제외 후보'!P295)),'선정 규칙'!$B$21,0)</x:f>
        <x:v>0</x:v>
      </x:c>
      <x:c r="J295" s="11" t="n">
        <x:f>IF('제외 후보'!AC295&lt;&gt;"",'선정 규칙'!$B$22,0)</x:f>
        <x:v>0</x:v>
      </x:c>
      <x:c r="K295" s="11" t="n">
        <x:f>SUM(B295:J295)</x:f>
        <x:v>31</x:v>
      </x:c>
      <x:c r="L295" s="11" t="n">
        <x:f>'제외 후보'!N295</x:f>
        <x:v>31</x:v>
      </x:c>
      <x:c r="M295" s="2" t="str">
        <x:f>IF(K295=L295,"OK","MISMATCH")</x:f>
        <x:v>OK</x:v>
      </x:c>
    </x:row>
    <x:row r="296">
      <x:c r="A296" s="2" t="str">
        <x:f>'제외 후보'!G296</x:f>
        <x:v>w_57c108f507b24abb</x:v>
      </x:c>
      <x:c r="B296" s="11" t="n">
        <x:f>IF('제외 후보'!Q296&lt;&gt;"",'선정 규칙'!$B$4,0)</x:f>
        <x:v>60</x:v>
      </x:c>
      <x:c r="C296" s="11" t="n">
        <x:f>IF(ISNUMBER(SEARCH("jmdict_uncommon_or_irregular",'제외 후보'!P296)),'선정 규칙'!$B$5,IF(ISNUMBER(SEARCH("jmdict_rare_or_dated",'제외 후보'!P296)),'선정 규칙'!$B$6,0))</x:f>
        <x:v>0</x:v>
      </x:c>
      <x:c r="D296" s="11" t="n">
        <x:f>IF(ISNUMBER(SEARCH("jmdict_exact_pair_not_found",'제외 후보'!P296)),'선정 규칙'!$B$7,0)</x:f>
        <x:v>0</x:v>
      </x:c>
      <x:c r="E296" s="11" t="n">
        <x:f>IF(OR('제외 후보'!L296="",'제외 후보'!L296&lt;=0),'선정 규칙'!$B$8,IF('제외 후보'!L296&lt;=1.5,'선정 규칙'!$B$9,IF('제외 후보'!L296&lt;=2,'선정 규칙'!$B$10,IF('제외 후보'!L296&lt;=2.5,'선정 규칙'!$B$11,IF('제외 후보'!L296&lt;=3,'선정 규칙'!$B$12,IF('제외 후보'!L296&lt;=3.5,'선정 규칙'!$B$13,IF('제외 후보'!L296&gt;=4.5,'선정 규칙'!$B$14,0)))))))</x:f>
        <x:v>20</x:v>
      </x:c>
      <x:c r="F296" s="11" t="n">
        <x:f>IF('제외 후보'!Y296=0,'선정 규칙'!$B$15,IF('제외 후보'!Y296&gt;=100,'선정 규칙'!$B$16,'선정 규칙'!$B$17))</x:f>
        <x:v>-25</x:v>
      </x:c>
      <x:c r="G296" s="11" t="n">
        <x:f>IF('제외 후보'!M296="있음",'선정 규칙'!$B$18,'선정 규칙'!$B$19)</x:f>
        <x:v>-25</x:v>
      </x:c>
      <x:c r="H296" s="11" t="n">
        <x:f>IF(ISNUMBER(SEARCH("freq-core",'제외 후보'!AD296)),'선정 규칙'!$B$20,0)</x:f>
        <x:v>0</x:v>
      </x:c>
      <x:c r="I296" s="11" t="n">
        <x:f>IF(ISNUMBER(SEARCH("weak_legacy_content",'제외 후보'!P296)),'선정 규칙'!$B$21,0)</x:f>
        <x:v>0</x:v>
      </x:c>
      <x:c r="J296" s="11" t="n">
        <x:f>IF('제외 후보'!AC296&lt;&gt;"",'선정 규칙'!$B$22,0)</x:f>
        <x:v>0</x:v>
      </x:c>
      <x:c r="K296" s="11" t="n">
        <x:f>SUM(B296:J296)</x:f>
        <x:v>30</x:v>
      </x:c>
      <x:c r="L296" s="11" t="n">
        <x:f>'제외 후보'!N296</x:f>
        <x:v>30</x:v>
      </x:c>
      <x:c r="M296" s="2" t="str">
        <x:f>IF(K296=L296,"OK","MISMATCH")</x:f>
        <x:v>OK</x:v>
      </x:c>
    </x:row>
    <x:row r="297">
      <x:c r="A297" s="2" t="str">
        <x:f>'제외 후보'!G297</x:f>
        <x:v>w_74434c8fa929aa49</x:v>
      </x:c>
      <x:c r="B297" s="11" t="n">
        <x:f>IF('제외 후보'!Q297&lt;&gt;"",'선정 규칙'!$B$4,0)</x:f>
        <x:v>0</x:v>
      </x:c>
      <x:c r="C297" s="11" t="n">
        <x:f>IF(ISNUMBER(SEARCH("jmdict_uncommon_or_irregular",'제외 후보'!P297)),'선정 규칙'!$B$5,IF(ISNUMBER(SEARCH("jmdict_rare_or_dated",'제외 후보'!P297)),'선정 규칙'!$B$6,0))</x:f>
        <x:v>0</x:v>
      </x:c>
      <x:c r="D297" s="11" t="n">
        <x:f>IF(ISNUMBER(SEARCH("jmdict_exact_pair_not_found",'제외 후보'!P297)),'선정 규칙'!$B$7,0)</x:f>
        <x:v>0</x:v>
      </x:c>
      <x:c r="E297" s="11" t="n">
        <x:f>IF(OR('제외 후보'!L297="",'제외 후보'!L297&lt;=0),'선정 규칙'!$B$8,IF('제외 후보'!L297&lt;=1.5,'선정 규칙'!$B$9,IF('제외 후보'!L297&lt;=2,'선정 규칙'!$B$10,IF('제외 후보'!L297&lt;=2.5,'선정 규칙'!$B$11,IF('제외 후보'!L297&lt;=3,'선정 규칙'!$B$12,IF('제외 후보'!L297&lt;=3.5,'선정 규칙'!$B$13,IF('제외 후보'!L297&gt;=4.5,'선정 규칙'!$B$14,0)))))))</x:f>
        <x:v>12</x:v>
      </x:c>
      <x:c r="F297" s="11" t="n">
        <x:f>IF('제외 후보'!Y297=0,'선정 규칙'!$B$15,IF('제외 후보'!Y297&gt;=100,'선정 규칙'!$B$16,'선정 규칙'!$B$17))</x:f>
        <x:v>12</x:v>
      </x:c>
      <x:c r="G297" s="11" t="n">
        <x:f>IF('제외 후보'!M297="있음",'선정 규칙'!$B$18,'선정 규칙'!$B$19)</x:f>
        <x:v>6</x:v>
      </x:c>
      <x:c r="H297" s="11" t="n">
        <x:f>IF(ISNUMBER(SEARCH("freq-core",'제외 후보'!AD297)),'선정 규칙'!$B$20,0)</x:f>
        <x:v>0</x:v>
      </x:c>
      <x:c r="I297" s="11" t="n">
        <x:f>IF(ISNUMBER(SEARCH("weak_legacy_content",'제외 후보'!P297)),'선정 규칙'!$B$21,0)</x:f>
        <x:v>0</x:v>
      </x:c>
      <x:c r="J297" s="11" t="n">
        <x:f>IF('제외 후보'!AC297&lt;&gt;"",'선정 규칙'!$B$22,0)</x:f>
        <x:v>0</x:v>
      </x:c>
      <x:c r="K297" s="11" t="n">
        <x:f>SUM(B297:J297)</x:f>
        <x:v>30</x:v>
      </x:c>
      <x:c r="L297" s="11" t="n">
        <x:f>'제외 후보'!N297</x:f>
        <x:v>30</x:v>
      </x:c>
      <x:c r="M297" s="2" t="str">
        <x:f>IF(K297=L297,"OK","MISMATCH")</x:f>
        <x:v>OK</x:v>
      </x:c>
    </x:row>
    <x:row r="298">
      <x:c r="A298" s="2" t="str">
        <x:f>'제외 후보'!G298</x:f>
        <x:v>w_f3de018fb601c251</x:v>
      </x:c>
      <x:c r="B298" s="11" t="n">
        <x:f>IF('제외 후보'!Q298&lt;&gt;"",'선정 규칙'!$B$4,0)</x:f>
        <x:v>0</x:v>
      </x:c>
      <x:c r="C298" s="11" t="n">
        <x:f>IF(ISNUMBER(SEARCH("jmdict_uncommon_or_irregular",'제외 후보'!P298)),'선정 규칙'!$B$5,IF(ISNUMBER(SEARCH("jmdict_rare_or_dated",'제외 후보'!P298)),'선정 규칙'!$B$6,0))</x:f>
        <x:v>0</x:v>
      </x:c>
      <x:c r="D298" s="11" t="n">
        <x:f>IF(ISNUMBER(SEARCH("jmdict_exact_pair_not_found",'제외 후보'!P298)),'선정 규칙'!$B$7,0)</x:f>
        <x:v>0</x:v>
      </x:c>
      <x:c r="E298" s="11" t="n">
        <x:f>IF(OR('제외 후보'!L298="",'제외 후보'!L298&lt;=0),'선정 규칙'!$B$8,IF('제외 후보'!L298&lt;=1.5,'선정 규칙'!$B$9,IF('제외 후보'!L298&lt;=2,'선정 규칙'!$B$10,IF('제외 후보'!L298&lt;=2.5,'선정 규칙'!$B$11,IF('제외 후보'!L298&lt;=3,'선정 규칙'!$B$12,IF('제외 후보'!L298&lt;=3.5,'선정 규칙'!$B$13,IF('제외 후보'!L298&gt;=4.5,'선정 규칙'!$B$14,0)))))))</x:f>
        <x:v>12</x:v>
      </x:c>
      <x:c r="F298" s="11" t="n">
        <x:f>IF('제외 후보'!Y298=0,'선정 규칙'!$B$15,IF('제외 후보'!Y298&gt;=100,'선정 규칙'!$B$16,'선정 규칙'!$B$17))</x:f>
        <x:v>12</x:v>
      </x:c>
      <x:c r="G298" s="11" t="n">
        <x:f>IF('제외 후보'!M298="있음",'선정 규칙'!$B$18,'선정 규칙'!$B$19)</x:f>
        <x:v>6</x:v>
      </x:c>
      <x:c r="H298" s="11" t="n">
        <x:f>IF(ISNUMBER(SEARCH("freq-core",'제외 후보'!AD298)),'선정 규칙'!$B$20,0)</x:f>
        <x:v>0</x:v>
      </x:c>
      <x:c r="I298" s="11" t="n">
        <x:f>IF(ISNUMBER(SEARCH("weak_legacy_content",'제외 후보'!P298)),'선정 규칙'!$B$21,0)</x:f>
        <x:v>0</x:v>
      </x:c>
      <x:c r="J298" s="11" t="n">
        <x:f>IF('제외 후보'!AC298&lt;&gt;"",'선정 규칙'!$B$22,0)</x:f>
        <x:v>0</x:v>
      </x:c>
      <x:c r="K298" s="11" t="n">
        <x:f>SUM(B298:J298)</x:f>
        <x:v>30</x:v>
      </x:c>
      <x:c r="L298" s="11" t="n">
        <x:f>'제외 후보'!N298</x:f>
        <x:v>30</x:v>
      </x:c>
      <x:c r="M298" s="2" t="str">
        <x:f>IF(K298=L298,"OK","MISMATCH")</x:f>
        <x:v>OK</x:v>
      </x:c>
    </x:row>
    <x:row r="299">
      <x:c r="A299" s="2" t="str">
        <x:f>'제외 후보'!G299</x:f>
        <x:v>w_26df07666f09ef4c</x:v>
      </x:c>
      <x:c r="B299" s="11" t="n">
        <x:f>IF('제외 후보'!Q299&lt;&gt;"",'선정 규칙'!$B$4,0)</x:f>
        <x:v>0</x:v>
      </x:c>
      <x:c r="C299" s="11" t="n">
        <x:f>IF(ISNUMBER(SEARCH("jmdict_uncommon_or_irregular",'제외 후보'!P299)),'선정 규칙'!$B$5,IF(ISNUMBER(SEARCH("jmdict_rare_or_dated",'제외 후보'!P299)),'선정 규칙'!$B$6,0))</x:f>
        <x:v>0</x:v>
      </x:c>
      <x:c r="D299" s="11" t="n">
        <x:f>IF(ISNUMBER(SEARCH("jmdict_exact_pair_not_found",'제외 후보'!P299)),'선정 규칙'!$B$7,0)</x:f>
        <x:v>0</x:v>
      </x:c>
      <x:c r="E299" s="11" t="n">
        <x:f>IF(OR('제외 후보'!L299="",'제외 후보'!L299&lt;=0),'선정 규칙'!$B$8,IF('제외 후보'!L299&lt;=1.5,'선정 규칙'!$B$9,IF('제외 후보'!L299&lt;=2,'선정 규칙'!$B$10,IF('제외 후보'!L299&lt;=2.5,'선정 규칙'!$B$11,IF('제외 후보'!L299&lt;=3,'선정 규칙'!$B$12,IF('제외 후보'!L299&lt;=3.5,'선정 규칙'!$B$13,IF('제외 후보'!L299&gt;=4.5,'선정 규칙'!$B$14,0)))))))</x:f>
        <x:v>12</x:v>
      </x:c>
      <x:c r="F299" s="11" t="n">
        <x:f>IF('제외 후보'!Y299=0,'선정 규칙'!$B$15,IF('제외 후보'!Y299&gt;=100,'선정 규칙'!$B$16,'선정 규칙'!$B$17))</x:f>
        <x:v>12</x:v>
      </x:c>
      <x:c r="G299" s="11" t="n">
        <x:f>IF('제외 후보'!M299="있음",'선정 규칙'!$B$18,'선정 규칙'!$B$19)</x:f>
        <x:v>6</x:v>
      </x:c>
      <x:c r="H299" s="11" t="n">
        <x:f>IF(ISNUMBER(SEARCH("freq-core",'제외 후보'!AD299)),'선정 규칙'!$B$20,0)</x:f>
        <x:v>0</x:v>
      </x:c>
      <x:c r="I299" s="11" t="n">
        <x:f>IF(ISNUMBER(SEARCH("weak_legacy_content",'제외 후보'!P299)),'선정 규칙'!$B$21,0)</x:f>
        <x:v>0</x:v>
      </x:c>
      <x:c r="J299" s="11" t="n">
        <x:f>IF('제외 후보'!AC299&lt;&gt;"",'선정 규칙'!$B$22,0)</x:f>
        <x:v>0</x:v>
      </x:c>
      <x:c r="K299" s="11" t="n">
        <x:f>SUM(B299:J299)</x:f>
        <x:v>30</x:v>
      </x:c>
      <x:c r="L299" s="11" t="n">
        <x:f>'제외 후보'!N299</x:f>
        <x:v>30</x:v>
      </x:c>
      <x:c r="M299" s="2" t="str">
        <x:f>IF(K299=L299,"OK","MISMATCH")</x:f>
        <x:v>OK</x:v>
      </x:c>
    </x:row>
    <x:row r="300">
      <x:c r="A300" s="2" t="str">
        <x:f>'제외 후보'!G300</x:f>
        <x:v>w_840e0303fde67bc2</x:v>
      </x:c>
      <x:c r="B300" s="11" t="n">
        <x:f>IF('제외 후보'!Q300&lt;&gt;"",'선정 규칙'!$B$4,0)</x:f>
        <x:v>0</x:v>
      </x:c>
      <x:c r="C300" s="11" t="n">
        <x:f>IF(ISNUMBER(SEARCH("jmdict_uncommon_or_irregular",'제외 후보'!P300)),'선정 규칙'!$B$5,IF(ISNUMBER(SEARCH("jmdict_rare_or_dated",'제외 후보'!P300)),'선정 규칙'!$B$6,0))</x:f>
        <x:v>0</x:v>
      </x:c>
      <x:c r="D300" s="11" t="n">
        <x:f>IF(ISNUMBER(SEARCH("jmdict_exact_pair_not_found",'제외 후보'!P300)),'선정 규칙'!$B$7,0)</x:f>
        <x:v>0</x:v>
      </x:c>
      <x:c r="E300" s="11" t="n">
        <x:f>IF(OR('제외 후보'!L300="",'제외 후보'!L300&lt;=0),'선정 규칙'!$B$8,IF('제외 후보'!L300&lt;=1.5,'선정 규칙'!$B$9,IF('제외 후보'!L300&lt;=2,'선정 규칙'!$B$10,IF('제외 후보'!L300&lt;=2.5,'선정 규칙'!$B$11,IF('제외 후보'!L300&lt;=3,'선정 규칙'!$B$12,IF('제외 후보'!L300&lt;=3.5,'선정 규칙'!$B$13,IF('제외 후보'!L300&gt;=4.5,'선정 규칙'!$B$14,0)))))))</x:f>
        <x:v>12</x:v>
      </x:c>
      <x:c r="F300" s="11" t="n">
        <x:f>IF('제외 후보'!Y300=0,'선정 규칙'!$B$15,IF('제외 후보'!Y300&gt;=100,'선정 규칙'!$B$16,'선정 규칙'!$B$17))</x:f>
        <x:v>12</x:v>
      </x:c>
      <x:c r="G300" s="11" t="n">
        <x:f>IF('제외 후보'!M300="있음",'선정 규칙'!$B$18,'선정 규칙'!$B$19)</x:f>
        <x:v>6</x:v>
      </x:c>
      <x:c r="H300" s="11" t="n">
        <x:f>IF(ISNUMBER(SEARCH("freq-core",'제외 후보'!AD300)),'선정 규칙'!$B$20,0)</x:f>
        <x:v>0</x:v>
      </x:c>
      <x:c r="I300" s="11" t="n">
        <x:f>IF(ISNUMBER(SEARCH("weak_legacy_content",'제외 후보'!P300)),'선정 규칙'!$B$21,0)</x:f>
        <x:v>0</x:v>
      </x:c>
      <x:c r="J300" s="11" t="n">
        <x:f>IF('제외 후보'!AC300&lt;&gt;"",'선정 규칙'!$B$22,0)</x:f>
        <x:v>0</x:v>
      </x:c>
      <x:c r="K300" s="11" t="n">
        <x:f>SUM(B300:J300)</x:f>
        <x:v>30</x:v>
      </x:c>
      <x:c r="L300" s="11" t="n">
        <x:f>'제외 후보'!N300</x:f>
        <x:v>30</x:v>
      </x:c>
      <x:c r="M300" s="2" t="str">
        <x:f>IF(K300=L300,"OK","MISMATCH")</x:f>
        <x:v>OK</x:v>
      </x:c>
    </x:row>
    <x:row r="301">
      <x:c r="A301" s="2" t="str">
        <x:f>'제외 후보'!G301</x:f>
        <x:v>w_370601dce3387ebc</x:v>
      </x:c>
      <x:c r="B301" s="11" t="n">
        <x:f>IF('제외 후보'!Q301&lt;&gt;"",'선정 규칙'!$B$4,0)</x:f>
        <x:v>0</x:v>
      </x:c>
      <x:c r="C301" s="11" t="n">
        <x:f>IF(ISNUMBER(SEARCH("jmdict_uncommon_or_irregular",'제외 후보'!P301)),'선정 규칙'!$B$5,IF(ISNUMBER(SEARCH("jmdict_rare_or_dated",'제외 후보'!P301)),'선정 규칙'!$B$6,0))</x:f>
        <x:v>0</x:v>
      </x:c>
      <x:c r="D301" s="11" t="n">
        <x:f>IF(ISNUMBER(SEARCH("jmdict_exact_pair_not_found",'제외 후보'!P301)),'선정 규칙'!$B$7,0)</x:f>
        <x:v>0</x:v>
      </x:c>
      <x:c r="E301" s="11" t="n">
        <x:f>IF(OR('제외 후보'!L301="",'제외 후보'!L301&lt;=0),'선정 규칙'!$B$8,IF('제외 후보'!L301&lt;=1.5,'선정 규칙'!$B$9,IF('제외 후보'!L301&lt;=2,'선정 규칙'!$B$10,IF('제외 후보'!L301&lt;=2.5,'선정 규칙'!$B$11,IF('제외 후보'!L301&lt;=3,'선정 규칙'!$B$12,IF('제외 후보'!L301&lt;=3.5,'선정 규칙'!$B$13,IF('제외 후보'!L301&gt;=4.5,'선정 규칙'!$B$14,0)))))))</x:f>
        <x:v>12</x:v>
      </x:c>
      <x:c r="F301" s="11" t="n">
        <x:f>IF('제외 후보'!Y301=0,'선정 규칙'!$B$15,IF('제외 후보'!Y301&gt;=100,'선정 규칙'!$B$16,'선정 규칙'!$B$17))</x:f>
        <x:v>12</x:v>
      </x:c>
      <x:c r="G301" s="11" t="n">
        <x:f>IF('제외 후보'!M301="있음",'선정 규칙'!$B$18,'선정 규칙'!$B$19)</x:f>
        <x:v>6</x:v>
      </x:c>
      <x:c r="H301" s="11" t="n">
        <x:f>IF(ISNUMBER(SEARCH("freq-core",'제외 후보'!AD301)),'선정 규칙'!$B$20,0)</x:f>
        <x:v>0</x:v>
      </x:c>
      <x:c r="I301" s="11" t="n">
        <x:f>IF(ISNUMBER(SEARCH("weak_legacy_content",'제외 후보'!P301)),'선정 규칙'!$B$21,0)</x:f>
        <x:v>0</x:v>
      </x:c>
      <x:c r="J301" s="11" t="n">
        <x:f>IF('제외 후보'!AC301&lt;&gt;"",'선정 규칙'!$B$22,0)</x:f>
        <x:v>0</x:v>
      </x:c>
      <x:c r="K301" s="11" t="n">
        <x:f>SUM(B301:J301)</x:f>
        <x:v>30</x:v>
      </x:c>
      <x:c r="L301" s="11" t="n">
        <x:f>'제외 후보'!N301</x:f>
        <x:v>30</x:v>
      </x:c>
      <x:c r="M301" s="2" t="str">
        <x:f>IF(K301=L301,"OK","MISMATCH")</x:f>
        <x:v>OK</x:v>
      </x:c>
    </x:row>
    <x:row r="302">
      <x:c r="A302" s="2" t="str">
        <x:f>'제외 후보'!G302</x:f>
        <x:v>w_dcec480c77d798db</x:v>
      </x:c>
      <x:c r="B302" s="11" t="n">
        <x:f>IF('제외 후보'!Q302&lt;&gt;"",'선정 규칙'!$B$4,0)</x:f>
        <x:v>0</x:v>
      </x:c>
      <x:c r="C302" s="11" t="n">
        <x:f>IF(ISNUMBER(SEARCH("jmdict_uncommon_or_irregular",'제외 후보'!P302)),'선정 규칙'!$B$5,IF(ISNUMBER(SEARCH("jmdict_rare_or_dated",'제외 후보'!P302)),'선정 규칙'!$B$6,0))</x:f>
        <x:v>0</x:v>
      </x:c>
      <x:c r="D302" s="11" t="n">
        <x:f>IF(ISNUMBER(SEARCH("jmdict_exact_pair_not_found",'제외 후보'!P302)),'선정 규칙'!$B$7,0)</x:f>
        <x:v>0</x:v>
      </x:c>
      <x:c r="E302" s="11" t="n">
        <x:f>IF(OR('제외 후보'!L302="",'제외 후보'!L302&lt;=0),'선정 규칙'!$B$8,IF('제외 후보'!L302&lt;=1.5,'선정 규칙'!$B$9,IF('제외 후보'!L302&lt;=2,'선정 규칙'!$B$10,IF('제외 후보'!L302&lt;=2.5,'선정 규칙'!$B$11,IF('제외 후보'!L302&lt;=3,'선정 규칙'!$B$12,IF('제외 후보'!L302&lt;=3.5,'선정 규칙'!$B$13,IF('제외 후보'!L302&gt;=4.5,'선정 규칙'!$B$14,0)))))))</x:f>
        <x:v>12</x:v>
      </x:c>
      <x:c r="F302" s="11" t="n">
        <x:f>IF('제외 후보'!Y302=0,'선정 규칙'!$B$15,IF('제외 후보'!Y302&gt;=100,'선정 규칙'!$B$16,'선정 규칙'!$B$17))</x:f>
        <x:v>12</x:v>
      </x:c>
      <x:c r="G302" s="11" t="n">
        <x:f>IF('제외 후보'!M302="있음",'선정 규칙'!$B$18,'선정 규칙'!$B$19)</x:f>
        <x:v>6</x:v>
      </x:c>
      <x:c r="H302" s="11" t="n">
        <x:f>IF(ISNUMBER(SEARCH("freq-core",'제외 후보'!AD302)),'선정 규칙'!$B$20,0)</x:f>
        <x:v>0</x:v>
      </x:c>
      <x:c r="I302" s="11" t="n">
        <x:f>IF(ISNUMBER(SEARCH("weak_legacy_content",'제외 후보'!P302)),'선정 규칙'!$B$21,0)</x:f>
        <x:v>0</x:v>
      </x:c>
      <x:c r="J302" s="11" t="n">
        <x:f>IF('제외 후보'!AC302&lt;&gt;"",'선정 규칙'!$B$22,0)</x:f>
        <x:v>0</x:v>
      </x:c>
      <x:c r="K302" s="11" t="n">
        <x:f>SUM(B302:J302)</x:f>
        <x:v>30</x:v>
      </x:c>
      <x:c r="L302" s="11" t="n">
        <x:f>'제외 후보'!N302</x:f>
        <x:v>30</x:v>
      </x:c>
      <x:c r="M302" s="2" t="str">
        <x:f>IF(K302=L302,"OK","MISMATCH")</x:f>
        <x:v>OK</x:v>
      </x:c>
    </x:row>
    <x:row r="303">
      <x:c r="A303" s="2" t="str">
        <x:f>'제외 후보'!G303</x:f>
        <x:v>w_5e7b11cee20068a0</x:v>
      </x:c>
      <x:c r="B303" s="11" t="n">
        <x:f>IF('제외 후보'!Q303&lt;&gt;"",'선정 규칙'!$B$4,0)</x:f>
        <x:v>0</x:v>
      </x:c>
      <x:c r="C303" s="11" t="n">
        <x:f>IF(ISNUMBER(SEARCH("jmdict_uncommon_or_irregular",'제외 후보'!P303)),'선정 규칙'!$B$5,IF(ISNUMBER(SEARCH("jmdict_rare_or_dated",'제외 후보'!P303)),'선정 규칙'!$B$6,0))</x:f>
        <x:v>0</x:v>
      </x:c>
      <x:c r="D303" s="11" t="n">
        <x:f>IF(ISNUMBER(SEARCH("jmdict_exact_pair_not_found",'제외 후보'!P303)),'선정 규칙'!$B$7,0)</x:f>
        <x:v>0</x:v>
      </x:c>
      <x:c r="E303" s="11" t="n">
        <x:f>IF(OR('제외 후보'!L303="",'제외 후보'!L303&lt;=0),'선정 규칙'!$B$8,IF('제외 후보'!L303&lt;=1.5,'선정 규칙'!$B$9,IF('제외 후보'!L303&lt;=2,'선정 규칙'!$B$10,IF('제외 후보'!L303&lt;=2.5,'선정 규칙'!$B$11,IF('제외 후보'!L303&lt;=3,'선정 규칙'!$B$12,IF('제외 후보'!L303&lt;=3.5,'선정 규칙'!$B$13,IF('제외 후보'!L303&gt;=4.5,'선정 규칙'!$B$14,0)))))))</x:f>
        <x:v>12</x:v>
      </x:c>
      <x:c r="F303" s="11" t="n">
        <x:f>IF('제외 후보'!Y303=0,'선정 규칙'!$B$15,IF('제외 후보'!Y303&gt;=100,'선정 규칙'!$B$16,'선정 규칙'!$B$17))</x:f>
        <x:v>12</x:v>
      </x:c>
      <x:c r="G303" s="11" t="n">
        <x:f>IF('제외 후보'!M303="있음",'선정 규칙'!$B$18,'선정 규칙'!$B$19)</x:f>
        <x:v>6</x:v>
      </x:c>
      <x:c r="H303" s="11" t="n">
        <x:f>IF(ISNUMBER(SEARCH("freq-core",'제외 후보'!AD303)),'선정 규칙'!$B$20,0)</x:f>
        <x:v>0</x:v>
      </x:c>
      <x:c r="I303" s="11" t="n">
        <x:f>IF(ISNUMBER(SEARCH("weak_legacy_content",'제외 후보'!P303)),'선정 규칙'!$B$21,0)</x:f>
        <x:v>0</x:v>
      </x:c>
      <x:c r="J303" s="11" t="n">
        <x:f>IF('제외 후보'!AC303&lt;&gt;"",'선정 규칙'!$B$22,0)</x:f>
        <x:v>0</x:v>
      </x:c>
      <x:c r="K303" s="11" t="n">
        <x:f>SUM(B303:J303)</x:f>
        <x:v>30</x:v>
      </x:c>
      <x:c r="L303" s="11" t="n">
        <x:f>'제외 후보'!N303</x:f>
        <x:v>30</x:v>
      </x:c>
      <x:c r="M303" s="2" t="str">
        <x:f>IF(K303=L303,"OK","MISMATCH")</x:f>
        <x:v>OK</x:v>
      </x:c>
    </x:row>
    <x:row r="304">
      <x:c r="A304" s="2" t="str">
        <x:f>'제외 후보'!G304</x:f>
        <x:v>w_137ae31f28f28d85</x:v>
      </x:c>
      <x:c r="B304" s="11" t="n">
        <x:f>IF('제외 후보'!Q304&lt;&gt;"",'선정 규칙'!$B$4,0)</x:f>
        <x:v>0</x:v>
      </x:c>
      <x:c r="C304" s="11" t="n">
        <x:f>IF(ISNUMBER(SEARCH("jmdict_uncommon_or_irregular",'제외 후보'!P304)),'선정 규칙'!$B$5,IF(ISNUMBER(SEARCH("jmdict_rare_or_dated",'제외 후보'!P304)),'선정 규칙'!$B$6,0))</x:f>
        <x:v>0</x:v>
      </x:c>
      <x:c r="D304" s="11" t="n">
        <x:f>IF(ISNUMBER(SEARCH("jmdict_exact_pair_not_found",'제외 후보'!P304)),'선정 규칙'!$B$7,0)</x:f>
        <x:v>0</x:v>
      </x:c>
      <x:c r="E304" s="11" t="n">
        <x:f>IF(OR('제외 후보'!L304="",'제외 후보'!L304&lt;=0),'선정 규칙'!$B$8,IF('제외 후보'!L304&lt;=1.5,'선정 규칙'!$B$9,IF('제외 후보'!L304&lt;=2,'선정 규칙'!$B$10,IF('제외 후보'!L304&lt;=2.5,'선정 규칙'!$B$11,IF('제외 후보'!L304&lt;=3,'선정 규칙'!$B$12,IF('제외 후보'!L304&lt;=3.5,'선정 규칙'!$B$13,IF('제외 후보'!L304&gt;=4.5,'선정 규칙'!$B$14,0)))))))</x:f>
        <x:v>12</x:v>
      </x:c>
      <x:c r="F304" s="11" t="n">
        <x:f>IF('제외 후보'!Y304=0,'선정 규칙'!$B$15,IF('제외 후보'!Y304&gt;=100,'선정 규칙'!$B$16,'선정 규칙'!$B$17))</x:f>
        <x:v>12</x:v>
      </x:c>
      <x:c r="G304" s="11" t="n">
        <x:f>IF('제외 후보'!M304="있음",'선정 규칙'!$B$18,'선정 규칙'!$B$19)</x:f>
        <x:v>6</x:v>
      </x:c>
      <x:c r="H304" s="11" t="n">
        <x:f>IF(ISNUMBER(SEARCH("freq-core",'제외 후보'!AD304)),'선정 규칙'!$B$20,0)</x:f>
        <x:v>0</x:v>
      </x:c>
      <x:c r="I304" s="11" t="n">
        <x:f>IF(ISNUMBER(SEARCH("weak_legacy_content",'제외 후보'!P304)),'선정 규칙'!$B$21,0)</x:f>
        <x:v>0</x:v>
      </x:c>
      <x:c r="J304" s="11" t="n">
        <x:f>IF('제외 후보'!AC304&lt;&gt;"",'선정 규칙'!$B$22,0)</x:f>
        <x:v>0</x:v>
      </x:c>
      <x:c r="K304" s="11" t="n">
        <x:f>SUM(B304:J304)</x:f>
        <x:v>30</x:v>
      </x:c>
      <x:c r="L304" s="11" t="n">
        <x:f>'제외 후보'!N304</x:f>
        <x:v>30</x:v>
      </x:c>
      <x:c r="M304" s="2" t="str">
        <x:f>IF(K304=L304,"OK","MISMATCH")</x:f>
        <x:v>OK</x:v>
      </x:c>
    </x:row>
    <x:row r="305">
      <x:c r="A305" s="2" t="str">
        <x:f>'제외 후보'!G305</x:f>
        <x:v>w_980c9136003f65a3</x:v>
      </x:c>
      <x:c r="B305" s="11" t="n">
        <x:f>IF('제외 후보'!Q305&lt;&gt;"",'선정 규칙'!$B$4,0)</x:f>
        <x:v>0</x:v>
      </x:c>
      <x:c r="C305" s="11" t="n">
        <x:f>IF(ISNUMBER(SEARCH("jmdict_uncommon_or_irregular",'제외 후보'!P305)),'선정 규칙'!$B$5,IF(ISNUMBER(SEARCH("jmdict_rare_or_dated",'제외 후보'!P305)),'선정 규칙'!$B$6,0))</x:f>
        <x:v>0</x:v>
      </x:c>
      <x:c r="D305" s="11" t="n">
        <x:f>IF(ISNUMBER(SEARCH("jmdict_exact_pair_not_found",'제외 후보'!P305)),'선정 규칙'!$B$7,0)</x:f>
        <x:v>0</x:v>
      </x:c>
      <x:c r="E305" s="11" t="n">
        <x:f>IF(OR('제외 후보'!L305="",'제외 후보'!L305&lt;=0),'선정 규칙'!$B$8,IF('제외 후보'!L305&lt;=1.5,'선정 규칙'!$B$9,IF('제외 후보'!L305&lt;=2,'선정 규칙'!$B$10,IF('제외 후보'!L305&lt;=2.5,'선정 규칙'!$B$11,IF('제외 후보'!L305&lt;=3,'선정 규칙'!$B$12,IF('제외 후보'!L305&lt;=3.5,'선정 규칙'!$B$13,IF('제외 후보'!L305&gt;=4.5,'선정 규칙'!$B$14,0)))))))</x:f>
        <x:v>12</x:v>
      </x:c>
      <x:c r="F305" s="11" t="n">
        <x:f>IF('제외 후보'!Y305=0,'선정 규칙'!$B$15,IF('제외 후보'!Y305&gt;=100,'선정 규칙'!$B$16,'선정 규칙'!$B$17))</x:f>
        <x:v>12</x:v>
      </x:c>
      <x:c r="G305" s="11" t="n">
        <x:f>IF('제외 후보'!M305="있음",'선정 규칙'!$B$18,'선정 규칙'!$B$19)</x:f>
        <x:v>6</x:v>
      </x:c>
      <x:c r="H305" s="11" t="n">
        <x:f>IF(ISNUMBER(SEARCH("freq-core",'제외 후보'!AD305)),'선정 규칙'!$B$20,0)</x:f>
        <x:v>0</x:v>
      </x:c>
      <x:c r="I305" s="11" t="n">
        <x:f>IF(ISNUMBER(SEARCH("weak_legacy_content",'제외 후보'!P305)),'선정 규칙'!$B$21,0)</x:f>
        <x:v>0</x:v>
      </x:c>
      <x:c r="J305" s="11" t="n">
        <x:f>IF('제외 후보'!AC305&lt;&gt;"",'선정 규칙'!$B$22,0)</x:f>
        <x:v>0</x:v>
      </x:c>
      <x:c r="K305" s="11" t="n">
        <x:f>SUM(B305:J305)</x:f>
        <x:v>30</x:v>
      </x:c>
      <x:c r="L305" s="11" t="n">
        <x:f>'제외 후보'!N305</x:f>
        <x:v>30</x:v>
      </x:c>
      <x:c r="M305" s="2" t="str">
        <x:f>IF(K305=L305,"OK","MISMATCH")</x:f>
        <x:v>OK</x:v>
      </x:c>
    </x:row>
    <x:row r="306">
      <x:c r="A306" s="2" t="str">
        <x:f>'제외 후보'!G306</x:f>
        <x:v>w_d131ce4c50de4b6b</x:v>
      </x:c>
      <x:c r="B306" s="11" t="n">
        <x:f>IF('제외 후보'!Q306&lt;&gt;"",'선정 규칙'!$B$4,0)</x:f>
        <x:v>0</x:v>
      </x:c>
      <x:c r="C306" s="11" t="n">
        <x:f>IF(ISNUMBER(SEARCH("jmdict_uncommon_or_irregular",'제외 후보'!P306)),'선정 규칙'!$B$5,IF(ISNUMBER(SEARCH("jmdict_rare_or_dated",'제외 후보'!P306)),'선정 규칙'!$B$6,0))</x:f>
        <x:v>0</x:v>
      </x:c>
      <x:c r="D306" s="11" t="n">
        <x:f>IF(ISNUMBER(SEARCH("jmdict_exact_pair_not_found",'제외 후보'!P306)),'선정 규칙'!$B$7,0)</x:f>
        <x:v>0</x:v>
      </x:c>
      <x:c r="E306" s="11" t="n">
        <x:f>IF(OR('제외 후보'!L306="",'제외 후보'!L306&lt;=0),'선정 규칙'!$B$8,IF('제외 후보'!L306&lt;=1.5,'선정 규칙'!$B$9,IF('제외 후보'!L306&lt;=2,'선정 규칙'!$B$10,IF('제외 후보'!L306&lt;=2.5,'선정 규칙'!$B$11,IF('제외 후보'!L306&lt;=3,'선정 규칙'!$B$12,IF('제외 후보'!L306&lt;=3.5,'선정 규칙'!$B$13,IF('제외 후보'!L306&gt;=4.5,'선정 규칙'!$B$14,0)))))))</x:f>
        <x:v>12</x:v>
      </x:c>
      <x:c r="F306" s="11" t="n">
        <x:f>IF('제외 후보'!Y306=0,'선정 규칙'!$B$15,IF('제외 후보'!Y306&gt;=100,'선정 규칙'!$B$16,'선정 규칙'!$B$17))</x:f>
        <x:v>12</x:v>
      </x:c>
      <x:c r="G306" s="11" t="n">
        <x:f>IF('제외 후보'!M306="있음",'선정 규칙'!$B$18,'선정 규칙'!$B$19)</x:f>
        <x:v>6</x:v>
      </x:c>
      <x:c r="H306" s="11" t="n">
        <x:f>IF(ISNUMBER(SEARCH("freq-core",'제외 후보'!AD306)),'선정 규칙'!$B$20,0)</x:f>
        <x:v>0</x:v>
      </x:c>
      <x:c r="I306" s="11" t="n">
        <x:f>IF(ISNUMBER(SEARCH("weak_legacy_content",'제외 후보'!P306)),'선정 규칙'!$B$21,0)</x:f>
        <x:v>0</x:v>
      </x:c>
      <x:c r="J306" s="11" t="n">
        <x:f>IF('제외 후보'!AC306&lt;&gt;"",'선정 규칙'!$B$22,0)</x:f>
        <x:v>0</x:v>
      </x:c>
      <x:c r="K306" s="11" t="n">
        <x:f>SUM(B306:J306)</x:f>
        <x:v>30</x:v>
      </x:c>
      <x:c r="L306" s="11" t="n">
        <x:f>'제외 후보'!N306</x:f>
        <x:v>30</x:v>
      </x:c>
      <x:c r="M306" s="2" t="str">
        <x:f>IF(K306=L306,"OK","MISMATCH")</x:f>
        <x:v>OK</x:v>
      </x:c>
    </x:row>
    <x:row r="307">
      <x:c r="A307" s="2" t="str">
        <x:f>'제외 후보'!G307</x:f>
        <x:v>w_5e4565d0d0793f38</x:v>
      </x:c>
      <x:c r="B307" s="11" t="n">
        <x:f>IF('제외 후보'!Q307&lt;&gt;"",'선정 규칙'!$B$4,0)</x:f>
        <x:v>0</x:v>
      </x:c>
      <x:c r="C307" s="11" t="n">
        <x:f>IF(ISNUMBER(SEARCH("jmdict_uncommon_or_irregular",'제외 후보'!P307)),'선정 규칙'!$B$5,IF(ISNUMBER(SEARCH("jmdict_rare_or_dated",'제외 후보'!P307)),'선정 규칙'!$B$6,0))</x:f>
        <x:v>0</x:v>
      </x:c>
      <x:c r="D307" s="11" t="n">
        <x:f>IF(ISNUMBER(SEARCH("jmdict_exact_pair_not_found",'제외 후보'!P307)),'선정 규칙'!$B$7,0)</x:f>
        <x:v>0</x:v>
      </x:c>
      <x:c r="E307" s="11" t="n">
        <x:f>IF(OR('제외 후보'!L307="",'제외 후보'!L307&lt;=0),'선정 규칙'!$B$8,IF('제외 후보'!L307&lt;=1.5,'선정 규칙'!$B$9,IF('제외 후보'!L307&lt;=2,'선정 규칙'!$B$10,IF('제외 후보'!L307&lt;=2.5,'선정 규칙'!$B$11,IF('제외 후보'!L307&lt;=3,'선정 규칙'!$B$12,IF('제외 후보'!L307&lt;=3.5,'선정 규칙'!$B$13,IF('제외 후보'!L307&gt;=4.5,'선정 규칙'!$B$14,0)))))))</x:f>
        <x:v>12</x:v>
      </x:c>
      <x:c r="F307" s="11" t="n">
        <x:f>IF('제외 후보'!Y307=0,'선정 규칙'!$B$15,IF('제외 후보'!Y307&gt;=100,'선정 규칙'!$B$16,'선정 규칙'!$B$17))</x:f>
        <x:v>12</x:v>
      </x:c>
      <x:c r="G307" s="11" t="n">
        <x:f>IF('제외 후보'!M307="있음",'선정 규칙'!$B$18,'선정 규칙'!$B$19)</x:f>
        <x:v>6</x:v>
      </x:c>
      <x:c r="H307" s="11" t="n">
        <x:f>IF(ISNUMBER(SEARCH("freq-core",'제외 후보'!AD307)),'선정 규칙'!$B$20,0)</x:f>
        <x:v>0</x:v>
      </x:c>
      <x:c r="I307" s="11" t="n">
        <x:f>IF(ISNUMBER(SEARCH("weak_legacy_content",'제외 후보'!P307)),'선정 규칙'!$B$21,0)</x:f>
        <x:v>0</x:v>
      </x:c>
      <x:c r="J307" s="11" t="n">
        <x:f>IF('제외 후보'!AC307&lt;&gt;"",'선정 규칙'!$B$22,0)</x:f>
        <x:v>0</x:v>
      </x:c>
      <x:c r="K307" s="11" t="n">
        <x:f>SUM(B307:J307)</x:f>
        <x:v>30</x:v>
      </x:c>
      <x:c r="L307" s="11" t="n">
        <x:f>'제외 후보'!N307</x:f>
        <x:v>30</x:v>
      </x:c>
      <x:c r="M307" s="2" t="str">
        <x:f>IF(K307=L307,"OK","MISMATCH")</x:f>
        <x:v>OK</x:v>
      </x:c>
    </x:row>
    <x:row r="308">
      <x:c r="A308" s="2" t="str">
        <x:f>'제외 후보'!G308</x:f>
        <x:v>w_f1fcc99d67415f95</x:v>
      </x:c>
      <x:c r="B308" s="11" t="n">
        <x:f>IF('제외 후보'!Q308&lt;&gt;"",'선정 규칙'!$B$4,0)</x:f>
        <x:v>0</x:v>
      </x:c>
      <x:c r="C308" s="11" t="n">
        <x:f>IF(ISNUMBER(SEARCH("jmdict_uncommon_or_irregular",'제외 후보'!P308)),'선정 규칙'!$B$5,IF(ISNUMBER(SEARCH("jmdict_rare_or_dated",'제외 후보'!P308)),'선정 규칙'!$B$6,0))</x:f>
        <x:v>0</x:v>
      </x:c>
      <x:c r="D308" s="11" t="n">
        <x:f>IF(ISNUMBER(SEARCH("jmdict_exact_pair_not_found",'제외 후보'!P308)),'선정 규칙'!$B$7,0)</x:f>
        <x:v>0</x:v>
      </x:c>
      <x:c r="E308" s="11" t="n">
        <x:f>IF(OR('제외 후보'!L308="",'제외 후보'!L308&lt;=0),'선정 규칙'!$B$8,IF('제외 후보'!L308&lt;=1.5,'선정 규칙'!$B$9,IF('제외 후보'!L308&lt;=2,'선정 규칙'!$B$10,IF('제외 후보'!L308&lt;=2.5,'선정 규칙'!$B$11,IF('제외 후보'!L308&lt;=3,'선정 규칙'!$B$12,IF('제외 후보'!L308&lt;=3.5,'선정 규칙'!$B$13,IF('제외 후보'!L308&gt;=4.5,'선정 규칙'!$B$14,0)))))))</x:f>
        <x:v>12</x:v>
      </x:c>
      <x:c r="F308" s="11" t="n">
        <x:f>IF('제외 후보'!Y308=0,'선정 규칙'!$B$15,IF('제외 후보'!Y308&gt;=100,'선정 규칙'!$B$16,'선정 규칙'!$B$17))</x:f>
        <x:v>12</x:v>
      </x:c>
      <x:c r="G308" s="11" t="n">
        <x:f>IF('제외 후보'!M308="있음",'선정 규칙'!$B$18,'선정 규칙'!$B$19)</x:f>
        <x:v>6</x:v>
      </x:c>
      <x:c r="H308" s="11" t="n">
        <x:f>IF(ISNUMBER(SEARCH("freq-core",'제외 후보'!AD308)),'선정 규칙'!$B$20,0)</x:f>
        <x:v>0</x:v>
      </x:c>
      <x:c r="I308" s="11" t="n">
        <x:f>IF(ISNUMBER(SEARCH("weak_legacy_content",'제외 후보'!P308)),'선정 규칙'!$B$21,0)</x:f>
        <x:v>0</x:v>
      </x:c>
      <x:c r="J308" s="11" t="n">
        <x:f>IF('제외 후보'!AC308&lt;&gt;"",'선정 규칙'!$B$22,0)</x:f>
        <x:v>0</x:v>
      </x:c>
      <x:c r="K308" s="11" t="n">
        <x:f>SUM(B308:J308)</x:f>
        <x:v>30</x:v>
      </x:c>
      <x:c r="L308" s="11" t="n">
        <x:f>'제외 후보'!N308</x:f>
        <x:v>30</x:v>
      </x:c>
      <x:c r="M308" s="2" t="str">
        <x:f>IF(K308=L308,"OK","MISMATCH")</x:f>
        <x:v>OK</x:v>
      </x:c>
    </x:row>
    <x:row r="309">
      <x:c r="A309" s="2" t="str">
        <x:f>'제외 후보'!G309</x:f>
        <x:v>w_ac5b23aa4edd30f1</x:v>
      </x:c>
      <x:c r="B309" s="11" t="n">
        <x:f>IF('제외 후보'!Q309&lt;&gt;"",'선정 규칙'!$B$4,0)</x:f>
        <x:v>0</x:v>
      </x:c>
      <x:c r="C309" s="11" t="n">
        <x:f>IF(ISNUMBER(SEARCH("jmdict_uncommon_or_irregular",'제외 후보'!P309)),'선정 규칙'!$B$5,IF(ISNUMBER(SEARCH("jmdict_rare_or_dated",'제외 후보'!P309)),'선정 규칙'!$B$6,0))</x:f>
        <x:v>0</x:v>
      </x:c>
      <x:c r="D309" s="11" t="n">
        <x:f>IF(ISNUMBER(SEARCH("jmdict_exact_pair_not_found",'제외 후보'!P309)),'선정 규칙'!$B$7,0)</x:f>
        <x:v>0</x:v>
      </x:c>
      <x:c r="E309" s="11" t="n">
        <x:f>IF(OR('제외 후보'!L309="",'제외 후보'!L309&lt;=0),'선정 규칙'!$B$8,IF('제외 후보'!L309&lt;=1.5,'선정 규칙'!$B$9,IF('제외 후보'!L309&lt;=2,'선정 규칙'!$B$10,IF('제외 후보'!L309&lt;=2.5,'선정 규칙'!$B$11,IF('제외 후보'!L309&lt;=3,'선정 규칙'!$B$12,IF('제외 후보'!L309&lt;=3.5,'선정 규칙'!$B$13,IF('제외 후보'!L309&gt;=4.5,'선정 규칙'!$B$14,0)))))))</x:f>
        <x:v>12</x:v>
      </x:c>
      <x:c r="F309" s="11" t="n">
        <x:f>IF('제외 후보'!Y309=0,'선정 규칙'!$B$15,IF('제외 후보'!Y309&gt;=100,'선정 규칙'!$B$16,'선정 규칙'!$B$17))</x:f>
        <x:v>12</x:v>
      </x:c>
      <x:c r="G309" s="11" t="n">
        <x:f>IF('제외 후보'!M309="있음",'선정 규칙'!$B$18,'선정 규칙'!$B$19)</x:f>
        <x:v>6</x:v>
      </x:c>
      <x:c r="H309" s="11" t="n">
        <x:f>IF(ISNUMBER(SEARCH("freq-core",'제외 후보'!AD309)),'선정 규칙'!$B$20,0)</x:f>
        <x:v>0</x:v>
      </x:c>
      <x:c r="I309" s="11" t="n">
        <x:f>IF(ISNUMBER(SEARCH("weak_legacy_content",'제외 후보'!P309)),'선정 규칙'!$B$21,0)</x:f>
        <x:v>0</x:v>
      </x:c>
      <x:c r="J309" s="11" t="n">
        <x:f>IF('제외 후보'!AC309&lt;&gt;"",'선정 규칙'!$B$22,0)</x:f>
        <x:v>0</x:v>
      </x:c>
      <x:c r="K309" s="11" t="n">
        <x:f>SUM(B309:J309)</x:f>
        <x:v>30</x:v>
      </x:c>
      <x:c r="L309" s="11" t="n">
        <x:f>'제외 후보'!N309</x:f>
        <x:v>30</x:v>
      </x:c>
      <x:c r="M309" s="2" t="str">
        <x:f>IF(K309=L309,"OK","MISMATCH")</x:f>
        <x:v>OK</x:v>
      </x:c>
    </x:row>
    <x:row r="310">
      <x:c r="A310" s="2" t="str">
        <x:f>'제외 후보'!G310</x:f>
        <x:v>w_5cb3e3baba775b61</x:v>
      </x:c>
      <x:c r="B310" s="11" t="n">
        <x:f>IF('제외 후보'!Q310&lt;&gt;"",'선정 규칙'!$B$4,0)</x:f>
        <x:v>0</x:v>
      </x:c>
      <x:c r="C310" s="11" t="n">
        <x:f>IF(ISNUMBER(SEARCH("jmdict_uncommon_or_irregular",'제외 후보'!P310)),'선정 규칙'!$B$5,IF(ISNUMBER(SEARCH("jmdict_rare_or_dated",'제외 후보'!P310)),'선정 규칙'!$B$6,0))</x:f>
        <x:v>0</x:v>
      </x:c>
      <x:c r="D310" s="11" t="n">
        <x:f>IF(ISNUMBER(SEARCH("jmdict_exact_pair_not_found",'제외 후보'!P310)),'선정 규칙'!$B$7,0)</x:f>
        <x:v>0</x:v>
      </x:c>
      <x:c r="E310" s="11" t="n">
        <x:f>IF(OR('제외 후보'!L310="",'제외 후보'!L310&lt;=0),'선정 규칙'!$B$8,IF('제외 후보'!L310&lt;=1.5,'선정 규칙'!$B$9,IF('제외 후보'!L310&lt;=2,'선정 규칙'!$B$10,IF('제외 후보'!L310&lt;=2.5,'선정 규칙'!$B$11,IF('제외 후보'!L310&lt;=3,'선정 규칙'!$B$12,IF('제외 후보'!L310&lt;=3.5,'선정 규칙'!$B$13,IF('제외 후보'!L310&gt;=4.5,'선정 규칙'!$B$14,0)))))))</x:f>
        <x:v>12</x:v>
      </x:c>
      <x:c r="F310" s="11" t="n">
        <x:f>IF('제외 후보'!Y310=0,'선정 규칙'!$B$15,IF('제외 후보'!Y310&gt;=100,'선정 규칙'!$B$16,'선정 규칙'!$B$17))</x:f>
        <x:v>12</x:v>
      </x:c>
      <x:c r="G310" s="11" t="n">
        <x:f>IF('제외 후보'!M310="있음",'선정 규칙'!$B$18,'선정 규칙'!$B$19)</x:f>
        <x:v>6</x:v>
      </x:c>
      <x:c r="H310" s="11" t="n">
        <x:f>IF(ISNUMBER(SEARCH("freq-core",'제외 후보'!AD310)),'선정 규칙'!$B$20,0)</x:f>
        <x:v>0</x:v>
      </x:c>
      <x:c r="I310" s="11" t="n">
        <x:f>IF(ISNUMBER(SEARCH("weak_legacy_content",'제외 후보'!P310)),'선정 규칙'!$B$21,0)</x:f>
        <x:v>0</x:v>
      </x:c>
      <x:c r="J310" s="11" t="n">
        <x:f>IF('제외 후보'!AC310&lt;&gt;"",'선정 규칙'!$B$22,0)</x:f>
        <x:v>0</x:v>
      </x:c>
      <x:c r="K310" s="11" t="n">
        <x:f>SUM(B310:J310)</x:f>
        <x:v>30</x:v>
      </x:c>
      <x:c r="L310" s="11" t="n">
        <x:f>'제외 후보'!N310</x:f>
        <x:v>30</x:v>
      </x:c>
      <x:c r="M310" s="2" t="str">
        <x:f>IF(K310=L310,"OK","MISMATCH")</x:f>
        <x:v>OK</x:v>
      </x:c>
    </x:row>
    <x:row r="311">
      <x:c r="A311" s="2" t="str">
        <x:f>'제외 후보'!G311</x:f>
        <x:v>w_9e8080f050b0241f</x:v>
      </x:c>
      <x:c r="B311" s="11" t="n">
        <x:f>IF('제외 후보'!Q311&lt;&gt;"",'선정 규칙'!$B$4,0)</x:f>
        <x:v>0</x:v>
      </x:c>
      <x:c r="C311" s="11" t="n">
        <x:f>IF(ISNUMBER(SEARCH("jmdict_uncommon_or_irregular",'제외 후보'!P311)),'선정 규칙'!$B$5,IF(ISNUMBER(SEARCH("jmdict_rare_or_dated",'제외 후보'!P311)),'선정 규칙'!$B$6,0))</x:f>
        <x:v>0</x:v>
      </x:c>
      <x:c r="D311" s="11" t="n">
        <x:f>IF(ISNUMBER(SEARCH("jmdict_exact_pair_not_found",'제외 후보'!P311)),'선정 규칙'!$B$7,0)</x:f>
        <x:v>0</x:v>
      </x:c>
      <x:c r="E311" s="11" t="n">
        <x:f>IF(OR('제외 후보'!L311="",'제외 후보'!L311&lt;=0),'선정 규칙'!$B$8,IF('제외 후보'!L311&lt;=1.5,'선정 규칙'!$B$9,IF('제외 후보'!L311&lt;=2,'선정 규칙'!$B$10,IF('제외 후보'!L311&lt;=2.5,'선정 규칙'!$B$11,IF('제외 후보'!L311&lt;=3,'선정 규칙'!$B$12,IF('제외 후보'!L311&lt;=3.5,'선정 규칙'!$B$13,IF('제외 후보'!L311&gt;=4.5,'선정 규칙'!$B$14,0)))))))</x:f>
        <x:v>12</x:v>
      </x:c>
      <x:c r="F311" s="11" t="n">
        <x:f>IF('제외 후보'!Y311=0,'선정 규칙'!$B$15,IF('제외 후보'!Y311&gt;=100,'선정 규칙'!$B$16,'선정 규칙'!$B$17))</x:f>
        <x:v>12</x:v>
      </x:c>
      <x:c r="G311" s="11" t="n">
        <x:f>IF('제외 후보'!M311="있음",'선정 규칙'!$B$18,'선정 규칙'!$B$19)</x:f>
        <x:v>6</x:v>
      </x:c>
      <x:c r="H311" s="11" t="n">
        <x:f>IF(ISNUMBER(SEARCH("freq-core",'제외 후보'!AD311)),'선정 규칙'!$B$20,0)</x:f>
        <x:v>0</x:v>
      </x:c>
      <x:c r="I311" s="11" t="n">
        <x:f>IF(ISNUMBER(SEARCH("weak_legacy_content",'제외 후보'!P311)),'선정 규칙'!$B$21,0)</x:f>
        <x:v>0</x:v>
      </x:c>
      <x:c r="J311" s="11" t="n">
        <x:f>IF('제외 후보'!AC311&lt;&gt;"",'선정 규칙'!$B$22,0)</x:f>
        <x:v>0</x:v>
      </x:c>
      <x:c r="K311" s="11" t="n">
        <x:f>SUM(B311:J311)</x:f>
        <x:v>30</x:v>
      </x:c>
      <x:c r="L311" s="11" t="n">
        <x:f>'제외 후보'!N311</x:f>
        <x:v>30</x:v>
      </x:c>
      <x:c r="M311" s="2" t="str">
        <x:f>IF(K311=L311,"OK","MISMATCH")</x:f>
        <x:v>OK</x:v>
      </x:c>
    </x:row>
    <x:row r="312">
      <x:c r="A312" s="2" t="str">
        <x:f>'제외 후보'!G312</x:f>
        <x:v>w_cc094fbf01db7655</x:v>
      </x:c>
      <x:c r="B312" s="11" t="n">
        <x:f>IF('제외 후보'!Q312&lt;&gt;"",'선정 규칙'!$B$4,0)</x:f>
        <x:v>0</x:v>
      </x:c>
      <x:c r="C312" s="11" t="n">
        <x:f>IF(ISNUMBER(SEARCH("jmdict_uncommon_or_irregular",'제외 후보'!P312)),'선정 규칙'!$B$5,IF(ISNUMBER(SEARCH("jmdict_rare_or_dated",'제외 후보'!P312)),'선정 규칙'!$B$6,0))</x:f>
        <x:v>0</x:v>
      </x:c>
      <x:c r="D312" s="11" t="n">
        <x:f>IF(ISNUMBER(SEARCH("jmdict_exact_pair_not_found",'제외 후보'!P312)),'선정 규칙'!$B$7,0)</x:f>
        <x:v>0</x:v>
      </x:c>
      <x:c r="E312" s="11" t="n">
        <x:f>IF(OR('제외 후보'!L312="",'제외 후보'!L312&lt;=0),'선정 규칙'!$B$8,IF('제외 후보'!L312&lt;=1.5,'선정 규칙'!$B$9,IF('제외 후보'!L312&lt;=2,'선정 규칙'!$B$10,IF('제외 후보'!L312&lt;=2.5,'선정 규칙'!$B$11,IF('제외 후보'!L312&lt;=3,'선정 규칙'!$B$12,IF('제외 후보'!L312&lt;=3.5,'선정 규칙'!$B$13,IF('제외 후보'!L312&gt;=4.5,'선정 규칙'!$B$14,0)))))))</x:f>
        <x:v>12</x:v>
      </x:c>
      <x:c r="F312" s="11" t="n">
        <x:f>IF('제외 후보'!Y312=0,'선정 규칙'!$B$15,IF('제외 후보'!Y312&gt;=100,'선정 규칙'!$B$16,'선정 규칙'!$B$17))</x:f>
        <x:v>12</x:v>
      </x:c>
      <x:c r="G312" s="11" t="n">
        <x:f>IF('제외 후보'!M312="있음",'선정 규칙'!$B$18,'선정 규칙'!$B$19)</x:f>
        <x:v>6</x:v>
      </x:c>
      <x:c r="H312" s="11" t="n">
        <x:f>IF(ISNUMBER(SEARCH("freq-core",'제외 후보'!AD312)),'선정 규칙'!$B$20,0)</x:f>
        <x:v>0</x:v>
      </x:c>
      <x:c r="I312" s="11" t="n">
        <x:f>IF(ISNUMBER(SEARCH("weak_legacy_content",'제외 후보'!P312)),'선정 규칙'!$B$21,0)</x:f>
        <x:v>0</x:v>
      </x:c>
      <x:c r="J312" s="11" t="n">
        <x:f>IF('제외 후보'!AC312&lt;&gt;"",'선정 규칙'!$B$22,0)</x:f>
        <x:v>0</x:v>
      </x:c>
      <x:c r="K312" s="11" t="n">
        <x:f>SUM(B312:J312)</x:f>
        <x:v>30</x:v>
      </x:c>
      <x:c r="L312" s="11" t="n">
        <x:f>'제외 후보'!N312</x:f>
        <x:v>30</x:v>
      </x:c>
      <x:c r="M312" s="2" t="str">
        <x:f>IF(K312=L312,"OK","MISMATCH")</x:f>
        <x:v>OK</x:v>
      </x:c>
    </x:row>
    <x:row r="313">
      <x:c r="A313" s="2" t="str">
        <x:f>'제외 후보'!G313</x:f>
        <x:v>w_dedf9fd02b6d9ae9</x:v>
      </x:c>
      <x:c r="B313" s="11" t="n">
        <x:f>IF('제외 후보'!Q313&lt;&gt;"",'선정 규칙'!$B$4,0)</x:f>
        <x:v>0</x:v>
      </x:c>
      <x:c r="C313" s="11" t="n">
        <x:f>IF(ISNUMBER(SEARCH("jmdict_uncommon_or_irregular",'제외 후보'!P313)),'선정 규칙'!$B$5,IF(ISNUMBER(SEARCH("jmdict_rare_or_dated",'제외 후보'!P313)),'선정 규칙'!$B$6,0))</x:f>
        <x:v>0</x:v>
      </x:c>
      <x:c r="D313" s="11" t="n">
        <x:f>IF(ISNUMBER(SEARCH("jmdict_exact_pair_not_found",'제외 후보'!P313)),'선정 규칙'!$B$7,0)</x:f>
        <x:v>0</x:v>
      </x:c>
      <x:c r="E313" s="11" t="n">
        <x:f>IF(OR('제외 후보'!L313="",'제외 후보'!L313&lt;=0),'선정 규칙'!$B$8,IF('제외 후보'!L313&lt;=1.5,'선정 규칙'!$B$9,IF('제외 후보'!L313&lt;=2,'선정 규칙'!$B$10,IF('제외 후보'!L313&lt;=2.5,'선정 규칙'!$B$11,IF('제외 후보'!L313&lt;=3,'선정 규칙'!$B$12,IF('제외 후보'!L313&lt;=3.5,'선정 규칙'!$B$13,IF('제외 후보'!L313&gt;=4.5,'선정 규칙'!$B$14,0)))))))</x:f>
        <x:v>12</x:v>
      </x:c>
      <x:c r="F313" s="11" t="n">
        <x:f>IF('제외 후보'!Y313=0,'선정 규칙'!$B$15,IF('제외 후보'!Y313&gt;=100,'선정 규칙'!$B$16,'선정 규칙'!$B$17))</x:f>
        <x:v>12</x:v>
      </x:c>
      <x:c r="G313" s="11" t="n">
        <x:f>IF('제외 후보'!M313="있음",'선정 규칙'!$B$18,'선정 규칙'!$B$19)</x:f>
        <x:v>6</x:v>
      </x:c>
      <x:c r="H313" s="11" t="n">
        <x:f>IF(ISNUMBER(SEARCH("freq-core",'제외 후보'!AD313)),'선정 규칙'!$B$20,0)</x:f>
        <x:v>0</x:v>
      </x:c>
      <x:c r="I313" s="11" t="n">
        <x:f>IF(ISNUMBER(SEARCH("weak_legacy_content",'제외 후보'!P313)),'선정 규칙'!$B$21,0)</x:f>
        <x:v>0</x:v>
      </x:c>
      <x:c r="J313" s="11" t="n">
        <x:f>IF('제외 후보'!AC313&lt;&gt;"",'선정 규칙'!$B$22,0)</x:f>
        <x:v>0</x:v>
      </x:c>
      <x:c r="K313" s="11" t="n">
        <x:f>SUM(B313:J313)</x:f>
        <x:v>30</x:v>
      </x:c>
      <x:c r="L313" s="11" t="n">
        <x:f>'제외 후보'!N313</x:f>
        <x:v>30</x:v>
      </x:c>
      <x:c r="M313" s="2" t="str">
        <x:f>IF(K313=L313,"OK","MISMATCH")</x:f>
        <x:v>OK</x:v>
      </x:c>
    </x:row>
    <x:row r="314">
      <x:c r="A314" s="2" t="str">
        <x:f>'제외 후보'!G314</x:f>
        <x:v>w_223d84b37ca2476b</x:v>
      </x:c>
      <x:c r="B314" s="11" t="n">
        <x:f>IF('제외 후보'!Q314&lt;&gt;"",'선정 규칙'!$B$4,0)</x:f>
        <x:v>0</x:v>
      </x:c>
      <x:c r="C314" s="11" t="n">
        <x:f>IF(ISNUMBER(SEARCH("jmdict_uncommon_or_irregular",'제외 후보'!P314)),'선정 규칙'!$B$5,IF(ISNUMBER(SEARCH("jmdict_rare_or_dated",'제외 후보'!P314)),'선정 규칙'!$B$6,0))</x:f>
        <x:v>0</x:v>
      </x:c>
      <x:c r="D314" s="11" t="n">
        <x:f>IF(ISNUMBER(SEARCH("jmdict_exact_pair_not_found",'제외 후보'!P314)),'선정 규칙'!$B$7,0)</x:f>
        <x:v>0</x:v>
      </x:c>
      <x:c r="E314" s="11" t="n">
        <x:f>IF(OR('제외 후보'!L314="",'제외 후보'!L314&lt;=0),'선정 규칙'!$B$8,IF('제외 후보'!L314&lt;=1.5,'선정 규칙'!$B$9,IF('제외 후보'!L314&lt;=2,'선정 규칙'!$B$10,IF('제외 후보'!L314&lt;=2.5,'선정 규칙'!$B$11,IF('제외 후보'!L314&lt;=3,'선정 규칙'!$B$12,IF('제외 후보'!L314&lt;=3.5,'선정 규칙'!$B$13,IF('제외 후보'!L314&gt;=4.5,'선정 규칙'!$B$14,0)))))))</x:f>
        <x:v>12</x:v>
      </x:c>
      <x:c r="F314" s="11" t="n">
        <x:f>IF('제외 후보'!Y314=0,'선정 규칙'!$B$15,IF('제외 후보'!Y314&gt;=100,'선정 규칙'!$B$16,'선정 규칙'!$B$17))</x:f>
        <x:v>12</x:v>
      </x:c>
      <x:c r="G314" s="11" t="n">
        <x:f>IF('제외 후보'!M314="있음",'선정 규칙'!$B$18,'선정 규칙'!$B$19)</x:f>
        <x:v>6</x:v>
      </x:c>
      <x:c r="H314" s="11" t="n">
        <x:f>IF(ISNUMBER(SEARCH("freq-core",'제외 후보'!AD314)),'선정 규칙'!$B$20,0)</x:f>
        <x:v>0</x:v>
      </x:c>
      <x:c r="I314" s="11" t="n">
        <x:f>IF(ISNUMBER(SEARCH("weak_legacy_content",'제외 후보'!P314)),'선정 규칙'!$B$21,0)</x:f>
        <x:v>0</x:v>
      </x:c>
      <x:c r="J314" s="11" t="n">
        <x:f>IF('제외 후보'!AC314&lt;&gt;"",'선정 규칙'!$B$22,0)</x:f>
        <x:v>0</x:v>
      </x:c>
      <x:c r="K314" s="11" t="n">
        <x:f>SUM(B314:J314)</x:f>
        <x:v>30</x:v>
      </x:c>
      <x:c r="L314" s="11" t="n">
        <x:f>'제외 후보'!N314</x:f>
        <x:v>30</x:v>
      </x:c>
      <x:c r="M314" s="2" t="str">
        <x:f>IF(K314=L314,"OK","MISMATCH")</x:f>
        <x:v>OK</x:v>
      </x:c>
    </x:row>
    <x:row r="315">
      <x:c r="A315" s="2" t="str">
        <x:f>'제외 후보'!G315</x:f>
        <x:v>w_4290fb96efeb7a22</x:v>
      </x:c>
      <x:c r="B315" s="11" t="n">
        <x:f>IF('제외 후보'!Q315&lt;&gt;"",'선정 규칙'!$B$4,0)</x:f>
        <x:v>0</x:v>
      </x:c>
      <x:c r="C315" s="11" t="n">
        <x:f>IF(ISNUMBER(SEARCH("jmdict_uncommon_or_irregular",'제외 후보'!P315)),'선정 규칙'!$B$5,IF(ISNUMBER(SEARCH("jmdict_rare_or_dated",'제외 후보'!P315)),'선정 규칙'!$B$6,0))</x:f>
        <x:v>0</x:v>
      </x:c>
      <x:c r="D315" s="11" t="n">
        <x:f>IF(ISNUMBER(SEARCH("jmdict_exact_pair_not_found",'제외 후보'!P315)),'선정 규칙'!$B$7,0)</x:f>
        <x:v>0</x:v>
      </x:c>
      <x:c r="E315" s="11" t="n">
        <x:f>IF(OR('제외 후보'!L315="",'제외 후보'!L315&lt;=0),'선정 규칙'!$B$8,IF('제외 후보'!L315&lt;=1.5,'선정 규칙'!$B$9,IF('제외 후보'!L315&lt;=2,'선정 규칙'!$B$10,IF('제외 후보'!L315&lt;=2.5,'선정 규칙'!$B$11,IF('제외 후보'!L315&lt;=3,'선정 규칙'!$B$12,IF('제외 후보'!L315&lt;=3.5,'선정 규칙'!$B$13,IF('제외 후보'!L315&gt;=4.5,'선정 규칙'!$B$14,0)))))))</x:f>
        <x:v>12</x:v>
      </x:c>
      <x:c r="F315" s="11" t="n">
        <x:f>IF('제외 후보'!Y315=0,'선정 규칙'!$B$15,IF('제외 후보'!Y315&gt;=100,'선정 규칙'!$B$16,'선정 규칙'!$B$17))</x:f>
        <x:v>12</x:v>
      </x:c>
      <x:c r="G315" s="11" t="n">
        <x:f>IF('제외 후보'!M315="있음",'선정 규칙'!$B$18,'선정 규칙'!$B$19)</x:f>
        <x:v>6</x:v>
      </x:c>
      <x:c r="H315" s="11" t="n">
        <x:f>IF(ISNUMBER(SEARCH("freq-core",'제외 후보'!AD315)),'선정 규칙'!$B$20,0)</x:f>
        <x:v>0</x:v>
      </x:c>
      <x:c r="I315" s="11" t="n">
        <x:f>IF(ISNUMBER(SEARCH("weak_legacy_content",'제외 후보'!P315)),'선정 규칙'!$B$21,0)</x:f>
        <x:v>0</x:v>
      </x:c>
      <x:c r="J315" s="11" t="n">
        <x:f>IF('제외 후보'!AC315&lt;&gt;"",'선정 규칙'!$B$22,0)</x:f>
        <x:v>0</x:v>
      </x:c>
      <x:c r="K315" s="11" t="n">
        <x:f>SUM(B315:J315)</x:f>
        <x:v>30</x:v>
      </x:c>
      <x:c r="L315" s="11" t="n">
        <x:f>'제외 후보'!N315</x:f>
        <x:v>30</x:v>
      </x:c>
      <x:c r="M315" s="2" t="str">
        <x:f>IF(K315=L315,"OK","MISMATCH")</x:f>
        <x:v>OK</x:v>
      </x:c>
    </x:row>
    <x:row r="316">
      <x:c r="A316" s="2" t="str">
        <x:f>'제외 후보'!G316</x:f>
        <x:v>w_8f0ec5850d718e20</x:v>
      </x:c>
      <x:c r="B316" s="11" t="n">
        <x:f>IF('제외 후보'!Q316&lt;&gt;"",'선정 규칙'!$B$4,0)</x:f>
        <x:v>0</x:v>
      </x:c>
      <x:c r="C316" s="11" t="n">
        <x:f>IF(ISNUMBER(SEARCH("jmdict_uncommon_or_irregular",'제외 후보'!P316)),'선정 규칙'!$B$5,IF(ISNUMBER(SEARCH("jmdict_rare_or_dated",'제외 후보'!P316)),'선정 규칙'!$B$6,0))</x:f>
        <x:v>0</x:v>
      </x:c>
      <x:c r="D316" s="11" t="n">
        <x:f>IF(ISNUMBER(SEARCH("jmdict_exact_pair_not_found",'제외 후보'!P316)),'선정 규칙'!$B$7,0)</x:f>
        <x:v>0</x:v>
      </x:c>
      <x:c r="E316" s="11" t="n">
        <x:f>IF(OR('제외 후보'!L316="",'제외 후보'!L316&lt;=0),'선정 규칙'!$B$8,IF('제외 후보'!L316&lt;=1.5,'선정 규칙'!$B$9,IF('제외 후보'!L316&lt;=2,'선정 규칙'!$B$10,IF('제외 후보'!L316&lt;=2.5,'선정 규칙'!$B$11,IF('제외 후보'!L316&lt;=3,'선정 규칙'!$B$12,IF('제외 후보'!L316&lt;=3.5,'선정 규칙'!$B$13,IF('제외 후보'!L316&gt;=4.5,'선정 규칙'!$B$14,0)))))))</x:f>
        <x:v>12</x:v>
      </x:c>
      <x:c r="F316" s="11" t="n">
        <x:f>IF('제외 후보'!Y316=0,'선정 규칙'!$B$15,IF('제외 후보'!Y316&gt;=100,'선정 규칙'!$B$16,'선정 규칙'!$B$17))</x:f>
        <x:v>12</x:v>
      </x:c>
      <x:c r="G316" s="11" t="n">
        <x:f>IF('제외 후보'!M316="있음",'선정 규칙'!$B$18,'선정 규칙'!$B$19)</x:f>
        <x:v>6</x:v>
      </x:c>
      <x:c r="H316" s="11" t="n">
        <x:f>IF(ISNUMBER(SEARCH("freq-core",'제외 후보'!AD316)),'선정 규칙'!$B$20,0)</x:f>
        <x:v>0</x:v>
      </x:c>
      <x:c r="I316" s="11" t="n">
        <x:f>IF(ISNUMBER(SEARCH("weak_legacy_content",'제외 후보'!P316)),'선정 규칙'!$B$21,0)</x:f>
        <x:v>0</x:v>
      </x:c>
      <x:c r="J316" s="11" t="n">
        <x:f>IF('제외 후보'!AC316&lt;&gt;"",'선정 규칙'!$B$22,0)</x:f>
        <x:v>0</x:v>
      </x:c>
      <x:c r="K316" s="11" t="n">
        <x:f>SUM(B316:J316)</x:f>
        <x:v>30</x:v>
      </x:c>
      <x:c r="L316" s="11" t="n">
        <x:f>'제외 후보'!N316</x:f>
        <x:v>30</x:v>
      </x:c>
      <x:c r="M316" s="2" t="str">
        <x:f>IF(K316=L316,"OK","MISMATCH")</x:f>
        <x:v>OK</x:v>
      </x:c>
    </x:row>
    <x:row r="317">
      <x:c r="A317" s="2" t="str">
        <x:f>'제외 후보'!G317</x:f>
        <x:v>w_3cda83b332d13448</x:v>
      </x:c>
      <x:c r="B317" s="11" t="n">
        <x:f>IF('제외 후보'!Q317&lt;&gt;"",'선정 규칙'!$B$4,0)</x:f>
        <x:v>0</x:v>
      </x:c>
      <x:c r="C317" s="11" t="n">
        <x:f>IF(ISNUMBER(SEARCH("jmdict_uncommon_or_irregular",'제외 후보'!P317)),'선정 규칙'!$B$5,IF(ISNUMBER(SEARCH("jmdict_rare_or_dated",'제외 후보'!P317)),'선정 규칙'!$B$6,0))</x:f>
        <x:v>0</x:v>
      </x:c>
      <x:c r="D317" s="11" t="n">
        <x:f>IF(ISNUMBER(SEARCH("jmdict_exact_pair_not_found",'제외 후보'!P317)),'선정 규칙'!$B$7,0)</x:f>
        <x:v>0</x:v>
      </x:c>
      <x:c r="E317" s="11" t="n">
        <x:f>IF(OR('제외 후보'!L317="",'제외 후보'!L317&lt;=0),'선정 규칙'!$B$8,IF('제외 후보'!L317&lt;=1.5,'선정 규칙'!$B$9,IF('제외 후보'!L317&lt;=2,'선정 규칙'!$B$10,IF('제외 후보'!L317&lt;=2.5,'선정 규칙'!$B$11,IF('제외 후보'!L317&lt;=3,'선정 규칙'!$B$12,IF('제외 후보'!L317&lt;=3.5,'선정 규칙'!$B$13,IF('제외 후보'!L317&gt;=4.5,'선정 규칙'!$B$14,0)))))))</x:f>
        <x:v>12</x:v>
      </x:c>
      <x:c r="F317" s="11" t="n">
        <x:f>IF('제외 후보'!Y317=0,'선정 규칙'!$B$15,IF('제외 후보'!Y317&gt;=100,'선정 규칙'!$B$16,'선정 규칙'!$B$17))</x:f>
        <x:v>12</x:v>
      </x:c>
      <x:c r="G317" s="11" t="n">
        <x:f>IF('제외 후보'!M317="있음",'선정 규칙'!$B$18,'선정 규칙'!$B$19)</x:f>
        <x:v>6</x:v>
      </x:c>
      <x:c r="H317" s="11" t="n">
        <x:f>IF(ISNUMBER(SEARCH("freq-core",'제외 후보'!AD317)),'선정 규칙'!$B$20,0)</x:f>
        <x:v>0</x:v>
      </x:c>
      <x:c r="I317" s="11" t="n">
        <x:f>IF(ISNUMBER(SEARCH("weak_legacy_content",'제외 후보'!P317)),'선정 규칙'!$B$21,0)</x:f>
        <x:v>0</x:v>
      </x:c>
      <x:c r="J317" s="11" t="n">
        <x:f>IF('제외 후보'!AC317&lt;&gt;"",'선정 규칙'!$B$22,0)</x:f>
        <x:v>0</x:v>
      </x:c>
      <x:c r="K317" s="11" t="n">
        <x:f>SUM(B317:J317)</x:f>
        <x:v>30</x:v>
      </x:c>
      <x:c r="L317" s="11" t="n">
        <x:f>'제외 후보'!N317</x:f>
        <x:v>30</x:v>
      </x:c>
      <x:c r="M317" s="2" t="str">
        <x:f>IF(K317=L317,"OK","MISMATCH")</x:f>
        <x:v>OK</x:v>
      </x:c>
    </x:row>
    <x:row r="318">
      <x:c r="A318" s="2" t="str">
        <x:f>'제외 후보'!G318</x:f>
        <x:v>w_d159e147878a7eae</x:v>
      </x:c>
      <x:c r="B318" s="11" t="n">
        <x:f>IF('제외 후보'!Q318&lt;&gt;"",'선정 규칙'!$B$4,0)</x:f>
        <x:v>0</x:v>
      </x:c>
      <x:c r="C318" s="11" t="n">
        <x:f>IF(ISNUMBER(SEARCH("jmdict_uncommon_or_irregular",'제외 후보'!P318)),'선정 규칙'!$B$5,IF(ISNUMBER(SEARCH("jmdict_rare_or_dated",'제외 후보'!P318)),'선정 규칙'!$B$6,0))</x:f>
        <x:v>0</x:v>
      </x:c>
      <x:c r="D318" s="11" t="n">
        <x:f>IF(ISNUMBER(SEARCH("jmdict_exact_pair_not_found",'제외 후보'!P318)),'선정 규칙'!$B$7,0)</x:f>
        <x:v>0</x:v>
      </x:c>
      <x:c r="E318" s="11" t="n">
        <x:f>IF(OR('제외 후보'!L318="",'제외 후보'!L318&lt;=0),'선정 규칙'!$B$8,IF('제외 후보'!L318&lt;=1.5,'선정 규칙'!$B$9,IF('제외 후보'!L318&lt;=2,'선정 규칙'!$B$10,IF('제외 후보'!L318&lt;=2.5,'선정 규칙'!$B$11,IF('제외 후보'!L318&lt;=3,'선정 규칙'!$B$12,IF('제외 후보'!L318&lt;=3.5,'선정 규칙'!$B$13,IF('제외 후보'!L318&gt;=4.5,'선정 규칙'!$B$14,0)))))))</x:f>
        <x:v>12</x:v>
      </x:c>
      <x:c r="F318" s="11" t="n">
        <x:f>IF('제외 후보'!Y318=0,'선정 규칙'!$B$15,IF('제외 후보'!Y318&gt;=100,'선정 규칙'!$B$16,'선정 규칙'!$B$17))</x:f>
        <x:v>12</x:v>
      </x:c>
      <x:c r="G318" s="11" t="n">
        <x:f>IF('제외 후보'!M318="있음",'선정 규칙'!$B$18,'선정 규칙'!$B$19)</x:f>
        <x:v>6</x:v>
      </x:c>
      <x:c r="H318" s="11" t="n">
        <x:f>IF(ISNUMBER(SEARCH("freq-core",'제외 후보'!AD318)),'선정 규칙'!$B$20,0)</x:f>
        <x:v>0</x:v>
      </x:c>
      <x:c r="I318" s="11" t="n">
        <x:f>IF(ISNUMBER(SEARCH("weak_legacy_content",'제외 후보'!P318)),'선정 규칙'!$B$21,0)</x:f>
        <x:v>0</x:v>
      </x:c>
      <x:c r="J318" s="11" t="n">
        <x:f>IF('제외 후보'!AC318&lt;&gt;"",'선정 규칙'!$B$22,0)</x:f>
        <x:v>0</x:v>
      </x:c>
      <x:c r="K318" s="11" t="n">
        <x:f>SUM(B318:J318)</x:f>
        <x:v>30</x:v>
      </x:c>
      <x:c r="L318" s="11" t="n">
        <x:f>'제외 후보'!N318</x:f>
        <x:v>30</x:v>
      </x:c>
      <x:c r="M318" s="2" t="str">
        <x:f>IF(K318=L318,"OK","MISMATCH")</x:f>
        <x:v>OK</x:v>
      </x:c>
    </x:row>
    <x:row r="319">
      <x:c r="A319" s="2" t="str">
        <x:f>'제외 후보'!G319</x:f>
        <x:v>w_7d0ecfb78c7fc86d</x:v>
      </x:c>
      <x:c r="B319" s="11" t="n">
        <x:f>IF('제외 후보'!Q319&lt;&gt;"",'선정 규칙'!$B$4,0)</x:f>
        <x:v>0</x:v>
      </x:c>
      <x:c r="C319" s="11" t="n">
        <x:f>IF(ISNUMBER(SEARCH("jmdict_uncommon_or_irregular",'제외 후보'!P319)),'선정 규칙'!$B$5,IF(ISNUMBER(SEARCH("jmdict_rare_or_dated",'제외 후보'!P319)),'선정 규칙'!$B$6,0))</x:f>
        <x:v>0</x:v>
      </x:c>
      <x:c r="D319" s="11" t="n">
        <x:f>IF(ISNUMBER(SEARCH("jmdict_exact_pair_not_found",'제외 후보'!P319)),'선정 규칙'!$B$7,0)</x:f>
        <x:v>0</x:v>
      </x:c>
      <x:c r="E319" s="11" t="n">
        <x:f>IF(OR('제외 후보'!L319="",'제외 후보'!L319&lt;=0),'선정 규칙'!$B$8,IF('제외 후보'!L319&lt;=1.5,'선정 규칙'!$B$9,IF('제외 후보'!L319&lt;=2,'선정 규칙'!$B$10,IF('제외 후보'!L319&lt;=2.5,'선정 규칙'!$B$11,IF('제외 후보'!L319&lt;=3,'선정 규칙'!$B$12,IF('제외 후보'!L319&lt;=3.5,'선정 규칙'!$B$13,IF('제외 후보'!L319&gt;=4.5,'선정 규칙'!$B$14,0)))))))</x:f>
        <x:v>12</x:v>
      </x:c>
      <x:c r="F319" s="11" t="n">
        <x:f>IF('제외 후보'!Y319=0,'선정 규칙'!$B$15,IF('제외 후보'!Y319&gt;=100,'선정 규칙'!$B$16,'선정 규칙'!$B$17))</x:f>
        <x:v>12</x:v>
      </x:c>
      <x:c r="G319" s="11" t="n">
        <x:f>IF('제외 후보'!M319="있음",'선정 규칙'!$B$18,'선정 규칙'!$B$19)</x:f>
        <x:v>6</x:v>
      </x:c>
      <x:c r="H319" s="11" t="n">
        <x:f>IF(ISNUMBER(SEARCH("freq-core",'제외 후보'!AD319)),'선정 규칙'!$B$20,0)</x:f>
        <x:v>0</x:v>
      </x:c>
      <x:c r="I319" s="11" t="n">
        <x:f>IF(ISNUMBER(SEARCH("weak_legacy_content",'제외 후보'!P319)),'선정 규칙'!$B$21,0)</x:f>
        <x:v>0</x:v>
      </x:c>
      <x:c r="J319" s="11" t="n">
        <x:f>IF('제외 후보'!AC319&lt;&gt;"",'선정 규칙'!$B$22,0)</x:f>
        <x:v>0</x:v>
      </x:c>
      <x:c r="K319" s="11" t="n">
        <x:f>SUM(B319:J319)</x:f>
        <x:v>30</x:v>
      </x:c>
      <x:c r="L319" s="11" t="n">
        <x:f>'제외 후보'!N319</x:f>
        <x:v>30</x:v>
      </x:c>
      <x:c r="M319" s="2" t="str">
        <x:f>IF(K319=L319,"OK","MISMATCH")</x:f>
        <x:v>OK</x:v>
      </x:c>
    </x:row>
    <x:row r="320">
      <x:c r="A320" s="2" t="str">
        <x:f>'제외 후보'!G320</x:f>
        <x:v>w_245cb04db1991bb3</x:v>
      </x:c>
      <x:c r="B320" s="11" t="n">
        <x:f>IF('제외 후보'!Q320&lt;&gt;"",'선정 규칙'!$B$4,0)</x:f>
        <x:v>0</x:v>
      </x:c>
      <x:c r="C320" s="11" t="n">
        <x:f>IF(ISNUMBER(SEARCH("jmdict_uncommon_or_irregular",'제외 후보'!P320)),'선정 규칙'!$B$5,IF(ISNUMBER(SEARCH("jmdict_rare_or_dated",'제외 후보'!P320)),'선정 규칙'!$B$6,0))</x:f>
        <x:v>0</x:v>
      </x:c>
      <x:c r="D320" s="11" t="n">
        <x:f>IF(ISNUMBER(SEARCH("jmdict_exact_pair_not_found",'제외 후보'!P320)),'선정 규칙'!$B$7,0)</x:f>
        <x:v>0</x:v>
      </x:c>
      <x:c r="E320" s="11" t="n">
        <x:f>IF(OR('제외 후보'!L320="",'제외 후보'!L320&lt;=0),'선정 규칙'!$B$8,IF('제외 후보'!L320&lt;=1.5,'선정 규칙'!$B$9,IF('제외 후보'!L320&lt;=2,'선정 규칙'!$B$10,IF('제외 후보'!L320&lt;=2.5,'선정 규칙'!$B$11,IF('제외 후보'!L320&lt;=3,'선정 규칙'!$B$12,IF('제외 후보'!L320&lt;=3.5,'선정 규칙'!$B$13,IF('제외 후보'!L320&gt;=4.5,'선정 규칙'!$B$14,0)))))))</x:f>
        <x:v>12</x:v>
      </x:c>
      <x:c r="F320" s="11" t="n">
        <x:f>IF('제외 후보'!Y320=0,'선정 규칙'!$B$15,IF('제외 후보'!Y320&gt;=100,'선정 규칙'!$B$16,'선정 규칙'!$B$17))</x:f>
        <x:v>12</x:v>
      </x:c>
      <x:c r="G320" s="11" t="n">
        <x:f>IF('제외 후보'!M320="있음",'선정 규칙'!$B$18,'선정 규칙'!$B$19)</x:f>
        <x:v>6</x:v>
      </x:c>
      <x:c r="H320" s="11" t="n">
        <x:f>IF(ISNUMBER(SEARCH("freq-core",'제외 후보'!AD320)),'선정 규칙'!$B$20,0)</x:f>
        <x:v>0</x:v>
      </x:c>
      <x:c r="I320" s="11" t="n">
        <x:f>IF(ISNUMBER(SEARCH("weak_legacy_content",'제외 후보'!P320)),'선정 규칙'!$B$21,0)</x:f>
        <x:v>0</x:v>
      </x:c>
      <x:c r="J320" s="11" t="n">
        <x:f>IF('제외 후보'!AC320&lt;&gt;"",'선정 규칙'!$B$22,0)</x:f>
        <x:v>0</x:v>
      </x:c>
      <x:c r="K320" s="11" t="n">
        <x:f>SUM(B320:J320)</x:f>
        <x:v>30</x:v>
      </x:c>
      <x:c r="L320" s="11" t="n">
        <x:f>'제외 후보'!N320</x:f>
        <x:v>30</x:v>
      </x:c>
      <x:c r="M320" s="2" t="str">
        <x:f>IF(K320=L320,"OK","MISMATCH")</x:f>
        <x:v>OK</x:v>
      </x:c>
    </x:row>
    <x:row r="321">
      <x:c r="A321" s="2" t="str">
        <x:f>'제외 후보'!G321</x:f>
        <x:v>w_6ff1ea3a8327e6bd</x:v>
      </x:c>
      <x:c r="B321" s="11" t="n">
        <x:f>IF('제외 후보'!Q321&lt;&gt;"",'선정 규칙'!$B$4,0)</x:f>
        <x:v>0</x:v>
      </x:c>
      <x:c r="C321" s="11" t="n">
        <x:f>IF(ISNUMBER(SEARCH("jmdict_uncommon_or_irregular",'제외 후보'!P321)),'선정 규칙'!$B$5,IF(ISNUMBER(SEARCH("jmdict_rare_or_dated",'제외 후보'!P321)),'선정 규칙'!$B$6,0))</x:f>
        <x:v>0</x:v>
      </x:c>
      <x:c r="D321" s="11" t="n">
        <x:f>IF(ISNUMBER(SEARCH("jmdict_exact_pair_not_found",'제외 후보'!P321)),'선정 규칙'!$B$7,0)</x:f>
        <x:v>0</x:v>
      </x:c>
      <x:c r="E321" s="11" t="n">
        <x:f>IF(OR('제외 후보'!L321="",'제외 후보'!L321&lt;=0),'선정 규칙'!$B$8,IF('제외 후보'!L321&lt;=1.5,'선정 규칙'!$B$9,IF('제외 후보'!L321&lt;=2,'선정 규칙'!$B$10,IF('제외 후보'!L321&lt;=2.5,'선정 규칙'!$B$11,IF('제외 후보'!L321&lt;=3,'선정 규칙'!$B$12,IF('제외 후보'!L321&lt;=3.5,'선정 규칙'!$B$13,IF('제외 후보'!L321&gt;=4.5,'선정 규칙'!$B$14,0)))))))</x:f>
        <x:v>12</x:v>
      </x:c>
      <x:c r="F321" s="11" t="n">
        <x:f>IF('제외 후보'!Y321=0,'선정 규칙'!$B$15,IF('제외 후보'!Y321&gt;=100,'선정 규칙'!$B$16,'선정 규칙'!$B$17))</x:f>
        <x:v>12</x:v>
      </x:c>
      <x:c r="G321" s="11" t="n">
        <x:f>IF('제외 후보'!M321="있음",'선정 규칙'!$B$18,'선정 규칙'!$B$19)</x:f>
        <x:v>6</x:v>
      </x:c>
      <x:c r="H321" s="11" t="n">
        <x:f>IF(ISNUMBER(SEARCH("freq-core",'제외 후보'!AD321)),'선정 규칙'!$B$20,0)</x:f>
        <x:v>0</x:v>
      </x:c>
      <x:c r="I321" s="11" t="n">
        <x:f>IF(ISNUMBER(SEARCH("weak_legacy_content",'제외 후보'!P321)),'선정 규칙'!$B$21,0)</x:f>
        <x:v>0</x:v>
      </x:c>
      <x:c r="J321" s="11" t="n">
        <x:f>IF('제외 후보'!AC321&lt;&gt;"",'선정 규칙'!$B$22,0)</x:f>
        <x:v>0</x:v>
      </x:c>
      <x:c r="K321" s="11" t="n">
        <x:f>SUM(B321:J321)</x:f>
        <x:v>30</x:v>
      </x:c>
      <x:c r="L321" s="11" t="n">
        <x:f>'제외 후보'!N321</x:f>
        <x:v>30</x:v>
      </x:c>
      <x:c r="M321" s="2" t="str">
        <x:f>IF(K321=L321,"OK","MISMATCH")</x:f>
        <x:v>OK</x:v>
      </x:c>
    </x:row>
    <x:row r="322">
      <x:c r="A322" s="2" t="str">
        <x:f>'제외 후보'!G322</x:f>
        <x:v>w_1bb8381864041618</x:v>
      </x:c>
      <x:c r="B322" s="11" t="n">
        <x:f>IF('제외 후보'!Q322&lt;&gt;"",'선정 규칙'!$B$4,0)</x:f>
        <x:v>0</x:v>
      </x:c>
      <x:c r="C322" s="11" t="n">
        <x:f>IF(ISNUMBER(SEARCH("jmdict_uncommon_or_irregular",'제외 후보'!P322)),'선정 규칙'!$B$5,IF(ISNUMBER(SEARCH("jmdict_rare_or_dated",'제외 후보'!P322)),'선정 규칙'!$B$6,0))</x:f>
        <x:v>0</x:v>
      </x:c>
      <x:c r="D322" s="11" t="n">
        <x:f>IF(ISNUMBER(SEARCH("jmdict_exact_pair_not_found",'제외 후보'!P322)),'선정 규칙'!$B$7,0)</x:f>
        <x:v>0</x:v>
      </x:c>
      <x:c r="E322" s="11" t="n">
        <x:f>IF(OR('제외 후보'!L322="",'제외 후보'!L322&lt;=0),'선정 규칙'!$B$8,IF('제외 후보'!L322&lt;=1.5,'선정 규칙'!$B$9,IF('제외 후보'!L322&lt;=2,'선정 규칙'!$B$10,IF('제외 후보'!L322&lt;=2.5,'선정 규칙'!$B$11,IF('제외 후보'!L322&lt;=3,'선정 규칙'!$B$12,IF('제외 후보'!L322&lt;=3.5,'선정 규칙'!$B$13,IF('제외 후보'!L322&gt;=4.5,'선정 규칙'!$B$14,0)))))))</x:f>
        <x:v>12</x:v>
      </x:c>
      <x:c r="F322" s="11" t="n">
        <x:f>IF('제외 후보'!Y322=0,'선정 규칙'!$B$15,IF('제외 후보'!Y322&gt;=100,'선정 규칙'!$B$16,'선정 규칙'!$B$17))</x:f>
        <x:v>12</x:v>
      </x:c>
      <x:c r="G322" s="11" t="n">
        <x:f>IF('제외 후보'!M322="있음",'선정 규칙'!$B$18,'선정 규칙'!$B$19)</x:f>
        <x:v>6</x:v>
      </x:c>
      <x:c r="H322" s="11" t="n">
        <x:f>IF(ISNUMBER(SEARCH("freq-core",'제외 후보'!AD322)),'선정 규칙'!$B$20,0)</x:f>
        <x:v>0</x:v>
      </x:c>
      <x:c r="I322" s="11" t="n">
        <x:f>IF(ISNUMBER(SEARCH("weak_legacy_content",'제외 후보'!P322)),'선정 규칙'!$B$21,0)</x:f>
        <x:v>0</x:v>
      </x:c>
      <x:c r="J322" s="11" t="n">
        <x:f>IF('제외 후보'!AC322&lt;&gt;"",'선정 규칙'!$B$22,0)</x:f>
        <x:v>0</x:v>
      </x:c>
      <x:c r="K322" s="11" t="n">
        <x:f>SUM(B322:J322)</x:f>
        <x:v>30</x:v>
      </x:c>
      <x:c r="L322" s="11" t="n">
        <x:f>'제외 후보'!N322</x:f>
        <x:v>30</x:v>
      </x:c>
      <x:c r="M322" s="2" t="str">
        <x:f>IF(K322=L322,"OK","MISMATCH")</x:f>
        <x:v>OK</x:v>
      </x:c>
    </x:row>
    <x:row r="323">
      <x:c r="A323" s="2" t="str">
        <x:f>'제외 후보'!G323</x:f>
        <x:v>w_7eff656c0a607f2a</x:v>
      </x:c>
      <x:c r="B323" s="11" t="n">
        <x:f>IF('제외 후보'!Q323&lt;&gt;"",'선정 규칙'!$B$4,0)</x:f>
        <x:v>0</x:v>
      </x:c>
      <x:c r="C323" s="11" t="n">
        <x:f>IF(ISNUMBER(SEARCH("jmdict_uncommon_or_irregular",'제외 후보'!P323)),'선정 규칙'!$B$5,IF(ISNUMBER(SEARCH("jmdict_rare_or_dated",'제외 후보'!P323)),'선정 규칙'!$B$6,0))</x:f>
        <x:v>0</x:v>
      </x:c>
      <x:c r="D323" s="11" t="n">
        <x:f>IF(ISNUMBER(SEARCH("jmdict_exact_pair_not_found",'제외 후보'!P323)),'선정 규칙'!$B$7,0)</x:f>
        <x:v>0</x:v>
      </x:c>
      <x:c r="E323" s="11" t="n">
        <x:f>IF(OR('제외 후보'!L323="",'제외 후보'!L323&lt;=0),'선정 규칙'!$B$8,IF('제외 후보'!L323&lt;=1.5,'선정 규칙'!$B$9,IF('제외 후보'!L323&lt;=2,'선정 규칙'!$B$10,IF('제외 후보'!L323&lt;=2.5,'선정 규칙'!$B$11,IF('제외 후보'!L323&lt;=3,'선정 규칙'!$B$12,IF('제외 후보'!L323&lt;=3.5,'선정 규칙'!$B$13,IF('제외 후보'!L323&gt;=4.5,'선정 규칙'!$B$14,0)))))))</x:f>
        <x:v>6</x:v>
      </x:c>
      <x:c r="F323" s="11" t="n">
        <x:f>IF('제외 후보'!Y323=0,'선정 규칙'!$B$15,IF('제외 후보'!Y323&gt;=100,'선정 규칙'!$B$16,'선정 규칙'!$B$17))</x:f>
        <x:v>12</x:v>
      </x:c>
      <x:c r="G323" s="11" t="n">
        <x:f>IF('제외 후보'!M323="있음",'선정 규칙'!$B$18,'선정 규칙'!$B$19)</x:f>
        <x:v>6</x:v>
      </x:c>
      <x:c r="H323" s="11" t="n">
        <x:f>IF(ISNUMBER(SEARCH("freq-core",'제외 후보'!AD323)),'선정 규칙'!$B$20,0)</x:f>
        <x:v>0</x:v>
      </x:c>
      <x:c r="I323" s="11" t="n">
        <x:f>IF(ISNUMBER(SEARCH("weak_legacy_content",'제외 후보'!P323)),'선정 규칙'!$B$21,0)</x:f>
        <x:v>5</x:v>
      </x:c>
      <x:c r="J323" s="11" t="n">
        <x:f>IF('제외 후보'!AC323&lt;&gt;"",'선정 규칙'!$B$22,0)</x:f>
        <x:v>0</x:v>
      </x:c>
      <x:c r="K323" s="11" t="n">
        <x:f>SUM(B323:J323)</x:f>
        <x:v>29</x:v>
      </x:c>
      <x:c r="L323" s="11" t="n">
        <x:f>'제외 후보'!N323</x:f>
        <x:v>29</x:v>
      </x:c>
      <x:c r="M323" s="2" t="str">
        <x:f>IF(K323=L323,"OK","MISMATCH")</x:f>
        <x:v>OK</x:v>
      </x:c>
    </x:row>
    <x:row r="324">
      <x:c r="A324" s="2" t="str">
        <x:f>'제외 후보'!G324</x:f>
        <x:v>w_f1452fbaf48775ed</x:v>
      </x:c>
      <x:c r="B324" s="11" t="n">
        <x:f>IF('제외 후보'!Q324&lt;&gt;"",'선정 규칙'!$B$4,0)</x:f>
        <x:v>0</x:v>
      </x:c>
      <x:c r="C324" s="11" t="n">
        <x:f>IF(ISNUMBER(SEARCH("jmdict_uncommon_or_irregular",'제외 후보'!P324)),'선정 규칙'!$B$5,IF(ISNUMBER(SEARCH("jmdict_rare_or_dated",'제외 후보'!P324)),'선정 규칙'!$B$6,0))</x:f>
        <x:v>0</x:v>
      </x:c>
      <x:c r="D324" s="11" t="n">
        <x:f>IF(ISNUMBER(SEARCH("jmdict_exact_pair_not_found",'제외 후보'!P324)),'선정 규칙'!$B$7,0)</x:f>
        <x:v>0</x:v>
      </x:c>
      <x:c r="E324" s="11" t="n">
        <x:f>IF(OR('제외 후보'!L324="",'제외 후보'!L324&lt;=0),'선정 규칙'!$B$8,IF('제외 후보'!L324&lt;=1.5,'선정 규칙'!$B$9,IF('제외 후보'!L324&lt;=2,'선정 규칙'!$B$10,IF('제외 후보'!L324&lt;=2.5,'선정 규칙'!$B$11,IF('제외 후보'!L324&lt;=3,'선정 규칙'!$B$12,IF('제외 후보'!L324&lt;=3.5,'선정 규칙'!$B$13,IF('제외 후보'!L324&gt;=4.5,'선정 규칙'!$B$14,0)))))))</x:f>
        <x:v>6</x:v>
      </x:c>
      <x:c r="F324" s="11" t="n">
        <x:f>IF('제외 후보'!Y324=0,'선정 규칙'!$B$15,IF('제외 후보'!Y324&gt;=100,'선정 규칙'!$B$16,'선정 규칙'!$B$17))</x:f>
        <x:v>12</x:v>
      </x:c>
      <x:c r="G324" s="11" t="n">
        <x:f>IF('제외 후보'!M324="있음",'선정 규칙'!$B$18,'선정 규칙'!$B$19)</x:f>
        <x:v>6</x:v>
      </x:c>
      <x:c r="H324" s="11" t="n">
        <x:f>IF(ISNUMBER(SEARCH("freq-core",'제외 후보'!AD324)),'선정 규칙'!$B$20,0)</x:f>
        <x:v>0</x:v>
      </x:c>
      <x:c r="I324" s="11" t="n">
        <x:f>IF(ISNUMBER(SEARCH("weak_legacy_content",'제외 후보'!P324)),'선정 규칙'!$B$21,0)</x:f>
        <x:v>5</x:v>
      </x:c>
      <x:c r="J324" s="11" t="n">
        <x:f>IF('제외 후보'!AC324&lt;&gt;"",'선정 규칙'!$B$22,0)</x:f>
        <x:v>0</x:v>
      </x:c>
      <x:c r="K324" s="11" t="n">
        <x:f>SUM(B324:J324)</x:f>
        <x:v>29</x:v>
      </x:c>
      <x:c r="L324" s="11" t="n">
        <x:f>'제외 후보'!N324</x:f>
        <x:v>29</x:v>
      </x:c>
      <x:c r="M324" s="2" t="str">
        <x:f>IF(K324=L324,"OK","MISMATCH")</x:f>
        <x:v>OK</x:v>
      </x:c>
    </x:row>
    <x:row r="325">
      <x:c r="A325" s="2" t="str">
        <x:f>'제외 후보'!G325</x:f>
        <x:v>w_ff0789b2242f3284</x:v>
      </x:c>
      <x:c r="B325" s="11" t="n">
        <x:f>IF('제외 후보'!Q325&lt;&gt;"",'선정 규칙'!$B$4,0)</x:f>
        <x:v>0</x:v>
      </x:c>
      <x:c r="C325" s="11" t="n">
        <x:f>IF(ISNUMBER(SEARCH("jmdict_uncommon_or_irregular",'제외 후보'!P325)),'선정 규칙'!$B$5,IF(ISNUMBER(SEARCH("jmdict_rare_or_dated",'제외 후보'!P325)),'선정 규칙'!$B$6,0))</x:f>
        <x:v>0</x:v>
      </x:c>
      <x:c r="D325" s="11" t="n">
        <x:f>IF(ISNUMBER(SEARCH("jmdict_exact_pair_not_found",'제외 후보'!P325)),'선정 규칙'!$B$7,0)</x:f>
        <x:v>0</x:v>
      </x:c>
      <x:c r="E325" s="11" t="n">
        <x:f>IF(OR('제외 후보'!L325="",'제외 후보'!L325&lt;=0),'선정 규칙'!$B$8,IF('제외 후보'!L325&lt;=1.5,'선정 규칙'!$B$9,IF('제외 후보'!L325&lt;=2,'선정 규칙'!$B$10,IF('제외 후보'!L325&lt;=2.5,'선정 규칙'!$B$11,IF('제외 후보'!L325&lt;=3,'선정 규칙'!$B$12,IF('제외 후보'!L325&lt;=3.5,'선정 규칙'!$B$13,IF('제외 후보'!L325&gt;=4.5,'선정 규칙'!$B$14,0)))))))</x:f>
        <x:v>6</x:v>
      </x:c>
      <x:c r="F325" s="11" t="n">
        <x:f>IF('제외 후보'!Y325=0,'선정 규칙'!$B$15,IF('제외 후보'!Y325&gt;=100,'선정 규칙'!$B$16,'선정 규칙'!$B$17))</x:f>
        <x:v>12</x:v>
      </x:c>
      <x:c r="G325" s="11" t="n">
        <x:f>IF('제외 후보'!M325="있음",'선정 규칙'!$B$18,'선정 규칙'!$B$19)</x:f>
        <x:v>6</x:v>
      </x:c>
      <x:c r="H325" s="11" t="n">
        <x:f>IF(ISNUMBER(SEARCH("freq-core",'제외 후보'!AD325)),'선정 규칙'!$B$20,0)</x:f>
        <x:v>0</x:v>
      </x:c>
      <x:c r="I325" s="11" t="n">
        <x:f>IF(ISNUMBER(SEARCH("weak_legacy_content",'제외 후보'!P325)),'선정 규칙'!$B$21,0)</x:f>
        <x:v>5</x:v>
      </x:c>
      <x:c r="J325" s="11" t="n">
        <x:f>IF('제외 후보'!AC325&lt;&gt;"",'선정 규칙'!$B$22,0)</x:f>
        <x:v>0</x:v>
      </x:c>
      <x:c r="K325" s="11" t="n">
        <x:f>SUM(B325:J325)</x:f>
        <x:v>29</x:v>
      </x:c>
      <x:c r="L325" s="11" t="n">
        <x:f>'제외 후보'!N325</x:f>
        <x:v>29</x:v>
      </x:c>
      <x:c r="M325" s="2" t="str">
        <x:f>IF(K325=L325,"OK","MISMATCH")</x:f>
        <x:v>OK</x:v>
      </x:c>
    </x:row>
    <x:row r="326">
      <x:c r="A326" s="2" t="str">
        <x:f>'제외 후보'!G326</x:f>
        <x:v>w_6daf8eb986f9bfc1</x:v>
      </x:c>
      <x:c r="B326" s="11" t="n">
        <x:f>IF('제외 후보'!Q326&lt;&gt;"",'선정 규칙'!$B$4,0)</x:f>
        <x:v>0</x:v>
      </x:c>
      <x:c r="C326" s="11" t="n">
        <x:f>IF(ISNUMBER(SEARCH("jmdict_uncommon_or_irregular",'제외 후보'!P326)),'선정 규칙'!$B$5,IF(ISNUMBER(SEARCH("jmdict_rare_or_dated",'제외 후보'!P326)),'선정 규칙'!$B$6,0))</x:f>
        <x:v>0</x:v>
      </x:c>
      <x:c r="D326" s="11" t="n">
        <x:f>IF(ISNUMBER(SEARCH("jmdict_exact_pair_not_found",'제외 후보'!P326)),'선정 규칙'!$B$7,0)</x:f>
        <x:v>0</x:v>
      </x:c>
      <x:c r="E326" s="11" t="n">
        <x:f>IF(OR('제외 후보'!L326="",'제외 후보'!L326&lt;=0),'선정 규칙'!$B$8,IF('제외 후보'!L326&lt;=1.5,'선정 규칙'!$B$9,IF('제외 후보'!L326&lt;=2,'선정 규칙'!$B$10,IF('제외 후보'!L326&lt;=2.5,'선정 규칙'!$B$11,IF('제외 후보'!L326&lt;=3,'선정 규칙'!$B$12,IF('제외 후보'!L326&lt;=3.5,'선정 규칙'!$B$13,IF('제외 후보'!L326&gt;=4.5,'선정 규칙'!$B$14,0)))))))</x:f>
        <x:v>6</x:v>
      </x:c>
      <x:c r="F326" s="11" t="n">
        <x:f>IF('제외 후보'!Y326=0,'선정 규칙'!$B$15,IF('제외 후보'!Y326&gt;=100,'선정 규칙'!$B$16,'선정 규칙'!$B$17))</x:f>
        <x:v>12</x:v>
      </x:c>
      <x:c r="G326" s="11" t="n">
        <x:f>IF('제외 후보'!M326="있음",'선정 규칙'!$B$18,'선정 규칙'!$B$19)</x:f>
        <x:v>6</x:v>
      </x:c>
      <x:c r="H326" s="11" t="n">
        <x:f>IF(ISNUMBER(SEARCH("freq-core",'제외 후보'!AD326)),'선정 규칙'!$B$20,0)</x:f>
        <x:v>0</x:v>
      </x:c>
      <x:c r="I326" s="11" t="n">
        <x:f>IF(ISNUMBER(SEARCH("weak_legacy_content",'제외 후보'!P326)),'선정 규칙'!$B$21,0)</x:f>
        <x:v>5</x:v>
      </x:c>
      <x:c r="J326" s="11" t="n">
        <x:f>IF('제외 후보'!AC326&lt;&gt;"",'선정 규칙'!$B$22,0)</x:f>
        <x:v>0</x:v>
      </x:c>
      <x:c r="K326" s="11" t="n">
        <x:f>SUM(B326:J326)</x:f>
        <x:v>29</x:v>
      </x:c>
      <x:c r="L326" s="11" t="n">
        <x:f>'제외 후보'!N326</x:f>
        <x:v>29</x:v>
      </x:c>
      <x:c r="M326" s="2" t="str">
        <x:f>IF(K326=L326,"OK","MISMATCH")</x:f>
        <x:v>OK</x:v>
      </x:c>
    </x:row>
    <x:row r="327">
      <x:c r="A327" s="2" t="str">
        <x:f>'제외 후보'!G327</x:f>
        <x:v>w_c12c4efe43384aa2</x:v>
      </x:c>
      <x:c r="B327" s="11" t="n">
        <x:f>IF('제외 후보'!Q327&lt;&gt;"",'선정 규칙'!$B$4,0)</x:f>
        <x:v>0</x:v>
      </x:c>
      <x:c r="C327" s="11" t="n">
        <x:f>IF(ISNUMBER(SEARCH("jmdict_uncommon_or_irregular",'제외 후보'!P327)),'선정 규칙'!$B$5,IF(ISNUMBER(SEARCH("jmdict_rare_or_dated",'제외 후보'!P327)),'선정 규칙'!$B$6,0))</x:f>
        <x:v>0</x:v>
      </x:c>
      <x:c r="D327" s="11" t="n">
        <x:f>IF(ISNUMBER(SEARCH("jmdict_exact_pair_not_found",'제외 후보'!P327)),'선정 규칙'!$B$7,0)</x:f>
        <x:v>0</x:v>
      </x:c>
      <x:c r="E327" s="11" t="n">
        <x:f>IF(OR('제외 후보'!L327="",'제외 후보'!L327&lt;=0),'선정 규칙'!$B$8,IF('제외 후보'!L327&lt;=1.5,'선정 규칙'!$B$9,IF('제외 후보'!L327&lt;=2,'선정 규칙'!$B$10,IF('제외 후보'!L327&lt;=2.5,'선정 규칙'!$B$11,IF('제외 후보'!L327&lt;=3,'선정 규칙'!$B$12,IF('제외 후보'!L327&lt;=3.5,'선정 규칙'!$B$13,IF('제외 후보'!L327&gt;=4.5,'선정 규칙'!$B$14,0)))))))</x:f>
        <x:v>6</x:v>
      </x:c>
      <x:c r="F327" s="11" t="n">
        <x:f>IF('제외 후보'!Y327=0,'선정 규칙'!$B$15,IF('제외 후보'!Y327&gt;=100,'선정 규칙'!$B$16,'선정 규칙'!$B$17))</x:f>
        <x:v>12</x:v>
      </x:c>
      <x:c r="G327" s="11" t="n">
        <x:f>IF('제외 후보'!M327="있음",'선정 규칙'!$B$18,'선정 규칙'!$B$19)</x:f>
        <x:v>6</x:v>
      </x:c>
      <x:c r="H327" s="11" t="n">
        <x:f>IF(ISNUMBER(SEARCH("freq-core",'제외 후보'!AD327)),'선정 규칙'!$B$20,0)</x:f>
        <x:v>0</x:v>
      </x:c>
      <x:c r="I327" s="11" t="n">
        <x:f>IF(ISNUMBER(SEARCH("weak_legacy_content",'제외 후보'!P327)),'선정 규칙'!$B$21,0)</x:f>
        <x:v>5</x:v>
      </x:c>
      <x:c r="J327" s="11" t="n">
        <x:f>IF('제외 후보'!AC327&lt;&gt;"",'선정 규칙'!$B$22,0)</x:f>
        <x:v>0</x:v>
      </x:c>
      <x:c r="K327" s="11" t="n">
        <x:f>SUM(B327:J327)</x:f>
        <x:v>29</x:v>
      </x:c>
      <x:c r="L327" s="11" t="n">
        <x:f>'제외 후보'!N327</x:f>
        <x:v>29</x:v>
      </x:c>
      <x:c r="M327" s="2" t="str">
        <x:f>IF(K327=L327,"OK","MISMATCH")</x:f>
        <x:v>OK</x:v>
      </x:c>
    </x:row>
    <x:row r="328">
      <x:c r="A328" s="2" t="str">
        <x:f>'제외 후보'!G328</x:f>
        <x:v>w_297f141d01c57ca1</x:v>
      </x:c>
      <x:c r="B328" s="11" t="n">
        <x:f>IF('제외 후보'!Q328&lt;&gt;"",'선정 규칙'!$B$4,0)</x:f>
        <x:v>0</x:v>
      </x:c>
      <x:c r="C328" s="11" t="n">
        <x:f>IF(ISNUMBER(SEARCH("jmdict_uncommon_or_irregular",'제외 후보'!P328)),'선정 규칙'!$B$5,IF(ISNUMBER(SEARCH("jmdict_rare_or_dated",'제외 후보'!P328)),'선정 규칙'!$B$6,0))</x:f>
        <x:v>0</x:v>
      </x:c>
      <x:c r="D328" s="11" t="n">
        <x:f>IF(ISNUMBER(SEARCH("jmdict_exact_pair_not_found",'제외 후보'!P328)),'선정 규칙'!$B$7,0)</x:f>
        <x:v>0</x:v>
      </x:c>
      <x:c r="E328" s="11" t="n">
        <x:f>IF(OR('제외 후보'!L328="",'제외 후보'!L328&lt;=0),'선정 규칙'!$B$8,IF('제외 후보'!L328&lt;=1.5,'선정 규칙'!$B$9,IF('제외 후보'!L328&lt;=2,'선정 규칙'!$B$10,IF('제외 후보'!L328&lt;=2.5,'선정 규칙'!$B$11,IF('제외 후보'!L328&lt;=3,'선정 규칙'!$B$12,IF('제외 후보'!L328&lt;=3.5,'선정 규칙'!$B$13,IF('제외 후보'!L328&gt;=4.5,'선정 규칙'!$B$14,0)))))))</x:f>
        <x:v>6</x:v>
      </x:c>
      <x:c r="F328" s="11" t="n">
        <x:f>IF('제외 후보'!Y328=0,'선정 규칙'!$B$15,IF('제외 후보'!Y328&gt;=100,'선정 규칙'!$B$16,'선정 규칙'!$B$17))</x:f>
        <x:v>12</x:v>
      </x:c>
      <x:c r="G328" s="11" t="n">
        <x:f>IF('제외 후보'!M328="있음",'선정 규칙'!$B$18,'선정 규칙'!$B$19)</x:f>
        <x:v>6</x:v>
      </x:c>
      <x:c r="H328" s="11" t="n">
        <x:f>IF(ISNUMBER(SEARCH("freq-core",'제외 후보'!AD328)),'선정 규칙'!$B$20,0)</x:f>
        <x:v>0</x:v>
      </x:c>
      <x:c r="I328" s="11" t="n">
        <x:f>IF(ISNUMBER(SEARCH("weak_legacy_content",'제외 후보'!P328)),'선정 규칙'!$B$21,0)</x:f>
        <x:v>5</x:v>
      </x:c>
      <x:c r="J328" s="11" t="n">
        <x:f>IF('제외 후보'!AC328&lt;&gt;"",'선정 규칙'!$B$22,0)</x:f>
        <x:v>0</x:v>
      </x:c>
      <x:c r="K328" s="11" t="n">
        <x:f>SUM(B328:J328)</x:f>
        <x:v>29</x:v>
      </x:c>
      <x:c r="L328" s="11" t="n">
        <x:f>'제외 후보'!N328</x:f>
        <x:v>29</x:v>
      </x:c>
      <x:c r="M328" s="2" t="str">
        <x:f>IF(K328=L328,"OK","MISMATCH")</x:f>
        <x:v>OK</x:v>
      </x:c>
    </x:row>
    <x:row r="329">
      <x:c r="A329" s="2" t="str">
        <x:f>'제외 후보'!G329</x:f>
        <x:v>w_f7bc65b0f2861019</x:v>
      </x:c>
      <x:c r="B329" s="11" t="n">
        <x:f>IF('제외 후보'!Q329&lt;&gt;"",'선정 규칙'!$B$4,0)</x:f>
        <x:v>0</x:v>
      </x:c>
      <x:c r="C329" s="11" t="n">
        <x:f>IF(ISNUMBER(SEARCH("jmdict_uncommon_or_irregular",'제외 후보'!P329)),'선정 규칙'!$B$5,IF(ISNUMBER(SEARCH("jmdict_rare_or_dated",'제외 후보'!P329)),'선정 규칙'!$B$6,0))</x:f>
        <x:v>0</x:v>
      </x:c>
      <x:c r="D329" s="11" t="n">
        <x:f>IF(ISNUMBER(SEARCH("jmdict_exact_pair_not_found",'제외 후보'!P329)),'선정 규칙'!$B$7,0)</x:f>
        <x:v>0</x:v>
      </x:c>
      <x:c r="E329" s="11" t="n">
        <x:f>IF(OR('제외 후보'!L329="",'제외 후보'!L329&lt;=0),'선정 규칙'!$B$8,IF('제외 후보'!L329&lt;=1.5,'선정 규칙'!$B$9,IF('제외 후보'!L329&lt;=2,'선정 규칙'!$B$10,IF('제외 후보'!L329&lt;=2.5,'선정 규칙'!$B$11,IF('제외 후보'!L329&lt;=3,'선정 규칙'!$B$12,IF('제외 후보'!L329&lt;=3.5,'선정 규칙'!$B$13,IF('제외 후보'!L329&gt;=4.5,'선정 규칙'!$B$14,0)))))))</x:f>
        <x:v>6</x:v>
      </x:c>
      <x:c r="F329" s="11" t="n">
        <x:f>IF('제외 후보'!Y329=0,'선정 규칙'!$B$15,IF('제외 후보'!Y329&gt;=100,'선정 규칙'!$B$16,'선정 규칙'!$B$17))</x:f>
        <x:v>12</x:v>
      </x:c>
      <x:c r="G329" s="11" t="n">
        <x:f>IF('제외 후보'!M329="있음",'선정 규칙'!$B$18,'선정 규칙'!$B$19)</x:f>
        <x:v>6</x:v>
      </x:c>
      <x:c r="H329" s="11" t="n">
        <x:f>IF(ISNUMBER(SEARCH("freq-core",'제외 후보'!AD329)),'선정 규칙'!$B$20,0)</x:f>
        <x:v>0</x:v>
      </x:c>
      <x:c r="I329" s="11" t="n">
        <x:f>IF(ISNUMBER(SEARCH("weak_legacy_content",'제외 후보'!P329)),'선정 규칙'!$B$21,0)</x:f>
        <x:v>5</x:v>
      </x:c>
      <x:c r="J329" s="11" t="n">
        <x:f>IF('제외 후보'!AC329&lt;&gt;"",'선정 규칙'!$B$22,0)</x:f>
        <x:v>0</x:v>
      </x:c>
      <x:c r="K329" s="11" t="n">
        <x:f>SUM(B329:J329)</x:f>
        <x:v>29</x:v>
      </x:c>
      <x:c r="L329" s="11" t="n">
        <x:f>'제외 후보'!N329</x:f>
        <x:v>29</x:v>
      </x:c>
      <x:c r="M329" s="2" t="str">
        <x:f>IF(K329=L329,"OK","MISMATCH")</x:f>
        <x:v>OK</x:v>
      </x:c>
    </x:row>
    <x:row r="330">
      <x:c r="A330" s="2" t="str">
        <x:f>'제외 후보'!G330</x:f>
        <x:v>w_3465d3d0c166169e</x:v>
      </x:c>
      <x:c r="B330" s="11" t="n">
        <x:f>IF('제외 후보'!Q330&lt;&gt;"",'선정 규칙'!$B$4,0)</x:f>
        <x:v>0</x:v>
      </x:c>
      <x:c r="C330" s="11" t="n">
        <x:f>IF(ISNUMBER(SEARCH("jmdict_uncommon_or_irregular",'제외 후보'!P330)),'선정 규칙'!$B$5,IF(ISNUMBER(SEARCH("jmdict_rare_or_dated",'제외 후보'!P330)),'선정 규칙'!$B$6,0))</x:f>
        <x:v>0</x:v>
      </x:c>
      <x:c r="D330" s="11" t="n">
        <x:f>IF(ISNUMBER(SEARCH("jmdict_exact_pair_not_found",'제외 후보'!P330)),'선정 규칙'!$B$7,0)</x:f>
        <x:v>0</x:v>
      </x:c>
      <x:c r="E330" s="11" t="n">
        <x:f>IF(OR('제외 후보'!L330="",'제외 후보'!L330&lt;=0),'선정 규칙'!$B$8,IF('제외 후보'!L330&lt;=1.5,'선정 규칙'!$B$9,IF('제외 후보'!L330&lt;=2,'선정 규칙'!$B$10,IF('제외 후보'!L330&lt;=2.5,'선정 규칙'!$B$11,IF('제외 후보'!L330&lt;=3,'선정 규칙'!$B$12,IF('제외 후보'!L330&lt;=3.5,'선정 규칙'!$B$13,IF('제외 후보'!L330&gt;=4.5,'선정 규칙'!$B$14,0)))))))</x:f>
        <x:v>6</x:v>
      </x:c>
      <x:c r="F330" s="11" t="n">
        <x:f>IF('제외 후보'!Y330=0,'선정 규칙'!$B$15,IF('제외 후보'!Y330&gt;=100,'선정 규칙'!$B$16,'선정 규칙'!$B$17))</x:f>
        <x:v>12</x:v>
      </x:c>
      <x:c r="G330" s="11" t="n">
        <x:f>IF('제외 후보'!M330="있음",'선정 규칙'!$B$18,'선정 규칙'!$B$19)</x:f>
        <x:v>6</x:v>
      </x:c>
      <x:c r="H330" s="11" t="n">
        <x:f>IF(ISNUMBER(SEARCH("freq-core",'제외 후보'!AD330)),'선정 규칙'!$B$20,0)</x:f>
        <x:v>0</x:v>
      </x:c>
      <x:c r="I330" s="11" t="n">
        <x:f>IF(ISNUMBER(SEARCH("weak_legacy_content",'제외 후보'!P330)),'선정 규칙'!$B$21,0)</x:f>
        <x:v>5</x:v>
      </x:c>
      <x:c r="J330" s="11" t="n">
        <x:f>IF('제외 후보'!AC330&lt;&gt;"",'선정 규칙'!$B$22,0)</x:f>
        <x:v>0</x:v>
      </x:c>
      <x:c r="K330" s="11" t="n">
        <x:f>SUM(B330:J330)</x:f>
        <x:v>29</x:v>
      </x:c>
      <x:c r="L330" s="11" t="n">
        <x:f>'제외 후보'!N330</x:f>
        <x:v>29</x:v>
      </x:c>
      <x:c r="M330" s="2" t="str">
        <x:f>IF(K330=L330,"OK","MISMATCH")</x:f>
        <x:v>OK</x:v>
      </x:c>
    </x:row>
    <x:row r="331">
      <x:c r="A331" s="2" t="str">
        <x:f>'제외 후보'!G331</x:f>
        <x:v>w_ed5e6ca0d46e0c9f</x:v>
      </x:c>
      <x:c r="B331" s="11" t="n">
        <x:f>IF('제외 후보'!Q331&lt;&gt;"",'선정 규칙'!$B$4,0)</x:f>
        <x:v>0</x:v>
      </x:c>
      <x:c r="C331" s="11" t="n">
        <x:f>IF(ISNUMBER(SEARCH("jmdict_uncommon_or_irregular",'제외 후보'!P331)),'선정 규칙'!$B$5,IF(ISNUMBER(SEARCH("jmdict_rare_or_dated",'제외 후보'!P331)),'선정 규칙'!$B$6,0))</x:f>
        <x:v>0</x:v>
      </x:c>
      <x:c r="D331" s="11" t="n">
        <x:f>IF(ISNUMBER(SEARCH("jmdict_exact_pair_not_found",'제외 후보'!P331)),'선정 규칙'!$B$7,0)</x:f>
        <x:v>0</x:v>
      </x:c>
      <x:c r="E331" s="11" t="n">
        <x:f>IF(OR('제외 후보'!L331="",'제외 후보'!L331&lt;=0),'선정 규칙'!$B$8,IF('제외 후보'!L331&lt;=1.5,'선정 규칙'!$B$9,IF('제외 후보'!L331&lt;=2,'선정 규칙'!$B$10,IF('제외 후보'!L331&lt;=2.5,'선정 규칙'!$B$11,IF('제외 후보'!L331&lt;=3,'선정 규칙'!$B$12,IF('제외 후보'!L331&lt;=3.5,'선정 규칙'!$B$13,IF('제외 후보'!L331&gt;=4.5,'선정 규칙'!$B$14,0)))))))</x:f>
        <x:v>6</x:v>
      </x:c>
      <x:c r="F331" s="11" t="n">
        <x:f>IF('제외 후보'!Y331=0,'선정 규칙'!$B$15,IF('제외 후보'!Y331&gt;=100,'선정 규칙'!$B$16,'선정 규칙'!$B$17))</x:f>
        <x:v>12</x:v>
      </x:c>
      <x:c r="G331" s="11" t="n">
        <x:f>IF('제외 후보'!M331="있음",'선정 규칙'!$B$18,'선정 규칙'!$B$19)</x:f>
        <x:v>6</x:v>
      </x:c>
      <x:c r="H331" s="11" t="n">
        <x:f>IF(ISNUMBER(SEARCH("freq-core",'제외 후보'!AD331)),'선정 규칙'!$B$20,0)</x:f>
        <x:v>0</x:v>
      </x:c>
      <x:c r="I331" s="11" t="n">
        <x:f>IF(ISNUMBER(SEARCH("weak_legacy_content",'제외 후보'!P331)),'선정 규칙'!$B$21,0)</x:f>
        <x:v>5</x:v>
      </x:c>
      <x:c r="J331" s="11" t="n">
        <x:f>IF('제외 후보'!AC331&lt;&gt;"",'선정 규칙'!$B$22,0)</x:f>
        <x:v>0</x:v>
      </x:c>
      <x:c r="K331" s="11" t="n">
        <x:f>SUM(B331:J331)</x:f>
        <x:v>29</x:v>
      </x:c>
      <x:c r="L331" s="11" t="n">
        <x:f>'제외 후보'!N331</x:f>
        <x:v>29</x:v>
      </x:c>
      <x:c r="M331" s="2" t="str">
        <x:f>IF(K331=L331,"OK","MISMATCH")</x:f>
        <x:v>OK</x:v>
      </x:c>
    </x:row>
    <x:row r="332">
      <x:c r="A332" s="2" t="str">
        <x:f>'제외 후보'!G332</x:f>
        <x:v>w_277c093d61e231ea</x:v>
      </x:c>
      <x:c r="B332" s="11" t="n">
        <x:f>IF('제외 후보'!Q332&lt;&gt;"",'선정 규칙'!$B$4,0)</x:f>
        <x:v>0</x:v>
      </x:c>
      <x:c r="C332" s="11" t="n">
        <x:f>IF(ISNUMBER(SEARCH("jmdict_uncommon_or_irregular",'제외 후보'!P332)),'선정 규칙'!$B$5,IF(ISNUMBER(SEARCH("jmdict_rare_or_dated",'제외 후보'!P332)),'선정 규칙'!$B$6,0))</x:f>
        <x:v>0</x:v>
      </x:c>
      <x:c r="D332" s="11" t="n">
        <x:f>IF(ISNUMBER(SEARCH("jmdict_exact_pair_not_found",'제외 후보'!P332)),'선정 규칙'!$B$7,0)</x:f>
        <x:v>0</x:v>
      </x:c>
      <x:c r="E332" s="11" t="n">
        <x:f>IF(OR('제외 후보'!L332="",'제외 후보'!L332&lt;=0),'선정 규칙'!$B$8,IF('제외 후보'!L332&lt;=1.5,'선정 규칙'!$B$9,IF('제외 후보'!L332&lt;=2,'선정 규칙'!$B$10,IF('제외 후보'!L332&lt;=2.5,'선정 규칙'!$B$11,IF('제외 후보'!L332&lt;=3,'선정 규칙'!$B$12,IF('제외 후보'!L332&lt;=3.5,'선정 규칙'!$B$13,IF('제외 후보'!L332&gt;=4.5,'선정 규칙'!$B$14,0)))))))</x:f>
        <x:v>6</x:v>
      </x:c>
      <x:c r="F332" s="11" t="n">
        <x:f>IF('제외 후보'!Y332=0,'선정 규칙'!$B$15,IF('제외 후보'!Y332&gt;=100,'선정 규칙'!$B$16,'선정 규칙'!$B$17))</x:f>
        <x:v>12</x:v>
      </x:c>
      <x:c r="G332" s="11" t="n">
        <x:f>IF('제외 후보'!M332="있음",'선정 규칙'!$B$18,'선정 규칙'!$B$19)</x:f>
        <x:v>6</x:v>
      </x:c>
      <x:c r="H332" s="11" t="n">
        <x:f>IF(ISNUMBER(SEARCH("freq-core",'제외 후보'!AD332)),'선정 규칙'!$B$20,0)</x:f>
        <x:v>0</x:v>
      </x:c>
      <x:c r="I332" s="11" t="n">
        <x:f>IF(ISNUMBER(SEARCH("weak_legacy_content",'제외 후보'!P332)),'선정 규칙'!$B$21,0)</x:f>
        <x:v>5</x:v>
      </x:c>
      <x:c r="J332" s="11" t="n">
        <x:f>IF('제외 후보'!AC332&lt;&gt;"",'선정 규칙'!$B$22,0)</x:f>
        <x:v>0</x:v>
      </x:c>
      <x:c r="K332" s="11" t="n">
        <x:f>SUM(B332:J332)</x:f>
        <x:v>29</x:v>
      </x:c>
      <x:c r="L332" s="11" t="n">
        <x:f>'제외 후보'!N332</x:f>
        <x:v>29</x:v>
      </x:c>
      <x:c r="M332" s="2" t="str">
        <x:f>IF(K332=L332,"OK","MISMATCH")</x:f>
        <x:v>OK</x:v>
      </x:c>
    </x:row>
    <x:row r="333">
      <x:c r="A333" s="2" t="str">
        <x:f>'제외 후보'!G333</x:f>
        <x:v>w_01b45816510efc08</x:v>
      </x:c>
      <x:c r="B333" s="11" t="n">
        <x:f>IF('제외 후보'!Q333&lt;&gt;"",'선정 규칙'!$B$4,0)</x:f>
        <x:v>0</x:v>
      </x:c>
      <x:c r="C333" s="11" t="n">
        <x:f>IF(ISNUMBER(SEARCH("jmdict_uncommon_or_irregular",'제외 후보'!P333)),'선정 규칙'!$B$5,IF(ISNUMBER(SEARCH("jmdict_rare_or_dated",'제외 후보'!P333)),'선정 규칙'!$B$6,0))</x:f>
        <x:v>0</x:v>
      </x:c>
      <x:c r="D333" s="11" t="n">
        <x:f>IF(ISNUMBER(SEARCH("jmdict_exact_pair_not_found",'제외 후보'!P333)),'선정 규칙'!$B$7,0)</x:f>
        <x:v>0</x:v>
      </x:c>
      <x:c r="E333" s="11" t="n">
        <x:f>IF(OR('제외 후보'!L333="",'제외 후보'!L333&lt;=0),'선정 규칙'!$B$8,IF('제외 후보'!L333&lt;=1.5,'선정 규칙'!$B$9,IF('제외 후보'!L333&lt;=2,'선정 규칙'!$B$10,IF('제외 후보'!L333&lt;=2.5,'선정 규칙'!$B$11,IF('제외 후보'!L333&lt;=3,'선정 규칙'!$B$12,IF('제외 후보'!L333&lt;=3.5,'선정 규칙'!$B$13,IF('제외 후보'!L333&gt;=4.5,'선정 규칙'!$B$14,0)))))))</x:f>
        <x:v>6</x:v>
      </x:c>
      <x:c r="F333" s="11" t="n">
        <x:f>IF('제외 후보'!Y333=0,'선정 규칙'!$B$15,IF('제외 후보'!Y333&gt;=100,'선정 규칙'!$B$16,'선정 규칙'!$B$17))</x:f>
        <x:v>12</x:v>
      </x:c>
      <x:c r="G333" s="11" t="n">
        <x:f>IF('제외 후보'!M333="있음",'선정 규칙'!$B$18,'선정 규칙'!$B$19)</x:f>
        <x:v>6</x:v>
      </x:c>
      <x:c r="H333" s="11" t="n">
        <x:f>IF(ISNUMBER(SEARCH("freq-core",'제외 후보'!AD333)),'선정 규칙'!$B$20,0)</x:f>
        <x:v>0</x:v>
      </x:c>
      <x:c r="I333" s="11" t="n">
        <x:f>IF(ISNUMBER(SEARCH("weak_legacy_content",'제외 후보'!P333)),'선정 규칙'!$B$21,0)</x:f>
        <x:v>5</x:v>
      </x:c>
      <x:c r="J333" s="11" t="n">
        <x:f>IF('제외 후보'!AC333&lt;&gt;"",'선정 규칙'!$B$22,0)</x:f>
        <x:v>0</x:v>
      </x:c>
      <x:c r="K333" s="11" t="n">
        <x:f>SUM(B333:J333)</x:f>
        <x:v>29</x:v>
      </x:c>
      <x:c r="L333" s="11" t="n">
        <x:f>'제외 후보'!N333</x:f>
        <x:v>29</x:v>
      </x:c>
      <x:c r="M333" s="2" t="str">
        <x:f>IF(K333=L333,"OK","MISMATCH")</x:f>
        <x:v>OK</x:v>
      </x:c>
    </x:row>
    <x:row r="334">
      <x:c r="A334" s="2" t="str">
        <x:f>'제외 후보'!G334</x:f>
        <x:v>w_6f1a35f8f64a33bc</x:v>
      </x:c>
      <x:c r="B334" s="11" t="n">
        <x:f>IF('제외 후보'!Q334&lt;&gt;"",'선정 규칙'!$B$4,0)</x:f>
        <x:v>0</x:v>
      </x:c>
      <x:c r="C334" s="11" t="n">
        <x:f>IF(ISNUMBER(SEARCH("jmdict_uncommon_or_irregular",'제외 후보'!P334)),'선정 규칙'!$B$5,IF(ISNUMBER(SEARCH("jmdict_rare_or_dated",'제외 후보'!P334)),'선정 규칙'!$B$6,0))</x:f>
        <x:v>0</x:v>
      </x:c>
      <x:c r="D334" s="11" t="n">
        <x:f>IF(ISNUMBER(SEARCH("jmdict_exact_pair_not_found",'제외 후보'!P334)),'선정 규칙'!$B$7,0)</x:f>
        <x:v>0</x:v>
      </x:c>
      <x:c r="E334" s="11" t="n">
        <x:f>IF(OR('제외 후보'!L334="",'제외 후보'!L334&lt;=0),'선정 규칙'!$B$8,IF('제외 후보'!L334&lt;=1.5,'선정 규칙'!$B$9,IF('제외 후보'!L334&lt;=2,'선정 규칙'!$B$10,IF('제외 후보'!L334&lt;=2.5,'선정 규칙'!$B$11,IF('제외 후보'!L334&lt;=3,'선정 규칙'!$B$12,IF('제외 후보'!L334&lt;=3.5,'선정 규칙'!$B$13,IF('제외 후보'!L334&gt;=4.5,'선정 규칙'!$B$14,0)))))))</x:f>
        <x:v>6</x:v>
      </x:c>
      <x:c r="F334" s="11" t="n">
        <x:f>IF('제외 후보'!Y334=0,'선정 규칙'!$B$15,IF('제외 후보'!Y334&gt;=100,'선정 규칙'!$B$16,'선정 규칙'!$B$17))</x:f>
        <x:v>12</x:v>
      </x:c>
      <x:c r="G334" s="11" t="n">
        <x:f>IF('제외 후보'!M334="있음",'선정 규칙'!$B$18,'선정 규칙'!$B$19)</x:f>
        <x:v>6</x:v>
      </x:c>
      <x:c r="H334" s="11" t="n">
        <x:f>IF(ISNUMBER(SEARCH("freq-core",'제외 후보'!AD334)),'선정 규칙'!$B$20,0)</x:f>
        <x:v>0</x:v>
      </x:c>
      <x:c r="I334" s="11" t="n">
        <x:f>IF(ISNUMBER(SEARCH("weak_legacy_content",'제외 후보'!P334)),'선정 규칙'!$B$21,0)</x:f>
        <x:v>5</x:v>
      </x:c>
      <x:c r="J334" s="11" t="n">
        <x:f>IF('제외 후보'!AC334&lt;&gt;"",'선정 규칙'!$B$22,0)</x:f>
        <x:v>0</x:v>
      </x:c>
      <x:c r="K334" s="11" t="n">
        <x:f>SUM(B334:J334)</x:f>
        <x:v>29</x:v>
      </x:c>
      <x:c r="L334" s="11" t="n">
        <x:f>'제외 후보'!N334</x:f>
        <x:v>29</x:v>
      </x:c>
      <x:c r="M334" s="2" t="str">
        <x:f>IF(K334=L334,"OK","MISMATCH")</x:f>
        <x:v>OK</x:v>
      </x:c>
    </x:row>
    <x:row r="335">
      <x:c r="A335" s="2" t="str">
        <x:f>'제외 후보'!G335</x:f>
        <x:v>w_8ea161adf62e2b2e</x:v>
      </x:c>
      <x:c r="B335" s="11" t="n">
        <x:f>IF('제외 후보'!Q335&lt;&gt;"",'선정 규칙'!$B$4,0)</x:f>
        <x:v>0</x:v>
      </x:c>
      <x:c r="C335" s="11" t="n">
        <x:f>IF(ISNUMBER(SEARCH("jmdict_uncommon_or_irregular",'제외 후보'!P335)),'선정 규칙'!$B$5,IF(ISNUMBER(SEARCH("jmdict_rare_or_dated",'제외 후보'!P335)),'선정 규칙'!$B$6,0))</x:f>
        <x:v>0</x:v>
      </x:c>
      <x:c r="D335" s="11" t="n">
        <x:f>IF(ISNUMBER(SEARCH("jmdict_exact_pair_not_found",'제외 후보'!P335)),'선정 규칙'!$B$7,0)</x:f>
        <x:v>0</x:v>
      </x:c>
      <x:c r="E335" s="11" t="n">
        <x:f>IF(OR('제외 후보'!L335="",'제외 후보'!L335&lt;=0),'선정 규칙'!$B$8,IF('제외 후보'!L335&lt;=1.5,'선정 규칙'!$B$9,IF('제외 후보'!L335&lt;=2,'선정 규칙'!$B$10,IF('제외 후보'!L335&lt;=2.5,'선정 규칙'!$B$11,IF('제외 후보'!L335&lt;=3,'선정 규칙'!$B$12,IF('제외 후보'!L335&lt;=3.5,'선정 규칙'!$B$13,IF('제외 후보'!L335&gt;=4.5,'선정 규칙'!$B$14,0)))))))</x:f>
        <x:v>6</x:v>
      </x:c>
      <x:c r="F335" s="11" t="n">
        <x:f>IF('제외 후보'!Y335=0,'선정 규칙'!$B$15,IF('제외 후보'!Y335&gt;=100,'선정 규칙'!$B$16,'선정 규칙'!$B$17))</x:f>
        <x:v>12</x:v>
      </x:c>
      <x:c r="G335" s="11" t="n">
        <x:f>IF('제외 후보'!M335="있음",'선정 규칙'!$B$18,'선정 규칙'!$B$19)</x:f>
        <x:v>6</x:v>
      </x:c>
      <x:c r="H335" s="11" t="n">
        <x:f>IF(ISNUMBER(SEARCH("freq-core",'제외 후보'!AD335)),'선정 규칙'!$B$20,0)</x:f>
        <x:v>0</x:v>
      </x:c>
      <x:c r="I335" s="11" t="n">
        <x:f>IF(ISNUMBER(SEARCH("weak_legacy_content",'제외 후보'!P335)),'선정 규칙'!$B$21,0)</x:f>
        <x:v>5</x:v>
      </x:c>
      <x:c r="J335" s="11" t="n">
        <x:f>IF('제외 후보'!AC335&lt;&gt;"",'선정 규칙'!$B$22,0)</x:f>
        <x:v>0</x:v>
      </x:c>
      <x:c r="K335" s="11" t="n">
        <x:f>SUM(B335:J335)</x:f>
        <x:v>29</x:v>
      </x:c>
      <x:c r="L335" s="11" t="n">
        <x:f>'제외 후보'!N335</x:f>
        <x:v>29</x:v>
      </x:c>
      <x:c r="M335" s="2" t="str">
        <x:f>IF(K335=L335,"OK","MISMATCH")</x:f>
        <x:v>OK</x:v>
      </x:c>
    </x:row>
    <x:row r="336">
      <x:c r="A336" s="2" t="str">
        <x:f>'제외 후보'!G336</x:f>
        <x:v>w_a5e5de483e84e2a8</x:v>
      </x:c>
      <x:c r="B336" s="11" t="n">
        <x:f>IF('제외 후보'!Q336&lt;&gt;"",'선정 규칙'!$B$4,0)</x:f>
        <x:v>0</x:v>
      </x:c>
      <x:c r="C336" s="11" t="n">
        <x:f>IF(ISNUMBER(SEARCH("jmdict_uncommon_or_irregular",'제외 후보'!P336)),'선정 규칙'!$B$5,IF(ISNUMBER(SEARCH("jmdict_rare_or_dated",'제외 후보'!P336)),'선정 규칙'!$B$6,0))</x:f>
        <x:v>0</x:v>
      </x:c>
      <x:c r="D336" s="11" t="n">
        <x:f>IF(ISNUMBER(SEARCH("jmdict_exact_pair_not_found",'제외 후보'!P336)),'선정 규칙'!$B$7,0)</x:f>
        <x:v>0</x:v>
      </x:c>
      <x:c r="E336" s="11" t="n">
        <x:f>IF(OR('제외 후보'!L336="",'제외 후보'!L336&lt;=0),'선정 규칙'!$B$8,IF('제외 후보'!L336&lt;=1.5,'선정 규칙'!$B$9,IF('제외 후보'!L336&lt;=2,'선정 규칙'!$B$10,IF('제외 후보'!L336&lt;=2.5,'선정 규칙'!$B$11,IF('제외 후보'!L336&lt;=3,'선정 규칙'!$B$12,IF('제외 후보'!L336&lt;=3.5,'선정 규칙'!$B$13,IF('제외 후보'!L336&gt;=4.5,'선정 규칙'!$B$14,0)))))))</x:f>
        <x:v>6</x:v>
      </x:c>
      <x:c r="F336" s="11" t="n">
        <x:f>IF('제외 후보'!Y336=0,'선정 규칙'!$B$15,IF('제외 후보'!Y336&gt;=100,'선정 규칙'!$B$16,'선정 규칙'!$B$17))</x:f>
        <x:v>12</x:v>
      </x:c>
      <x:c r="G336" s="11" t="n">
        <x:f>IF('제외 후보'!M336="있음",'선정 규칙'!$B$18,'선정 규칙'!$B$19)</x:f>
        <x:v>6</x:v>
      </x:c>
      <x:c r="H336" s="11" t="n">
        <x:f>IF(ISNUMBER(SEARCH("freq-core",'제외 후보'!AD336)),'선정 규칙'!$B$20,0)</x:f>
        <x:v>0</x:v>
      </x:c>
      <x:c r="I336" s="11" t="n">
        <x:f>IF(ISNUMBER(SEARCH("weak_legacy_content",'제외 후보'!P336)),'선정 규칙'!$B$21,0)</x:f>
        <x:v>5</x:v>
      </x:c>
      <x:c r="J336" s="11" t="n">
        <x:f>IF('제외 후보'!AC336&lt;&gt;"",'선정 규칙'!$B$22,0)</x:f>
        <x:v>0</x:v>
      </x:c>
      <x:c r="K336" s="11" t="n">
        <x:f>SUM(B336:J336)</x:f>
        <x:v>29</x:v>
      </x:c>
      <x:c r="L336" s="11" t="n">
        <x:f>'제외 후보'!N336</x:f>
        <x:v>29</x:v>
      </x:c>
      <x:c r="M336" s="2" t="str">
        <x:f>IF(K336=L336,"OK","MISMATCH")</x:f>
        <x:v>OK</x:v>
      </x:c>
    </x:row>
    <x:row r="337">
      <x:c r="A337" s="2" t="str">
        <x:f>'제외 후보'!G337</x:f>
        <x:v>w_efac32fc7e566446</x:v>
      </x:c>
      <x:c r="B337" s="11" t="n">
        <x:f>IF('제외 후보'!Q337&lt;&gt;"",'선정 규칙'!$B$4,0)</x:f>
        <x:v>0</x:v>
      </x:c>
      <x:c r="C337" s="11" t="n">
        <x:f>IF(ISNUMBER(SEARCH("jmdict_uncommon_or_irregular",'제외 후보'!P337)),'선정 규칙'!$B$5,IF(ISNUMBER(SEARCH("jmdict_rare_or_dated",'제외 후보'!P337)),'선정 규칙'!$B$6,0))</x:f>
        <x:v>0</x:v>
      </x:c>
      <x:c r="D337" s="11" t="n">
        <x:f>IF(ISNUMBER(SEARCH("jmdict_exact_pair_not_found",'제외 후보'!P337)),'선정 규칙'!$B$7,0)</x:f>
        <x:v>0</x:v>
      </x:c>
      <x:c r="E337" s="11" t="n">
        <x:f>IF(OR('제외 후보'!L337="",'제외 후보'!L337&lt;=0),'선정 규칙'!$B$8,IF('제외 후보'!L337&lt;=1.5,'선정 규칙'!$B$9,IF('제외 후보'!L337&lt;=2,'선정 규칙'!$B$10,IF('제외 후보'!L337&lt;=2.5,'선정 규칙'!$B$11,IF('제외 후보'!L337&lt;=3,'선정 규칙'!$B$12,IF('제외 후보'!L337&lt;=3.5,'선정 규칙'!$B$13,IF('제외 후보'!L337&gt;=4.5,'선정 규칙'!$B$14,0)))))))</x:f>
        <x:v>6</x:v>
      </x:c>
      <x:c r="F337" s="11" t="n">
        <x:f>IF('제외 후보'!Y337=0,'선정 규칙'!$B$15,IF('제외 후보'!Y337&gt;=100,'선정 규칙'!$B$16,'선정 규칙'!$B$17))</x:f>
        <x:v>12</x:v>
      </x:c>
      <x:c r="G337" s="11" t="n">
        <x:f>IF('제외 후보'!M337="있음",'선정 규칙'!$B$18,'선정 규칙'!$B$19)</x:f>
        <x:v>6</x:v>
      </x:c>
      <x:c r="H337" s="11" t="n">
        <x:f>IF(ISNUMBER(SEARCH("freq-core",'제외 후보'!AD337)),'선정 규칙'!$B$20,0)</x:f>
        <x:v>0</x:v>
      </x:c>
      <x:c r="I337" s="11" t="n">
        <x:f>IF(ISNUMBER(SEARCH("weak_legacy_content",'제외 후보'!P337)),'선정 규칙'!$B$21,0)</x:f>
        <x:v>5</x:v>
      </x:c>
      <x:c r="J337" s="11" t="n">
        <x:f>IF('제외 후보'!AC337&lt;&gt;"",'선정 규칙'!$B$22,0)</x:f>
        <x:v>0</x:v>
      </x:c>
      <x:c r="K337" s="11" t="n">
        <x:f>SUM(B337:J337)</x:f>
        <x:v>29</x:v>
      </x:c>
      <x:c r="L337" s="11" t="n">
        <x:f>'제외 후보'!N337</x:f>
        <x:v>29</x:v>
      </x:c>
      <x:c r="M337" s="2" t="str">
        <x:f>IF(K337=L337,"OK","MISMATCH")</x:f>
        <x:v>OK</x:v>
      </x:c>
    </x:row>
    <x:row r="338">
      <x:c r="A338" s="2" t="str">
        <x:f>'제외 후보'!G338</x:f>
        <x:v>w_e44d163c913e0163</x:v>
      </x:c>
      <x:c r="B338" s="11" t="n">
        <x:f>IF('제외 후보'!Q338&lt;&gt;"",'선정 규칙'!$B$4,0)</x:f>
        <x:v>0</x:v>
      </x:c>
      <x:c r="C338" s="11" t="n">
        <x:f>IF(ISNUMBER(SEARCH("jmdict_uncommon_or_irregular",'제외 후보'!P338)),'선정 규칙'!$B$5,IF(ISNUMBER(SEARCH("jmdict_rare_or_dated",'제외 후보'!P338)),'선정 규칙'!$B$6,0))</x:f>
        <x:v>0</x:v>
      </x:c>
      <x:c r="D338" s="11" t="n">
        <x:f>IF(ISNUMBER(SEARCH("jmdict_exact_pair_not_found",'제외 후보'!P338)),'선정 규칙'!$B$7,0)</x:f>
        <x:v>0</x:v>
      </x:c>
      <x:c r="E338" s="11" t="n">
        <x:f>IF(OR('제외 후보'!L338="",'제외 후보'!L338&lt;=0),'선정 규칙'!$B$8,IF('제외 후보'!L338&lt;=1.5,'선정 규칙'!$B$9,IF('제외 후보'!L338&lt;=2,'선정 규칙'!$B$10,IF('제외 후보'!L338&lt;=2.5,'선정 규칙'!$B$11,IF('제외 후보'!L338&lt;=3,'선정 규칙'!$B$12,IF('제외 후보'!L338&lt;=3.5,'선정 규칙'!$B$13,IF('제외 후보'!L338&gt;=4.5,'선정 규칙'!$B$14,0)))))))</x:f>
        <x:v>6</x:v>
      </x:c>
      <x:c r="F338" s="11" t="n">
        <x:f>IF('제외 후보'!Y338=0,'선정 규칙'!$B$15,IF('제외 후보'!Y338&gt;=100,'선정 규칙'!$B$16,'선정 규칙'!$B$17))</x:f>
        <x:v>12</x:v>
      </x:c>
      <x:c r="G338" s="11" t="n">
        <x:f>IF('제외 후보'!M338="있음",'선정 규칙'!$B$18,'선정 규칙'!$B$19)</x:f>
        <x:v>6</x:v>
      </x:c>
      <x:c r="H338" s="11" t="n">
        <x:f>IF(ISNUMBER(SEARCH("freq-core",'제외 후보'!AD338)),'선정 규칙'!$B$20,0)</x:f>
        <x:v>0</x:v>
      </x:c>
      <x:c r="I338" s="11" t="n">
        <x:f>IF(ISNUMBER(SEARCH("weak_legacy_content",'제외 후보'!P338)),'선정 규칙'!$B$21,0)</x:f>
        <x:v>5</x:v>
      </x:c>
      <x:c r="J338" s="11" t="n">
        <x:f>IF('제외 후보'!AC338&lt;&gt;"",'선정 규칙'!$B$22,0)</x:f>
        <x:v>0</x:v>
      </x:c>
      <x:c r="K338" s="11" t="n">
        <x:f>SUM(B338:J338)</x:f>
        <x:v>29</x:v>
      </x:c>
      <x:c r="L338" s="11" t="n">
        <x:f>'제외 후보'!N338</x:f>
        <x:v>29</x:v>
      </x:c>
      <x:c r="M338" s="2" t="str">
        <x:f>IF(K338=L338,"OK","MISMATCH")</x:f>
        <x:v>OK</x:v>
      </x:c>
    </x:row>
    <x:row r="339">
      <x:c r="A339" s="2" t="str">
        <x:f>'제외 후보'!G339</x:f>
        <x:v>w_bc62d500b1c7560e</x:v>
      </x:c>
      <x:c r="B339" s="11" t="n">
        <x:f>IF('제외 후보'!Q339&lt;&gt;"",'선정 규칙'!$B$4,0)</x:f>
        <x:v>0</x:v>
      </x:c>
      <x:c r="C339" s="11" t="n">
        <x:f>IF(ISNUMBER(SEARCH("jmdict_uncommon_or_irregular",'제외 후보'!P339)),'선정 규칙'!$B$5,IF(ISNUMBER(SEARCH("jmdict_rare_or_dated",'제외 후보'!P339)),'선정 규칙'!$B$6,0))</x:f>
        <x:v>0</x:v>
      </x:c>
      <x:c r="D339" s="11" t="n">
        <x:f>IF(ISNUMBER(SEARCH("jmdict_exact_pair_not_found",'제외 후보'!P339)),'선정 규칙'!$B$7,0)</x:f>
        <x:v>0</x:v>
      </x:c>
      <x:c r="E339" s="11" t="n">
        <x:f>IF(OR('제외 후보'!L339="",'제외 후보'!L339&lt;=0),'선정 규칙'!$B$8,IF('제외 후보'!L339&lt;=1.5,'선정 규칙'!$B$9,IF('제외 후보'!L339&lt;=2,'선정 규칙'!$B$10,IF('제외 후보'!L339&lt;=2.5,'선정 규칙'!$B$11,IF('제외 후보'!L339&lt;=3,'선정 규칙'!$B$12,IF('제외 후보'!L339&lt;=3.5,'선정 규칙'!$B$13,IF('제외 후보'!L339&gt;=4.5,'선정 규칙'!$B$14,0)))))))</x:f>
        <x:v>6</x:v>
      </x:c>
      <x:c r="F339" s="11" t="n">
        <x:f>IF('제외 후보'!Y339=0,'선정 규칙'!$B$15,IF('제외 후보'!Y339&gt;=100,'선정 규칙'!$B$16,'선정 규칙'!$B$17))</x:f>
        <x:v>12</x:v>
      </x:c>
      <x:c r="G339" s="11" t="n">
        <x:f>IF('제외 후보'!M339="있음",'선정 규칙'!$B$18,'선정 규칙'!$B$19)</x:f>
        <x:v>6</x:v>
      </x:c>
      <x:c r="H339" s="11" t="n">
        <x:f>IF(ISNUMBER(SEARCH("freq-core",'제외 후보'!AD339)),'선정 규칙'!$B$20,0)</x:f>
        <x:v>0</x:v>
      </x:c>
      <x:c r="I339" s="11" t="n">
        <x:f>IF(ISNUMBER(SEARCH("weak_legacy_content",'제외 후보'!P339)),'선정 규칙'!$B$21,0)</x:f>
        <x:v>5</x:v>
      </x:c>
      <x:c r="J339" s="11" t="n">
        <x:f>IF('제외 후보'!AC339&lt;&gt;"",'선정 규칙'!$B$22,0)</x:f>
        <x:v>0</x:v>
      </x:c>
      <x:c r="K339" s="11" t="n">
        <x:f>SUM(B339:J339)</x:f>
        <x:v>29</x:v>
      </x:c>
      <x:c r="L339" s="11" t="n">
        <x:f>'제외 후보'!N339</x:f>
        <x:v>29</x:v>
      </x:c>
      <x:c r="M339" s="2" t="str">
        <x:f>IF(K339=L339,"OK","MISMATCH")</x:f>
        <x:v>OK</x:v>
      </x:c>
    </x:row>
    <x:row r="340">
      <x:c r="A340" s="2" t="str">
        <x:f>'제외 후보'!G340</x:f>
        <x:v>w_393a2f780ea3a234</x:v>
      </x:c>
      <x:c r="B340" s="11" t="n">
        <x:f>IF('제외 후보'!Q340&lt;&gt;"",'선정 규칙'!$B$4,0)</x:f>
        <x:v>0</x:v>
      </x:c>
      <x:c r="C340" s="11" t="n">
        <x:f>IF(ISNUMBER(SEARCH("jmdict_uncommon_or_irregular",'제외 후보'!P340)),'선정 규칙'!$B$5,IF(ISNUMBER(SEARCH("jmdict_rare_or_dated",'제외 후보'!P340)),'선정 규칙'!$B$6,0))</x:f>
        <x:v>0</x:v>
      </x:c>
      <x:c r="D340" s="11" t="n">
        <x:f>IF(ISNUMBER(SEARCH("jmdict_exact_pair_not_found",'제외 후보'!P340)),'선정 규칙'!$B$7,0)</x:f>
        <x:v>0</x:v>
      </x:c>
      <x:c r="E340" s="11" t="n">
        <x:f>IF(OR('제외 후보'!L340="",'제외 후보'!L340&lt;=0),'선정 규칙'!$B$8,IF('제외 후보'!L340&lt;=1.5,'선정 규칙'!$B$9,IF('제외 후보'!L340&lt;=2,'선정 규칙'!$B$10,IF('제외 후보'!L340&lt;=2.5,'선정 규칙'!$B$11,IF('제외 후보'!L340&lt;=3,'선정 규칙'!$B$12,IF('제외 후보'!L340&lt;=3.5,'선정 규칙'!$B$13,IF('제외 후보'!L340&gt;=4.5,'선정 규칙'!$B$14,0)))))))</x:f>
        <x:v>6</x:v>
      </x:c>
      <x:c r="F340" s="11" t="n">
        <x:f>IF('제외 후보'!Y340=0,'선정 규칙'!$B$15,IF('제외 후보'!Y340&gt;=100,'선정 규칙'!$B$16,'선정 규칙'!$B$17))</x:f>
        <x:v>12</x:v>
      </x:c>
      <x:c r="G340" s="11" t="n">
        <x:f>IF('제외 후보'!M340="있음",'선정 규칙'!$B$18,'선정 규칙'!$B$19)</x:f>
        <x:v>6</x:v>
      </x:c>
      <x:c r="H340" s="11" t="n">
        <x:f>IF(ISNUMBER(SEARCH("freq-core",'제외 후보'!AD340)),'선정 규칙'!$B$20,0)</x:f>
        <x:v>0</x:v>
      </x:c>
      <x:c r="I340" s="11" t="n">
        <x:f>IF(ISNUMBER(SEARCH("weak_legacy_content",'제외 후보'!P340)),'선정 규칙'!$B$21,0)</x:f>
        <x:v>5</x:v>
      </x:c>
      <x:c r="J340" s="11" t="n">
        <x:f>IF('제외 후보'!AC340&lt;&gt;"",'선정 규칙'!$B$22,0)</x:f>
        <x:v>0</x:v>
      </x:c>
      <x:c r="K340" s="11" t="n">
        <x:f>SUM(B340:J340)</x:f>
        <x:v>29</x:v>
      </x:c>
      <x:c r="L340" s="11" t="n">
        <x:f>'제외 후보'!N340</x:f>
        <x:v>29</x:v>
      </x:c>
      <x:c r="M340" s="2" t="str">
        <x:f>IF(K340=L340,"OK","MISMATCH")</x:f>
        <x:v>OK</x:v>
      </x:c>
    </x:row>
    <x:row r="341">
      <x:c r="A341" s="2" t="str">
        <x:f>'제외 후보'!G341</x:f>
        <x:v>w_46cc417e1359d493</x:v>
      </x:c>
      <x:c r="B341" s="11" t="n">
        <x:f>IF('제외 후보'!Q341&lt;&gt;"",'선정 규칙'!$B$4,0)</x:f>
        <x:v>0</x:v>
      </x:c>
      <x:c r="C341" s="11" t="n">
        <x:f>IF(ISNUMBER(SEARCH("jmdict_uncommon_or_irregular",'제외 후보'!P341)),'선정 규칙'!$B$5,IF(ISNUMBER(SEARCH("jmdict_rare_or_dated",'제외 후보'!P341)),'선정 규칙'!$B$6,0))</x:f>
        <x:v>0</x:v>
      </x:c>
      <x:c r="D341" s="11" t="n">
        <x:f>IF(ISNUMBER(SEARCH("jmdict_exact_pair_not_found",'제외 후보'!P341)),'선정 규칙'!$B$7,0)</x:f>
        <x:v>0</x:v>
      </x:c>
      <x:c r="E341" s="11" t="n">
        <x:f>IF(OR('제외 후보'!L341="",'제외 후보'!L341&lt;=0),'선정 규칙'!$B$8,IF('제외 후보'!L341&lt;=1.5,'선정 규칙'!$B$9,IF('제외 후보'!L341&lt;=2,'선정 규칙'!$B$10,IF('제외 후보'!L341&lt;=2.5,'선정 규칙'!$B$11,IF('제외 후보'!L341&lt;=3,'선정 규칙'!$B$12,IF('제외 후보'!L341&lt;=3.5,'선정 규칙'!$B$13,IF('제외 후보'!L341&gt;=4.5,'선정 규칙'!$B$14,0)))))))</x:f>
        <x:v>6</x:v>
      </x:c>
      <x:c r="F341" s="11" t="n">
        <x:f>IF('제외 후보'!Y341=0,'선정 규칙'!$B$15,IF('제외 후보'!Y341&gt;=100,'선정 규칙'!$B$16,'선정 규칙'!$B$17))</x:f>
        <x:v>12</x:v>
      </x:c>
      <x:c r="G341" s="11" t="n">
        <x:f>IF('제외 후보'!M341="있음",'선정 규칙'!$B$18,'선정 규칙'!$B$19)</x:f>
        <x:v>6</x:v>
      </x:c>
      <x:c r="H341" s="11" t="n">
        <x:f>IF(ISNUMBER(SEARCH("freq-core",'제외 후보'!AD341)),'선정 규칙'!$B$20,0)</x:f>
        <x:v>0</x:v>
      </x:c>
      <x:c r="I341" s="11" t="n">
        <x:f>IF(ISNUMBER(SEARCH("weak_legacy_content",'제외 후보'!P341)),'선정 규칙'!$B$21,0)</x:f>
        <x:v>5</x:v>
      </x:c>
      <x:c r="J341" s="11" t="n">
        <x:f>IF('제외 후보'!AC341&lt;&gt;"",'선정 규칙'!$B$22,0)</x:f>
        <x:v>0</x:v>
      </x:c>
      <x:c r="K341" s="11" t="n">
        <x:f>SUM(B341:J341)</x:f>
        <x:v>29</x:v>
      </x:c>
      <x:c r="L341" s="11" t="n">
        <x:f>'제외 후보'!N341</x:f>
        <x:v>29</x:v>
      </x:c>
      <x:c r="M341" s="2" t="str">
        <x:f>IF(K341=L341,"OK","MISMATCH")</x:f>
        <x:v>OK</x:v>
      </x:c>
    </x:row>
    <x:row r="342">
      <x:c r="A342" s="2" t="str">
        <x:f>'제외 후보'!G342</x:f>
        <x:v>w_8fff74a03d730e9f</x:v>
      </x:c>
      <x:c r="B342" s="11" t="n">
        <x:f>IF('제외 후보'!Q342&lt;&gt;"",'선정 규칙'!$B$4,0)</x:f>
        <x:v>0</x:v>
      </x:c>
      <x:c r="C342" s="11" t="n">
        <x:f>IF(ISNUMBER(SEARCH("jmdict_uncommon_or_irregular",'제외 후보'!P342)),'선정 규칙'!$B$5,IF(ISNUMBER(SEARCH("jmdict_rare_or_dated",'제외 후보'!P342)),'선정 규칙'!$B$6,0))</x:f>
        <x:v>0</x:v>
      </x:c>
      <x:c r="D342" s="11" t="n">
        <x:f>IF(ISNUMBER(SEARCH("jmdict_exact_pair_not_found",'제외 후보'!P342)),'선정 규칙'!$B$7,0)</x:f>
        <x:v>0</x:v>
      </x:c>
      <x:c r="E342" s="11" t="n">
        <x:f>IF(OR('제외 후보'!L342="",'제외 후보'!L342&lt;=0),'선정 규칙'!$B$8,IF('제외 후보'!L342&lt;=1.5,'선정 규칙'!$B$9,IF('제외 후보'!L342&lt;=2,'선정 규칙'!$B$10,IF('제외 후보'!L342&lt;=2.5,'선정 규칙'!$B$11,IF('제외 후보'!L342&lt;=3,'선정 규칙'!$B$12,IF('제외 후보'!L342&lt;=3.5,'선정 규칙'!$B$13,IF('제외 후보'!L342&gt;=4.5,'선정 규칙'!$B$14,0)))))))</x:f>
        <x:v>6</x:v>
      </x:c>
      <x:c r="F342" s="11" t="n">
        <x:f>IF('제외 후보'!Y342=0,'선정 규칙'!$B$15,IF('제외 후보'!Y342&gt;=100,'선정 규칙'!$B$16,'선정 규칙'!$B$17))</x:f>
        <x:v>12</x:v>
      </x:c>
      <x:c r="G342" s="11" t="n">
        <x:f>IF('제외 후보'!M342="있음",'선정 규칙'!$B$18,'선정 규칙'!$B$19)</x:f>
        <x:v>6</x:v>
      </x:c>
      <x:c r="H342" s="11" t="n">
        <x:f>IF(ISNUMBER(SEARCH("freq-core",'제외 후보'!AD342)),'선정 규칙'!$B$20,0)</x:f>
        <x:v>0</x:v>
      </x:c>
      <x:c r="I342" s="11" t="n">
        <x:f>IF(ISNUMBER(SEARCH("weak_legacy_content",'제외 후보'!P342)),'선정 규칙'!$B$21,0)</x:f>
        <x:v>5</x:v>
      </x:c>
      <x:c r="J342" s="11" t="n">
        <x:f>IF('제외 후보'!AC342&lt;&gt;"",'선정 규칙'!$B$22,0)</x:f>
        <x:v>0</x:v>
      </x:c>
      <x:c r="K342" s="11" t="n">
        <x:f>SUM(B342:J342)</x:f>
        <x:v>29</x:v>
      </x:c>
      <x:c r="L342" s="11" t="n">
        <x:f>'제외 후보'!N342</x:f>
        <x:v>29</x:v>
      </x:c>
      <x:c r="M342" s="2" t="str">
        <x:f>IF(K342=L342,"OK","MISMATCH")</x:f>
        <x:v>OK</x:v>
      </x:c>
    </x:row>
    <x:row r="343">
      <x:c r="A343" s="2" t="str">
        <x:f>'제외 후보'!G343</x:f>
        <x:v>w_eef64255aaac600b</x:v>
      </x:c>
      <x:c r="B343" s="11" t="n">
        <x:f>IF('제외 후보'!Q343&lt;&gt;"",'선정 규칙'!$B$4,0)</x:f>
        <x:v>0</x:v>
      </x:c>
      <x:c r="C343" s="11" t="n">
        <x:f>IF(ISNUMBER(SEARCH("jmdict_uncommon_or_irregular",'제외 후보'!P343)),'선정 규칙'!$B$5,IF(ISNUMBER(SEARCH("jmdict_rare_or_dated",'제외 후보'!P343)),'선정 규칙'!$B$6,0))</x:f>
        <x:v>0</x:v>
      </x:c>
      <x:c r="D343" s="11" t="n">
        <x:f>IF(ISNUMBER(SEARCH("jmdict_exact_pair_not_found",'제외 후보'!P343)),'선정 규칙'!$B$7,0)</x:f>
        <x:v>0</x:v>
      </x:c>
      <x:c r="E343" s="11" t="n">
        <x:f>IF(OR('제외 후보'!L343="",'제외 후보'!L343&lt;=0),'선정 규칙'!$B$8,IF('제외 후보'!L343&lt;=1.5,'선정 규칙'!$B$9,IF('제외 후보'!L343&lt;=2,'선정 규칙'!$B$10,IF('제외 후보'!L343&lt;=2.5,'선정 규칙'!$B$11,IF('제외 후보'!L343&lt;=3,'선정 규칙'!$B$12,IF('제외 후보'!L343&lt;=3.5,'선정 규칙'!$B$13,IF('제외 후보'!L343&gt;=4.5,'선정 규칙'!$B$14,0)))))))</x:f>
        <x:v>6</x:v>
      </x:c>
      <x:c r="F343" s="11" t="n">
        <x:f>IF('제외 후보'!Y343=0,'선정 규칙'!$B$15,IF('제외 후보'!Y343&gt;=100,'선정 규칙'!$B$16,'선정 규칙'!$B$17))</x:f>
        <x:v>12</x:v>
      </x:c>
      <x:c r="G343" s="11" t="n">
        <x:f>IF('제외 후보'!M343="있음",'선정 규칙'!$B$18,'선정 규칙'!$B$19)</x:f>
        <x:v>6</x:v>
      </x:c>
      <x:c r="H343" s="11" t="n">
        <x:f>IF(ISNUMBER(SEARCH("freq-core",'제외 후보'!AD343)),'선정 규칙'!$B$20,0)</x:f>
        <x:v>0</x:v>
      </x:c>
      <x:c r="I343" s="11" t="n">
        <x:f>IF(ISNUMBER(SEARCH("weak_legacy_content",'제외 후보'!P343)),'선정 규칙'!$B$21,0)</x:f>
        <x:v>5</x:v>
      </x:c>
      <x:c r="J343" s="11" t="n">
        <x:f>IF('제외 후보'!AC343&lt;&gt;"",'선정 규칙'!$B$22,0)</x:f>
        <x:v>0</x:v>
      </x:c>
      <x:c r="K343" s="11" t="n">
        <x:f>SUM(B343:J343)</x:f>
        <x:v>29</x:v>
      </x:c>
      <x:c r="L343" s="11" t="n">
        <x:f>'제외 후보'!N343</x:f>
        <x:v>29</x:v>
      </x:c>
      <x:c r="M343" s="2" t="str">
        <x:f>IF(K343=L343,"OK","MISMATCH")</x:f>
        <x:v>OK</x:v>
      </x:c>
    </x:row>
    <x:row r="344">
      <x:c r="A344" s="2" t="str">
        <x:f>'제외 후보'!G344</x:f>
        <x:v>w_e754bc481c30783c</x:v>
      </x:c>
      <x:c r="B344" s="11" t="n">
        <x:f>IF('제외 후보'!Q344&lt;&gt;"",'선정 규칙'!$B$4,0)</x:f>
        <x:v>0</x:v>
      </x:c>
      <x:c r="C344" s="11" t="n">
        <x:f>IF(ISNUMBER(SEARCH("jmdict_uncommon_or_irregular",'제외 후보'!P344)),'선정 규칙'!$B$5,IF(ISNUMBER(SEARCH("jmdict_rare_or_dated",'제외 후보'!P344)),'선정 규칙'!$B$6,0))</x:f>
        <x:v>0</x:v>
      </x:c>
      <x:c r="D344" s="11" t="n">
        <x:f>IF(ISNUMBER(SEARCH("jmdict_exact_pair_not_found",'제외 후보'!P344)),'선정 규칙'!$B$7,0)</x:f>
        <x:v>0</x:v>
      </x:c>
      <x:c r="E344" s="11" t="n">
        <x:f>IF(OR('제외 후보'!L344="",'제외 후보'!L344&lt;=0),'선정 규칙'!$B$8,IF('제외 후보'!L344&lt;=1.5,'선정 규칙'!$B$9,IF('제외 후보'!L344&lt;=2,'선정 규칙'!$B$10,IF('제외 후보'!L344&lt;=2.5,'선정 규칙'!$B$11,IF('제외 후보'!L344&lt;=3,'선정 규칙'!$B$12,IF('제외 후보'!L344&lt;=3.5,'선정 규칙'!$B$13,IF('제외 후보'!L344&gt;=4.5,'선정 규칙'!$B$14,0)))))))</x:f>
        <x:v>6</x:v>
      </x:c>
      <x:c r="F344" s="11" t="n">
        <x:f>IF('제외 후보'!Y344=0,'선정 규칙'!$B$15,IF('제외 후보'!Y344&gt;=100,'선정 규칙'!$B$16,'선정 규칙'!$B$17))</x:f>
        <x:v>12</x:v>
      </x:c>
      <x:c r="G344" s="11" t="n">
        <x:f>IF('제외 후보'!M344="있음",'선정 규칙'!$B$18,'선정 규칙'!$B$19)</x:f>
        <x:v>6</x:v>
      </x:c>
      <x:c r="H344" s="11" t="n">
        <x:f>IF(ISNUMBER(SEARCH("freq-core",'제외 후보'!AD344)),'선정 규칙'!$B$20,0)</x:f>
        <x:v>0</x:v>
      </x:c>
      <x:c r="I344" s="11" t="n">
        <x:f>IF(ISNUMBER(SEARCH("weak_legacy_content",'제외 후보'!P344)),'선정 규칙'!$B$21,0)</x:f>
        <x:v>5</x:v>
      </x:c>
      <x:c r="J344" s="11" t="n">
        <x:f>IF('제외 후보'!AC344&lt;&gt;"",'선정 규칙'!$B$22,0)</x:f>
        <x:v>0</x:v>
      </x:c>
      <x:c r="K344" s="11" t="n">
        <x:f>SUM(B344:J344)</x:f>
        <x:v>29</x:v>
      </x:c>
      <x:c r="L344" s="11" t="n">
        <x:f>'제외 후보'!N344</x:f>
        <x:v>29</x:v>
      </x:c>
      <x:c r="M344" s="2" t="str">
        <x:f>IF(K344=L344,"OK","MISMATCH")</x:f>
        <x:v>OK</x:v>
      </x:c>
    </x:row>
    <x:row r="345">
      <x:c r="A345" s="2" t="str">
        <x:f>'제외 후보'!G345</x:f>
        <x:v>w_05874a5a5d9d5d88</x:v>
      </x:c>
      <x:c r="B345" s="11" t="n">
        <x:f>IF('제외 후보'!Q345&lt;&gt;"",'선정 규칙'!$B$4,0)</x:f>
        <x:v>0</x:v>
      </x:c>
      <x:c r="C345" s="11" t="n">
        <x:f>IF(ISNUMBER(SEARCH("jmdict_uncommon_or_irregular",'제외 후보'!P345)),'선정 규칙'!$B$5,IF(ISNUMBER(SEARCH("jmdict_rare_or_dated",'제외 후보'!P345)),'선정 규칙'!$B$6,0))</x:f>
        <x:v>0</x:v>
      </x:c>
      <x:c r="D345" s="11" t="n">
        <x:f>IF(ISNUMBER(SEARCH("jmdict_exact_pair_not_found",'제외 후보'!P345)),'선정 규칙'!$B$7,0)</x:f>
        <x:v>0</x:v>
      </x:c>
      <x:c r="E345" s="11" t="n">
        <x:f>IF(OR('제외 후보'!L345="",'제외 후보'!L345&lt;=0),'선정 규칙'!$B$8,IF('제외 후보'!L345&lt;=1.5,'선정 규칙'!$B$9,IF('제외 후보'!L345&lt;=2,'선정 규칙'!$B$10,IF('제외 후보'!L345&lt;=2.5,'선정 규칙'!$B$11,IF('제외 후보'!L345&lt;=3,'선정 규칙'!$B$12,IF('제외 후보'!L345&lt;=3.5,'선정 규칙'!$B$13,IF('제외 후보'!L345&gt;=4.5,'선정 규칙'!$B$14,0)))))))</x:f>
        <x:v>6</x:v>
      </x:c>
      <x:c r="F345" s="11" t="n">
        <x:f>IF('제외 후보'!Y345=0,'선정 규칙'!$B$15,IF('제외 후보'!Y345&gt;=100,'선정 규칙'!$B$16,'선정 규칙'!$B$17))</x:f>
        <x:v>12</x:v>
      </x:c>
      <x:c r="G345" s="11" t="n">
        <x:f>IF('제외 후보'!M345="있음",'선정 규칙'!$B$18,'선정 규칙'!$B$19)</x:f>
        <x:v>6</x:v>
      </x:c>
      <x:c r="H345" s="11" t="n">
        <x:f>IF(ISNUMBER(SEARCH("freq-core",'제외 후보'!AD345)),'선정 규칙'!$B$20,0)</x:f>
        <x:v>0</x:v>
      </x:c>
      <x:c r="I345" s="11" t="n">
        <x:f>IF(ISNUMBER(SEARCH("weak_legacy_content",'제외 후보'!P345)),'선정 규칙'!$B$21,0)</x:f>
        <x:v>5</x:v>
      </x:c>
      <x:c r="J345" s="11" t="n">
        <x:f>IF('제외 후보'!AC345&lt;&gt;"",'선정 규칙'!$B$22,0)</x:f>
        <x:v>0</x:v>
      </x:c>
      <x:c r="K345" s="11" t="n">
        <x:f>SUM(B345:J345)</x:f>
        <x:v>29</x:v>
      </x:c>
      <x:c r="L345" s="11" t="n">
        <x:f>'제외 후보'!N345</x:f>
        <x:v>29</x:v>
      </x:c>
      <x:c r="M345" s="2" t="str">
        <x:f>IF(K345=L345,"OK","MISMATCH")</x:f>
        <x:v>OK</x:v>
      </x:c>
    </x:row>
    <x:row r="346">
      <x:c r="A346" s="2" t="str">
        <x:f>'제외 후보'!G346</x:f>
        <x:v>w_1d7915b7fed88a43</x:v>
      </x:c>
      <x:c r="B346" s="11" t="n">
        <x:f>IF('제외 후보'!Q346&lt;&gt;"",'선정 규칙'!$B$4,0)</x:f>
        <x:v>0</x:v>
      </x:c>
      <x:c r="C346" s="11" t="n">
        <x:f>IF(ISNUMBER(SEARCH("jmdict_uncommon_or_irregular",'제외 후보'!P346)),'선정 규칙'!$B$5,IF(ISNUMBER(SEARCH("jmdict_rare_or_dated",'제외 후보'!P346)),'선정 규칙'!$B$6,0))</x:f>
        <x:v>0</x:v>
      </x:c>
      <x:c r="D346" s="11" t="n">
        <x:f>IF(ISNUMBER(SEARCH("jmdict_exact_pair_not_found",'제외 후보'!P346)),'선정 규칙'!$B$7,0)</x:f>
        <x:v>0</x:v>
      </x:c>
      <x:c r="E346" s="11" t="n">
        <x:f>IF(OR('제외 후보'!L346="",'제외 후보'!L346&lt;=0),'선정 규칙'!$B$8,IF('제외 후보'!L346&lt;=1.5,'선정 규칙'!$B$9,IF('제외 후보'!L346&lt;=2,'선정 규칙'!$B$10,IF('제외 후보'!L346&lt;=2.5,'선정 규칙'!$B$11,IF('제외 후보'!L346&lt;=3,'선정 규칙'!$B$12,IF('제외 후보'!L346&lt;=3.5,'선정 규칙'!$B$13,IF('제외 후보'!L346&gt;=4.5,'선정 규칙'!$B$14,0)))))))</x:f>
        <x:v>6</x:v>
      </x:c>
      <x:c r="F346" s="11" t="n">
        <x:f>IF('제외 후보'!Y346=0,'선정 규칙'!$B$15,IF('제외 후보'!Y346&gt;=100,'선정 규칙'!$B$16,'선정 규칙'!$B$17))</x:f>
        <x:v>12</x:v>
      </x:c>
      <x:c r="G346" s="11" t="n">
        <x:f>IF('제외 후보'!M346="있음",'선정 규칙'!$B$18,'선정 규칙'!$B$19)</x:f>
        <x:v>6</x:v>
      </x:c>
      <x:c r="H346" s="11" t="n">
        <x:f>IF(ISNUMBER(SEARCH("freq-core",'제외 후보'!AD346)),'선정 규칙'!$B$20,0)</x:f>
        <x:v>0</x:v>
      </x:c>
      <x:c r="I346" s="11" t="n">
        <x:f>IF(ISNUMBER(SEARCH("weak_legacy_content",'제외 후보'!P346)),'선정 규칙'!$B$21,0)</x:f>
        <x:v>5</x:v>
      </x:c>
      <x:c r="J346" s="11" t="n">
        <x:f>IF('제외 후보'!AC346&lt;&gt;"",'선정 규칙'!$B$22,0)</x:f>
        <x:v>0</x:v>
      </x:c>
      <x:c r="K346" s="11" t="n">
        <x:f>SUM(B346:J346)</x:f>
        <x:v>29</x:v>
      </x:c>
      <x:c r="L346" s="11" t="n">
        <x:f>'제외 후보'!N346</x:f>
        <x:v>29</x:v>
      </x:c>
      <x:c r="M346" s="2" t="str">
        <x:f>IF(K346=L346,"OK","MISMATCH")</x:f>
        <x:v>OK</x:v>
      </x:c>
    </x:row>
    <x:row r="347">
      <x:c r="A347" s="2" t="str">
        <x:f>'제외 후보'!G347</x:f>
        <x:v>w_c574304948c39b5e</x:v>
      </x:c>
      <x:c r="B347" s="11" t="n">
        <x:f>IF('제외 후보'!Q347&lt;&gt;"",'선정 규칙'!$B$4,0)</x:f>
        <x:v>0</x:v>
      </x:c>
      <x:c r="C347" s="11" t="n">
        <x:f>IF(ISNUMBER(SEARCH("jmdict_uncommon_or_irregular",'제외 후보'!P347)),'선정 규칙'!$B$5,IF(ISNUMBER(SEARCH("jmdict_rare_or_dated",'제외 후보'!P347)),'선정 규칙'!$B$6,0))</x:f>
        <x:v>0</x:v>
      </x:c>
      <x:c r="D347" s="11" t="n">
        <x:f>IF(ISNUMBER(SEARCH("jmdict_exact_pair_not_found",'제외 후보'!P347)),'선정 규칙'!$B$7,0)</x:f>
        <x:v>0</x:v>
      </x:c>
      <x:c r="E347" s="11" t="n">
        <x:f>IF(OR('제외 후보'!L347="",'제외 후보'!L347&lt;=0),'선정 규칙'!$B$8,IF('제외 후보'!L347&lt;=1.5,'선정 규칙'!$B$9,IF('제외 후보'!L347&lt;=2,'선정 규칙'!$B$10,IF('제외 후보'!L347&lt;=2.5,'선정 규칙'!$B$11,IF('제외 후보'!L347&lt;=3,'선정 규칙'!$B$12,IF('제외 후보'!L347&lt;=3.5,'선정 규칙'!$B$13,IF('제외 후보'!L347&gt;=4.5,'선정 규칙'!$B$14,0)))))))</x:f>
        <x:v>6</x:v>
      </x:c>
      <x:c r="F347" s="11" t="n">
        <x:f>IF('제외 후보'!Y347=0,'선정 규칙'!$B$15,IF('제외 후보'!Y347&gt;=100,'선정 규칙'!$B$16,'선정 규칙'!$B$17))</x:f>
        <x:v>12</x:v>
      </x:c>
      <x:c r="G347" s="11" t="n">
        <x:f>IF('제외 후보'!M347="있음",'선정 규칙'!$B$18,'선정 규칙'!$B$19)</x:f>
        <x:v>6</x:v>
      </x:c>
      <x:c r="H347" s="11" t="n">
        <x:f>IF(ISNUMBER(SEARCH("freq-core",'제외 후보'!AD347)),'선정 규칙'!$B$20,0)</x:f>
        <x:v>0</x:v>
      </x:c>
      <x:c r="I347" s="11" t="n">
        <x:f>IF(ISNUMBER(SEARCH("weak_legacy_content",'제외 후보'!P347)),'선정 규칙'!$B$21,0)</x:f>
        <x:v>5</x:v>
      </x:c>
      <x:c r="J347" s="11" t="n">
        <x:f>IF('제외 후보'!AC347&lt;&gt;"",'선정 규칙'!$B$22,0)</x:f>
        <x:v>0</x:v>
      </x:c>
      <x:c r="K347" s="11" t="n">
        <x:f>SUM(B347:J347)</x:f>
        <x:v>29</x:v>
      </x:c>
      <x:c r="L347" s="11" t="n">
        <x:f>'제외 후보'!N347</x:f>
        <x:v>29</x:v>
      </x:c>
      <x:c r="M347" s="2" t="str">
        <x:f>IF(K347=L347,"OK","MISMATCH")</x:f>
        <x:v>OK</x:v>
      </x:c>
    </x:row>
    <x:row r="348">
      <x:c r="A348" s="2" t="str">
        <x:f>'제외 후보'!G348</x:f>
        <x:v>w_15cf97881a87cd7d</x:v>
      </x:c>
      <x:c r="B348" s="11" t="n">
        <x:f>IF('제외 후보'!Q348&lt;&gt;"",'선정 규칙'!$B$4,0)</x:f>
        <x:v>0</x:v>
      </x:c>
      <x:c r="C348" s="11" t="n">
        <x:f>IF(ISNUMBER(SEARCH("jmdict_uncommon_or_irregular",'제외 후보'!P348)),'선정 규칙'!$B$5,IF(ISNUMBER(SEARCH("jmdict_rare_or_dated",'제외 후보'!P348)),'선정 규칙'!$B$6,0))</x:f>
        <x:v>0</x:v>
      </x:c>
      <x:c r="D348" s="11" t="n">
        <x:f>IF(ISNUMBER(SEARCH("jmdict_exact_pair_not_found",'제외 후보'!P348)),'선정 규칙'!$B$7,0)</x:f>
        <x:v>0</x:v>
      </x:c>
      <x:c r="E348" s="11" t="n">
        <x:f>IF(OR('제외 후보'!L348="",'제외 후보'!L348&lt;=0),'선정 규칙'!$B$8,IF('제외 후보'!L348&lt;=1.5,'선정 규칙'!$B$9,IF('제외 후보'!L348&lt;=2,'선정 규칙'!$B$10,IF('제외 후보'!L348&lt;=2.5,'선정 규칙'!$B$11,IF('제외 후보'!L348&lt;=3,'선정 규칙'!$B$12,IF('제외 후보'!L348&lt;=3.5,'선정 규칙'!$B$13,IF('제외 후보'!L348&gt;=4.5,'선정 규칙'!$B$14,0)))))))</x:f>
        <x:v>6</x:v>
      </x:c>
      <x:c r="F348" s="11" t="n">
        <x:f>IF('제외 후보'!Y348=0,'선정 규칙'!$B$15,IF('제외 후보'!Y348&gt;=100,'선정 규칙'!$B$16,'선정 규칙'!$B$17))</x:f>
        <x:v>12</x:v>
      </x:c>
      <x:c r="G348" s="11" t="n">
        <x:f>IF('제외 후보'!M348="있음",'선정 규칙'!$B$18,'선정 규칙'!$B$19)</x:f>
        <x:v>6</x:v>
      </x:c>
      <x:c r="H348" s="11" t="n">
        <x:f>IF(ISNUMBER(SEARCH("freq-core",'제외 후보'!AD348)),'선정 규칙'!$B$20,0)</x:f>
        <x:v>0</x:v>
      </x:c>
      <x:c r="I348" s="11" t="n">
        <x:f>IF(ISNUMBER(SEARCH("weak_legacy_content",'제외 후보'!P348)),'선정 규칙'!$B$21,0)</x:f>
        <x:v>5</x:v>
      </x:c>
      <x:c r="J348" s="11" t="n">
        <x:f>IF('제외 후보'!AC348&lt;&gt;"",'선정 규칙'!$B$22,0)</x:f>
        <x:v>0</x:v>
      </x:c>
      <x:c r="K348" s="11" t="n">
        <x:f>SUM(B348:J348)</x:f>
        <x:v>29</x:v>
      </x:c>
      <x:c r="L348" s="11" t="n">
        <x:f>'제외 후보'!N348</x:f>
        <x:v>29</x:v>
      </x:c>
      <x:c r="M348" s="2" t="str">
        <x:f>IF(K348=L348,"OK","MISMATCH")</x:f>
        <x:v>OK</x:v>
      </x:c>
    </x:row>
    <x:row r="349">
      <x:c r="A349" s="2" t="str">
        <x:f>'제외 후보'!G349</x:f>
        <x:v>w_4ebd807f283e4c2e</x:v>
      </x:c>
      <x:c r="B349" s="11" t="n">
        <x:f>IF('제외 후보'!Q349&lt;&gt;"",'선정 규칙'!$B$4,0)</x:f>
        <x:v>0</x:v>
      </x:c>
      <x:c r="C349" s="11" t="n">
        <x:f>IF(ISNUMBER(SEARCH("jmdict_uncommon_or_irregular",'제외 후보'!P349)),'선정 규칙'!$B$5,IF(ISNUMBER(SEARCH("jmdict_rare_or_dated",'제외 후보'!P349)),'선정 규칙'!$B$6,0))</x:f>
        <x:v>0</x:v>
      </x:c>
      <x:c r="D349" s="11" t="n">
        <x:f>IF(ISNUMBER(SEARCH("jmdict_exact_pair_not_found",'제외 후보'!P349)),'선정 규칙'!$B$7,0)</x:f>
        <x:v>0</x:v>
      </x:c>
      <x:c r="E349" s="11" t="n">
        <x:f>IF(OR('제외 후보'!L349="",'제외 후보'!L349&lt;=0),'선정 규칙'!$B$8,IF('제외 후보'!L349&lt;=1.5,'선정 규칙'!$B$9,IF('제외 후보'!L349&lt;=2,'선정 규칙'!$B$10,IF('제외 후보'!L349&lt;=2.5,'선정 규칙'!$B$11,IF('제외 후보'!L349&lt;=3,'선정 규칙'!$B$12,IF('제외 후보'!L349&lt;=3.5,'선정 규칙'!$B$13,IF('제외 후보'!L349&gt;=4.5,'선정 규칙'!$B$14,0)))))))</x:f>
        <x:v>6</x:v>
      </x:c>
      <x:c r="F349" s="11" t="n">
        <x:f>IF('제외 후보'!Y349=0,'선정 규칙'!$B$15,IF('제외 후보'!Y349&gt;=100,'선정 규칙'!$B$16,'선정 규칙'!$B$17))</x:f>
        <x:v>12</x:v>
      </x:c>
      <x:c r="G349" s="11" t="n">
        <x:f>IF('제외 후보'!M349="있음",'선정 규칙'!$B$18,'선정 규칙'!$B$19)</x:f>
        <x:v>6</x:v>
      </x:c>
      <x:c r="H349" s="11" t="n">
        <x:f>IF(ISNUMBER(SEARCH("freq-core",'제외 후보'!AD349)),'선정 규칙'!$B$20,0)</x:f>
        <x:v>0</x:v>
      </x:c>
      <x:c r="I349" s="11" t="n">
        <x:f>IF(ISNUMBER(SEARCH("weak_legacy_content",'제외 후보'!P349)),'선정 규칙'!$B$21,0)</x:f>
        <x:v>5</x:v>
      </x:c>
      <x:c r="J349" s="11" t="n">
        <x:f>IF('제외 후보'!AC349&lt;&gt;"",'선정 규칙'!$B$22,0)</x:f>
        <x:v>0</x:v>
      </x:c>
      <x:c r="K349" s="11" t="n">
        <x:f>SUM(B349:J349)</x:f>
        <x:v>29</x:v>
      </x:c>
      <x:c r="L349" s="11" t="n">
        <x:f>'제외 후보'!N349</x:f>
        <x:v>29</x:v>
      </x:c>
      <x:c r="M349" s="2" t="str">
        <x:f>IF(K349=L349,"OK","MISMATCH")</x:f>
        <x:v>OK</x:v>
      </x:c>
    </x:row>
    <x:row r="350">
      <x:c r="A350" s="2" t="str">
        <x:f>'제외 후보'!G350</x:f>
        <x:v>w_774dfa34db16e838</x:v>
      </x:c>
      <x:c r="B350" s="11" t="n">
        <x:f>IF('제외 후보'!Q350&lt;&gt;"",'선정 규칙'!$B$4,0)</x:f>
        <x:v>0</x:v>
      </x:c>
      <x:c r="C350" s="11" t="n">
        <x:f>IF(ISNUMBER(SEARCH("jmdict_uncommon_or_irregular",'제외 후보'!P350)),'선정 규칙'!$B$5,IF(ISNUMBER(SEARCH("jmdict_rare_or_dated",'제외 후보'!P350)),'선정 규칙'!$B$6,0))</x:f>
        <x:v>0</x:v>
      </x:c>
      <x:c r="D350" s="11" t="n">
        <x:f>IF(ISNUMBER(SEARCH("jmdict_exact_pair_not_found",'제외 후보'!P350)),'선정 규칙'!$B$7,0)</x:f>
        <x:v>0</x:v>
      </x:c>
      <x:c r="E350" s="11" t="n">
        <x:f>IF(OR('제외 후보'!L350="",'제외 후보'!L350&lt;=0),'선정 규칙'!$B$8,IF('제외 후보'!L350&lt;=1.5,'선정 규칙'!$B$9,IF('제외 후보'!L350&lt;=2,'선정 규칙'!$B$10,IF('제외 후보'!L350&lt;=2.5,'선정 규칙'!$B$11,IF('제외 후보'!L350&lt;=3,'선정 규칙'!$B$12,IF('제외 후보'!L350&lt;=3.5,'선정 규칙'!$B$13,IF('제외 후보'!L350&gt;=4.5,'선정 규칙'!$B$14,0)))))))</x:f>
        <x:v>6</x:v>
      </x:c>
      <x:c r="F350" s="11" t="n">
        <x:f>IF('제외 후보'!Y350=0,'선정 규칙'!$B$15,IF('제외 후보'!Y350&gt;=100,'선정 규칙'!$B$16,'선정 규칙'!$B$17))</x:f>
        <x:v>12</x:v>
      </x:c>
      <x:c r="G350" s="11" t="n">
        <x:f>IF('제외 후보'!M350="있음",'선정 규칙'!$B$18,'선정 규칙'!$B$19)</x:f>
        <x:v>6</x:v>
      </x:c>
      <x:c r="H350" s="11" t="n">
        <x:f>IF(ISNUMBER(SEARCH("freq-core",'제외 후보'!AD350)),'선정 규칙'!$B$20,0)</x:f>
        <x:v>0</x:v>
      </x:c>
      <x:c r="I350" s="11" t="n">
        <x:f>IF(ISNUMBER(SEARCH("weak_legacy_content",'제외 후보'!P350)),'선정 규칙'!$B$21,0)</x:f>
        <x:v>5</x:v>
      </x:c>
      <x:c r="J350" s="11" t="n">
        <x:f>IF('제외 후보'!AC350&lt;&gt;"",'선정 규칙'!$B$22,0)</x:f>
        <x:v>0</x:v>
      </x:c>
      <x:c r="K350" s="11" t="n">
        <x:f>SUM(B350:J350)</x:f>
        <x:v>29</x:v>
      </x:c>
      <x:c r="L350" s="11" t="n">
        <x:f>'제외 후보'!N350</x:f>
        <x:v>29</x:v>
      </x:c>
      <x:c r="M350" s="2" t="str">
        <x:f>IF(K350=L350,"OK","MISMATCH")</x:f>
        <x:v>OK</x:v>
      </x:c>
    </x:row>
    <x:row r="351">
      <x:c r="A351" s="2" t="str">
        <x:f>'제외 후보'!G351</x:f>
        <x:v>w_e6094e90b6990f27</x:v>
      </x:c>
      <x:c r="B351" s="11" t="n">
        <x:f>IF('제외 후보'!Q351&lt;&gt;"",'선정 규칙'!$B$4,0)</x:f>
        <x:v>0</x:v>
      </x:c>
      <x:c r="C351" s="11" t="n">
        <x:f>IF(ISNUMBER(SEARCH("jmdict_uncommon_or_irregular",'제외 후보'!P351)),'선정 규칙'!$B$5,IF(ISNUMBER(SEARCH("jmdict_rare_or_dated",'제외 후보'!P351)),'선정 규칙'!$B$6,0))</x:f>
        <x:v>0</x:v>
      </x:c>
      <x:c r="D351" s="11" t="n">
        <x:f>IF(ISNUMBER(SEARCH("jmdict_exact_pair_not_found",'제외 후보'!P351)),'선정 규칙'!$B$7,0)</x:f>
        <x:v>0</x:v>
      </x:c>
      <x:c r="E351" s="11" t="n">
        <x:f>IF(OR('제외 후보'!L351="",'제외 후보'!L351&lt;=0),'선정 규칙'!$B$8,IF('제외 후보'!L351&lt;=1.5,'선정 규칙'!$B$9,IF('제외 후보'!L351&lt;=2,'선정 규칙'!$B$10,IF('제외 후보'!L351&lt;=2.5,'선정 규칙'!$B$11,IF('제외 후보'!L351&lt;=3,'선정 규칙'!$B$12,IF('제외 후보'!L351&lt;=3.5,'선정 규칙'!$B$13,IF('제외 후보'!L351&gt;=4.5,'선정 규칙'!$B$14,0)))))))</x:f>
        <x:v>6</x:v>
      </x:c>
      <x:c r="F351" s="11" t="n">
        <x:f>IF('제외 후보'!Y351=0,'선정 규칙'!$B$15,IF('제외 후보'!Y351&gt;=100,'선정 규칙'!$B$16,'선정 규칙'!$B$17))</x:f>
        <x:v>12</x:v>
      </x:c>
      <x:c r="G351" s="11" t="n">
        <x:f>IF('제외 후보'!M351="있음",'선정 규칙'!$B$18,'선정 규칙'!$B$19)</x:f>
        <x:v>6</x:v>
      </x:c>
      <x:c r="H351" s="11" t="n">
        <x:f>IF(ISNUMBER(SEARCH("freq-core",'제외 후보'!AD351)),'선정 규칙'!$B$20,0)</x:f>
        <x:v>0</x:v>
      </x:c>
      <x:c r="I351" s="11" t="n">
        <x:f>IF(ISNUMBER(SEARCH("weak_legacy_content",'제외 후보'!P351)),'선정 규칙'!$B$21,0)</x:f>
        <x:v>5</x:v>
      </x:c>
      <x:c r="J351" s="11" t="n">
        <x:f>IF('제외 후보'!AC351&lt;&gt;"",'선정 규칙'!$B$22,0)</x:f>
        <x:v>0</x:v>
      </x:c>
      <x:c r="K351" s="11" t="n">
        <x:f>SUM(B351:J351)</x:f>
        <x:v>29</x:v>
      </x:c>
      <x:c r="L351" s="11" t="n">
        <x:f>'제외 후보'!N351</x:f>
        <x:v>29</x:v>
      </x:c>
      <x:c r="M351" s="2" t="str">
        <x:f>IF(K351=L351,"OK","MISMATCH")</x:f>
        <x:v>OK</x:v>
      </x:c>
    </x:row>
    <x:row r="352">
      <x:c r="A352" s="2" t="str">
        <x:f>'제외 후보'!G352</x:f>
        <x:v>w_384f734a3cb02170</x:v>
      </x:c>
      <x:c r="B352" s="11" t="n">
        <x:f>IF('제외 후보'!Q352&lt;&gt;"",'선정 규칙'!$B$4,0)</x:f>
        <x:v>0</x:v>
      </x:c>
      <x:c r="C352" s="11" t="n">
        <x:f>IF(ISNUMBER(SEARCH("jmdict_uncommon_or_irregular",'제외 후보'!P352)),'선정 규칙'!$B$5,IF(ISNUMBER(SEARCH("jmdict_rare_or_dated",'제외 후보'!P352)),'선정 규칙'!$B$6,0))</x:f>
        <x:v>0</x:v>
      </x:c>
      <x:c r="D352" s="11" t="n">
        <x:f>IF(ISNUMBER(SEARCH("jmdict_exact_pair_not_found",'제외 후보'!P352)),'선정 규칙'!$B$7,0)</x:f>
        <x:v>0</x:v>
      </x:c>
      <x:c r="E352" s="11" t="n">
        <x:f>IF(OR('제외 후보'!L352="",'제외 후보'!L352&lt;=0),'선정 규칙'!$B$8,IF('제외 후보'!L352&lt;=1.5,'선정 규칙'!$B$9,IF('제외 후보'!L352&lt;=2,'선정 규칙'!$B$10,IF('제외 후보'!L352&lt;=2.5,'선정 규칙'!$B$11,IF('제외 후보'!L352&lt;=3,'선정 규칙'!$B$12,IF('제외 후보'!L352&lt;=3.5,'선정 규칙'!$B$13,IF('제외 후보'!L352&gt;=4.5,'선정 규칙'!$B$14,0)))))))</x:f>
        <x:v>6</x:v>
      </x:c>
      <x:c r="F352" s="11" t="n">
        <x:f>IF('제외 후보'!Y352=0,'선정 규칙'!$B$15,IF('제외 후보'!Y352&gt;=100,'선정 규칙'!$B$16,'선정 규칙'!$B$17))</x:f>
        <x:v>12</x:v>
      </x:c>
      <x:c r="G352" s="11" t="n">
        <x:f>IF('제외 후보'!M352="있음",'선정 규칙'!$B$18,'선정 규칙'!$B$19)</x:f>
        <x:v>6</x:v>
      </x:c>
      <x:c r="H352" s="11" t="n">
        <x:f>IF(ISNUMBER(SEARCH("freq-core",'제외 후보'!AD352)),'선정 규칙'!$B$20,0)</x:f>
        <x:v>0</x:v>
      </x:c>
      <x:c r="I352" s="11" t="n">
        <x:f>IF(ISNUMBER(SEARCH("weak_legacy_content",'제외 후보'!P352)),'선정 규칙'!$B$21,0)</x:f>
        <x:v>5</x:v>
      </x:c>
      <x:c r="J352" s="11" t="n">
        <x:f>IF('제외 후보'!AC352&lt;&gt;"",'선정 규칙'!$B$22,0)</x:f>
        <x:v>0</x:v>
      </x:c>
      <x:c r="K352" s="11" t="n">
        <x:f>SUM(B352:J352)</x:f>
        <x:v>29</x:v>
      </x:c>
      <x:c r="L352" s="11" t="n">
        <x:f>'제외 후보'!N352</x:f>
        <x:v>29</x:v>
      </x:c>
      <x:c r="M352" s="2" t="str">
        <x:f>IF(K352=L352,"OK","MISMATCH")</x:f>
        <x:v>OK</x:v>
      </x:c>
    </x:row>
    <x:row r="353">
      <x:c r="A353" s="2" t="str">
        <x:f>'제외 후보'!G353</x:f>
        <x:v>w_7a72cbf069733b74</x:v>
      </x:c>
      <x:c r="B353" s="11" t="n">
        <x:f>IF('제외 후보'!Q353&lt;&gt;"",'선정 규칙'!$B$4,0)</x:f>
        <x:v>0</x:v>
      </x:c>
      <x:c r="C353" s="11" t="n">
        <x:f>IF(ISNUMBER(SEARCH("jmdict_uncommon_or_irregular",'제외 후보'!P353)),'선정 규칙'!$B$5,IF(ISNUMBER(SEARCH("jmdict_rare_or_dated",'제외 후보'!P353)),'선정 규칙'!$B$6,0))</x:f>
        <x:v>0</x:v>
      </x:c>
      <x:c r="D353" s="11" t="n">
        <x:f>IF(ISNUMBER(SEARCH("jmdict_exact_pair_not_found",'제외 후보'!P353)),'선정 규칙'!$B$7,0)</x:f>
        <x:v>0</x:v>
      </x:c>
      <x:c r="E353" s="11" t="n">
        <x:f>IF(OR('제외 후보'!L353="",'제외 후보'!L353&lt;=0),'선정 규칙'!$B$8,IF('제외 후보'!L353&lt;=1.5,'선정 규칙'!$B$9,IF('제외 후보'!L353&lt;=2,'선정 규칙'!$B$10,IF('제외 후보'!L353&lt;=2.5,'선정 규칙'!$B$11,IF('제외 후보'!L353&lt;=3,'선정 규칙'!$B$12,IF('제외 후보'!L353&lt;=3.5,'선정 규칙'!$B$13,IF('제외 후보'!L353&gt;=4.5,'선정 규칙'!$B$14,0)))))))</x:f>
        <x:v>6</x:v>
      </x:c>
      <x:c r="F353" s="11" t="n">
        <x:f>IF('제외 후보'!Y353=0,'선정 규칙'!$B$15,IF('제외 후보'!Y353&gt;=100,'선정 규칙'!$B$16,'선정 규칙'!$B$17))</x:f>
        <x:v>12</x:v>
      </x:c>
      <x:c r="G353" s="11" t="n">
        <x:f>IF('제외 후보'!M353="있음",'선정 규칙'!$B$18,'선정 규칙'!$B$19)</x:f>
        <x:v>6</x:v>
      </x:c>
      <x:c r="H353" s="11" t="n">
        <x:f>IF(ISNUMBER(SEARCH("freq-core",'제외 후보'!AD353)),'선정 규칙'!$B$20,0)</x:f>
        <x:v>0</x:v>
      </x:c>
      <x:c r="I353" s="11" t="n">
        <x:f>IF(ISNUMBER(SEARCH("weak_legacy_content",'제외 후보'!P353)),'선정 규칙'!$B$21,0)</x:f>
        <x:v>5</x:v>
      </x:c>
      <x:c r="J353" s="11" t="n">
        <x:f>IF('제외 후보'!AC353&lt;&gt;"",'선정 규칙'!$B$22,0)</x:f>
        <x:v>0</x:v>
      </x:c>
      <x:c r="K353" s="11" t="n">
        <x:f>SUM(B353:J353)</x:f>
        <x:v>29</x:v>
      </x:c>
      <x:c r="L353" s="11" t="n">
        <x:f>'제외 후보'!N353</x:f>
        <x:v>29</x:v>
      </x:c>
      <x:c r="M353" s="2" t="str">
        <x:f>IF(K353=L353,"OK","MISMATCH")</x:f>
        <x:v>OK</x:v>
      </x:c>
    </x:row>
    <x:row r="354">
      <x:c r="A354" s="2" t="str">
        <x:f>'제외 후보'!G354</x:f>
        <x:v>w_aea6e104360336b5</x:v>
      </x:c>
      <x:c r="B354" s="11" t="n">
        <x:f>IF('제외 후보'!Q354&lt;&gt;"",'선정 규칙'!$B$4,0)</x:f>
        <x:v>0</x:v>
      </x:c>
      <x:c r="C354" s="11" t="n">
        <x:f>IF(ISNUMBER(SEARCH("jmdict_uncommon_or_irregular",'제외 후보'!P354)),'선정 규칙'!$B$5,IF(ISNUMBER(SEARCH("jmdict_rare_or_dated",'제외 후보'!P354)),'선정 규칙'!$B$6,0))</x:f>
        <x:v>0</x:v>
      </x:c>
      <x:c r="D354" s="11" t="n">
        <x:f>IF(ISNUMBER(SEARCH("jmdict_exact_pair_not_found",'제외 후보'!P354)),'선정 규칙'!$B$7,0)</x:f>
        <x:v>0</x:v>
      </x:c>
      <x:c r="E354" s="11" t="n">
        <x:f>IF(OR('제외 후보'!L354="",'제외 후보'!L354&lt;=0),'선정 규칙'!$B$8,IF('제외 후보'!L354&lt;=1.5,'선정 규칙'!$B$9,IF('제외 후보'!L354&lt;=2,'선정 규칙'!$B$10,IF('제외 후보'!L354&lt;=2.5,'선정 규칙'!$B$11,IF('제외 후보'!L354&lt;=3,'선정 규칙'!$B$12,IF('제외 후보'!L354&lt;=3.5,'선정 규칙'!$B$13,IF('제외 후보'!L354&gt;=4.5,'선정 규칙'!$B$14,0)))))))</x:f>
        <x:v>40</x:v>
      </x:c>
      <x:c r="F354" s="11" t="n">
        <x:f>IF('제외 후보'!Y354=0,'선정 규칙'!$B$15,IF('제외 후보'!Y354&gt;=100,'선정 규칙'!$B$16,'선정 규칙'!$B$17))</x:f>
        <x:v>12</x:v>
      </x:c>
      <x:c r="G354" s="11" t="n">
        <x:f>IF('제외 후보'!M354="있음",'선정 규칙'!$B$18,'선정 규칙'!$B$19)</x:f>
        <x:v>-25</x:v>
      </x:c>
      <x:c r="H354" s="11" t="n">
        <x:f>IF(ISNUMBER(SEARCH("freq-core",'제외 후보'!AD354)),'선정 규칙'!$B$20,0)</x:f>
        <x:v>0</x:v>
      </x:c>
      <x:c r="I354" s="11" t="n">
        <x:f>IF(ISNUMBER(SEARCH("weak_legacy_content",'제외 후보'!P354)),'선정 규칙'!$B$21,0)</x:f>
        <x:v>0</x:v>
      </x:c>
      <x:c r="J354" s="11" t="n">
        <x:f>IF('제외 후보'!AC354&lt;&gt;"",'선정 규칙'!$B$22,0)</x:f>
        <x:v>0</x:v>
      </x:c>
      <x:c r="K354" s="11" t="n">
        <x:f>SUM(B354:J354)</x:f>
        <x:v>27</x:v>
      </x:c>
      <x:c r="L354" s="11" t="n">
        <x:f>'제외 후보'!N354</x:f>
        <x:v>27</x:v>
      </x:c>
      <x:c r="M354" s="2" t="str">
        <x:f>IF(K354=L354,"OK","MISMATCH")</x:f>
        <x:v>OK</x:v>
      </x:c>
    </x:row>
    <x:row r="355">
      <x:c r="A355" s="2" t="str">
        <x:f>'제외 후보'!G355</x:f>
        <x:v>w_63ee04998a89470f</x:v>
      </x:c>
      <x:c r="B355" s="11" t="n">
        <x:f>IF('제외 후보'!Q355&lt;&gt;"",'선정 규칙'!$B$4,0)</x:f>
        <x:v>0</x:v>
      </x:c>
      <x:c r="C355" s="11" t="n">
        <x:f>IF(ISNUMBER(SEARCH("jmdict_uncommon_or_irregular",'제외 후보'!P355)),'선정 규칙'!$B$5,IF(ISNUMBER(SEARCH("jmdict_rare_or_dated",'제외 후보'!P355)),'선정 규칙'!$B$6,0))</x:f>
        <x:v>0</x:v>
      </x:c>
      <x:c r="D355" s="11" t="n">
        <x:f>IF(ISNUMBER(SEARCH("jmdict_exact_pair_not_found",'제외 후보'!P355)),'선정 규칙'!$B$7,0)</x:f>
        <x:v>35</x:v>
      </x:c>
      <x:c r="E355" s="11" t="n">
        <x:f>IF(OR('제외 후보'!L355="",'제외 후보'!L355&lt;=0),'선정 규칙'!$B$8,IF('제외 후보'!L355&lt;=1.5,'선정 규칙'!$B$9,IF('제외 후보'!L355&lt;=2,'선정 규칙'!$B$10,IF('제외 후보'!L355&lt;=2.5,'선정 규칙'!$B$11,IF('제외 후보'!L355&lt;=3,'선정 규칙'!$B$12,IF('제외 후보'!L355&lt;=3.5,'선정 규칙'!$B$13,IF('제외 후보'!L355&gt;=4.5,'선정 규칙'!$B$14,0)))))))</x:f>
        <x:v>0</x:v>
      </x:c>
      <x:c r="F355" s="11" t="n">
        <x:f>IF('제외 후보'!Y355=0,'선정 규칙'!$B$15,IF('제외 후보'!Y355&gt;=100,'선정 규칙'!$B$16,'선정 규칙'!$B$17))</x:f>
        <x:v>12</x:v>
      </x:c>
      <x:c r="G355" s="11" t="n">
        <x:f>IF('제외 후보'!M355="있음",'선정 규칙'!$B$18,'선정 규칙'!$B$19)</x:f>
        <x:v>-25</x:v>
      </x:c>
      <x:c r="H355" s="11" t="n">
        <x:f>IF(ISNUMBER(SEARCH("freq-core",'제외 후보'!AD355)),'선정 규칙'!$B$20,0)</x:f>
        <x:v>0</x:v>
      </x:c>
      <x:c r="I355" s="11" t="n">
        <x:f>IF(ISNUMBER(SEARCH("weak_legacy_content",'제외 후보'!P355)),'선정 규칙'!$B$21,0)</x:f>
        <x:v>5</x:v>
      </x:c>
      <x:c r="J355" s="11" t="n">
        <x:f>IF('제외 후보'!AC355&lt;&gt;"",'선정 규칙'!$B$22,0)</x:f>
        <x:v>0</x:v>
      </x:c>
      <x:c r="K355" s="11" t="n">
        <x:f>SUM(B355:J355)</x:f>
        <x:v>27</x:v>
      </x:c>
      <x:c r="L355" s="11" t="n">
        <x:f>'제외 후보'!N355</x:f>
        <x:v>27</x:v>
      </x:c>
      <x:c r="M355" s="2" t="str">
        <x:f>IF(K355=L355,"OK","MISMATCH")</x:f>
        <x:v>OK</x:v>
      </x:c>
    </x:row>
    <x:row r="356">
      <x:c r="A356" s="2" t="str">
        <x:f>'제외 후보'!G356</x:f>
        <x:v>w_4f7a983859b8d090</x:v>
      </x:c>
      <x:c r="B356" s="11" t="n">
        <x:f>IF('제외 후보'!Q356&lt;&gt;"",'선정 규칙'!$B$4,0)</x:f>
        <x:v>0</x:v>
      </x:c>
      <x:c r="C356" s="11" t="n">
        <x:f>IF(ISNUMBER(SEARCH("jmdict_uncommon_or_irregular",'제외 후보'!P356)),'선정 규칙'!$B$5,IF(ISNUMBER(SEARCH("jmdict_rare_or_dated",'제외 후보'!P356)),'선정 규칙'!$B$6,0))</x:f>
        <x:v>0</x:v>
      </x:c>
      <x:c r="D356" s="11" t="n">
        <x:f>IF(ISNUMBER(SEARCH("jmdict_exact_pair_not_found",'제외 후보'!P356)),'선정 규칙'!$B$7,0)</x:f>
        <x:v>35</x:v>
      </x:c>
      <x:c r="E356" s="11" t="n">
        <x:f>IF(OR('제외 후보'!L356="",'제외 후보'!L356&lt;=0),'선정 규칙'!$B$8,IF('제외 후보'!L356&lt;=1.5,'선정 규칙'!$B$9,IF('제외 후보'!L356&lt;=2,'선정 규칙'!$B$10,IF('제외 후보'!L356&lt;=2.5,'선정 규칙'!$B$11,IF('제외 후보'!L356&lt;=3,'선정 규칙'!$B$12,IF('제외 후보'!L356&lt;=3.5,'선정 규칙'!$B$13,IF('제외 후보'!L356&gt;=4.5,'선정 규칙'!$B$14,0)))))))</x:f>
        <x:v>0</x:v>
      </x:c>
      <x:c r="F356" s="11" t="n">
        <x:f>IF('제외 후보'!Y356=0,'선정 규칙'!$B$15,IF('제외 후보'!Y356&gt;=100,'선정 규칙'!$B$16,'선정 규칙'!$B$17))</x:f>
        <x:v>12</x:v>
      </x:c>
      <x:c r="G356" s="11" t="n">
        <x:f>IF('제외 후보'!M356="있음",'선정 규칙'!$B$18,'선정 규칙'!$B$19)</x:f>
        <x:v>-25</x:v>
      </x:c>
      <x:c r="H356" s="11" t="n">
        <x:f>IF(ISNUMBER(SEARCH("freq-core",'제외 후보'!AD356)),'선정 규칙'!$B$20,0)</x:f>
        <x:v>0</x:v>
      </x:c>
      <x:c r="I356" s="11" t="n">
        <x:f>IF(ISNUMBER(SEARCH("weak_legacy_content",'제외 후보'!P356)),'선정 규칙'!$B$21,0)</x:f>
        <x:v>5</x:v>
      </x:c>
      <x:c r="J356" s="11" t="n">
        <x:f>IF('제외 후보'!AC356&lt;&gt;"",'선정 규칙'!$B$22,0)</x:f>
        <x:v>0</x:v>
      </x:c>
      <x:c r="K356" s="11" t="n">
        <x:f>SUM(B356:J356)</x:f>
        <x:v>27</x:v>
      </x:c>
      <x:c r="L356" s="11" t="n">
        <x:f>'제외 후보'!N356</x:f>
        <x:v>27</x:v>
      </x:c>
      <x:c r="M356" s="2" t="str">
        <x:f>IF(K356=L356,"OK","MISMATCH")</x:f>
        <x:v>OK</x:v>
      </x:c>
    </x:row>
    <x:row r="357">
      <x:c r="A357" s="2" t="str">
        <x:f>'제외 후보'!G357</x:f>
        <x:v>w_047eae74af4cdecf</x:v>
      </x:c>
      <x:c r="B357" s="11" t="n">
        <x:f>IF('제외 후보'!Q357&lt;&gt;"",'선정 규칙'!$B$4,0)</x:f>
        <x:v>0</x:v>
      </x:c>
      <x:c r="C357" s="11" t="n">
        <x:f>IF(ISNUMBER(SEARCH("jmdict_uncommon_or_irregular",'제외 후보'!P357)),'선정 규칙'!$B$5,IF(ISNUMBER(SEARCH("jmdict_rare_or_dated",'제외 후보'!P357)),'선정 규칙'!$B$6,0))</x:f>
        <x:v>0</x:v>
      </x:c>
      <x:c r="D357" s="11" t="n">
        <x:f>IF(ISNUMBER(SEARCH("jmdict_exact_pair_not_found",'제외 후보'!P357)),'선정 규칙'!$B$7,0)</x:f>
        <x:v>35</x:v>
      </x:c>
      <x:c r="E357" s="11" t="n">
        <x:f>IF(OR('제외 후보'!L357="",'제외 후보'!L357&lt;=0),'선정 규칙'!$B$8,IF('제외 후보'!L357&lt;=1.5,'선정 규칙'!$B$9,IF('제외 후보'!L357&lt;=2,'선정 규칙'!$B$10,IF('제외 후보'!L357&lt;=2.5,'선정 규칙'!$B$11,IF('제외 후보'!L357&lt;=3,'선정 규칙'!$B$12,IF('제외 후보'!L357&lt;=3.5,'선정 규칙'!$B$13,IF('제외 후보'!L357&gt;=4.5,'선정 규칙'!$B$14,0)))))))</x:f>
        <x:v>0</x:v>
      </x:c>
      <x:c r="F357" s="11" t="n">
        <x:f>IF('제외 후보'!Y357=0,'선정 규칙'!$B$15,IF('제외 후보'!Y357&gt;=100,'선정 규칙'!$B$16,'선정 규칙'!$B$17))</x:f>
        <x:v>12</x:v>
      </x:c>
      <x:c r="G357" s="11" t="n">
        <x:f>IF('제외 후보'!M357="있음",'선정 규칙'!$B$18,'선정 규칙'!$B$19)</x:f>
        <x:v>-25</x:v>
      </x:c>
      <x:c r="H357" s="11" t="n">
        <x:f>IF(ISNUMBER(SEARCH("freq-core",'제외 후보'!AD357)),'선정 규칙'!$B$20,0)</x:f>
        <x:v>0</x:v>
      </x:c>
      <x:c r="I357" s="11" t="n">
        <x:f>IF(ISNUMBER(SEARCH("weak_legacy_content",'제외 후보'!P357)),'선정 규칙'!$B$21,0)</x:f>
        <x:v>5</x:v>
      </x:c>
      <x:c r="J357" s="11" t="n">
        <x:f>IF('제외 후보'!AC357&lt;&gt;"",'선정 규칙'!$B$22,0)</x:f>
        <x:v>0</x:v>
      </x:c>
      <x:c r="K357" s="11" t="n">
        <x:f>SUM(B357:J357)</x:f>
        <x:v>27</x:v>
      </x:c>
      <x:c r="L357" s="11" t="n">
        <x:f>'제외 후보'!N357</x:f>
        <x:v>27</x:v>
      </x:c>
      <x:c r="M357" s="2" t="str">
        <x:f>IF(K357=L357,"OK","MISMATCH")</x:f>
        <x:v>OK</x:v>
      </x:c>
    </x:row>
    <x:row r="358">
      <x:c r="A358" s="2" t="str">
        <x:f>'제외 후보'!G358</x:f>
        <x:v>w_73c56dad941ca964</x:v>
      </x:c>
      <x:c r="B358" s="11" t="n">
        <x:f>IF('제외 후보'!Q358&lt;&gt;"",'선정 규칙'!$B$4,0)</x:f>
        <x:v>0</x:v>
      </x:c>
      <x:c r="C358" s="11" t="n">
        <x:f>IF(ISNUMBER(SEARCH("jmdict_uncommon_or_irregular",'제외 후보'!P358)),'선정 규칙'!$B$5,IF(ISNUMBER(SEARCH("jmdict_rare_or_dated",'제외 후보'!P358)),'선정 규칙'!$B$6,0))</x:f>
        <x:v>0</x:v>
      </x:c>
      <x:c r="D358" s="11" t="n">
        <x:f>IF(ISNUMBER(SEARCH("jmdict_exact_pair_not_found",'제외 후보'!P358)),'선정 규칙'!$B$7,0)</x:f>
        <x:v>0</x:v>
      </x:c>
      <x:c r="E358" s="11" t="n">
        <x:f>IF(OR('제외 후보'!L358="",'제외 후보'!L358&lt;=0),'선정 규칙'!$B$8,IF('제외 후보'!L358&lt;=1.5,'선정 규칙'!$B$9,IF('제외 후보'!L358&lt;=2,'선정 규칙'!$B$10,IF('제외 후보'!L358&lt;=2.5,'선정 규칙'!$B$11,IF('제외 후보'!L358&lt;=3,'선정 규칙'!$B$12,IF('제외 후보'!L358&lt;=3.5,'선정 규칙'!$B$13,IF('제외 후보'!L358&gt;=4.5,'선정 규칙'!$B$14,0)))))))</x:f>
        <x:v>40</x:v>
      </x:c>
      <x:c r="F358" s="11" t="n">
        <x:f>IF('제외 후보'!Y358=0,'선정 규칙'!$B$15,IF('제외 후보'!Y358&gt;=100,'선정 규칙'!$B$16,'선정 규칙'!$B$17))</x:f>
        <x:v>-25</x:v>
      </x:c>
      <x:c r="G358" s="11" t="n">
        <x:f>IF('제외 후보'!M358="있음",'선정 규칙'!$B$18,'선정 규칙'!$B$19)</x:f>
        <x:v>6</x:v>
      </x:c>
      <x:c r="H358" s="11" t="n">
        <x:f>IF(ISNUMBER(SEARCH("freq-core",'제외 후보'!AD358)),'선정 규칙'!$B$20,0)</x:f>
        <x:v>0</x:v>
      </x:c>
      <x:c r="I358" s="11" t="n">
        <x:f>IF(ISNUMBER(SEARCH("weak_legacy_content",'제외 후보'!P358)),'선정 규칙'!$B$21,0)</x:f>
        <x:v>5</x:v>
      </x:c>
      <x:c r="J358" s="11" t="n">
        <x:f>IF('제외 후보'!AC358&lt;&gt;"",'선정 규칙'!$B$22,0)</x:f>
        <x:v>0</x:v>
      </x:c>
      <x:c r="K358" s="11" t="n">
        <x:f>SUM(B358:J358)</x:f>
        <x:v>26</x:v>
      </x:c>
      <x:c r="L358" s="11" t="n">
        <x:f>'제외 후보'!N358</x:f>
        <x:v>26</x:v>
      </x:c>
      <x:c r="M358" s="2" t="str">
        <x:f>IF(K358=L358,"OK","MISMATCH")</x:f>
        <x:v>OK</x:v>
      </x:c>
    </x:row>
    <x:row r="359">
      <x:c r="A359" s="2" t="str">
        <x:f>'제외 후보'!G359</x:f>
        <x:v>w_9d1df5dd60925a65</x:v>
      </x:c>
      <x:c r="B359" s="11" t="n">
        <x:f>IF('제외 후보'!Q359&lt;&gt;"",'선정 규칙'!$B$4,0)</x:f>
        <x:v>0</x:v>
      </x:c>
      <x:c r="C359" s="11" t="n">
        <x:f>IF(ISNUMBER(SEARCH("jmdict_uncommon_or_irregular",'제외 후보'!P359)),'선정 규칙'!$B$5,IF(ISNUMBER(SEARCH("jmdict_rare_or_dated",'제외 후보'!P359)),'선정 규칙'!$B$6,0))</x:f>
        <x:v>0</x:v>
      </x:c>
      <x:c r="D359" s="11" t="n">
        <x:f>IF(ISNUMBER(SEARCH("jmdict_exact_pair_not_found",'제외 후보'!P359)),'선정 규칙'!$B$7,0)</x:f>
        <x:v>0</x:v>
      </x:c>
      <x:c r="E359" s="11" t="n">
        <x:f>IF(OR('제외 후보'!L359="",'제외 후보'!L359&lt;=0),'선정 규칙'!$B$8,IF('제외 후보'!L359&lt;=1.5,'선정 규칙'!$B$9,IF('제외 후보'!L359&lt;=2,'선정 규칙'!$B$10,IF('제외 후보'!L359&lt;=2.5,'선정 규칙'!$B$11,IF('제외 후보'!L359&lt;=3,'선정 규칙'!$B$12,IF('제외 후보'!L359&lt;=3.5,'선정 규칙'!$B$13,IF('제외 후보'!L359&gt;=4.5,'선정 규칙'!$B$14,0)))))))</x:f>
        <x:v>40</x:v>
      </x:c>
      <x:c r="F359" s="11" t="n">
        <x:f>IF('제외 후보'!Y359=0,'선정 규칙'!$B$15,IF('제외 후보'!Y359&gt;=100,'선정 규칙'!$B$16,'선정 규칙'!$B$17))</x:f>
        <x:v>-25</x:v>
      </x:c>
      <x:c r="G359" s="11" t="n">
        <x:f>IF('제외 후보'!M359="있음",'선정 규칙'!$B$18,'선정 규칙'!$B$19)</x:f>
        <x:v>6</x:v>
      </x:c>
      <x:c r="H359" s="11" t="n">
        <x:f>IF(ISNUMBER(SEARCH("freq-core",'제외 후보'!AD359)),'선정 규칙'!$B$20,0)</x:f>
        <x:v>0</x:v>
      </x:c>
      <x:c r="I359" s="11" t="n">
        <x:f>IF(ISNUMBER(SEARCH("weak_legacy_content",'제외 후보'!P359)),'선정 규칙'!$B$21,0)</x:f>
        <x:v>5</x:v>
      </x:c>
      <x:c r="J359" s="11" t="n">
        <x:f>IF('제외 후보'!AC359&lt;&gt;"",'선정 규칙'!$B$22,0)</x:f>
        <x:v>0</x:v>
      </x:c>
      <x:c r="K359" s="11" t="n">
        <x:f>SUM(B359:J359)</x:f>
        <x:v>26</x:v>
      </x:c>
      <x:c r="L359" s="11" t="n">
        <x:f>'제외 후보'!N359</x:f>
        <x:v>26</x:v>
      </x:c>
      <x:c r="M359" s="2" t="str">
        <x:f>IF(K359=L359,"OK","MISMATCH")</x:f>
        <x:v>OK</x:v>
      </x:c>
    </x:row>
    <x:row r="360">
      <x:c r="A360" s="2" t="str">
        <x:f>'제외 후보'!G360</x:f>
        <x:v>w_74f6ece32e3760ce</x:v>
      </x:c>
      <x:c r="B360" s="11" t="n">
        <x:f>IF('제외 후보'!Q360&lt;&gt;"",'선정 규칙'!$B$4,0)</x:f>
        <x:v>0</x:v>
      </x:c>
      <x:c r="C360" s="11" t="n">
        <x:f>IF(ISNUMBER(SEARCH("jmdict_uncommon_or_irregular",'제외 후보'!P360)),'선정 규칙'!$B$5,IF(ISNUMBER(SEARCH("jmdict_rare_or_dated",'제외 후보'!P360)),'선정 규칙'!$B$6,0))</x:f>
        <x:v>0</x:v>
      </x:c>
      <x:c r="D360" s="11" t="n">
        <x:f>IF(ISNUMBER(SEARCH("jmdict_exact_pair_not_found",'제외 후보'!P360)),'선정 규칙'!$B$7,0)</x:f>
        <x:v>0</x:v>
      </x:c>
      <x:c r="E360" s="11" t="n">
        <x:f>IF(OR('제외 후보'!L360="",'제외 후보'!L360&lt;=0),'선정 규칙'!$B$8,IF('제외 후보'!L360&lt;=1.5,'선정 규칙'!$B$9,IF('제외 후보'!L360&lt;=2,'선정 규칙'!$B$10,IF('제외 후보'!L360&lt;=2.5,'선정 규칙'!$B$11,IF('제외 후보'!L360&lt;=3,'선정 규칙'!$B$12,IF('제외 후보'!L360&lt;=3.5,'선정 규칙'!$B$13,IF('제외 후보'!L360&gt;=4.5,'선정 규칙'!$B$14,0)))))))</x:f>
        <x:v>32</x:v>
      </x:c>
      <x:c r="F360" s="11" t="n">
        <x:f>IF('제외 후보'!Y360=0,'선정 규칙'!$B$15,IF('제외 후보'!Y360&gt;=100,'선정 규칙'!$B$16,'선정 규칙'!$B$17))</x:f>
        <x:v>-12</x:v>
      </x:c>
      <x:c r="G360" s="11" t="n">
        <x:f>IF('제외 후보'!M360="있음",'선정 규칙'!$B$18,'선정 규칙'!$B$19)</x:f>
        <x:v>6</x:v>
      </x:c>
      <x:c r="H360" s="11" t="n">
        <x:f>IF(ISNUMBER(SEARCH("freq-core",'제외 후보'!AD360)),'선정 규칙'!$B$20,0)</x:f>
        <x:v>0</x:v>
      </x:c>
      <x:c r="I360" s="11" t="n">
        <x:f>IF(ISNUMBER(SEARCH("weak_legacy_content",'제외 후보'!P360)),'선정 규칙'!$B$21,0)</x:f>
        <x:v>0</x:v>
      </x:c>
      <x:c r="J360" s="11" t="n">
        <x:f>IF('제외 후보'!AC360&lt;&gt;"",'선정 규칙'!$B$22,0)</x:f>
        <x:v>0</x:v>
      </x:c>
      <x:c r="K360" s="11" t="n">
        <x:f>SUM(B360:J360)</x:f>
        <x:v>26</x:v>
      </x:c>
      <x:c r="L360" s="11" t="n">
        <x:f>'제외 후보'!N360</x:f>
        <x:v>26</x:v>
      </x:c>
      <x:c r="M360" s="2" t="str">
        <x:f>IF(K360=L360,"OK","MISMATCH")</x:f>
        <x:v>OK</x:v>
      </x:c>
    </x:row>
    <x:row r="361">
      <x:c r="A361" s="2" t="str">
        <x:f>'제외 후보'!G361</x:f>
        <x:v>w_a2cf2915e143c029</x:v>
      </x:c>
      <x:c r="B361" s="11" t="n">
        <x:f>IF('제외 후보'!Q361&lt;&gt;"",'선정 규칙'!$B$4,0)</x:f>
        <x:v>60</x:v>
      </x:c>
      <x:c r="C361" s="11" t="n">
        <x:f>IF(ISNUMBER(SEARCH("jmdict_uncommon_or_irregular",'제외 후보'!P361)),'선정 규칙'!$B$5,IF(ISNUMBER(SEARCH("jmdict_rare_or_dated",'제외 후보'!P361)),'선정 규칙'!$B$6,0))</x:f>
        <x:v>0</x:v>
      </x:c>
      <x:c r="D361" s="11" t="n">
        <x:f>IF(ISNUMBER(SEARCH("jmdict_exact_pair_not_found",'제외 후보'!P361)),'선정 규칙'!$B$7,0)</x:f>
        <x:v>0</x:v>
      </x:c>
      <x:c r="E361" s="11" t="n">
        <x:f>IF(OR('제외 후보'!L361="",'제외 후보'!L361&lt;=0),'선정 규칙'!$B$8,IF('제외 후보'!L361&lt;=1.5,'선정 규칙'!$B$9,IF('제외 후보'!L361&lt;=2,'선정 규칙'!$B$10,IF('제외 후보'!L361&lt;=2.5,'선정 규칙'!$B$11,IF('제외 후보'!L361&lt;=3,'선정 규칙'!$B$12,IF('제외 후보'!L361&lt;=3.5,'선정 규칙'!$B$13,IF('제외 후보'!L361&gt;=4.5,'선정 규칙'!$B$14,0)))))))</x:f>
        <x:v>-20</x:v>
      </x:c>
      <x:c r="F361" s="11" t="n">
        <x:f>IF('제외 후보'!Y361=0,'선정 규칙'!$B$15,IF('제외 후보'!Y361&gt;=100,'선정 규칙'!$B$16,'선정 규칙'!$B$17))</x:f>
        <x:v>-25</x:v>
      </x:c>
      <x:c r="G361" s="11" t="n">
        <x:f>IF('제외 후보'!M361="있음",'선정 규칙'!$B$18,'선정 규칙'!$B$19)</x:f>
        <x:v>6</x:v>
      </x:c>
      <x:c r="H361" s="11" t="n">
        <x:f>IF(ISNUMBER(SEARCH("freq-core",'제외 후보'!AD361)),'선정 규칙'!$B$20,0)</x:f>
        <x:v>0</x:v>
      </x:c>
      <x:c r="I361" s="11" t="n">
        <x:f>IF(ISNUMBER(SEARCH("weak_legacy_content",'제외 후보'!P361)),'선정 규칙'!$B$21,0)</x:f>
        <x:v>5</x:v>
      </x:c>
      <x:c r="J361" s="11" t="n">
        <x:f>IF('제외 후보'!AC361&lt;&gt;"",'선정 규칙'!$B$22,0)</x:f>
        <x:v>0</x:v>
      </x:c>
      <x:c r="K361" s="11" t="n">
        <x:f>SUM(B361:J361)</x:f>
        <x:v>26</x:v>
      </x:c>
      <x:c r="L361" s="11" t="n">
        <x:f>'제외 후보'!N361</x:f>
        <x:v>26</x:v>
      </x:c>
      <x:c r="M361" s="2" t="str">
        <x:f>IF(K361=L361,"OK","MISMATCH")</x:f>
        <x:v>OK</x:v>
      </x:c>
    </x:row>
    <x:row r="362">
      <x:c r="A362" s="2" t="str">
        <x:f>'제외 후보'!G362</x:f>
        <x:v>w_63474a91a3ad5d17</x:v>
      </x:c>
      <x:c r="B362" s="11" t="n">
        <x:f>IF('제외 후보'!Q362&lt;&gt;"",'선정 규칙'!$B$4,0)</x:f>
        <x:v>60</x:v>
      </x:c>
      <x:c r="C362" s="11" t="n">
        <x:f>IF(ISNUMBER(SEARCH("jmdict_uncommon_or_irregular",'제외 후보'!P362)),'선정 규칙'!$B$5,IF(ISNUMBER(SEARCH("jmdict_rare_or_dated",'제외 후보'!P362)),'선정 규칙'!$B$6,0))</x:f>
        <x:v>0</x:v>
      </x:c>
      <x:c r="D362" s="11" t="n">
        <x:f>IF(ISNUMBER(SEARCH("jmdict_exact_pair_not_found",'제외 후보'!P362)),'선정 규칙'!$B$7,0)</x:f>
        <x:v>0</x:v>
      </x:c>
      <x:c r="E362" s="11" t="n">
        <x:f>IF(OR('제외 후보'!L362="",'제외 후보'!L362&lt;=0),'선정 규칙'!$B$8,IF('제외 후보'!L362&lt;=1.5,'선정 규칙'!$B$9,IF('제외 후보'!L362&lt;=2,'선정 규칙'!$B$10,IF('제외 후보'!L362&lt;=2.5,'선정 규칙'!$B$11,IF('제외 후보'!L362&lt;=3,'선정 규칙'!$B$12,IF('제외 후보'!L362&lt;=3.5,'선정 규칙'!$B$13,IF('제외 후보'!L362&gt;=4.5,'선정 규칙'!$B$14,0)))))))</x:f>
        <x:v>-20</x:v>
      </x:c>
      <x:c r="F362" s="11" t="n">
        <x:f>IF('제외 후보'!Y362=0,'선정 규칙'!$B$15,IF('제외 후보'!Y362&gt;=100,'선정 규칙'!$B$16,'선정 규칙'!$B$17))</x:f>
        <x:v>-25</x:v>
      </x:c>
      <x:c r="G362" s="11" t="n">
        <x:f>IF('제외 후보'!M362="있음",'선정 규칙'!$B$18,'선정 규칙'!$B$19)</x:f>
        <x:v>6</x:v>
      </x:c>
      <x:c r="H362" s="11" t="n">
        <x:f>IF(ISNUMBER(SEARCH("freq-core",'제외 후보'!AD362)),'선정 규칙'!$B$20,0)</x:f>
        <x:v>0</x:v>
      </x:c>
      <x:c r="I362" s="11" t="n">
        <x:f>IF(ISNUMBER(SEARCH("weak_legacy_content",'제외 후보'!P362)),'선정 규칙'!$B$21,0)</x:f>
        <x:v>5</x:v>
      </x:c>
      <x:c r="J362" s="11" t="n">
        <x:f>IF('제외 후보'!AC362&lt;&gt;"",'선정 규칙'!$B$22,0)</x:f>
        <x:v>0</x:v>
      </x:c>
      <x:c r="K362" s="11" t="n">
        <x:f>SUM(B362:J362)</x:f>
        <x:v>26</x:v>
      </x:c>
      <x:c r="L362" s="11" t="n">
        <x:f>'제외 후보'!N362</x:f>
        <x:v>26</x:v>
      </x:c>
      <x:c r="M362" s="2" t="str">
        <x:f>IF(K362=L362,"OK","MISMATCH")</x:f>
        <x:v>OK</x:v>
      </x:c>
    </x:row>
    <x:row r="363">
      <x:c r="A363" s="2" t="str">
        <x:f>'제외 후보'!G363</x:f>
        <x:v>w_82adb6170ea8495c</x:v>
      </x:c>
      <x:c r="B363" s="11" t="n">
        <x:f>IF('제외 후보'!Q363&lt;&gt;"",'선정 규칙'!$B$4,0)</x:f>
        <x:v>60</x:v>
      </x:c>
      <x:c r="C363" s="11" t="n">
        <x:f>IF(ISNUMBER(SEARCH("jmdict_uncommon_or_irregular",'제외 후보'!P363)),'선정 규칙'!$B$5,IF(ISNUMBER(SEARCH("jmdict_rare_or_dated",'제외 후보'!P363)),'선정 규칙'!$B$6,0))</x:f>
        <x:v>0</x:v>
      </x:c>
      <x:c r="D363" s="11" t="n">
        <x:f>IF(ISNUMBER(SEARCH("jmdict_exact_pair_not_found",'제외 후보'!P363)),'선정 규칙'!$B$7,0)</x:f>
        <x:v>0</x:v>
      </x:c>
      <x:c r="E363" s="11" t="n">
        <x:f>IF(OR('제외 후보'!L363="",'제외 후보'!L363&lt;=0),'선정 규칙'!$B$8,IF('제외 후보'!L363&lt;=1.5,'선정 규칙'!$B$9,IF('제외 후보'!L363&lt;=2,'선정 규칙'!$B$10,IF('제외 후보'!L363&lt;=2.5,'선정 규칙'!$B$11,IF('제외 후보'!L363&lt;=3,'선정 규칙'!$B$12,IF('제외 후보'!L363&lt;=3.5,'선정 규칙'!$B$13,IF('제외 후보'!L363&gt;=4.5,'선정 규칙'!$B$14,0)))))))</x:f>
        <x:v>-20</x:v>
      </x:c>
      <x:c r="F363" s="11" t="n">
        <x:f>IF('제외 후보'!Y363=0,'선정 규칙'!$B$15,IF('제외 후보'!Y363&gt;=100,'선정 규칙'!$B$16,'선정 규칙'!$B$17))</x:f>
        <x:v>-25</x:v>
      </x:c>
      <x:c r="G363" s="11" t="n">
        <x:f>IF('제외 후보'!M363="있음",'선정 규칙'!$B$18,'선정 규칙'!$B$19)</x:f>
        <x:v>6</x:v>
      </x:c>
      <x:c r="H363" s="11" t="n">
        <x:f>IF(ISNUMBER(SEARCH("freq-core",'제외 후보'!AD363)),'선정 규칙'!$B$20,0)</x:f>
        <x:v>0</x:v>
      </x:c>
      <x:c r="I363" s="11" t="n">
        <x:f>IF(ISNUMBER(SEARCH("weak_legacy_content",'제외 후보'!P363)),'선정 규칙'!$B$21,0)</x:f>
        <x:v>5</x:v>
      </x:c>
      <x:c r="J363" s="11" t="n">
        <x:f>IF('제외 후보'!AC363&lt;&gt;"",'선정 규칙'!$B$22,0)</x:f>
        <x:v>0</x:v>
      </x:c>
      <x:c r="K363" s="11" t="n">
        <x:f>SUM(B363:J363)</x:f>
        <x:v>26</x:v>
      </x:c>
      <x:c r="L363" s="11" t="n">
        <x:f>'제외 후보'!N363</x:f>
        <x:v>26</x:v>
      </x:c>
      <x:c r="M363" s="2" t="str">
        <x:f>IF(K363=L363,"OK","MISMATCH")</x:f>
        <x:v>OK</x:v>
      </x:c>
    </x:row>
    <x:row r="364">
      <x:c r="A364" s="2" t="str">
        <x:f>'제외 후보'!G364</x:f>
        <x:v>w_e79c8ba878e30a15</x:v>
      </x:c>
      <x:c r="B364" s="11" t="n">
        <x:f>IF('제외 후보'!Q364&lt;&gt;"",'선정 규칙'!$B$4,0)</x:f>
        <x:v>60</x:v>
      </x:c>
      <x:c r="C364" s="11" t="n">
        <x:f>IF(ISNUMBER(SEARCH("jmdict_uncommon_or_irregular",'제외 후보'!P364)),'선정 규칙'!$B$5,IF(ISNUMBER(SEARCH("jmdict_rare_or_dated",'제외 후보'!P364)),'선정 규칙'!$B$6,0))</x:f>
        <x:v>0</x:v>
      </x:c>
      <x:c r="D364" s="11" t="n">
        <x:f>IF(ISNUMBER(SEARCH("jmdict_exact_pair_not_found",'제외 후보'!P364)),'선정 규칙'!$B$7,0)</x:f>
        <x:v>0</x:v>
      </x:c>
      <x:c r="E364" s="11" t="n">
        <x:f>IF(OR('제외 후보'!L364="",'제외 후보'!L364&lt;=0),'선정 규칙'!$B$8,IF('제외 후보'!L364&lt;=1.5,'선정 규칙'!$B$9,IF('제외 후보'!L364&lt;=2,'선정 규칙'!$B$10,IF('제외 후보'!L364&lt;=2.5,'선정 규칙'!$B$11,IF('제외 후보'!L364&lt;=3,'선정 규칙'!$B$12,IF('제외 후보'!L364&lt;=3.5,'선정 규칙'!$B$13,IF('제외 후보'!L364&gt;=4.5,'선정 규칙'!$B$14,0)))))))</x:f>
        <x:v>-20</x:v>
      </x:c>
      <x:c r="F364" s="11" t="n">
        <x:f>IF('제외 후보'!Y364=0,'선정 규칙'!$B$15,IF('제외 후보'!Y364&gt;=100,'선정 규칙'!$B$16,'선정 규칙'!$B$17))</x:f>
        <x:v>-25</x:v>
      </x:c>
      <x:c r="G364" s="11" t="n">
        <x:f>IF('제외 후보'!M364="있음",'선정 규칙'!$B$18,'선정 규칙'!$B$19)</x:f>
        <x:v>6</x:v>
      </x:c>
      <x:c r="H364" s="11" t="n">
        <x:f>IF(ISNUMBER(SEARCH("freq-core",'제외 후보'!AD364)),'선정 규칙'!$B$20,0)</x:f>
        <x:v>0</x:v>
      </x:c>
      <x:c r="I364" s="11" t="n">
        <x:f>IF(ISNUMBER(SEARCH("weak_legacy_content",'제외 후보'!P364)),'선정 규칙'!$B$21,0)</x:f>
        <x:v>5</x:v>
      </x:c>
      <x:c r="J364" s="11" t="n">
        <x:f>IF('제외 후보'!AC364&lt;&gt;"",'선정 규칙'!$B$22,0)</x:f>
        <x:v>0</x:v>
      </x:c>
      <x:c r="K364" s="11" t="n">
        <x:f>SUM(B364:J364)</x:f>
        <x:v>26</x:v>
      </x:c>
      <x:c r="L364" s="11" t="n">
        <x:f>'제외 후보'!N364</x:f>
        <x:v>26</x:v>
      </x:c>
      <x:c r="M364" s="2" t="str">
        <x:f>IF(K364=L364,"OK","MISMATCH")</x:f>
        <x:v>OK</x:v>
      </x:c>
    </x:row>
    <x:row r="365">
      <x:c r="A365" s="2" t="str">
        <x:f>'제외 후보'!G365</x:f>
        <x:v>w_78caf6dd3119f140</x:v>
      </x:c>
      <x:c r="B365" s="11" t="n">
        <x:f>IF('제외 후보'!Q365&lt;&gt;"",'선정 규칙'!$B$4,0)</x:f>
        <x:v>60</x:v>
      </x:c>
      <x:c r="C365" s="11" t="n">
        <x:f>IF(ISNUMBER(SEARCH("jmdict_uncommon_or_irregular",'제외 후보'!P365)),'선정 규칙'!$B$5,IF(ISNUMBER(SEARCH("jmdict_rare_or_dated",'제외 후보'!P365)),'선정 규칙'!$B$6,0))</x:f>
        <x:v>0</x:v>
      </x:c>
      <x:c r="D365" s="11" t="n">
        <x:f>IF(ISNUMBER(SEARCH("jmdict_exact_pair_not_found",'제외 후보'!P365)),'선정 규칙'!$B$7,0)</x:f>
        <x:v>0</x:v>
      </x:c>
      <x:c r="E365" s="11" t="n">
        <x:f>IF(OR('제외 후보'!L365="",'제외 후보'!L365&lt;=0),'선정 규칙'!$B$8,IF('제외 후보'!L365&lt;=1.5,'선정 규칙'!$B$9,IF('제외 후보'!L365&lt;=2,'선정 규칙'!$B$10,IF('제외 후보'!L365&lt;=2.5,'선정 규칙'!$B$11,IF('제외 후보'!L365&lt;=3,'선정 규칙'!$B$12,IF('제외 후보'!L365&lt;=3.5,'선정 규칙'!$B$13,IF('제외 후보'!L365&gt;=4.5,'선정 규칙'!$B$14,0)))))))</x:f>
        <x:v>-20</x:v>
      </x:c>
      <x:c r="F365" s="11" t="n">
        <x:f>IF('제외 후보'!Y365=0,'선정 규칙'!$B$15,IF('제외 후보'!Y365&gt;=100,'선정 규칙'!$B$16,'선정 규칙'!$B$17))</x:f>
        <x:v>-25</x:v>
      </x:c>
      <x:c r="G365" s="11" t="n">
        <x:f>IF('제외 후보'!M365="있음",'선정 규칙'!$B$18,'선정 규칙'!$B$19)</x:f>
        <x:v>6</x:v>
      </x:c>
      <x:c r="H365" s="11" t="n">
        <x:f>IF(ISNUMBER(SEARCH("freq-core",'제외 후보'!AD365)),'선정 규칙'!$B$20,0)</x:f>
        <x:v>0</x:v>
      </x:c>
      <x:c r="I365" s="11" t="n">
        <x:f>IF(ISNUMBER(SEARCH("weak_legacy_content",'제외 후보'!P365)),'선정 규칙'!$B$21,0)</x:f>
        <x:v>5</x:v>
      </x:c>
      <x:c r="J365" s="11" t="n">
        <x:f>IF('제외 후보'!AC365&lt;&gt;"",'선정 규칙'!$B$22,0)</x:f>
        <x:v>0</x:v>
      </x:c>
      <x:c r="K365" s="11" t="n">
        <x:f>SUM(B365:J365)</x:f>
        <x:v>26</x:v>
      </x:c>
      <x:c r="L365" s="11" t="n">
        <x:f>'제외 후보'!N365</x:f>
        <x:v>26</x:v>
      </x:c>
      <x:c r="M365" s="2" t="str">
        <x:f>IF(K365=L365,"OK","MISMATCH")</x:f>
        <x:v>OK</x:v>
      </x:c>
    </x:row>
    <x:row r="366">
      <x:c r="A366" s="2" t="str">
        <x:f>'제외 후보'!G366</x:f>
        <x:v>w_49b375af96425cbe</x:v>
      </x:c>
      <x:c r="B366" s="11" t="n">
        <x:f>IF('제외 후보'!Q366&lt;&gt;"",'선정 규칙'!$B$4,0)</x:f>
        <x:v>60</x:v>
      </x:c>
      <x:c r="C366" s="11" t="n">
        <x:f>IF(ISNUMBER(SEARCH("jmdict_uncommon_or_irregular",'제외 후보'!P366)),'선정 규칙'!$B$5,IF(ISNUMBER(SEARCH("jmdict_rare_or_dated",'제외 후보'!P366)),'선정 규칙'!$B$6,0))</x:f>
        <x:v>0</x:v>
      </x:c>
      <x:c r="D366" s="11" t="n">
        <x:f>IF(ISNUMBER(SEARCH("jmdict_exact_pair_not_found",'제외 후보'!P366)),'선정 규칙'!$B$7,0)</x:f>
        <x:v>0</x:v>
      </x:c>
      <x:c r="E366" s="11" t="n">
        <x:f>IF(OR('제외 후보'!L366="",'제외 후보'!L366&lt;=0),'선정 규칙'!$B$8,IF('제외 후보'!L366&lt;=1.5,'선정 규칙'!$B$9,IF('제외 후보'!L366&lt;=2,'선정 규칙'!$B$10,IF('제외 후보'!L366&lt;=2.5,'선정 규칙'!$B$11,IF('제외 후보'!L366&lt;=3,'선정 규칙'!$B$12,IF('제외 후보'!L366&lt;=3.5,'선정 규칙'!$B$13,IF('제외 후보'!L366&gt;=4.5,'선정 규칙'!$B$14,0)))))))</x:f>
        <x:v>-20</x:v>
      </x:c>
      <x:c r="F366" s="11" t="n">
        <x:f>IF('제외 후보'!Y366=0,'선정 규칙'!$B$15,IF('제외 후보'!Y366&gt;=100,'선정 규칙'!$B$16,'선정 규칙'!$B$17))</x:f>
        <x:v>-25</x:v>
      </x:c>
      <x:c r="G366" s="11" t="n">
        <x:f>IF('제외 후보'!M366="있음",'선정 규칙'!$B$18,'선정 규칙'!$B$19)</x:f>
        <x:v>6</x:v>
      </x:c>
      <x:c r="H366" s="11" t="n">
        <x:f>IF(ISNUMBER(SEARCH("freq-core",'제외 후보'!AD366)),'선정 규칙'!$B$20,0)</x:f>
        <x:v>0</x:v>
      </x:c>
      <x:c r="I366" s="11" t="n">
        <x:f>IF(ISNUMBER(SEARCH("weak_legacy_content",'제외 후보'!P366)),'선정 규칙'!$B$21,0)</x:f>
        <x:v>5</x:v>
      </x:c>
      <x:c r="J366" s="11" t="n">
        <x:f>IF('제외 후보'!AC366&lt;&gt;"",'선정 규칙'!$B$22,0)</x:f>
        <x:v>0</x:v>
      </x:c>
      <x:c r="K366" s="11" t="n">
        <x:f>SUM(B366:J366)</x:f>
        <x:v>26</x:v>
      </x:c>
      <x:c r="L366" s="11" t="n">
        <x:f>'제외 후보'!N366</x:f>
        <x:v>26</x:v>
      </x:c>
      <x:c r="M366" s="2" t="str">
        <x:f>IF(K366=L366,"OK","MISMATCH")</x:f>
        <x:v>OK</x:v>
      </x:c>
    </x:row>
    <x:row r="367">
      <x:c r="A367" s="2" t="str">
        <x:f>'제외 후보'!G367</x:f>
        <x:v>w_73e0fb95b7f90273</x:v>
      </x:c>
      <x:c r="B367" s="11" t="n">
        <x:f>IF('제외 후보'!Q367&lt;&gt;"",'선정 규칙'!$B$4,0)</x:f>
        <x:v>60</x:v>
      </x:c>
      <x:c r="C367" s="11" t="n">
        <x:f>IF(ISNUMBER(SEARCH("jmdict_uncommon_or_irregular",'제외 후보'!P367)),'선정 규칙'!$B$5,IF(ISNUMBER(SEARCH("jmdict_rare_or_dated",'제외 후보'!P367)),'선정 규칙'!$B$6,0))</x:f>
        <x:v>0</x:v>
      </x:c>
      <x:c r="D367" s="11" t="n">
        <x:f>IF(ISNUMBER(SEARCH("jmdict_exact_pair_not_found",'제외 후보'!P367)),'선정 규칙'!$B$7,0)</x:f>
        <x:v>0</x:v>
      </x:c>
      <x:c r="E367" s="11" t="n">
        <x:f>IF(OR('제외 후보'!L367="",'제외 후보'!L367&lt;=0),'선정 규칙'!$B$8,IF('제외 후보'!L367&lt;=1.5,'선정 규칙'!$B$9,IF('제외 후보'!L367&lt;=2,'선정 규칙'!$B$10,IF('제외 후보'!L367&lt;=2.5,'선정 규칙'!$B$11,IF('제외 후보'!L367&lt;=3,'선정 규칙'!$B$12,IF('제외 후보'!L367&lt;=3.5,'선정 규칙'!$B$13,IF('제외 후보'!L367&gt;=4.5,'선정 규칙'!$B$14,0)))))))</x:f>
        <x:v>-20</x:v>
      </x:c>
      <x:c r="F367" s="11" t="n">
        <x:f>IF('제외 후보'!Y367=0,'선정 규칙'!$B$15,IF('제외 후보'!Y367&gt;=100,'선정 규칙'!$B$16,'선정 규칙'!$B$17))</x:f>
        <x:v>-25</x:v>
      </x:c>
      <x:c r="G367" s="11" t="n">
        <x:f>IF('제외 후보'!M367="있음",'선정 규칙'!$B$18,'선정 규칙'!$B$19)</x:f>
        <x:v>6</x:v>
      </x:c>
      <x:c r="H367" s="11" t="n">
        <x:f>IF(ISNUMBER(SEARCH("freq-core",'제외 후보'!AD367)),'선정 규칙'!$B$20,0)</x:f>
        <x:v>0</x:v>
      </x:c>
      <x:c r="I367" s="11" t="n">
        <x:f>IF(ISNUMBER(SEARCH("weak_legacy_content",'제외 후보'!P367)),'선정 규칙'!$B$21,0)</x:f>
        <x:v>5</x:v>
      </x:c>
      <x:c r="J367" s="11" t="n">
        <x:f>IF('제외 후보'!AC367&lt;&gt;"",'선정 규칙'!$B$22,0)</x:f>
        <x:v>0</x:v>
      </x:c>
      <x:c r="K367" s="11" t="n">
        <x:f>SUM(B367:J367)</x:f>
        <x:v>26</x:v>
      </x:c>
      <x:c r="L367" s="11" t="n">
        <x:f>'제외 후보'!N367</x:f>
        <x:v>26</x:v>
      </x:c>
      <x:c r="M367" s="2" t="str">
        <x:f>IF(K367=L367,"OK","MISMATCH")</x:f>
        <x:v>OK</x:v>
      </x:c>
    </x:row>
    <x:row r="368">
      <x:c r="A368" s="2" t="str">
        <x:f>'제외 후보'!G368</x:f>
        <x:v>w_fe67641683421c77</x:v>
      </x:c>
      <x:c r="B368" s="11" t="n">
        <x:f>IF('제외 후보'!Q368&lt;&gt;"",'선정 규칙'!$B$4,0)</x:f>
        <x:v>60</x:v>
      </x:c>
      <x:c r="C368" s="11" t="n">
        <x:f>IF(ISNUMBER(SEARCH("jmdict_uncommon_or_irregular",'제외 후보'!P368)),'선정 규칙'!$B$5,IF(ISNUMBER(SEARCH("jmdict_rare_or_dated",'제외 후보'!P368)),'선정 규칙'!$B$6,0))</x:f>
        <x:v>0</x:v>
      </x:c>
      <x:c r="D368" s="11" t="n">
        <x:f>IF(ISNUMBER(SEARCH("jmdict_exact_pair_not_found",'제외 후보'!P368)),'선정 규칙'!$B$7,0)</x:f>
        <x:v>0</x:v>
      </x:c>
      <x:c r="E368" s="11" t="n">
        <x:f>IF(OR('제외 후보'!L368="",'제외 후보'!L368&lt;=0),'선정 규칙'!$B$8,IF('제외 후보'!L368&lt;=1.5,'선정 규칙'!$B$9,IF('제외 후보'!L368&lt;=2,'선정 규칙'!$B$10,IF('제외 후보'!L368&lt;=2.5,'선정 규칙'!$B$11,IF('제외 후보'!L368&lt;=3,'선정 규칙'!$B$12,IF('제외 후보'!L368&lt;=3.5,'선정 규칙'!$B$13,IF('제외 후보'!L368&gt;=4.5,'선정 규칙'!$B$14,0)))))))</x:f>
        <x:v>-20</x:v>
      </x:c>
      <x:c r="F368" s="11" t="n">
        <x:f>IF('제외 후보'!Y368=0,'선정 규칙'!$B$15,IF('제외 후보'!Y368&gt;=100,'선정 규칙'!$B$16,'선정 규칙'!$B$17))</x:f>
        <x:v>-25</x:v>
      </x:c>
      <x:c r="G368" s="11" t="n">
        <x:f>IF('제외 후보'!M368="있음",'선정 규칙'!$B$18,'선정 규칙'!$B$19)</x:f>
        <x:v>6</x:v>
      </x:c>
      <x:c r="H368" s="11" t="n">
        <x:f>IF(ISNUMBER(SEARCH("freq-core",'제외 후보'!AD368)),'선정 규칙'!$B$20,0)</x:f>
        <x:v>0</x:v>
      </x:c>
      <x:c r="I368" s="11" t="n">
        <x:f>IF(ISNUMBER(SEARCH("weak_legacy_content",'제외 후보'!P368)),'선정 규칙'!$B$21,0)</x:f>
        <x:v>5</x:v>
      </x:c>
      <x:c r="J368" s="11" t="n">
        <x:f>IF('제외 후보'!AC368&lt;&gt;"",'선정 규칙'!$B$22,0)</x:f>
        <x:v>0</x:v>
      </x:c>
      <x:c r="K368" s="11" t="n">
        <x:f>SUM(B368:J368)</x:f>
        <x:v>26</x:v>
      </x:c>
      <x:c r="L368" s="11" t="n">
        <x:f>'제외 후보'!N368</x:f>
        <x:v>26</x:v>
      </x:c>
      <x:c r="M368" s="2" t="str">
        <x:f>IF(K368=L368,"OK","MISMATCH")</x:f>
        <x:v>OK</x:v>
      </x:c>
    </x:row>
    <x:row r="369">
      <x:c r="A369" s="2" t="str">
        <x:f>'제외 후보'!G369</x:f>
        <x:v>w_9db786096f7cde8d</x:v>
      </x:c>
      <x:c r="B369" s="11" t="n">
        <x:f>IF('제외 후보'!Q369&lt;&gt;"",'선정 규칙'!$B$4,0)</x:f>
        <x:v>0</x:v>
      </x:c>
      <x:c r="C369" s="11" t="n">
        <x:f>IF(ISNUMBER(SEARCH("jmdict_uncommon_or_irregular",'제외 후보'!P369)),'선정 규칙'!$B$5,IF(ISNUMBER(SEARCH("jmdict_rare_or_dated",'제외 후보'!P369)),'선정 규칙'!$B$6,0))</x:f>
        <x:v>50</x:v>
      </x:c>
      <x:c r="D369" s="11" t="n">
        <x:f>IF(ISNUMBER(SEARCH("jmdict_exact_pair_not_found",'제외 후보'!P369)),'선정 규칙'!$B$7,0)</x:f>
        <x:v>0</x:v>
      </x:c>
      <x:c r="E369" s="11" t="n">
        <x:f>IF(OR('제외 후보'!L369="",'제외 후보'!L369&lt;=0),'선정 규칙'!$B$8,IF('제외 후보'!L369&lt;=1.5,'선정 규칙'!$B$9,IF('제외 후보'!L369&lt;=2,'선정 규칙'!$B$10,IF('제외 후보'!L369&lt;=2.5,'선정 규칙'!$B$11,IF('제외 후보'!L369&lt;=3,'선정 규칙'!$B$12,IF('제외 후보'!L369&lt;=3.5,'선정 규칙'!$B$13,IF('제외 후보'!L369&gt;=4.5,'선정 규칙'!$B$14,0)))))))</x:f>
        <x:v>-20</x:v>
      </x:c>
      <x:c r="F369" s="11" t="n">
        <x:f>IF('제외 후보'!Y369=0,'선정 규칙'!$B$15,IF('제외 후보'!Y369&gt;=100,'선정 규칙'!$B$16,'선정 규칙'!$B$17))</x:f>
        <x:v>-25</x:v>
      </x:c>
      <x:c r="G369" s="11" t="n">
        <x:f>IF('제외 후보'!M369="있음",'선정 규칙'!$B$18,'선정 규칙'!$B$19)</x:f>
        <x:v>6</x:v>
      </x:c>
      <x:c r="H369" s="11" t="n">
        <x:f>IF(ISNUMBER(SEARCH("freq-core",'제외 후보'!AD369)),'선정 규칙'!$B$20,0)</x:f>
        <x:v>0</x:v>
      </x:c>
      <x:c r="I369" s="11" t="n">
        <x:f>IF(ISNUMBER(SEARCH("weak_legacy_content",'제외 후보'!P369)),'선정 규칙'!$B$21,0)</x:f>
        <x:v>5</x:v>
      </x:c>
      <x:c r="J369" s="11" t="n">
        <x:f>IF('제외 후보'!AC369&lt;&gt;"",'선정 규칙'!$B$22,0)</x:f>
        <x:v>10</x:v>
      </x:c>
      <x:c r="K369" s="11" t="n">
        <x:f>SUM(B369:J369)</x:f>
        <x:v>26</x:v>
      </x:c>
      <x:c r="L369" s="11" t="n">
        <x:f>'제외 후보'!N369</x:f>
        <x:v>26</x:v>
      </x:c>
      <x:c r="M369" s="2" t="str">
        <x:f>IF(K369=L369,"OK","MISMATCH")</x:f>
        <x:v>OK</x:v>
      </x:c>
    </x:row>
    <x:row r="370">
      <x:c r="A370" s="2" t="str">
        <x:f>'제외 후보'!G370</x:f>
        <x:v>w_6cebb24556eb94e7</x:v>
      </x:c>
      <x:c r="B370" s="11" t="n">
        <x:f>IF('제외 후보'!Q370&lt;&gt;"",'선정 규칙'!$B$4,0)</x:f>
        <x:v>60</x:v>
      </x:c>
      <x:c r="C370" s="11" t="n">
        <x:f>IF(ISNUMBER(SEARCH("jmdict_uncommon_or_irregular",'제외 후보'!P370)),'선정 규칙'!$B$5,IF(ISNUMBER(SEARCH("jmdict_rare_or_dated",'제외 후보'!P370)),'선정 규칙'!$B$6,0))</x:f>
        <x:v>0</x:v>
      </x:c>
      <x:c r="D370" s="11" t="n">
        <x:f>IF(ISNUMBER(SEARCH("jmdict_exact_pair_not_found",'제외 후보'!P370)),'선정 규칙'!$B$7,0)</x:f>
        <x:v>0</x:v>
      </x:c>
      <x:c r="E370" s="11" t="n">
        <x:f>IF(OR('제외 후보'!L370="",'제외 후보'!L370&lt;=0),'선정 규칙'!$B$8,IF('제외 후보'!L370&lt;=1.5,'선정 규칙'!$B$9,IF('제외 후보'!L370&lt;=2,'선정 규칙'!$B$10,IF('제외 후보'!L370&lt;=2.5,'선정 규칙'!$B$11,IF('제외 후보'!L370&lt;=3,'선정 규칙'!$B$12,IF('제외 후보'!L370&lt;=3.5,'선정 규칙'!$B$13,IF('제외 후보'!L370&gt;=4.5,'선정 규칙'!$B$14,0)))))))</x:f>
        <x:v>-20</x:v>
      </x:c>
      <x:c r="F370" s="11" t="n">
        <x:f>IF('제외 후보'!Y370=0,'선정 규칙'!$B$15,IF('제외 후보'!Y370&gt;=100,'선정 규칙'!$B$16,'선정 규칙'!$B$17))</x:f>
        <x:v>-25</x:v>
      </x:c>
      <x:c r="G370" s="11" t="n">
        <x:f>IF('제외 후보'!M370="있음",'선정 규칙'!$B$18,'선정 규칙'!$B$19)</x:f>
        <x:v>6</x:v>
      </x:c>
      <x:c r="H370" s="11" t="n">
        <x:f>IF(ISNUMBER(SEARCH("freq-core",'제외 후보'!AD370)),'선정 규칙'!$B$20,0)</x:f>
        <x:v>0</x:v>
      </x:c>
      <x:c r="I370" s="11" t="n">
        <x:f>IF(ISNUMBER(SEARCH("weak_legacy_content",'제외 후보'!P370)),'선정 규칙'!$B$21,0)</x:f>
        <x:v>5</x:v>
      </x:c>
      <x:c r="J370" s="11" t="n">
        <x:f>IF('제외 후보'!AC370&lt;&gt;"",'선정 규칙'!$B$22,0)</x:f>
        <x:v>0</x:v>
      </x:c>
      <x:c r="K370" s="11" t="n">
        <x:f>SUM(B370:J370)</x:f>
        <x:v>26</x:v>
      </x:c>
      <x:c r="L370" s="11" t="n">
        <x:f>'제외 후보'!N370</x:f>
        <x:v>26</x:v>
      </x:c>
      <x:c r="M370" s="2" t="str">
        <x:f>IF(K370=L370,"OK","MISMATCH")</x:f>
        <x:v>OK</x:v>
      </x:c>
    </x:row>
    <x:row r="371">
      <x:c r="A371" s="2" t="str">
        <x:f>'제외 후보'!G371</x:f>
        <x:v>w_47bc3333b001338f</x:v>
      </x:c>
      <x:c r="B371" s="11" t="n">
        <x:f>IF('제외 후보'!Q371&lt;&gt;"",'선정 규칙'!$B$4,0)</x:f>
        <x:v>60</x:v>
      </x:c>
      <x:c r="C371" s="11" t="n">
        <x:f>IF(ISNUMBER(SEARCH("jmdict_uncommon_or_irregular",'제외 후보'!P371)),'선정 규칙'!$B$5,IF(ISNUMBER(SEARCH("jmdict_rare_or_dated",'제외 후보'!P371)),'선정 규칙'!$B$6,0))</x:f>
        <x:v>0</x:v>
      </x:c>
      <x:c r="D371" s="11" t="n">
        <x:f>IF(ISNUMBER(SEARCH("jmdict_exact_pair_not_found",'제외 후보'!P371)),'선정 규칙'!$B$7,0)</x:f>
        <x:v>0</x:v>
      </x:c>
      <x:c r="E371" s="11" t="n">
        <x:f>IF(OR('제외 후보'!L371="",'제외 후보'!L371&lt;=0),'선정 규칙'!$B$8,IF('제외 후보'!L371&lt;=1.5,'선정 규칙'!$B$9,IF('제외 후보'!L371&lt;=2,'선정 규칙'!$B$10,IF('제외 후보'!L371&lt;=2.5,'선정 규칙'!$B$11,IF('제외 후보'!L371&lt;=3,'선정 규칙'!$B$12,IF('제외 후보'!L371&lt;=3.5,'선정 규칙'!$B$13,IF('제외 후보'!L371&gt;=4.5,'선정 규칙'!$B$14,0)))))))</x:f>
        <x:v>-20</x:v>
      </x:c>
      <x:c r="F371" s="11" t="n">
        <x:f>IF('제외 후보'!Y371=0,'선정 규칙'!$B$15,IF('제외 후보'!Y371&gt;=100,'선정 규칙'!$B$16,'선정 규칙'!$B$17))</x:f>
        <x:v>-25</x:v>
      </x:c>
      <x:c r="G371" s="11" t="n">
        <x:f>IF('제외 후보'!M371="있음",'선정 규칙'!$B$18,'선정 규칙'!$B$19)</x:f>
        <x:v>6</x:v>
      </x:c>
      <x:c r="H371" s="11" t="n">
        <x:f>IF(ISNUMBER(SEARCH("freq-core",'제외 후보'!AD371)),'선정 규칙'!$B$20,0)</x:f>
        <x:v>0</x:v>
      </x:c>
      <x:c r="I371" s="11" t="n">
        <x:f>IF(ISNUMBER(SEARCH("weak_legacy_content",'제외 후보'!P371)),'선정 규칙'!$B$21,0)</x:f>
        <x:v>5</x:v>
      </x:c>
      <x:c r="J371" s="11" t="n">
        <x:f>IF('제외 후보'!AC371&lt;&gt;"",'선정 규칙'!$B$22,0)</x:f>
        <x:v>0</x:v>
      </x:c>
      <x:c r="K371" s="11" t="n">
        <x:f>SUM(B371:J371)</x:f>
        <x:v>26</x:v>
      </x:c>
      <x:c r="L371" s="11" t="n">
        <x:f>'제외 후보'!N371</x:f>
        <x:v>26</x:v>
      </x:c>
      <x:c r="M371" s="2" t="str">
        <x:f>IF(K371=L371,"OK","MISMATCH")</x:f>
        <x:v>OK</x:v>
      </x:c>
    </x:row>
    <x:row r="372">
      <x:c r="A372" s="2" t="str">
        <x:f>'제외 후보'!G372</x:f>
        <x:v>w_54a9d82d72cbebcb</x:v>
      </x:c>
      <x:c r="B372" s="11" t="n">
        <x:f>IF('제외 후보'!Q372&lt;&gt;"",'선정 규칙'!$B$4,0)</x:f>
        <x:v>0</x:v>
      </x:c>
      <x:c r="C372" s="11" t="n">
        <x:f>IF(ISNUMBER(SEARCH("jmdict_uncommon_or_irregular",'제외 후보'!P372)),'선정 규칙'!$B$5,IF(ISNUMBER(SEARCH("jmdict_rare_or_dated",'제외 후보'!P372)),'선정 규칙'!$B$6,0))</x:f>
        <x:v>0</x:v>
      </x:c>
      <x:c r="D372" s="11" t="n">
        <x:f>IF(ISNUMBER(SEARCH("jmdict_exact_pair_not_found",'제외 후보'!P372)),'선정 규칙'!$B$7,0)</x:f>
        <x:v>0</x:v>
      </x:c>
      <x:c r="E372" s="11" t="n">
        <x:f>IF(OR('제외 후보'!L372="",'제외 후보'!L372&lt;=0),'선정 규칙'!$B$8,IF('제외 후보'!L372&lt;=1.5,'선정 규칙'!$B$9,IF('제외 후보'!L372&lt;=2,'선정 규칙'!$B$10,IF('제외 후보'!L372&lt;=2.5,'선정 규칙'!$B$11,IF('제외 후보'!L372&lt;=3,'선정 규칙'!$B$12,IF('제외 후보'!L372&lt;=3.5,'선정 규칙'!$B$13,IF('제외 후보'!L372&gt;=4.5,'선정 규칙'!$B$14,0)))))))</x:f>
        <x:v>26</x:v>
      </x:c>
      <x:c r="F372" s="11" t="n">
        <x:f>IF('제외 후보'!Y372=0,'선정 규칙'!$B$15,IF('제외 후보'!Y372&gt;=100,'선정 규칙'!$B$16,'선정 규칙'!$B$17))</x:f>
        <x:v>-12</x:v>
      </x:c>
      <x:c r="G372" s="11" t="n">
        <x:f>IF('제외 후보'!M372="있음",'선정 규칙'!$B$18,'선정 규칙'!$B$19)</x:f>
        <x:v>6</x:v>
      </x:c>
      <x:c r="H372" s="11" t="n">
        <x:f>IF(ISNUMBER(SEARCH("freq-core",'제외 후보'!AD372)),'선정 규칙'!$B$20,0)</x:f>
        <x:v>0</x:v>
      </x:c>
      <x:c r="I372" s="11" t="n">
        <x:f>IF(ISNUMBER(SEARCH("weak_legacy_content",'제외 후보'!P372)),'선정 규칙'!$B$21,0)</x:f>
        <x:v>5</x:v>
      </x:c>
      <x:c r="J372" s="11" t="n">
        <x:f>IF('제외 후보'!AC372&lt;&gt;"",'선정 규칙'!$B$22,0)</x:f>
        <x:v>0</x:v>
      </x:c>
      <x:c r="K372" s="11" t="n">
        <x:f>SUM(B372:J372)</x:f>
        <x:v>25</x:v>
      </x:c>
      <x:c r="L372" s="11" t="n">
        <x:f>'제외 후보'!N372</x:f>
        <x:v>25</x:v>
      </x:c>
      <x:c r="M372" s="2" t="str">
        <x:f>IF(K372=L372,"OK","MISMATCH")</x:f>
        <x:v>OK</x:v>
      </x:c>
    </x:row>
    <x:row r="373">
      <x:c r="A373" s="2" t="str">
        <x:f>'제외 후보'!G373</x:f>
        <x:v>w_b186b411d3378bf0</x:v>
      </x:c>
      <x:c r="B373" s="11" t="n">
        <x:f>IF('제외 후보'!Q373&lt;&gt;"",'선정 규칙'!$B$4,0)</x:f>
        <x:v>0</x:v>
      </x:c>
      <x:c r="C373" s="11" t="n">
        <x:f>IF(ISNUMBER(SEARCH("jmdict_uncommon_or_irregular",'제외 후보'!P373)),'선정 규칙'!$B$5,IF(ISNUMBER(SEARCH("jmdict_rare_or_dated",'제외 후보'!P373)),'선정 규칙'!$B$6,0))</x:f>
        <x:v>0</x:v>
      </x:c>
      <x:c r="D373" s="11" t="n">
        <x:f>IF(ISNUMBER(SEARCH("jmdict_exact_pair_not_found",'제외 후보'!P373)),'선정 규칙'!$B$7,0)</x:f>
        <x:v>0</x:v>
      </x:c>
      <x:c r="E373" s="11" t="n">
        <x:f>IF(OR('제외 후보'!L373="",'제외 후보'!L373&lt;=0),'선정 규칙'!$B$8,IF('제외 후보'!L373&lt;=1.5,'선정 규칙'!$B$9,IF('제외 후보'!L373&lt;=2,'선정 규칙'!$B$10,IF('제외 후보'!L373&lt;=2.5,'선정 규칙'!$B$11,IF('제외 후보'!L373&lt;=3,'선정 규칙'!$B$12,IF('제외 후보'!L373&lt;=3.5,'선정 규칙'!$B$13,IF('제외 후보'!L373&gt;=4.5,'선정 규칙'!$B$14,0)))))))</x:f>
        <x:v>32</x:v>
      </x:c>
      <x:c r="F373" s="11" t="n">
        <x:f>IF('제외 후보'!Y373=0,'선정 규칙'!$B$15,IF('제외 후보'!Y373&gt;=100,'선정 규칙'!$B$16,'선정 규칙'!$B$17))</x:f>
        <x:v>12</x:v>
      </x:c>
      <x:c r="G373" s="11" t="n">
        <x:f>IF('제외 후보'!M373="있음",'선정 규칙'!$B$18,'선정 규칙'!$B$19)</x:f>
        <x:v>-25</x:v>
      </x:c>
      <x:c r="H373" s="11" t="n">
        <x:f>IF(ISNUMBER(SEARCH("freq-core",'제외 후보'!AD373)),'선정 규칙'!$B$20,0)</x:f>
        <x:v>0</x:v>
      </x:c>
      <x:c r="I373" s="11" t="n">
        <x:f>IF(ISNUMBER(SEARCH("weak_legacy_content",'제외 후보'!P373)),'선정 규칙'!$B$21,0)</x:f>
        <x:v>5</x:v>
      </x:c>
      <x:c r="J373" s="11" t="n">
        <x:f>IF('제외 후보'!AC373&lt;&gt;"",'선정 규칙'!$B$22,0)</x:f>
        <x:v>0</x:v>
      </x:c>
      <x:c r="K373" s="11" t="n">
        <x:f>SUM(B373:J373)</x:f>
        <x:v>24</x:v>
      </x:c>
      <x:c r="L373" s="11" t="n">
        <x:f>'제외 후보'!N373</x:f>
        <x:v>24</x:v>
      </x:c>
      <x:c r="M373" s="2" t="str">
        <x:f>IF(K373=L373,"OK","MISMATCH")</x:f>
        <x:v>OK</x:v>
      </x:c>
    </x:row>
    <x:row r="374">
      <x:c r="A374" s="2" t="str">
        <x:f>'제외 후보'!G374</x:f>
        <x:v>w_53f1086afec5bc5e</x:v>
      </x:c>
      <x:c r="B374" s="11" t="n">
        <x:f>IF('제외 후보'!Q374&lt;&gt;"",'선정 규칙'!$B$4,0)</x:f>
        <x:v>0</x:v>
      </x:c>
      <x:c r="C374" s="11" t="n">
        <x:f>IF(ISNUMBER(SEARCH("jmdict_uncommon_or_irregular",'제외 후보'!P374)),'선정 규칙'!$B$5,IF(ISNUMBER(SEARCH("jmdict_rare_or_dated",'제외 후보'!P374)),'선정 규칙'!$B$6,0))</x:f>
        <x:v>0</x:v>
      </x:c>
      <x:c r="D374" s="11" t="n">
        <x:f>IF(ISNUMBER(SEARCH("jmdict_exact_pair_not_found",'제외 후보'!P374)),'선정 규칙'!$B$7,0)</x:f>
        <x:v>0</x:v>
      </x:c>
      <x:c r="E374" s="11" t="n">
        <x:f>IF(OR('제외 후보'!L374="",'제외 후보'!L374&lt;=0),'선정 규칙'!$B$8,IF('제외 후보'!L374&lt;=1.5,'선정 규칙'!$B$9,IF('제외 후보'!L374&lt;=2,'선정 규칙'!$B$10,IF('제외 후보'!L374&lt;=2.5,'선정 규칙'!$B$11,IF('제외 후보'!L374&lt;=3,'선정 규칙'!$B$12,IF('제외 후보'!L374&lt;=3.5,'선정 규칙'!$B$13,IF('제외 후보'!L374&gt;=4.5,'선정 규칙'!$B$14,0)))))))</x:f>
        <x:v>32</x:v>
      </x:c>
      <x:c r="F374" s="11" t="n">
        <x:f>IF('제외 후보'!Y374=0,'선정 규칙'!$B$15,IF('제외 후보'!Y374&gt;=100,'선정 규칙'!$B$16,'선정 규칙'!$B$17))</x:f>
        <x:v>12</x:v>
      </x:c>
      <x:c r="G374" s="11" t="n">
        <x:f>IF('제외 후보'!M374="있음",'선정 규칙'!$B$18,'선정 규칙'!$B$19)</x:f>
        <x:v>-25</x:v>
      </x:c>
      <x:c r="H374" s="11" t="n">
        <x:f>IF(ISNUMBER(SEARCH("freq-core",'제외 후보'!AD374)),'선정 규칙'!$B$20,0)</x:f>
        <x:v>0</x:v>
      </x:c>
      <x:c r="I374" s="11" t="n">
        <x:f>IF(ISNUMBER(SEARCH("weak_legacy_content",'제외 후보'!P374)),'선정 규칙'!$B$21,0)</x:f>
        <x:v>5</x:v>
      </x:c>
      <x:c r="J374" s="11" t="n">
        <x:f>IF('제외 후보'!AC374&lt;&gt;"",'선정 규칙'!$B$22,0)</x:f>
        <x:v>0</x:v>
      </x:c>
      <x:c r="K374" s="11" t="n">
        <x:f>SUM(B374:J374)</x:f>
        <x:v>24</x:v>
      </x:c>
      <x:c r="L374" s="11" t="n">
        <x:f>'제외 후보'!N374</x:f>
        <x:v>24</x:v>
      </x:c>
      <x:c r="M374" s="2" t="str">
        <x:f>IF(K374=L374,"OK","MISMATCH")</x:f>
        <x:v>OK</x:v>
      </x:c>
    </x:row>
    <x:row r="375">
      <x:c r="A375" s="2" t="str">
        <x:f>'제외 후보'!G375</x:f>
        <x:v>w_a819a4776c13596c</x:v>
      </x:c>
      <x:c r="B375" s="11" t="n">
        <x:f>IF('제외 후보'!Q375&lt;&gt;"",'선정 규칙'!$B$4,0)</x:f>
        <x:v>0</x:v>
      </x:c>
      <x:c r="C375" s="11" t="n">
        <x:f>IF(ISNUMBER(SEARCH("jmdict_uncommon_or_irregular",'제외 후보'!P375)),'선정 규칙'!$B$5,IF(ISNUMBER(SEARCH("jmdict_rare_or_dated",'제외 후보'!P375)),'선정 규칙'!$B$6,0))</x:f>
        <x:v>0</x:v>
      </x:c>
      <x:c r="D375" s="11" t="n">
        <x:f>IF(ISNUMBER(SEARCH("jmdict_exact_pair_not_found",'제외 후보'!P375)),'선정 규칙'!$B$7,0)</x:f>
        <x:v>0</x:v>
      </x:c>
      <x:c r="E375" s="11" t="n">
        <x:f>IF(OR('제외 후보'!L375="",'제외 후보'!L375&lt;=0),'선정 규칙'!$B$8,IF('제외 후보'!L375&lt;=1.5,'선정 규칙'!$B$9,IF('제외 후보'!L375&lt;=2,'선정 규칙'!$B$10,IF('제외 후보'!L375&lt;=2.5,'선정 규칙'!$B$11,IF('제외 후보'!L375&lt;=3,'선정 규칙'!$B$12,IF('제외 후보'!L375&lt;=3.5,'선정 규칙'!$B$13,IF('제외 후보'!L375&gt;=4.5,'선정 규칙'!$B$14,0)))))))</x:f>
        <x:v>6</x:v>
      </x:c>
      <x:c r="F375" s="11" t="n">
        <x:f>IF('제외 후보'!Y375=0,'선정 규칙'!$B$15,IF('제외 후보'!Y375&gt;=100,'선정 규칙'!$B$16,'선정 규칙'!$B$17))</x:f>
        <x:v>12</x:v>
      </x:c>
      <x:c r="G375" s="11" t="n">
        <x:f>IF('제외 후보'!M375="있음",'선정 규칙'!$B$18,'선정 규칙'!$B$19)</x:f>
        <x:v>6</x:v>
      </x:c>
      <x:c r="H375" s="11" t="n">
        <x:f>IF(ISNUMBER(SEARCH("freq-core",'제외 후보'!AD375)),'선정 규칙'!$B$20,0)</x:f>
        <x:v>0</x:v>
      </x:c>
      <x:c r="I375" s="11" t="n">
        <x:f>IF(ISNUMBER(SEARCH("weak_legacy_content",'제외 후보'!P375)),'선정 규칙'!$B$21,0)</x:f>
        <x:v>0</x:v>
      </x:c>
      <x:c r="J375" s="11" t="n">
        <x:f>IF('제외 후보'!AC375&lt;&gt;"",'선정 규칙'!$B$22,0)</x:f>
        <x:v>0</x:v>
      </x:c>
      <x:c r="K375" s="11" t="n">
        <x:f>SUM(B375:J375)</x:f>
        <x:v>24</x:v>
      </x:c>
      <x:c r="L375" s="11" t="n">
        <x:f>'제외 후보'!N375</x:f>
        <x:v>24</x:v>
      </x:c>
      <x:c r="M375" s="2" t="str">
        <x:f>IF(K375=L375,"OK","MISMATCH")</x:f>
        <x:v>OK</x:v>
      </x:c>
    </x:row>
    <x:row r="376">
      <x:c r="A376" s="2" t="str">
        <x:f>'제외 후보'!G376</x:f>
        <x:v>w_051e61d56c947f64</x:v>
      </x:c>
      <x:c r="B376" s="11" t="n">
        <x:f>IF('제외 후보'!Q376&lt;&gt;"",'선정 규칙'!$B$4,0)</x:f>
        <x:v>0</x:v>
      </x:c>
      <x:c r="C376" s="11" t="n">
        <x:f>IF(ISNUMBER(SEARCH("jmdict_uncommon_or_irregular",'제외 후보'!P376)),'선정 규칙'!$B$5,IF(ISNUMBER(SEARCH("jmdict_rare_or_dated",'제외 후보'!P376)),'선정 규칙'!$B$6,0))</x:f>
        <x:v>0</x:v>
      </x:c>
      <x:c r="D376" s="11" t="n">
        <x:f>IF(ISNUMBER(SEARCH("jmdict_exact_pair_not_found",'제외 후보'!P376)),'선정 규칙'!$B$7,0)</x:f>
        <x:v>0</x:v>
      </x:c>
      <x:c r="E376" s="11" t="n">
        <x:f>IF(OR('제외 후보'!L376="",'제외 후보'!L376&lt;=0),'선정 규칙'!$B$8,IF('제외 후보'!L376&lt;=1.5,'선정 규칙'!$B$9,IF('제외 후보'!L376&lt;=2,'선정 규칙'!$B$10,IF('제외 후보'!L376&lt;=2.5,'선정 규칙'!$B$11,IF('제외 후보'!L376&lt;=3,'선정 규칙'!$B$12,IF('제외 후보'!L376&lt;=3.5,'선정 규칙'!$B$13,IF('제외 후보'!L376&gt;=4.5,'선정 규칙'!$B$14,0)))))))</x:f>
        <x:v>6</x:v>
      </x:c>
      <x:c r="F376" s="11" t="n">
        <x:f>IF('제외 후보'!Y376=0,'선정 규칙'!$B$15,IF('제외 후보'!Y376&gt;=100,'선정 규칙'!$B$16,'선정 규칙'!$B$17))</x:f>
        <x:v>12</x:v>
      </x:c>
      <x:c r="G376" s="11" t="n">
        <x:f>IF('제외 후보'!M376="있음",'선정 규칙'!$B$18,'선정 규칙'!$B$19)</x:f>
        <x:v>6</x:v>
      </x:c>
      <x:c r="H376" s="11" t="n">
        <x:f>IF(ISNUMBER(SEARCH("freq-core",'제외 후보'!AD376)),'선정 규칙'!$B$20,0)</x:f>
        <x:v>0</x:v>
      </x:c>
      <x:c r="I376" s="11" t="n">
        <x:f>IF(ISNUMBER(SEARCH("weak_legacy_content",'제외 후보'!P376)),'선정 규칙'!$B$21,0)</x:f>
        <x:v>0</x:v>
      </x:c>
      <x:c r="J376" s="11" t="n">
        <x:f>IF('제외 후보'!AC376&lt;&gt;"",'선정 규칙'!$B$22,0)</x:f>
        <x:v>0</x:v>
      </x:c>
      <x:c r="K376" s="11" t="n">
        <x:f>SUM(B376:J376)</x:f>
        <x:v>24</x:v>
      </x:c>
      <x:c r="L376" s="11" t="n">
        <x:f>'제외 후보'!N376</x:f>
        <x:v>24</x:v>
      </x:c>
      <x:c r="M376" s="2" t="str">
        <x:f>IF(K376=L376,"OK","MISMATCH")</x:f>
        <x:v>OK</x:v>
      </x:c>
    </x:row>
    <x:row r="377">
      <x:c r="A377" s="2" t="str">
        <x:f>'제외 후보'!G377</x:f>
        <x:v>w_43c420f6bdcd573b</x:v>
      </x:c>
      <x:c r="B377" s="11" t="n">
        <x:f>IF('제외 후보'!Q377&lt;&gt;"",'선정 규칙'!$B$4,0)</x:f>
        <x:v>0</x:v>
      </x:c>
      <x:c r="C377" s="11" t="n">
        <x:f>IF(ISNUMBER(SEARCH("jmdict_uncommon_or_irregular",'제외 후보'!P377)),'선정 규칙'!$B$5,IF(ISNUMBER(SEARCH("jmdict_rare_or_dated",'제외 후보'!P377)),'선정 규칙'!$B$6,0))</x:f>
        <x:v>0</x:v>
      </x:c>
      <x:c r="D377" s="11" t="n">
        <x:f>IF(ISNUMBER(SEARCH("jmdict_exact_pair_not_found",'제외 후보'!P377)),'선정 규칙'!$B$7,0)</x:f>
        <x:v>0</x:v>
      </x:c>
      <x:c r="E377" s="11" t="n">
        <x:f>IF(OR('제외 후보'!L377="",'제외 후보'!L377&lt;=0),'선정 규칙'!$B$8,IF('제외 후보'!L377&lt;=1.5,'선정 규칙'!$B$9,IF('제외 후보'!L377&lt;=2,'선정 규칙'!$B$10,IF('제외 후보'!L377&lt;=2.5,'선정 규칙'!$B$11,IF('제외 후보'!L377&lt;=3,'선정 규칙'!$B$12,IF('제외 후보'!L377&lt;=3.5,'선정 규칙'!$B$13,IF('제외 후보'!L377&gt;=4.5,'선정 규칙'!$B$14,0)))))))</x:f>
        <x:v>6</x:v>
      </x:c>
      <x:c r="F377" s="11" t="n">
        <x:f>IF('제외 후보'!Y377=0,'선정 규칙'!$B$15,IF('제외 후보'!Y377&gt;=100,'선정 규칙'!$B$16,'선정 규칙'!$B$17))</x:f>
        <x:v>12</x:v>
      </x:c>
      <x:c r="G377" s="11" t="n">
        <x:f>IF('제외 후보'!M377="있음",'선정 규칙'!$B$18,'선정 규칙'!$B$19)</x:f>
        <x:v>6</x:v>
      </x:c>
      <x:c r="H377" s="11" t="n">
        <x:f>IF(ISNUMBER(SEARCH("freq-core",'제외 후보'!AD377)),'선정 규칙'!$B$20,0)</x:f>
        <x:v>0</x:v>
      </x:c>
      <x:c r="I377" s="11" t="n">
        <x:f>IF(ISNUMBER(SEARCH("weak_legacy_content",'제외 후보'!P377)),'선정 규칙'!$B$21,0)</x:f>
        <x:v>0</x:v>
      </x:c>
      <x:c r="J377" s="11" t="n">
        <x:f>IF('제외 후보'!AC377&lt;&gt;"",'선정 규칙'!$B$22,0)</x:f>
        <x:v>0</x:v>
      </x:c>
      <x:c r="K377" s="11" t="n">
        <x:f>SUM(B377:J377)</x:f>
        <x:v>24</x:v>
      </x:c>
      <x:c r="L377" s="11" t="n">
        <x:f>'제외 후보'!N377</x:f>
        <x:v>24</x:v>
      </x:c>
      <x:c r="M377" s="2" t="str">
        <x:f>IF(K377=L377,"OK","MISMATCH")</x:f>
        <x:v>OK</x:v>
      </x:c>
    </x:row>
    <x:row r="378">
      <x:c r="A378" s="2" t="str">
        <x:f>'제외 후보'!G378</x:f>
        <x:v>w_56f095f563ebc113</x:v>
      </x:c>
      <x:c r="B378" s="11" t="n">
        <x:f>IF('제외 후보'!Q378&lt;&gt;"",'선정 규칙'!$B$4,0)</x:f>
        <x:v>0</x:v>
      </x:c>
      <x:c r="C378" s="11" t="n">
        <x:f>IF(ISNUMBER(SEARCH("jmdict_uncommon_or_irregular",'제외 후보'!P378)),'선정 규칙'!$B$5,IF(ISNUMBER(SEARCH("jmdict_rare_or_dated",'제외 후보'!P378)),'선정 규칙'!$B$6,0))</x:f>
        <x:v>0</x:v>
      </x:c>
      <x:c r="D378" s="11" t="n">
        <x:f>IF(ISNUMBER(SEARCH("jmdict_exact_pair_not_found",'제외 후보'!P378)),'선정 규칙'!$B$7,0)</x:f>
        <x:v>0</x:v>
      </x:c>
      <x:c r="E378" s="11" t="n">
        <x:f>IF(OR('제외 후보'!L378="",'제외 후보'!L378&lt;=0),'선정 규칙'!$B$8,IF('제외 후보'!L378&lt;=1.5,'선정 규칙'!$B$9,IF('제외 후보'!L378&lt;=2,'선정 규칙'!$B$10,IF('제외 후보'!L378&lt;=2.5,'선정 규칙'!$B$11,IF('제외 후보'!L378&lt;=3,'선정 규칙'!$B$12,IF('제외 후보'!L378&lt;=3.5,'선정 규칙'!$B$13,IF('제외 후보'!L378&gt;=4.5,'선정 규칙'!$B$14,0)))))))</x:f>
        <x:v>6</x:v>
      </x:c>
      <x:c r="F378" s="11" t="n">
        <x:f>IF('제외 후보'!Y378=0,'선정 규칙'!$B$15,IF('제외 후보'!Y378&gt;=100,'선정 규칙'!$B$16,'선정 규칙'!$B$17))</x:f>
        <x:v>12</x:v>
      </x:c>
      <x:c r="G378" s="11" t="n">
        <x:f>IF('제외 후보'!M378="있음",'선정 규칙'!$B$18,'선정 규칙'!$B$19)</x:f>
        <x:v>6</x:v>
      </x:c>
      <x:c r="H378" s="11" t="n">
        <x:f>IF(ISNUMBER(SEARCH("freq-core",'제외 후보'!AD378)),'선정 규칙'!$B$20,0)</x:f>
        <x:v>0</x:v>
      </x:c>
      <x:c r="I378" s="11" t="n">
        <x:f>IF(ISNUMBER(SEARCH("weak_legacy_content",'제외 후보'!P378)),'선정 규칙'!$B$21,0)</x:f>
        <x:v>0</x:v>
      </x:c>
      <x:c r="J378" s="11" t="n">
        <x:f>IF('제외 후보'!AC378&lt;&gt;"",'선정 규칙'!$B$22,0)</x:f>
        <x:v>0</x:v>
      </x:c>
      <x:c r="K378" s="11" t="n">
        <x:f>SUM(B378:J378)</x:f>
        <x:v>24</x:v>
      </x:c>
      <x:c r="L378" s="11" t="n">
        <x:f>'제외 후보'!N378</x:f>
        <x:v>24</x:v>
      </x:c>
      <x:c r="M378" s="2" t="str">
        <x:f>IF(K378=L378,"OK","MISMATCH")</x:f>
        <x:v>OK</x:v>
      </x:c>
    </x:row>
    <x:row r="379">
      <x:c r="A379" s="2" t="str">
        <x:f>'제외 후보'!G379</x:f>
        <x:v>w_bdcfe6897adc73a9</x:v>
      </x:c>
      <x:c r="B379" s="11" t="n">
        <x:f>IF('제외 후보'!Q379&lt;&gt;"",'선정 규칙'!$B$4,0)</x:f>
        <x:v>0</x:v>
      </x:c>
      <x:c r="C379" s="11" t="n">
        <x:f>IF(ISNUMBER(SEARCH("jmdict_uncommon_or_irregular",'제외 후보'!P379)),'선정 규칙'!$B$5,IF(ISNUMBER(SEARCH("jmdict_rare_or_dated",'제외 후보'!P379)),'선정 규칙'!$B$6,0))</x:f>
        <x:v>0</x:v>
      </x:c>
      <x:c r="D379" s="11" t="n">
        <x:f>IF(ISNUMBER(SEARCH("jmdict_exact_pair_not_found",'제외 후보'!P379)),'선정 규칙'!$B$7,0)</x:f>
        <x:v>0</x:v>
      </x:c>
      <x:c r="E379" s="11" t="n">
        <x:f>IF(OR('제외 후보'!L379="",'제외 후보'!L379&lt;=0),'선정 규칙'!$B$8,IF('제외 후보'!L379&lt;=1.5,'선정 규칙'!$B$9,IF('제외 후보'!L379&lt;=2,'선정 규칙'!$B$10,IF('제외 후보'!L379&lt;=2.5,'선정 규칙'!$B$11,IF('제외 후보'!L379&lt;=3,'선정 규칙'!$B$12,IF('제외 후보'!L379&lt;=3.5,'선정 규칙'!$B$13,IF('제외 후보'!L379&gt;=4.5,'선정 규칙'!$B$14,0)))))))</x:f>
        <x:v>6</x:v>
      </x:c>
      <x:c r="F379" s="11" t="n">
        <x:f>IF('제외 후보'!Y379=0,'선정 규칙'!$B$15,IF('제외 후보'!Y379&gt;=100,'선정 규칙'!$B$16,'선정 규칙'!$B$17))</x:f>
        <x:v>12</x:v>
      </x:c>
      <x:c r="G379" s="11" t="n">
        <x:f>IF('제외 후보'!M379="있음",'선정 규칙'!$B$18,'선정 규칙'!$B$19)</x:f>
        <x:v>6</x:v>
      </x:c>
      <x:c r="H379" s="11" t="n">
        <x:f>IF(ISNUMBER(SEARCH("freq-core",'제외 후보'!AD379)),'선정 규칙'!$B$20,0)</x:f>
        <x:v>0</x:v>
      </x:c>
      <x:c r="I379" s="11" t="n">
        <x:f>IF(ISNUMBER(SEARCH("weak_legacy_content",'제외 후보'!P379)),'선정 규칙'!$B$21,0)</x:f>
        <x:v>0</x:v>
      </x:c>
      <x:c r="J379" s="11" t="n">
        <x:f>IF('제외 후보'!AC379&lt;&gt;"",'선정 규칙'!$B$22,0)</x:f>
        <x:v>0</x:v>
      </x:c>
      <x:c r="K379" s="11" t="n">
        <x:f>SUM(B379:J379)</x:f>
        <x:v>24</x:v>
      </x:c>
      <x:c r="L379" s="11" t="n">
        <x:f>'제외 후보'!N379</x:f>
        <x:v>24</x:v>
      </x:c>
      <x:c r="M379" s="2" t="str">
        <x:f>IF(K379=L379,"OK","MISMATCH")</x:f>
        <x:v>OK</x:v>
      </x:c>
    </x:row>
    <x:row r="380">
      <x:c r="A380" s="2" t="str">
        <x:f>'제외 후보'!G380</x:f>
        <x:v>w_42b568d6309a6a1a</x:v>
      </x:c>
      <x:c r="B380" s="11" t="n">
        <x:f>IF('제외 후보'!Q380&lt;&gt;"",'선정 규칙'!$B$4,0)</x:f>
        <x:v>0</x:v>
      </x:c>
      <x:c r="C380" s="11" t="n">
        <x:f>IF(ISNUMBER(SEARCH("jmdict_uncommon_or_irregular",'제외 후보'!P380)),'선정 규칙'!$B$5,IF(ISNUMBER(SEARCH("jmdict_rare_or_dated",'제외 후보'!P380)),'선정 규칙'!$B$6,0))</x:f>
        <x:v>0</x:v>
      </x:c>
      <x:c r="D380" s="11" t="n">
        <x:f>IF(ISNUMBER(SEARCH("jmdict_exact_pair_not_found",'제외 후보'!P380)),'선정 규칙'!$B$7,0)</x:f>
        <x:v>0</x:v>
      </x:c>
      <x:c r="E380" s="11" t="n">
        <x:f>IF(OR('제외 후보'!L380="",'제외 후보'!L380&lt;=0),'선정 규칙'!$B$8,IF('제외 후보'!L380&lt;=1.5,'선정 규칙'!$B$9,IF('제외 후보'!L380&lt;=2,'선정 규칙'!$B$10,IF('제외 후보'!L380&lt;=2.5,'선정 규칙'!$B$11,IF('제외 후보'!L380&lt;=3,'선정 규칙'!$B$12,IF('제외 후보'!L380&lt;=3.5,'선정 규칙'!$B$13,IF('제외 후보'!L380&gt;=4.5,'선정 규칙'!$B$14,0)))))))</x:f>
        <x:v>6</x:v>
      </x:c>
      <x:c r="F380" s="11" t="n">
        <x:f>IF('제외 후보'!Y380=0,'선정 규칙'!$B$15,IF('제외 후보'!Y380&gt;=100,'선정 규칙'!$B$16,'선정 규칙'!$B$17))</x:f>
        <x:v>12</x:v>
      </x:c>
      <x:c r="G380" s="11" t="n">
        <x:f>IF('제외 후보'!M380="있음",'선정 규칙'!$B$18,'선정 규칙'!$B$19)</x:f>
        <x:v>6</x:v>
      </x:c>
      <x:c r="H380" s="11" t="n">
        <x:f>IF(ISNUMBER(SEARCH("freq-core",'제외 후보'!AD380)),'선정 규칙'!$B$20,0)</x:f>
        <x:v>0</x:v>
      </x:c>
      <x:c r="I380" s="11" t="n">
        <x:f>IF(ISNUMBER(SEARCH("weak_legacy_content",'제외 후보'!P380)),'선정 규칙'!$B$21,0)</x:f>
        <x:v>0</x:v>
      </x:c>
      <x:c r="J380" s="11" t="n">
        <x:f>IF('제외 후보'!AC380&lt;&gt;"",'선정 규칙'!$B$22,0)</x:f>
        <x:v>0</x:v>
      </x:c>
      <x:c r="K380" s="11" t="n">
        <x:f>SUM(B380:J380)</x:f>
        <x:v>24</x:v>
      </x:c>
      <x:c r="L380" s="11" t="n">
        <x:f>'제외 후보'!N380</x:f>
        <x:v>24</x:v>
      </x:c>
      <x:c r="M380" s="2" t="str">
        <x:f>IF(K380=L380,"OK","MISMATCH")</x:f>
        <x:v>OK</x:v>
      </x:c>
    </x:row>
    <x:row r="381">
      <x:c r="A381" s="2" t="str">
        <x:f>'제외 후보'!G381</x:f>
        <x:v>w_3a0b7d9f26f839b0</x:v>
      </x:c>
      <x:c r="B381" s="11" t="n">
        <x:f>IF('제외 후보'!Q381&lt;&gt;"",'선정 규칙'!$B$4,0)</x:f>
        <x:v>0</x:v>
      </x:c>
      <x:c r="C381" s="11" t="n">
        <x:f>IF(ISNUMBER(SEARCH("jmdict_uncommon_or_irregular",'제외 후보'!P381)),'선정 규칙'!$B$5,IF(ISNUMBER(SEARCH("jmdict_rare_or_dated",'제외 후보'!P381)),'선정 규칙'!$B$6,0))</x:f>
        <x:v>0</x:v>
      </x:c>
      <x:c r="D381" s="11" t="n">
        <x:f>IF(ISNUMBER(SEARCH("jmdict_exact_pair_not_found",'제외 후보'!P381)),'선정 규칙'!$B$7,0)</x:f>
        <x:v>0</x:v>
      </x:c>
      <x:c r="E381" s="11" t="n">
        <x:f>IF(OR('제외 후보'!L381="",'제외 후보'!L381&lt;=0),'선정 규칙'!$B$8,IF('제외 후보'!L381&lt;=1.5,'선정 규칙'!$B$9,IF('제외 후보'!L381&lt;=2,'선정 규칙'!$B$10,IF('제외 후보'!L381&lt;=2.5,'선정 규칙'!$B$11,IF('제외 후보'!L381&lt;=3,'선정 규칙'!$B$12,IF('제외 후보'!L381&lt;=3.5,'선정 규칙'!$B$13,IF('제외 후보'!L381&gt;=4.5,'선정 규칙'!$B$14,0)))))))</x:f>
        <x:v>6</x:v>
      </x:c>
      <x:c r="F381" s="11" t="n">
        <x:f>IF('제외 후보'!Y381=0,'선정 규칙'!$B$15,IF('제외 후보'!Y381&gt;=100,'선정 규칙'!$B$16,'선정 규칙'!$B$17))</x:f>
        <x:v>12</x:v>
      </x:c>
      <x:c r="G381" s="11" t="n">
        <x:f>IF('제외 후보'!M381="있음",'선정 규칙'!$B$18,'선정 규칙'!$B$19)</x:f>
        <x:v>6</x:v>
      </x:c>
      <x:c r="H381" s="11" t="n">
        <x:f>IF(ISNUMBER(SEARCH("freq-core",'제외 후보'!AD381)),'선정 규칙'!$B$20,0)</x:f>
        <x:v>0</x:v>
      </x:c>
      <x:c r="I381" s="11" t="n">
        <x:f>IF(ISNUMBER(SEARCH("weak_legacy_content",'제외 후보'!P381)),'선정 규칙'!$B$21,0)</x:f>
        <x:v>0</x:v>
      </x:c>
      <x:c r="J381" s="11" t="n">
        <x:f>IF('제외 후보'!AC381&lt;&gt;"",'선정 규칙'!$B$22,0)</x:f>
        <x:v>0</x:v>
      </x:c>
      <x:c r="K381" s="11" t="n">
        <x:f>SUM(B381:J381)</x:f>
        <x:v>24</x:v>
      </x:c>
      <x:c r="L381" s="11" t="n">
        <x:f>'제외 후보'!N381</x:f>
        <x:v>24</x:v>
      </x:c>
      <x:c r="M381" s="2" t="str">
        <x:f>IF(K381=L381,"OK","MISMATCH")</x:f>
        <x:v>OK</x:v>
      </x:c>
    </x:row>
    <x:row r="382">
      <x:c r="A382" s="2" t="str">
        <x:f>'제외 후보'!G382</x:f>
        <x:v>w_a3b3d3897a0ad9f5</x:v>
      </x:c>
      <x:c r="B382" s="11" t="n">
        <x:f>IF('제외 후보'!Q382&lt;&gt;"",'선정 규칙'!$B$4,0)</x:f>
        <x:v>0</x:v>
      </x:c>
      <x:c r="C382" s="11" t="n">
        <x:f>IF(ISNUMBER(SEARCH("jmdict_uncommon_or_irregular",'제외 후보'!P382)),'선정 규칙'!$B$5,IF(ISNUMBER(SEARCH("jmdict_rare_or_dated",'제외 후보'!P382)),'선정 규칙'!$B$6,0))</x:f>
        <x:v>0</x:v>
      </x:c>
      <x:c r="D382" s="11" t="n">
        <x:f>IF(ISNUMBER(SEARCH("jmdict_exact_pair_not_found",'제외 후보'!P382)),'선정 규칙'!$B$7,0)</x:f>
        <x:v>0</x:v>
      </x:c>
      <x:c r="E382" s="11" t="n">
        <x:f>IF(OR('제외 후보'!L382="",'제외 후보'!L382&lt;=0),'선정 규칙'!$B$8,IF('제외 후보'!L382&lt;=1.5,'선정 규칙'!$B$9,IF('제외 후보'!L382&lt;=2,'선정 규칙'!$B$10,IF('제외 후보'!L382&lt;=2.5,'선정 규칙'!$B$11,IF('제외 후보'!L382&lt;=3,'선정 규칙'!$B$12,IF('제외 후보'!L382&lt;=3.5,'선정 규칙'!$B$13,IF('제외 후보'!L382&gt;=4.5,'선정 규칙'!$B$14,0)))))))</x:f>
        <x:v>6</x:v>
      </x:c>
      <x:c r="F382" s="11" t="n">
        <x:f>IF('제외 후보'!Y382=0,'선정 규칙'!$B$15,IF('제외 후보'!Y382&gt;=100,'선정 규칙'!$B$16,'선정 규칙'!$B$17))</x:f>
        <x:v>12</x:v>
      </x:c>
      <x:c r="G382" s="11" t="n">
        <x:f>IF('제외 후보'!M382="있음",'선정 규칙'!$B$18,'선정 규칙'!$B$19)</x:f>
        <x:v>6</x:v>
      </x:c>
      <x:c r="H382" s="11" t="n">
        <x:f>IF(ISNUMBER(SEARCH("freq-core",'제외 후보'!AD382)),'선정 규칙'!$B$20,0)</x:f>
        <x:v>0</x:v>
      </x:c>
      <x:c r="I382" s="11" t="n">
        <x:f>IF(ISNUMBER(SEARCH("weak_legacy_content",'제외 후보'!P382)),'선정 규칙'!$B$21,0)</x:f>
        <x:v>0</x:v>
      </x:c>
      <x:c r="J382" s="11" t="n">
        <x:f>IF('제외 후보'!AC382&lt;&gt;"",'선정 규칙'!$B$22,0)</x:f>
        <x:v>0</x:v>
      </x:c>
      <x:c r="K382" s="11" t="n">
        <x:f>SUM(B382:J382)</x:f>
        <x:v>24</x:v>
      </x:c>
      <x:c r="L382" s="11" t="n">
        <x:f>'제외 후보'!N382</x:f>
        <x:v>24</x:v>
      </x:c>
      <x:c r="M382" s="2" t="str">
        <x:f>IF(K382=L382,"OK","MISMATCH")</x:f>
        <x:v>OK</x:v>
      </x:c>
    </x:row>
    <x:row r="383">
      <x:c r="A383" s="2" t="str">
        <x:f>'제외 후보'!G383</x:f>
        <x:v>w_dbcb702661e86533</x:v>
      </x:c>
      <x:c r="B383" s="11" t="n">
        <x:f>IF('제외 후보'!Q383&lt;&gt;"",'선정 규칙'!$B$4,0)</x:f>
        <x:v>0</x:v>
      </x:c>
      <x:c r="C383" s="11" t="n">
        <x:f>IF(ISNUMBER(SEARCH("jmdict_uncommon_or_irregular",'제외 후보'!P383)),'선정 규칙'!$B$5,IF(ISNUMBER(SEARCH("jmdict_rare_or_dated",'제외 후보'!P383)),'선정 규칙'!$B$6,0))</x:f>
        <x:v>0</x:v>
      </x:c>
      <x:c r="D383" s="11" t="n">
        <x:f>IF(ISNUMBER(SEARCH("jmdict_exact_pair_not_found",'제외 후보'!P383)),'선정 규칙'!$B$7,0)</x:f>
        <x:v>0</x:v>
      </x:c>
      <x:c r="E383" s="11" t="n">
        <x:f>IF(OR('제외 후보'!L383="",'제외 후보'!L383&lt;=0),'선정 규칙'!$B$8,IF('제외 후보'!L383&lt;=1.5,'선정 규칙'!$B$9,IF('제외 후보'!L383&lt;=2,'선정 규칙'!$B$10,IF('제외 후보'!L383&lt;=2.5,'선정 규칙'!$B$11,IF('제외 후보'!L383&lt;=3,'선정 규칙'!$B$12,IF('제외 후보'!L383&lt;=3.5,'선정 규칙'!$B$13,IF('제외 후보'!L383&gt;=4.5,'선정 규칙'!$B$14,0)))))))</x:f>
        <x:v>6</x:v>
      </x:c>
      <x:c r="F383" s="11" t="n">
        <x:f>IF('제외 후보'!Y383=0,'선정 규칙'!$B$15,IF('제외 후보'!Y383&gt;=100,'선정 규칙'!$B$16,'선정 규칙'!$B$17))</x:f>
        <x:v>12</x:v>
      </x:c>
      <x:c r="G383" s="11" t="n">
        <x:f>IF('제외 후보'!M383="있음",'선정 규칙'!$B$18,'선정 규칙'!$B$19)</x:f>
        <x:v>6</x:v>
      </x:c>
      <x:c r="H383" s="11" t="n">
        <x:f>IF(ISNUMBER(SEARCH("freq-core",'제외 후보'!AD383)),'선정 규칙'!$B$20,0)</x:f>
        <x:v>0</x:v>
      </x:c>
      <x:c r="I383" s="11" t="n">
        <x:f>IF(ISNUMBER(SEARCH("weak_legacy_content",'제외 후보'!P383)),'선정 규칙'!$B$21,0)</x:f>
        <x:v>0</x:v>
      </x:c>
      <x:c r="J383" s="11" t="n">
        <x:f>IF('제외 후보'!AC383&lt;&gt;"",'선정 규칙'!$B$22,0)</x:f>
        <x:v>0</x:v>
      </x:c>
      <x:c r="K383" s="11" t="n">
        <x:f>SUM(B383:J383)</x:f>
        <x:v>24</x:v>
      </x:c>
      <x:c r="L383" s="11" t="n">
        <x:f>'제외 후보'!N383</x:f>
        <x:v>24</x:v>
      </x:c>
      <x:c r="M383" s="2" t="str">
        <x:f>IF(K383=L383,"OK","MISMATCH")</x:f>
        <x:v>OK</x:v>
      </x:c>
    </x:row>
    <x:row r="384">
      <x:c r="A384" s="2" t="str">
        <x:f>'제외 후보'!G384</x:f>
        <x:v>w_ab3596a72fdd9b3d</x:v>
      </x:c>
      <x:c r="B384" s="11" t="n">
        <x:f>IF('제외 후보'!Q384&lt;&gt;"",'선정 규칙'!$B$4,0)</x:f>
        <x:v>0</x:v>
      </x:c>
      <x:c r="C384" s="11" t="n">
        <x:f>IF(ISNUMBER(SEARCH("jmdict_uncommon_or_irregular",'제외 후보'!P384)),'선정 규칙'!$B$5,IF(ISNUMBER(SEARCH("jmdict_rare_or_dated",'제외 후보'!P384)),'선정 규칙'!$B$6,0))</x:f>
        <x:v>0</x:v>
      </x:c>
      <x:c r="D384" s="11" t="n">
        <x:f>IF(ISNUMBER(SEARCH("jmdict_exact_pair_not_found",'제외 후보'!P384)),'선정 규칙'!$B$7,0)</x:f>
        <x:v>0</x:v>
      </x:c>
      <x:c r="E384" s="11" t="n">
        <x:f>IF(OR('제외 후보'!L384="",'제외 후보'!L384&lt;=0),'선정 규칙'!$B$8,IF('제외 후보'!L384&lt;=1.5,'선정 규칙'!$B$9,IF('제외 후보'!L384&lt;=2,'선정 규칙'!$B$10,IF('제외 후보'!L384&lt;=2.5,'선정 규칙'!$B$11,IF('제외 후보'!L384&lt;=3,'선정 규칙'!$B$12,IF('제외 후보'!L384&lt;=3.5,'선정 규칙'!$B$13,IF('제외 후보'!L384&gt;=4.5,'선정 규칙'!$B$14,0)))))))</x:f>
        <x:v>6</x:v>
      </x:c>
      <x:c r="F384" s="11" t="n">
        <x:f>IF('제외 후보'!Y384=0,'선정 규칙'!$B$15,IF('제외 후보'!Y384&gt;=100,'선정 규칙'!$B$16,'선정 규칙'!$B$17))</x:f>
        <x:v>12</x:v>
      </x:c>
      <x:c r="G384" s="11" t="n">
        <x:f>IF('제외 후보'!M384="있음",'선정 규칙'!$B$18,'선정 규칙'!$B$19)</x:f>
        <x:v>6</x:v>
      </x:c>
      <x:c r="H384" s="11" t="n">
        <x:f>IF(ISNUMBER(SEARCH("freq-core",'제외 후보'!AD384)),'선정 규칙'!$B$20,0)</x:f>
        <x:v>0</x:v>
      </x:c>
      <x:c r="I384" s="11" t="n">
        <x:f>IF(ISNUMBER(SEARCH("weak_legacy_content",'제외 후보'!P384)),'선정 규칙'!$B$21,0)</x:f>
        <x:v>0</x:v>
      </x:c>
      <x:c r="J384" s="11" t="n">
        <x:f>IF('제외 후보'!AC384&lt;&gt;"",'선정 규칙'!$B$22,0)</x:f>
        <x:v>0</x:v>
      </x:c>
      <x:c r="K384" s="11" t="n">
        <x:f>SUM(B384:J384)</x:f>
        <x:v>24</x:v>
      </x:c>
      <x:c r="L384" s="11" t="n">
        <x:f>'제외 후보'!N384</x:f>
        <x:v>24</x:v>
      </x:c>
      <x:c r="M384" s="2" t="str">
        <x:f>IF(K384=L384,"OK","MISMATCH")</x:f>
        <x:v>OK</x:v>
      </x:c>
    </x:row>
    <x:row r="385">
      <x:c r="A385" s="2" t="str">
        <x:f>'제외 후보'!G385</x:f>
        <x:v>w_07b281b0222afd29</x:v>
      </x:c>
      <x:c r="B385" s="11" t="n">
        <x:f>IF('제외 후보'!Q385&lt;&gt;"",'선정 규칙'!$B$4,0)</x:f>
        <x:v>0</x:v>
      </x:c>
      <x:c r="C385" s="11" t="n">
        <x:f>IF(ISNUMBER(SEARCH("jmdict_uncommon_or_irregular",'제외 후보'!P385)),'선정 규칙'!$B$5,IF(ISNUMBER(SEARCH("jmdict_rare_or_dated",'제외 후보'!P385)),'선정 규칙'!$B$6,0))</x:f>
        <x:v>0</x:v>
      </x:c>
      <x:c r="D385" s="11" t="n">
        <x:f>IF(ISNUMBER(SEARCH("jmdict_exact_pair_not_found",'제외 후보'!P385)),'선정 규칙'!$B$7,0)</x:f>
        <x:v>0</x:v>
      </x:c>
      <x:c r="E385" s="11" t="n">
        <x:f>IF(OR('제외 후보'!L385="",'제외 후보'!L385&lt;=0),'선정 규칙'!$B$8,IF('제외 후보'!L385&lt;=1.5,'선정 규칙'!$B$9,IF('제외 후보'!L385&lt;=2,'선정 규칙'!$B$10,IF('제외 후보'!L385&lt;=2.5,'선정 규칙'!$B$11,IF('제외 후보'!L385&lt;=3,'선정 규칙'!$B$12,IF('제외 후보'!L385&lt;=3.5,'선정 규칙'!$B$13,IF('제외 후보'!L385&gt;=4.5,'선정 규칙'!$B$14,0)))))))</x:f>
        <x:v>6</x:v>
      </x:c>
      <x:c r="F385" s="11" t="n">
        <x:f>IF('제외 후보'!Y385=0,'선정 규칙'!$B$15,IF('제외 후보'!Y385&gt;=100,'선정 규칙'!$B$16,'선정 규칙'!$B$17))</x:f>
        <x:v>12</x:v>
      </x:c>
      <x:c r="G385" s="11" t="n">
        <x:f>IF('제외 후보'!M385="있음",'선정 규칙'!$B$18,'선정 규칙'!$B$19)</x:f>
        <x:v>6</x:v>
      </x:c>
      <x:c r="H385" s="11" t="n">
        <x:f>IF(ISNUMBER(SEARCH("freq-core",'제외 후보'!AD385)),'선정 규칙'!$B$20,0)</x:f>
        <x:v>0</x:v>
      </x:c>
      <x:c r="I385" s="11" t="n">
        <x:f>IF(ISNUMBER(SEARCH("weak_legacy_content",'제외 후보'!P385)),'선정 규칙'!$B$21,0)</x:f>
        <x:v>0</x:v>
      </x:c>
      <x:c r="J385" s="11" t="n">
        <x:f>IF('제외 후보'!AC385&lt;&gt;"",'선정 규칙'!$B$22,0)</x:f>
        <x:v>0</x:v>
      </x:c>
      <x:c r="K385" s="11" t="n">
        <x:f>SUM(B385:J385)</x:f>
        <x:v>24</x:v>
      </x:c>
      <x:c r="L385" s="11" t="n">
        <x:f>'제외 후보'!N385</x:f>
        <x:v>24</x:v>
      </x:c>
      <x:c r="M385" s="2" t="str">
        <x:f>IF(K385=L385,"OK","MISMATCH")</x:f>
        <x:v>OK</x:v>
      </x:c>
    </x:row>
    <x:row r="386">
      <x:c r="A386" s="2" t="str">
        <x:f>'제외 후보'!G386</x:f>
        <x:v>w_1b2f05b45a208106</x:v>
      </x:c>
      <x:c r="B386" s="11" t="n">
        <x:f>IF('제외 후보'!Q386&lt;&gt;"",'선정 규칙'!$B$4,0)</x:f>
        <x:v>0</x:v>
      </x:c>
      <x:c r="C386" s="11" t="n">
        <x:f>IF(ISNUMBER(SEARCH("jmdict_uncommon_or_irregular",'제외 후보'!P386)),'선정 규칙'!$B$5,IF(ISNUMBER(SEARCH("jmdict_rare_or_dated",'제외 후보'!P386)),'선정 규칙'!$B$6,0))</x:f>
        <x:v>0</x:v>
      </x:c>
      <x:c r="D386" s="11" t="n">
        <x:f>IF(ISNUMBER(SEARCH("jmdict_exact_pair_not_found",'제외 후보'!P386)),'선정 규칙'!$B$7,0)</x:f>
        <x:v>0</x:v>
      </x:c>
      <x:c r="E386" s="11" t="n">
        <x:f>IF(OR('제외 후보'!L386="",'제외 후보'!L386&lt;=0),'선정 규칙'!$B$8,IF('제외 후보'!L386&lt;=1.5,'선정 규칙'!$B$9,IF('제외 후보'!L386&lt;=2,'선정 규칙'!$B$10,IF('제외 후보'!L386&lt;=2.5,'선정 규칙'!$B$11,IF('제외 후보'!L386&lt;=3,'선정 규칙'!$B$12,IF('제외 후보'!L386&lt;=3.5,'선정 규칙'!$B$13,IF('제외 후보'!L386&gt;=4.5,'선정 규칙'!$B$14,0)))))))</x:f>
        <x:v>6</x:v>
      </x:c>
      <x:c r="F386" s="11" t="n">
        <x:f>IF('제외 후보'!Y386=0,'선정 규칙'!$B$15,IF('제외 후보'!Y386&gt;=100,'선정 규칙'!$B$16,'선정 규칙'!$B$17))</x:f>
        <x:v>12</x:v>
      </x:c>
      <x:c r="G386" s="11" t="n">
        <x:f>IF('제외 후보'!M386="있음",'선정 규칙'!$B$18,'선정 규칙'!$B$19)</x:f>
        <x:v>6</x:v>
      </x:c>
      <x:c r="H386" s="11" t="n">
        <x:f>IF(ISNUMBER(SEARCH("freq-core",'제외 후보'!AD386)),'선정 규칙'!$B$20,0)</x:f>
        <x:v>0</x:v>
      </x:c>
      <x:c r="I386" s="11" t="n">
        <x:f>IF(ISNUMBER(SEARCH("weak_legacy_content",'제외 후보'!P386)),'선정 규칙'!$B$21,0)</x:f>
        <x:v>0</x:v>
      </x:c>
      <x:c r="J386" s="11" t="n">
        <x:f>IF('제외 후보'!AC386&lt;&gt;"",'선정 규칙'!$B$22,0)</x:f>
        <x:v>0</x:v>
      </x:c>
      <x:c r="K386" s="11" t="n">
        <x:f>SUM(B386:J386)</x:f>
        <x:v>24</x:v>
      </x:c>
      <x:c r="L386" s="11" t="n">
        <x:f>'제외 후보'!N386</x:f>
        <x:v>24</x:v>
      </x:c>
      <x:c r="M386" s="2" t="str">
        <x:f>IF(K386=L386,"OK","MISMATCH")</x:f>
        <x:v>OK</x:v>
      </x:c>
    </x:row>
    <x:row r="387">
      <x:c r="A387" s="2" t="str">
        <x:f>'제외 후보'!G387</x:f>
        <x:v>w_d3af644a0668867b</x:v>
      </x:c>
      <x:c r="B387" s="11" t="n">
        <x:f>IF('제외 후보'!Q387&lt;&gt;"",'선정 규칙'!$B$4,0)</x:f>
        <x:v>0</x:v>
      </x:c>
      <x:c r="C387" s="11" t="n">
        <x:f>IF(ISNUMBER(SEARCH("jmdict_uncommon_or_irregular",'제외 후보'!P387)),'선정 규칙'!$B$5,IF(ISNUMBER(SEARCH("jmdict_rare_or_dated",'제외 후보'!P387)),'선정 규칙'!$B$6,0))</x:f>
        <x:v>0</x:v>
      </x:c>
      <x:c r="D387" s="11" t="n">
        <x:f>IF(ISNUMBER(SEARCH("jmdict_exact_pair_not_found",'제외 후보'!P387)),'선정 규칙'!$B$7,0)</x:f>
        <x:v>0</x:v>
      </x:c>
      <x:c r="E387" s="11" t="n">
        <x:f>IF(OR('제외 후보'!L387="",'제외 후보'!L387&lt;=0),'선정 규칙'!$B$8,IF('제외 후보'!L387&lt;=1.5,'선정 규칙'!$B$9,IF('제외 후보'!L387&lt;=2,'선정 규칙'!$B$10,IF('제외 후보'!L387&lt;=2.5,'선정 규칙'!$B$11,IF('제외 후보'!L387&lt;=3,'선정 규칙'!$B$12,IF('제외 후보'!L387&lt;=3.5,'선정 규칙'!$B$13,IF('제외 후보'!L387&gt;=4.5,'선정 규칙'!$B$14,0)))))))</x:f>
        <x:v>6</x:v>
      </x:c>
      <x:c r="F387" s="11" t="n">
        <x:f>IF('제외 후보'!Y387=0,'선정 규칙'!$B$15,IF('제외 후보'!Y387&gt;=100,'선정 규칙'!$B$16,'선정 규칙'!$B$17))</x:f>
        <x:v>12</x:v>
      </x:c>
      <x:c r="G387" s="11" t="n">
        <x:f>IF('제외 후보'!M387="있음",'선정 규칙'!$B$18,'선정 규칙'!$B$19)</x:f>
        <x:v>6</x:v>
      </x:c>
      <x:c r="H387" s="11" t="n">
        <x:f>IF(ISNUMBER(SEARCH("freq-core",'제외 후보'!AD387)),'선정 규칙'!$B$20,0)</x:f>
        <x:v>0</x:v>
      </x:c>
      <x:c r="I387" s="11" t="n">
        <x:f>IF(ISNUMBER(SEARCH("weak_legacy_content",'제외 후보'!P387)),'선정 규칙'!$B$21,0)</x:f>
        <x:v>0</x:v>
      </x:c>
      <x:c r="J387" s="11" t="n">
        <x:f>IF('제외 후보'!AC387&lt;&gt;"",'선정 규칙'!$B$22,0)</x:f>
        <x:v>0</x:v>
      </x:c>
      <x:c r="K387" s="11" t="n">
        <x:f>SUM(B387:J387)</x:f>
        <x:v>24</x:v>
      </x:c>
      <x:c r="L387" s="11" t="n">
        <x:f>'제외 후보'!N387</x:f>
        <x:v>24</x:v>
      </x:c>
      <x:c r="M387" s="2" t="str">
        <x:f>IF(K387=L387,"OK","MISMATCH")</x:f>
        <x:v>OK</x:v>
      </x:c>
    </x:row>
    <x:row r="388">
      <x:c r="A388" s="2" t="str">
        <x:f>'제외 후보'!G388</x:f>
        <x:v>w_b99f1a5fc01164cf</x:v>
      </x:c>
      <x:c r="B388" s="11" t="n">
        <x:f>IF('제외 후보'!Q388&lt;&gt;"",'선정 규칙'!$B$4,0)</x:f>
        <x:v>0</x:v>
      </x:c>
      <x:c r="C388" s="11" t="n">
        <x:f>IF(ISNUMBER(SEARCH("jmdict_uncommon_or_irregular",'제외 후보'!P388)),'선정 규칙'!$B$5,IF(ISNUMBER(SEARCH("jmdict_rare_or_dated",'제외 후보'!P388)),'선정 규칙'!$B$6,0))</x:f>
        <x:v>0</x:v>
      </x:c>
      <x:c r="D388" s="11" t="n">
        <x:f>IF(ISNUMBER(SEARCH("jmdict_exact_pair_not_found",'제외 후보'!P388)),'선정 규칙'!$B$7,0)</x:f>
        <x:v>0</x:v>
      </x:c>
      <x:c r="E388" s="11" t="n">
        <x:f>IF(OR('제외 후보'!L388="",'제외 후보'!L388&lt;=0),'선정 규칙'!$B$8,IF('제외 후보'!L388&lt;=1.5,'선정 규칙'!$B$9,IF('제외 후보'!L388&lt;=2,'선정 규칙'!$B$10,IF('제외 후보'!L388&lt;=2.5,'선정 규칙'!$B$11,IF('제외 후보'!L388&lt;=3,'선정 규칙'!$B$12,IF('제외 후보'!L388&lt;=3.5,'선정 규칙'!$B$13,IF('제외 후보'!L388&gt;=4.5,'선정 규칙'!$B$14,0)))))))</x:f>
        <x:v>6</x:v>
      </x:c>
      <x:c r="F388" s="11" t="n">
        <x:f>IF('제외 후보'!Y388=0,'선정 규칙'!$B$15,IF('제외 후보'!Y388&gt;=100,'선정 규칙'!$B$16,'선정 규칙'!$B$17))</x:f>
        <x:v>12</x:v>
      </x:c>
      <x:c r="G388" s="11" t="n">
        <x:f>IF('제외 후보'!M388="있음",'선정 규칙'!$B$18,'선정 규칙'!$B$19)</x:f>
        <x:v>6</x:v>
      </x:c>
      <x:c r="H388" s="11" t="n">
        <x:f>IF(ISNUMBER(SEARCH("freq-core",'제외 후보'!AD388)),'선정 규칙'!$B$20,0)</x:f>
        <x:v>0</x:v>
      </x:c>
      <x:c r="I388" s="11" t="n">
        <x:f>IF(ISNUMBER(SEARCH("weak_legacy_content",'제외 후보'!P388)),'선정 규칙'!$B$21,0)</x:f>
        <x:v>0</x:v>
      </x:c>
      <x:c r="J388" s="11" t="n">
        <x:f>IF('제외 후보'!AC388&lt;&gt;"",'선정 규칙'!$B$22,0)</x:f>
        <x:v>0</x:v>
      </x:c>
      <x:c r="K388" s="11" t="n">
        <x:f>SUM(B388:J388)</x:f>
        <x:v>24</x:v>
      </x:c>
      <x:c r="L388" s="11" t="n">
        <x:f>'제외 후보'!N388</x:f>
        <x:v>24</x:v>
      </x:c>
      <x:c r="M388" s="2" t="str">
        <x:f>IF(K388=L388,"OK","MISMATCH")</x:f>
        <x:v>OK</x:v>
      </x:c>
    </x:row>
    <x:row r="389">
      <x:c r="A389" s="2" t="str">
        <x:f>'제외 후보'!G389</x:f>
        <x:v>w_979f6dec031ed515</x:v>
      </x:c>
      <x:c r="B389" s="11" t="n">
        <x:f>IF('제외 후보'!Q389&lt;&gt;"",'선정 규칙'!$B$4,0)</x:f>
        <x:v>0</x:v>
      </x:c>
      <x:c r="C389" s="11" t="n">
        <x:f>IF(ISNUMBER(SEARCH("jmdict_uncommon_or_irregular",'제외 후보'!P389)),'선정 규칙'!$B$5,IF(ISNUMBER(SEARCH("jmdict_rare_or_dated",'제외 후보'!P389)),'선정 규칙'!$B$6,0))</x:f>
        <x:v>0</x:v>
      </x:c>
      <x:c r="D389" s="11" t="n">
        <x:f>IF(ISNUMBER(SEARCH("jmdict_exact_pair_not_found",'제외 후보'!P389)),'선정 규칙'!$B$7,0)</x:f>
        <x:v>0</x:v>
      </x:c>
      <x:c r="E389" s="11" t="n">
        <x:f>IF(OR('제외 후보'!L389="",'제외 후보'!L389&lt;=0),'선정 규칙'!$B$8,IF('제외 후보'!L389&lt;=1.5,'선정 규칙'!$B$9,IF('제외 후보'!L389&lt;=2,'선정 규칙'!$B$10,IF('제외 후보'!L389&lt;=2.5,'선정 규칙'!$B$11,IF('제외 후보'!L389&lt;=3,'선정 규칙'!$B$12,IF('제외 후보'!L389&lt;=3.5,'선정 규칙'!$B$13,IF('제외 후보'!L389&gt;=4.5,'선정 규칙'!$B$14,0)))))))</x:f>
        <x:v>6</x:v>
      </x:c>
      <x:c r="F389" s="11" t="n">
        <x:f>IF('제외 후보'!Y389=0,'선정 규칙'!$B$15,IF('제외 후보'!Y389&gt;=100,'선정 규칙'!$B$16,'선정 규칙'!$B$17))</x:f>
        <x:v>12</x:v>
      </x:c>
      <x:c r="G389" s="11" t="n">
        <x:f>IF('제외 후보'!M389="있음",'선정 규칙'!$B$18,'선정 규칙'!$B$19)</x:f>
        <x:v>6</x:v>
      </x:c>
      <x:c r="H389" s="11" t="n">
        <x:f>IF(ISNUMBER(SEARCH("freq-core",'제외 후보'!AD389)),'선정 규칙'!$B$20,0)</x:f>
        <x:v>0</x:v>
      </x:c>
      <x:c r="I389" s="11" t="n">
        <x:f>IF(ISNUMBER(SEARCH("weak_legacy_content",'제외 후보'!P389)),'선정 규칙'!$B$21,0)</x:f>
        <x:v>0</x:v>
      </x:c>
      <x:c r="J389" s="11" t="n">
        <x:f>IF('제외 후보'!AC389&lt;&gt;"",'선정 규칙'!$B$22,0)</x:f>
        <x:v>0</x:v>
      </x:c>
      <x:c r="K389" s="11" t="n">
        <x:f>SUM(B389:J389)</x:f>
        <x:v>24</x:v>
      </x:c>
      <x:c r="L389" s="11" t="n">
        <x:f>'제외 후보'!N389</x:f>
        <x:v>24</x:v>
      </x:c>
      <x:c r="M389" s="2" t="str">
        <x:f>IF(K389=L389,"OK","MISMATCH")</x:f>
        <x:v>OK</x:v>
      </x:c>
    </x:row>
    <x:row r="390">
      <x:c r="A390" s="2" t="str">
        <x:f>'제외 후보'!G390</x:f>
        <x:v>w_dc6d7aaea9e4567e</x:v>
      </x:c>
      <x:c r="B390" s="11" t="n">
        <x:f>IF('제외 후보'!Q390&lt;&gt;"",'선정 규칙'!$B$4,0)</x:f>
        <x:v>0</x:v>
      </x:c>
      <x:c r="C390" s="11" t="n">
        <x:f>IF(ISNUMBER(SEARCH("jmdict_uncommon_or_irregular",'제외 후보'!P390)),'선정 규칙'!$B$5,IF(ISNUMBER(SEARCH("jmdict_rare_or_dated",'제외 후보'!P390)),'선정 규칙'!$B$6,0))</x:f>
        <x:v>0</x:v>
      </x:c>
      <x:c r="D390" s="11" t="n">
        <x:f>IF(ISNUMBER(SEARCH("jmdict_exact_pair_not_found",'제외 후보'!P390)),'선정 규칙'!$B$7,0)</x:f>
        <x:v>0</x:v>
      </x:c>
      <x:c r="E390" s="11" t="n">
        <x:f>IF(OR('제외 후보'!L390="",'제외 후보'!L390&lt;=0),'선정 규칙'!$B$8,IF('제외 후보'!L390&lt;=1.5,'선정 규칙'!$B$9,IF('제외 후보'!L390&lt;=2,'선정 규칙'!$B$10,IF('제외 후보'!L390&lt;=2.5,'선정 규칙'!$B$11,IF('제외 후보'!L390&lt;=3,'선정 규칙'!$B$12,IF('제외 후보'!L390&lt;=3.5,'선정 규칙'!$B$13,IF('제외 후보'!L390&gt;=4.5,'선정 규칙'!$B$14,0)))))))</x:f>
        <x:v>6</x:v>
      </x:c>
      <x:c r="F390" s="11" t="n">
        <x:f>IF('제외 후보'!Y390=0,'선정 규칙'!$B$15,IF('제외 후보'!Y390&gt;=100,'선정 규칙'!$B$16,'선정 규칙'!$B$17))</x:f>
        <x:v>12</x:v>
      </x:c>
      <x:c r="G390" s="11" t="n">
        <x:f>IF('제외 후보'!M390="있음",'선정 규칙'!$B$18,'선정 규칙'!$B$19)</x:f>
        <x:v>6</x:v>
      </x:c>
      <x:c r="H390" s="11" t="n">
        <x:f>IF(ISNUMBER(SEARCH("freq-core",'제외 후보'!AD390)),'선정 규칙'!$B$20,0)</x:f>
        <x:v>0</x:v>
      </x:c>
      <x:c r="I390" s="11" t="n">
        <x:f>IF(ISNUMBER(SEARCH("weak_legacy_content",'제외 후보'!P390)),'선정 규칙'!$B$21,0)</x:f>
        <x:v>0</x:v>
      </x:c>
      <x:c r="J390" s="11" t="n">
        <x:f>IF('제외 후보'!AC390&lt;&gt;"",'선정 규칙'!$B$22,0)</x:f>
        <x:v>0</x:v>
      </x:c>
      <x:c r="K390" s="11" t="n">
        <x:f>SUM(B390:J390)</x:f>
        <x:v>24</x:v>
      </x:c>
      <x:c r="L390" s="11" t="n">
        <x:f>'제외 후보'!N390</x:f>
        <x:v>24</x:v>
      </x:c>
      <x:c r="M390" s="2" t="str">
        <x:f>IF(K390=L390,"OK","MISMATCH")</x:f>
        <x:v>OK</x:v>
      </x:c>
    </x:row>
    <x:row r="391">
      <x:c r="A391" s="2" t="str">
        <x:f>'제외 후보'!G391</x:f>
        <x:v>w_007680925f9898a2</x:v>
      </x:c>
      <x:c r="B391" s="11" t="n">
        <x:f>IF('제외 후보'!Q391&lt;&gt;"",'선정 규칙'!$B$4,0)</x:f>
        <x:v>0</x:v>
      </x:c>
      <x:c r="C391" s="11" t="n">
        <x:f>IF(ISNUMBER(SEARCH("jmdict_uncommon_or_irregular",'제외 후보'!P391)),'선정 규칙'!$B$5,IF(ISNUMBER(SEARCH("jmdict_rare_or_dated",'제외 후보'!P391)),'선정 규칙'!$B$6,0))</x:f>
        <x:v>0</x:v>
      </x:c>
      <x:c r="D391" s="11" t="n">
        <x:f>IF(ISNUMBER(SEARCH("jmdict_exact_pair_not_found",'제외 후보'!P391)),'선정 규칙'!$B$7,0)</x:f>
        <x:v>0</x:v>
      </x:c>
      <x:c r="E391" s="11" t="n">
        <x:f>IF(OR('제외 후보'!L391="",'제외 후보'!L391&lt;=0),'선정 규칙'!$B$8,IF('제외 후보'!L391&lt;=1.5,'선정 규칙'!$B$9,IF('제외 후보'!L391&lt;=2,'선정 규칙'!$B$10,IF('제외 후보'!L391&lt;=2.5,'선정 규칙'!$B$11,IF('제외 후보'!L391&lt;=3,'선정 규칙'!$B$12,IF('제외 후보'!L391&lt;=3.5,'선정 규칙'!$B$13,IF('제외 후보'!L391&gt;=4.5,'선정 규칙'!$B$14,0)))))))</x:f>
        <x:v>6</x:v>
      </x:c>
      <x:c r="F391" s="11" t="n">
        <x:f>IF('제외 후보'!Y391=0,'선정 규칙'!$B$15,IF('제외 후보'!Y391&gt;=100,'선정 규칙'!$B$16,'선정 규칙'!$B$17))</x:f>
        <x:v>12</x:v>
      </x:c>
      <x:c r="G391" s="11" t="n">
        <x:f>IF('제외 후보'!M391="있음",'선정 규칙'!$B$18,'선정 규칙'!$B$19)</x:f>
        <x:v>6</x:v>
      </x:c>
      <x:c r="H391" s="11" t="n">
        <x:f>IF(ISNUMBER(SEARCH("freq-core",'제외 후보'!AD391)),'선정 규칙'!$B$20,0)</x:f>
        <x:v>0</x:v>
      </x:c>
      <x:c r="I391" s="11" t="n">
        <x:f>IF(ISNUMBER(SEARCH("weak_legacy_content",'제외 후보'!P391)),'선정 규칙'!$B$21,0)</x:f>
        <x:v>0</x:v>
      </x:c>
      <x:c r="J391" s="11" t="n">
        <x:f>IF('제외 후보'!AC391&lt;&gt;"",'선정 규칙'!$B$22,0)</x:f>
        <x:v>0</x:v>
      </x:c>
      <x:c r="K391" s="11" t="n">
        <x:f>SUM(B391:J391)</x:f>
        <x:v>24</x:v>
      </x:c>
      <x:c r="L391" s="11" t="n">
        <x:f>'제외 후보'!N391</x:f>
        <x:v>24</x:v>
      </x:c>
      <x:c r="M391" s="2" t="str">
        <x:f>IF(K391=L391,"OK","MISMATCH")</x:f>
        <x:v>OK</x:v>
      </x:c>
    </x:row>
    <x:row r="392">
      <x:c r="A392" s="2" t="str">
        <x:f>'제외 후보'!G392</x:f>
        <x:v>w_5fa085877beb296e</x:v>
      </x:c>
      <x:c r="B392" s="11" t="n">
        <x:f>IF('제외 후보'!Q392&lt;&gt;"",'선정 규칙'!$B$4,0)</x:f>
        <x:v>0</x:v>
      </x:c>
      <x:c r="C392" s="11" t="n">
        <x:f>IF(ISNUMBER(SEARCH("jmdict_uncommon_or_irregular",'제외 후보'!P392)),'선정 규칙'!$B$5,IF(ISNUMBER(SEARCH("jmdict_rare_or_dated",'제외 후보'!P392)),'선정 규칙'!$B$6,0))</x:f>
        <x:v>0</x:v>
      </x:c>
      <x:c r="D392" s="11" t="n">
        <x:f>IF(ISNUMBER(SEARCH("jmdict_exact_pair_not_found",'제외 후보'!P392)),'선정 규칙'!$B$7,0)</x:f>
        <x:v>0</x:v>
      </x:c>
      <x:c r="E392" s="11" t="n">
        <x:f>IF(OR('제외 후보'!L392="",'제외 후보'!L392&lt;=0),'선정 규칙'!$B$8,IF('제외 후보'!L392&lt;=1.5,'선정 규칙'!$B$9,IF('제외 후보'!L392&lt;=2,'선정 규칙'!$B$10,IF('제외 후보'!L392&lt;=2.5,'선정 규칙'!$B$11,IF('제외 후보'!L392&lt;=3,'선정 규칙'!$B$12,IF('제외 후보'!L392&lt;=3.5,'선정 규칙'!$B$13,IF('제외 후보'!L392&gt;=4.5,'선정 규칙'!$B$14,0)))))))</x:f>
        <x:v>6</x:v>
      </x:c>
      <x:c r="F392" s="11" t="n">
        <x:f>IF('제외 후보'!Y392=0,'선정 규칙'!$B$15,IF('제외 후보'!Y392&gt;=100,'선정 규칙'!$B$16,'선정 규칙'!$B$17))</x:f>
        <x:v>12</x:v>
      </x:c>
      <x:c r="G392" s="11" t="n">
        <x:f>IF('제외 후보'!M392="있음",'선정 규칙'!$B$18,'선정 규칙'!$B$19)</x:f>
        <x:v>6</x:v>
      </x:c>
      <x:c r="H392" s="11" t="n">
        <x:f>IF(ISNUMBER(SEARCH("freq-core",'제외 후보'!AD392)),'선정 규칙'!$B$20,0)</x:f>
        <x:v>0</x:v>
      </x:c>
      <x:c r="I392" s="11" t="n">
        <x:f>IF(ISNUMBER(SEARCH("weak_legacy_content",'제외 후보'!P392)),'선정 규칙'!$B$21,0)</x:f>
        <x:v>0</x:v>
      </x:c>
      <x:c r="J392" s="11" t="n">
        <x:f>IF('제외 후보'!AC392&lt;&gt;"",'선정 규칙'!$B$22,0)</x:f>
        <x:v>0</x:v>
      </x:c>
      <x:c r="K392" s="11" t="n">
        <x:f>SUM(B392:J392)</x:f>
        <x:v>24</x:v>
      </x:c>
      <x:c r="L392" s="11" t="n">
        <x:f>'제외 후보'!N392</x:f>
        <x:v>24</x:v>
      </x:c>
      <x:c r="M392" s="2" t="str">
        <x:f>IF(K392=L392,"OK","MISMATCH")</x:f>
        <x:v>OK</x:v>
      </x:c>
    </x:row>
    <x:row r="393">
      <x:c r="A393" s="2" t="str">
        <x:f>'제외 후보'!G393</x:f>
        <x:v>w_3eb97be2190f77f7</x:v>
      </x:c>
      <x:c r="B393" s="11" t="n">
        <x:f>IF('제외 후보'!Q393&lt;&gt;"",'선정 규칙'!$B$4,0)</x:f>
        <x:v>0</x:v>
      </x:c>
      <x:c r="C393" s="11" t="n">
        <x:f>IF(ISNUMBER(SEARCH("jmdict_uncommon_or_irregular",'제외 후보'!P393)),'선정 규칙'!$B$5,IF(ISNUMBER(SEARCH("jmdict_rare_or_dated",'제외 후보'!P393)),'선정 규칙'!$B$6,0))</x:f>
        <x:v>0</x:v>
      </x:c>
      <x:c r="D393" s="11" t="n">
        <x:f>IF(ISNUMBER(SEARCH("jmdict_exact_pair_not_found",'제외 후보'!P393)),'선정 규칙'!$B$7,0)</x:f>
        <x:v>0</x:v>
      </x:c>
      <x:c r="E393" s="11" t="n">
        <x:f>IF(OR('제외 후보'!L393="",'제외 후보'!L393&lt;=0),'선정 규칙'!$B$8,IF('제외 후보'!L393&lt;=1.5,'선정 규칙'!$B$9,IF('제외 후보'!L393&lt;=2,'선정 규칙'!$B$10,IF('제외 후보'!L393&lt;=2.5,'선정 규칙'!$B$11,IF('제외 후보'!L393&lt;=3,'선정 규칙'!$B$12,IF('제외 후보'!L393&lt;=3.5,'선정 규칙'!$B$13,IF('제외 후보'!L393&gt;=4.5,'선정 규칙'!$B$14,0)))))))</x:f>
        <x:v>6</x:v>
      </x:c>
      <x:c r="F393" s="11" t="n">
        <x:f>IF('제외 후보'!Y393=0,'선정 규칙'!$B$15,IF('제외 후보'!Y393&gt;=100,'선정 규칙'!$B$16,'선정 규칙'!$B$17))</x:f>
        <x:v>12</x:v>
      </x:c>
      <x:c r="G393" s="11" t="n">
        <x:f>IF('제외 후보'!M393="있음",'선정 규칙'!$B$18,'선정 규칙'!$B$19)</x:f>
        <x:v>6</x:v>
      </x:c>
      <x:c r="H393" s="11" t="n">
        <x:f>IF(ISNUMBER(SEARCH("freq-core",'제외 후보'!AD393)),'선정 규칙'!$B$20,0)</x:f>
        <x:v>0</x:v>
      </x:c>
      <x:c r="I393" s="11" t="n">
        <x:f>IF(ISNUMBER(SEARCH("weak_legacy_content",'제외 후보'!P393)),'선정 규칙'!$B$21,0)</x:f>
        <x:v>0</x:v>
      </x:c>
      <x:c r="J393" s="11" t="n">
        <x:f>IF('제외 후보'!AC393&lt;&gt;"",'선정 규칙'!$B$22,0)</x:f>
        <x:v>0</x:v>
      </x:c>
      <x:c r="K393" s="11" t="n">
        <x:f>SUM(B393:J393)</x:f>
        <x:v>24</x:v>
      </x:c>
      <x:c r="L393" s="11" t="n">
        <x:f>'제외 후보'!N393</x:f>
        <x:v>24</x:v>
      </x:c>
      <x:c r="M393" s="2" t="str">
        <x:f>IF(K393=L393,"OK","MISMATCH")</x:f>
        <x:v>OK</x:v>
      </x:c>
    </x:row>
    <x:row r="394">
      <x:c r="A394" s="2" t="str">
        <x:f>'제외 후보'!G394</x:f>
        <x:v>w_c500dd84abb9731c</x:v>
      </x:c>
      <x:c r="B394" s="11" t="n">
        <x:f>IF('제외 후보'!Q394&lt;&gt;"",'선정 규칙'!$B$4,0)</x:f>
        <x:v>0</x:v>
      </x:c>
      <x:c r="C394" s="11" t="n">
        <x:f>IF(ISNUMBER(SEARCH("jmdict_uncommon_or_irregular",'제외 후보'!P394)),'선정 규칙'!$B$5,IF(ISNUMBER(SEARCH("jmdict_rare_or_dated",'제외 후보'!P394)),'선정 규칙'!$B$6,0))</x:f>
        <x:v>0</x:v>
      </x:c>
      <x:c r="D394" s="11" t="n">
        <x:f>IF(ISNUMBER(SEARCH("jmdict_exact_pair_not_found",'제외 후보'!P394)),'선정 규칙'!$B$7,0)</x:f>
        <x:v>0</x:v>
      </x:c>
      <x:c r="E394" s="11" t="n">
        <x:f>IF(OR('제외 후보'!L394="",'제외 후보'!L394&lt;=0),'선정 규칙'!$B$8,IF('제외 후보'!L394&lt;=1.5,'선정 규칙'!$B$9,IF('제외 후보'!L394&lt;=2,'선정 규칙'!$B$10,IF('제외 후보'!L394&lt;=2.5,'선정 규칙'!$B$11,IF('제외 후보'!L394&lt;=3,'선정 규칙'!$B$12,IF('제외 후보'!L394&lt;=3.5,'선정 규칙'!$B$13,IF('제외 후보'!L394&gt;=4.5,'선정 규칙'!$B$14,0)))))))</x:f>
        <x:v>6</x:v>
      </x:c>
      <x:c r="F394" s="11" t="n">
        <x:f>IF('제외 후보'!Y394=0,'선정 규칙'!$B$15,IF('제외 후보'!Y394&gt;=100,'선정 규칙'!$B$16,'선정 규칙'!$B$17))</x:f>
        <x:v>12</x:v>
      </x:c>
      <x:c r="G394" s="11" t="n">
        <x:f>IF('제외 후보'!M394="있음",'선정 규칙'!$B$18,'선정 규칙'!$B$19)</x:f>
        <x:v>6</x:v>
      </x:c>
      <x:c r="H394" s="11" t="n">
        <x:f>IF(ISNUMBER(SEARCH("freq-core",'제외 후보'!AD394)),'선정 규칙'!$B$20,0)</x:f>
        <x:v>0</x:v>
      </x:c>
      <x:c r="I394" s="11" t="n">
        <x:f>IF(ISNUMBER(SEARCH("weak_legacy_content",'제외 후보'!P394)),'선정 규칙'!$B$21,0)</x:f>
        <x:v>0</x:v>
      </x:c>
      <x:c r="J394" s="11" t="n">
        <x:f>IF('제외 후보'!AC394&lt;&gt;"",'선정 규칙'!$B$22,0)</x:f>
        <x:v>0</x:v>
      </x:c>
      <x:c r="K394" s="11" t="n">
        <x:f>SUM(B394:J394)</x:f>
        <x:v>24</x:v>
      </x:c>
      <x:c r="L394" s="11" t="n">
        <x:f>'제외 후보'!N394</x:f>
        <x:v>24</x:v>
      </x:c>
      <x:c r="M394" s="2" t="str">
        <x:f>IF(K394=L394,"OK","MISMATCH")</x:f>
        <x:v>OK</x:v>
      </x:c>
    </x:row>
    <x:row r="395">
      <x:c r="A395" s="2" t="str">
        <x:f>'제외 후보'!G395</x:f>
        <x:v>w_8a010002b3d10bc3</x:v>
      </x:c>
      <x:c r="B395" s="11" t="n">
        <x:f>IF('제외 후보'!Q395&lt;&gt;"",'선정 규칙'!$B$4,0)</x:f>
        <x:v>0</x:v>
      </x:c>
      <x:c r="C395" s="11" t="n">
        <x:f>IF(ISNUMBER(SEARCH("jmdict_uncommon_or_irregular",'제외 후보'!P395)),'선정 규칙'!$B$5,IF(ISNUMBER(SEARCH("jmdict_rare_or_dated",'제외 후보'!P395)),'선정 규칙'!$B$6,0))</x:f>
        <x:v>0</x:v>
      </x:c>
      <x:c r="D395" s="11" t="n">
        <x:f>IF(ISNUMBER(SEARCH("jmdict_exact_pair_not_found",'제외 후보'!P395)),'선정 규칙'!$B$7,0)</x:f>
        <x:v>0</x:v>
      </x:c>
      <x:c r="E395" s="11" t="n">
        <x:f>IF(OR('제외 후보'!L395="",'제외 후보'!L395&lt;=0),'선정 규칙'!$B$8,IF('제외 후보'!L395&lt;=1.5,'선정 규칙'!$B$9,IF('제외 후보'!L395&lt;=2,'선정 규칙'!$B$10,IF('제외 후보'!L395&lt;=2.5,'선정 규칙'!$B$11,IF('제외 후보'!L395&lt;=3,'선정 규칙'!$B$12,IF('제외 후보'!L395&lt;=3.5,'선정 규칙'!$B$13,IF('제외 후보'!L395&gt;=4.5,'선정 규칙'!$B$14,0)))))))</x:f>
        <x:v>6</x:v>
      </x:c>
      <x:c r="F395" s="11" t="n">
        <x:f>IF('제외 후보'!Y395=0,'선정 규칙'!$B$15,IF('제외 후보'!Y395&gt;=100,'선정 규칙'!$B$16,'선정 규칙'!$B$17))</x:f>
        <x:v>12</x:v>
      </x:c>
      <x:c r="G395" s="11" t="n">
        <x:f>IF('제외 후보'!M395="있음",'선정 규칙'!$B$18,'선정 규칙'!$B$19)</x:f>
        <x:v>6</x:v>
      </x:c>
      <x:c r="H395" s="11" t="n">
        <x:f>IF(ISNUMBER(SEARCH("freq-core",'제외 후보'!AD395)),'선정 규칙'!$B$20,0)</x:f>
        <x:v>0</x:v>
      </x:c>
      <x:c r="I395" s="11" t="n">
        <x:f>IF(ISNUMBER(SEARCH("weak_legacy_content",'제외 후보'!P395)),'선정 규칙'!$B$21,0)</x:f>
        <x:v>0</x:v>
      </x:c>
      <x:c r="J395" s="11" t="n">
        <x:f>IF('제외 후보'!AC395&lt;&gt;"",'선정 규칙'!$B$22,0)</x:f>
        <x:v>0</x:v>
      </x:c>
      <x:c r="K395" s="11" t="n">
        <x:f>SUM(B395:J395)</x:f>
        <x:v>24</x:v>
      </x:c>
      <x:c r="L395" s="11" t="n">
        <x:f>'제외 후보'!N395</x:f>
        <x:v>24</x:v>
      </x:c>
      <x:c r="M395" s="2" t="str">
        <x:f>IF(K395=L395,"OK","MISMATCH")</x:f>
        <x:v>OK</x:v>
      </x:c>
    </x:row>
    <x:row r="396">
      <x:c r="A396" s="2" t="str">
        <x:f>'제외 후보'!G396</x:f>
        <x:v>w_a65242ead39b8875</x:v>
      </x:c>
      <x:c r="B396" s="11" t="n">
        <x:f>IF('제외 후보'!Q396&lt;&gt;"",'선정 규칙'!$B$4,0)</x:f>
        <x:v>0</x:v>
      </x:c>
      <x:c r="C396" s="11" t="n">
        <x:f>IF(ISNUMBER(SEARCH("jmdict_uncommon_or_irregular",'제외 후보'!P396)),'선정 규칙'!$B$5,IF(ISNUMBER(SEARCH("jmdict_rare_or_dated",'제외 후보'!P396)),'선정 규칙'!$B$6,0))</x:f>
        <x:v>0</x:v>
      </x:c>
      <x:c r="D396" s="11" t="n">
        <x:f>IF(ISNUMBER(SEARCH("jmdict_exact_pair_not_found",'제외 후보'!P396)),'선정 규칙'!$B$7,0)</x:f>
        <x:v>0</x:v>
      </x:c>
      <x:c r="E396" s="11" t="n">
        <x:f>IF(OR('제외 후보'!L396="",'제외 후보'!L396&lt;=0),'선정 규칙'!$B$8,IF('제외 후보'!L396&lt;=1.5,'선정 규칙'!$B$9,IF('제외 후보'!L396&lt;=2,'선정 규칙'!$B$10,IF('제외 후보'!L396&lt;=2.5,'선정 규칙'!$B$11,IF('제외 후보'!L396&lt;=3,'선정 규칙'!$B$12,IF('제외 후보'!L396&lt;=3.5,'선정 규칙'!$B$13,IF('제외 후보'!L396&gt;=4.5,'선정 규칙'!$B$14,0)))))))</x:f>
        <x:v>6</x:v>
      </x:c>
      <x:c r="F396" s="11" t="n">
        <x:f>IF('제외 후보'!Y396=0,'선정 규칙'!$B$15,IF('제외 후보'!Y396&gt;=100,'선정 규칙'!$B$16,'선정 규칙'!$B$17))</x:f>
        <x:v>12</x:v>
      </x:c>
      <x:c r="G396" s="11" t="n">
        <x:f>IF('제외 후보'!M396="있음",'선정 규칙'!$B$18,'선정 규칙'!$B$19)</x:f>
        <x:v>6</x:v>
      </x:c>
      <x:c r="H396" s="11" t="n">
        <x:f>IF(ISNUMBER(SEARCH("freq-core",'제외 후보'!AD396)),'선정 규칙'!$B$20,0)</x:f>
        <x:v>0</x:v>
      </x:c>
      <x:c r="I396" s="11" t="n">
        <x:f>IF(ISNUMBER(SEARCH("weak_legacy_content",'제외 후보'!P396)),'선정 규칙'!$B$21,0)</x:f>
        <x:v>0</x:v>
      </x:c>
      <x:c r="J396" s="11" t="n">
        <x:f>IF('제외 후보'!AC396&lt;&gt;"",'선정 규칙'!$B$22,0)</x:f>
        <x:v>0</x:v>
      </x:c>
      <x:c r="K396" s="11" t="n">
        <x:f>SUM(B396:J396)</x:f>
        <x:v>24</x:v>
      </x:c>
      <x:c r="L396" s="11" t="n">
        <x:f>'제외 후보'!N396</x:f>
        <x:v>24</x:v>
      </x:c>
      <x:c r="M396" s="2" t="str">
        <x:f>IF(K396=L396,"OK","MISMATCH")</x:f>
        <x:v>OK</x:v>
      </x:c>
    </x:row>
    <x:row r="397">
      <x:c r="A397" s="2" t="str">
        <x:f>'제외 후보'!G397</x:f>
        <x:v>w_08998e02affad7d8</x:v>
      </x:c>
      <x:c r="B397" s="11" t="n">
        <x:f>IF('제외 후보'!Q397&lt;&gt;"",'선정 규칙'!$B$4,0)</x:f>
        <x:v>0</x:v>
      </x:c>
      <x:c r="C397" s="11" t="n">
        <x:f>IF(ISNUMBER(SEARCH("jmdict_uncommon_or_irregular",'제외 후보'!P397)),'선정 규칙'!$B$5,IF(ISNUMBER(SEARCH("jmdict_rare_or_dated",'제외 후보'!P397)),'선정 규칙'!$B$6,0))</x:f>
        <x:v>0</x:v>
      </x:c>
      <x:c r="D397" s="11" t="n">
        <x:f>IF(ISNUMBER(SEARCH("jmdict_exact_pair_not_found",'제외 후보'!P397)),'선정 규칙'!$B$7,0)</x:f>
        <x:v>0</x:v>
      </x:c>
      <x:c r="E397" s="11" t="n">
        <x:f>IF(OR('제외 후보'!L397="",'제외 후보'!L397&lt;=0),'선정 규칙'!$B$8,IF('제외 후보'!L397&lt;=1.5,'선정 규칙'!$B$9,IF('제외 후보'!L397&lt;=2,'선정 규칙'!$B$10,IF('제외 후보'!L397&lt;=2.5,'선정 규칙'!$B$11,IF('제외 후보'!L397&lt;=3,'선정 규칙'!$B$12,IF('제외 후보'!L397&lt;=3.5,'선정 규칙'!$B$13,IF('제외 후보'!L397&gt;=4.5,'선정 규칙'!$B$14,0)))))))</x:f>
        <x:v>6</x:v>
      </x:c>
      <x:c r="F397" s="11" t="n">
        <x:f>IF('제외 후보'!Y397=0,'선정 규칙'!$B$15,IF('제외 후보'!Y397&gt;=100,'선정 규칙'!$B$16,'선정 규칙'!$B$17))</x:f>
        <x:v>12</x:v>
      </x:c>
      <x:c r="G397" s="11" t="n">
        <x:f>IF('제외 후보'!M397="있음",'선정 규칙'!$B$18,'선정 규칙'!$B$19)</x:f>
        <x:v>6</x:v>
      </x:c>
      <x:c r="H397" s="11" t="n">
        <x:f>IF(ISNUMBER(SEARCH("freq-core",'제외 후보'!AD397)),'선정 규칙'!$B$20,0)</x:f>
        <x:v>0</x:v>
      </x:c>
      <x:c r="I397" s="11" t="n">
        <x:f>IF(ISNUMBER(SEARCH("weak_legacy_content",'제외 후보'!P397)),'선정 규칙'!$B$21,0)</x:f>
        <x:v>0</x:v>
      </x:c>
      <x:c r="J397" s="11" t="n">
        <x:f>IF('제외 후보'!AC397&lt;&gt;"",'선정 규칙'!$B$22,0)</x:f>
        <x:v>0</x:v>
      </x:c>
      <x:c r="K397" s="11" t="n">
        <x:f>SUM(B397:J397)</x:f>
        <x:v>24</x:v>
      </x:c>
      <x:c r="L397" s="11" t="n">
        <x:f>'제외 후보'!N397</x:f>
        <x:v>24</x:v>
      </x:c>
      <x:c r="M397" s="2" t="str">
        <x:f>IF(K397=L397,"OK","MISMATCH")</x:f>
        <x:v>OK</x:v>
      </x:c>
    </x:row>
    <x:row r="398">
      <x:c r="A398" s="2" t="str">
        <x:f>'제외 후보'!G398</x:f>
        <x:v>w_932f720a8644cf94</x:v>
      </x:c>
      <x:c r="B398" s="11" t="n">
        <x:f>IF('제외 후보'!Q398&lt;&gt;"",'선정 규칙'!$B$4,0)</x:f>
        <x:v>0</x:v>
      </x:c>
      <x:c r="C398" s="11" t="n">
        <x:f>IF(ISNUMBER(SEARCH("jmdict_uncommon_or_irregular",'제외 후보'!P398)),'선정 규칙'!$B$5,IF(ISNUMBER(SEARCH("jmdict_rare_or_dated",'제외 후보'!P398)),'선정 규칙'!$B$6,0))</x:f>
        <x:v>0</x:v>
      </x:c>
      <x:c r="D398" s="11" t="n">
        <x:f>IF(ISNUMBER(SEARCH("jmdict_exact_pair_not_found",'제외 후보'!P398)),'선정 규칙'!$B$7,0)</x:f>
        <x:v>0</x:v>
      </x:c>
      <x:c r="E398" s="11" t="n">
        <x:f>IF(OR('제외 후보'!L398="",'제외 후보'!L398&lt;=0),'선정 규칙'!$B$8,IF('제외 후보'!L398&lt;=1.5,'선정 규칙'!$B$9,IF('제외 후보'!L398&lt;=2,'선정 규칙'!$B$10,IF('제외 후보'!L398&lt;=2.5,'선정 규칙'!$B$11,IF('제외 후보'!L398&lt;=3,'선정 규칙'!$B$12,IF('제외 후보'!L398&lt;=3.5,'선정 규칙'!$B$13,IF('제외 후보'!L398&gt;=4.5,'선정 규칙'!$B$14,0)))))))</x:f>
        <x:v>6</x:v>
      </x:c>
      <x:c r="F398" s="11" t="n">
        <x:f>IF('제외 후보'!Y398=0,'선정 규칙'!$B$15,IF('제외 후보'!Y398&gt;=100,'선정 규칙'!$B$16,'선정 규칙'!$B$17))</x:f>
        <x:v>12</x:v>
      </x:c>
      <x:c r="G398" s="11" t="n">
        <x:f>IF('제외 후보'!M398="있음",'선정 규칙'!$B$18,'선정 규칙'!$B$19)</x:f>
        <x:v>6</x:v>
      </x:c>
      <x:c r="H398" s="11" t="n">
        <x:f>IF(ISNUMBER(SEARCH("freq-core",'제외 후보'!AD398)),'선정 규칙'!$B$20,0)</x:f>
        <x:v>0</x:v>
      </x:c>
      <x:c r="I398" s="11" t="n">
        <x:f>IF(ISNUMBER(SEARCH("weak_legacy_content",'제외 후보'!P398)),'선정 규칙'!$B$21,0)</x:f>
        <x:v>0</x:v>
      </x:c>
      <x:c r="J398" s="11" t="n">
        <x:f>IF('제외 후보'!AC398&lt;&gt;"",'선정 규칙'!$B$22,0)</x:f>
        <x:v>0</x:v>
      </x:c>
      <x:c r="K398" s="11" t="n">
        <x:f>SUM(B398:J398)</x:f>
        <x:v>24</x:v>
      </x:c>
      <x:c r="L398" s="11" t="n">
        <x:f>'제외 후보'!N398</x:f>
        <x:v>24</x:v>
      </x:c>
      <x:c r="M398" s="2" t="str">
        <x:f>IF(K398=L398,"OK","MISMATCH")</x:f>
        <x:v>OK</x:v>
      </x:c>
    </x:row>
    <x:row r="399">
      <x:c r="A399" s="2" t="str">
        <x:f>'제외 후보'!G399</x:f>
        <x:v>w_97b27f1e9fecf061</x:v>
      </x:c>
      <x:c r="B399" s="11" t="n">
        <x:f>IF('제외 후보'!Q399&lt;&gt;"",'선정 규칙'!$B$4,0)</x:f>
        <x:v>0</x:v>
      </x:c>
      <x:c r="C399" s="11" t="n">
        <x:f>IF(ISNUMBER(SEARCH("jmdict_uncommon_or_irregular",'제외 후보'!P399)),'선정 규칙'!$B$5,IF(ISNUMBER(SEARCH("jmdict_rare_or_dated",'제외 후보'!P399)),'선정 규칙'!$B$6,0))</x:f>
        <x:v>0</x:v>
      </x:c>
      <x:c r="D399" s="11" t="n">
        <x:f>IF(ISNUMBER(SEARCH("jmdict_exact_pair_not_found",'제외 후보'!P399)),'선정 규칙'!$B$7,0)</x:f>
        <x:v>0</x:v>
      </x:c>
      <x:c r="E399" s="11" t="n">
        <x:f>IF(OR('제외 후보'!L399="",'제외 후보'!L399&lt;=0),'선정 규칙'!$B$8,IF('제외 후보'!L399&lt;=1.5,'선정 규칙'!$B$9,IF('제외 후보'!L399&lt;=2,'선정 규칙'!$B$10,IF('제외 후보'!L399&lt;=2.5,'선정 규칙'!$B$11,IF('제외 후보'!L399&lt;=3,'선정 규칙'!$B$12,IF('제외 후보'!L399&lt;=3.5,'선정 규칙'!$B$13,IF('제외 후보'!L399&gt;=4.5,'선정 규칙'!$B$14,0)))))))</x:f>
        <x:v>6</x:v>
      </x:c>
      <x:c r="F399" s="11" t="n">
        <x:f>IF('제외 후보'!Y399=0,'선정 규칙'!$B$15,IF('제외 후보'!Y399&gt;=100,'선정 규칙'!$B$16,'선정 규칙'!$B$17))</x:f>
        <x:v>12</x:v>
      </x:c>
      <x:c r="G399" s="11" t="n">
        <x:f>IF('제외 후보'!M399="있음",'선정 규칙'!$B$18,'선정 규칙'!$B$19)</x:f>
        <x:v>6</x:v>
      </x:c>
      <x:c r="H399" s="11" t="n">
        <x:f>IF(ISNUMBER(SEARCH("freq-core",'제외 후보'!AD399)),'선정 규칙'!$B$20,0)</x:f>
        <x:v>0</x:v>
      </x:c>
      <x:c r="I399" s="11" t="n">
        <x:f>IF(ISNUMBER(SEARCH("weak_legacy_content",'제외 후보'!P399)),'선정 규칙'!$B$21,0)</x:f>
        <x:v>0</x:v>
      </x:c>
      <x:c r="J399" s="11" t="n">
        <x:f>IF('제외 후보'!AC399&lt;&gt;"",'선정 규칙'!$B$22,0)</x:f>
        <x:v>0</x:v>
      </x:c>
      <x:c r="K399" s="11" t="n">
        <x:f>SUM(B399:J399)</x:f>
        <x:v>24</x:v>
      </x:c>
      <x:c r="L399" s="11" t="n">
        <x:f>'제외 후보'!N399</x:f>
        <x:v>24</x:v>
      </x:c>
      <x:c r="M399" s="2" t="str">
        <x:f>IF(K399=L399,"OK","MISMATCH")</x:f>
        <x:v>OK</x:v>
      </x:c>
    </x:row>
    <x:row r="400">
      <x:c r="A400" s="2" t="str">
        <x:f>'제외 후보'!G400</x:f>
        <x:v>w_7dbf258739ff034a</x:v>
      </x:c>
      <x:c r="B400" s="11" t="n">
        <x:f>IF('제외 후보'!Q400&lt;&gt;"",'선정 규칙'!$B$4,0)</x:f>
        <x:v>0</x:v>
      </x:c>
      <x:c r="C400" s="11" t="n">
        <x:f>IF(ISNUMBER(SEARCH("jmdict_uncommon_or_irregular",'제외 후보'!P400)),'선정 규칙'!$B$5,IF(ISNUMBER(SEARCH("jmdict_rare_or_dated",'제외 후보'!P400)),'선정 규칙'!$B$6,0))</x:f>
        <x:v>0</x:v>
      </x:c>
      <x:c r="D400" s="11" t="n">
        <x:f>IF(ISNUMBER(SEARCH("jmdict_exact_pair_not_found",'제외 후보'!P400)),'선정 규칙'!$B$7,0)</x:f>
        <x:v>0</x:v>
      </x:c>
      <x:c r="E400" s="11" t="n">
        <x:f>IF(OR('제외 후보'!L400="",'제외 후보'!L400&lt;=0),'선정 규칙'!$B$8,IF('제외 후보'!L400&lt;=1.5,'선정 규칙'!$B$9,IF('제외 후보'!L400&lt;=2,'선정 규칙'!$B$10,IF('제외 후보'!L400&lt;=2.5,'선정 규칙'!$B$11,IF('제외 후보'!L400&lt;=3,'선정 규칙'!$B$12,IF('제외 후보'!L400&lt;=3.5,'선정 규칙'!$B$13,IF('제외 후보'!L400&gt;=4.5,'선정 규칙'!$B$14,0)))))))</x:f>
        <x:v>6</x:v>
      </x:c>
      <x:c r="F400" s="11" t="n">
        <x:f>IF('제외 후보'!Y400=0,'선정 규칙'!$B$15,IF('제외 후보'!Y400&gt;=100,'선정 규칙'!$B$16,'선정 규칙'!$B$17))</x:f>
        <x:v>12</x:v>
      </x:c>
      <x:c r="G400" s="11" t="n">
        <x:f>IF('제외 후보'!M400="있음",'선정 규칙'!$B$18,'선정 규칙'!$B$19)</x:f>
        <x:v>6</x:v>
      </x:c>
      <x:c r="H400" s="11" t="n">
        <x:f>IF(ISNUMBER(SEARCH("freq-core",'제외 후보'!AD400)),'선정 규칙'!$B$20,0)</x:f>
        <x:v>0</x:v>
      </x:c>
      <x:c r="I400" s="11" t="n">
        <x:f>IF(ISNUMBER(SEARCH("weak_legacy_content",'제외 후보'!P400)),'선정 규칙'!$B$21,0)</x:f>
        <x:v>0</x:v>
      </x:c>
      <x:c r="J400" s="11" t="n">
        <x:f>IF('제외 후보'!AC400&lt;&gt;"",'선정 규칙'!$B$22,0)</x:f>
        <x:v>0</x:v>
      </x:c>
      <x:c r="K400" s="11" t="n">
        <x:f>SUM(B400:J400)</x:f>
        <x:v>24</x:v>
      </x:c>
      <x:c r="L400" s="11" t="n">
        <x:f>'제외 후보'!N400</x:f>
        <x:v>24</x:v>
      </x:c>
      <x:c r="M400" s="2" t="str">
        <x:f>IF(K400=L400,"OK","MISMATCH")</x:f>
        <x:v>OK</x:v>
      </x:c>
    </x:row>
    <x:row r="401">
      <x:c r="A401" s="2" t="str">
        <x:f>'제외 후보'!G401</x:f>
        <x:v>w_2be090e750700206</x:v>
      </x:c>
      <x:c r="B401" s="11" t="n">
        <x:f>IF('제외 후보'!Q401&lt;&gt;"",'선정 규칙'!$B$4,0)</x:f>
        <x:v>0</x:v>
      </x:c>
      <x:c r="C401" s="11" t="n">
        <x:f>IF(ISNUMBER(SEARCH("jmdict_uncommon_or_irregular",'제외 후보'!P401)),'선정 규칙'!$B$5,IF(ISNUMBER(SEARCH("jmdict_rare_or_dated",'제외 후보'!P401)),'선정 규칙'!$B$6,0))</x:f>
        <x:v>0</x:v>
      </x:c>
      <x:c r="D401" s="11" t="n">
        <x:f>IF(ISNUMBER(SEARCH("jmdict_exact_pair_not_found",'제외 후보'!P401)),'선정 규칙'!$B$7,0)</x:f>
        <x:v>0</x:v>
      </x:c>
      <x:c r="E401" s="11" t="n">
        <x:f>IF(OR('제외 후보'!L401="",'제외 후보'!L401&lt;=0),'선정 규칙'!$B$8,IF('제외 후보'!L401&lt;=1.5,'선정 규칙'!$B$9,IF('제외 후보'!L401&lt;=2,'선정 규칙'!$B$10,IF('제외 후보'!L401&lt;=2.5,'선정 규칙'!$B$11,IF('제외 후보'!L401&lt;=3,'선정 규칙'!$B$12,IF('제외 후보'!L401&lt;=3.5,'선정 규칙'!$B$13,IF('제외 후보'!L401&gt;=4.5,'선정 규칙'!$B$14,0)))))))</x:f>
        <x:v>6</x:v>
      </x:c>
      <x:c r="F401" s="11" t="n">
        <x:f>IF('제외 후보'!Y401=0,'선정 규칙'!$B$15,IF('제외 후보'!Y401&gt;=100,'선정 규칙'!$B$16,'선정 규칙'!$B$17))</x:f>
        <x:v>12</x:v>
      </x:c>
      <x:c r="G401" s="11" t="n">
        <x:f>IF('제외 후보'!M401="있음",'선정 규칙'!$B$18,'선정 규칙'!$B$19)</x:f>
        <x:v>6</x:v>
      </x:c>
      <x:c r="H401" s="11" t="n">
        <x:f>IF(ISNUMBER(SEARCH("freq-core",'제외 후보'!AD401)),'선정 규칙'!$B$20,0)</x:f>
        <x:v>0</x:v>
      </x:c>
      <x:c r="I401" s="11" t="n">
        <x:f>IF(ISNUMBER(SEARCH("weak_legacy_content",'제외 후보'!P401)),'선정 규칙'!$B$21,0)</x:f>
        <x:v>0</x:v>
      </x:c>
      <x:c r="J401" s="11" t="n">
        <x:f>IF('제외 후보'!AC401&lt;&gt;"",'선정 규칙'!$B$22,0)</x:f>
        <x:v>0</x:v>
      </x:c>
      <x:c r="K401" s="11" t="n">
        <x:f>SUM(B401:J401)</x:f>
        <x:v>24</x:v>
      </x:c>
      <x:c r="L401" s="11" t="n">
        <x:f>'제외 후보'!N401</x:f>
        <x:v>24</x:v>
      </x:c>
      <x:c r="M401" s="2" t="str">
        <x:f>IF(K401=L401,"OK","MISMATCH")</x:f>
        <x:v>OK</x:v>
      </x:c>
    </x:row>
    <x:row r="402">
      <x:c r="A402" s="2" t="str">
        <x:f>'제외 후보'!G402</x:f>
        <x:v>w_6de4c1af6340b81d</x:v>
      </x:c>
      <x:c r="B402" s="11" t="n">
        <x:f>IF('제외 후보'!Q402&lt;&gt;"",'선정 규칙'!$B$4,0)</x:f>
        <x:v>0</x:v>
      </x:c>
      <x:c r="C402" s="11" t="n">
        <x:f>IF(ISNUMBER(SEARCH("jmdict_uncommon_or_irregular",'제외 후보'!P402)),'선정 규칙'!$B$5,IF(ISNUMBER(SEARCH("jmdict_rare_or_dated",'제외 후보'!P402)),'선정 규칙'!$B$6,0))</x:f>
        <x:v>0</x:v>
      </x:c>
      <x:c r="D402" s="11" t="n">
        <x:f>IF(ISNUMBER(SEARCH("jmdict_exact_pair_not_found",'제외 후보'!P402)),'선정 규칙'!$B$7,0)</x:f>
        <x:v>0</x:v>
      </x:c>
      <x:c r="E402" s="11" t="n">
        <x:f>IF(OR('제외 후보'!L402="",'제외 후보'!L402&lt;=0),'선정 규칙'!$B$8,IF('제외 후보'!L402&lt;=1.5,'선정 규칙'!$B$9,IF('제외 후보'!L402&lt;=2,'선정 규칙'!$B$10,IF('제외 후보'!L402&lt;=2.5,'선정 규칙'!$B$11,IF('제외 후보'!L402&lt;=3,'선정 규칙'!$B$12,IF('제외 후보'!L402&lt;=3.5,'선정 규칙'!$B$13,IF('제외 후보'!L402&gt;=4.5,'선정 규칙'!$B$14,0)))))))</x:f>
        <x:v>6</x:v>
      </x:c>
      <x:c r="F402" s="11" t="n">
        <x:f>IF('제외 후보'!Y402=0,'선정 규칙'!$B$15,IF('제외 후보'!Y402&gt;=100,'선정 규칙'!$B$16,'선정 규칙'!$B$17))</x:f>
        <x:v>12</x:v>
      </x:c>
      <x:c r="G402" s="11" t="n">
        <x:f>IF('제외 후보'!M402="있음",'선정 규칙'!$B$18,'선정 규칙'!$B$19)</x:f>
        <x:v>6</x:v>
      </x:c>
      <x:c r="H402" s="11" t="n">
        <x:f>IF(ISNUMBER(SEARCH("freq-core",'제외 후보'!AD402)),'선정 규칙'!$B$20,0)</x:f>
        <x:v>0</x:v>
      </x:c>
      <x:c r="I402" s="11" t="n">
        <x:f>IF(ISNUMBER(SEARCH("weak_legacy_content",'제외 후보'!P402)),'선정 규칙'!$B$21,0)</x:f>
        <x:v>0</x:v>
      </x:c>
      <x:c r="J402" s="11" t="n">
        <x:f>IF('제외 후보'!AC402&lt;&gt;"",'선정 규칙'!$B$22,0)</x:f>
        <x:v>0</x:v>
      </x:c>
      <x:c r="K402" s="11" t="n">
        <x:f>SUM(B402:J402)</x:f>
        <x:v>24</x:v>
      </x:c>
      <x:c r="L402" s="11" t="n">
        <x:f>'제외 후보'!N402</x:f>
        <x:v>24</x:v>
      </x:c>
      <x:c r="M402" s="2" t="str">
        <x:f>IF(K402=L402,"OK","MISMATCH")</x:f>
        <x:v>OK</x:v>
      </x:c>
    </x:row>
    <x:row r="403">
      <x:c r="A403" s="2" t="str">
        <x:f>'제외 후보'!G403</x:f>
        <x:v>w_7438f55333a26e00</x:v>
      </x:c>
      <x:c r="B403" s="11" t="n">
        <x:f>IF('제외 후보'!Q403&lt;&gt;"",'선정 규칙'!$B$4,0)</x:f>
        <x:v>0</x:v>
      </x:c>
      <x:c r="C403" s="11" t="n">
        <x:f>IF(ISNUMBER(SEARCH("jmdict_uncommon_or_irregular",'제외 후보'!P403)),'선정 규칙'!$B$5,IF(ISNUMBER(SEARCH("jmdict_rare_or_dated",'제외 후보'!P403)),'선정 규칙'!$B$6,0))</x:f>
        <x:v>0</x:v>
      </x:c>
      <x:c r="D403" s="11" t="n">
        <x:f>IF(ISNUMBER(SEARCH("jmdict_exact_pair_not_found",'제외 후보'!P403)),'선정 규칙'!$B$7,0)</x:f>
        <x:v>0</x:v>
      </x:c>
      <x:c r="E403" s="11" t="n">
        <x:f>IF(OR('제외 후보'!L403="",'제외 후보'!L403&lt;=0),'선정 규칙'!$B$8,IF('제외 후보'!L403&lt;=1.5,'선정 규칙'!$B$9,IF('제외 후보'!L403&lt;=2,'선정 규칙'!$B$10,IF('제외 후보'!L403&lt;=2.5,'선정 규칙'!$B$11,IF('제외 후보'!L403&lt;=3,'선정 규칙'!$B$12,IF('제외 후보'!L403&lt;=3.5,'선정 규칙'!$B$13,IF('제외 후보'!L403&gt;=4.5,'선정 규칙'!$B$14,0)))))))</x:f>
        <x:v>6</x:v>
      </x:c>
      <x:c r="F403" s="11" t="n">
        <x:f>IF('제외 후보'!Y403=0,'선정 규칙'!$B$15,IF('제외 후보'!Y403&gt;=100,'선정 규칙'!$B$16,'선정 규칙'!$B$17))</x:f>
        <x:v>12</x:v>
      </x:c>
      <x:c r="G403" s="11" t="n">
        <x:f>IF('제외 후보'!M403="있음",'선정 규칙'!$B$18,'선정 규칙'!$B$19)</x:f>
        <x:v>6</x:v>
      </x:c>
      <x:c r="H403" s="11" t="n">
        <x:f>IF(ISNUMBER(SEARCH("freq-core",'제외 후보'!AD403)),'선정 규칙'!$B$20,0)</x:f>
        <x:v>0</x:v>
      </x:c>
      <x:c r="I403" s="11" t="n">
        <x:f>IF(ISNUMBER(SEARCH("weak_legacy_content",'제외 후보'!P403)),'선정 규칙'!$B$21,0)</x:f>
        <x:v>0</x:v>
      </x:c>
      <x:c r="J403" s="11" t="n">
        <x:f>IF('제외 후보'!AC403&lt;&gt;"",'선정 규칙'!$B$22,0)</x:f>
        <x:v>0</x:v>
      </x:c>
      <x:c r="K403" s="11" t="n">
        <x:f>SUM(B403:J403)</x:f>
        <x:v>24</x:v>
      </x:c>
      <x:c r="L403" s="11" t="n">
        <x:f>'제외 후보'!N403</x:f>
        <x:v>24</x:v>
      </x:c>
      <x:c r="M403" s="2" t="str">
        <x:f>IF(K403=L403,"OK","MISMATCH")</x:f>
        <x:v>OK</x:v>
      </x:c>
    </x:row>
    <x:row r="404">
      <x:c r="A404" s="2" t="str">
        <x:f>'제외 후보'!G404</x:f>
        <x:v>w_02ca0f36affad16a</x:v>
      </x:c>
      <x:c r="B404" s="11" t="n">
        <x:f>IF('제외 후보'!Q404&lt;&gt;"",'선정 규칙'!$B$4,0)</x:f>
        <x:v>0</x:v>
      </x:c>
      <x:c r="C404" s="11" t="n">
        <x:f>IF(ISNUMBER(SEARCH("jmdict_uncommon_or_irregular",'제외 후보'!P404)),'선정 규칙'!$B$5,IF(ISNUMBER(SEARCH("jmdict_rare_or_dated",'제외 후보'!P404)),'선정 규칙'!$B$6,0))</x:f>
        <x:v>0</x:v>
      </x:c>
      <x:c r="D404" s="11" t="n">
        <x:f>IF(ISNUMBER(SEARCH("jmdict_exact_pair_not_found",'제외 후보'!P404)),'선정 규칙'!$B$7,0)</x:f>
        <x:v>0</x:v>
      </x:c>
      <x:c r="E404" s="11" t="n">
        <x:f>IF(OR('제외 후보'!L404="",'제외 후보'!L404&lt;=0),'선정 규칙'!$B$8,IF('제외 후보'!L404&lt;=1.5,'선정 규칙'!$B$9,IF('제외 후보'!L404&lt;=2,'선정 규칙'!$B$10,IF('제외 후보'!L404&lt;=2.5,'선정 규칙'!$B$11,IF('제외 후보'!L404&lt;=3,'선정 규칙'!$B$12,IF('제외 후보'!L404&lt;=3.5,'선정 규칙'!$B$13,IF('제외 후보'!L404&gt;=4.5,'선정 규칙'!$B$14,0)))))))</x:f>
        <x:v>6</x:v>
      </x:c>
      <x:c r="F404" s="11" t="n">
        <x:f>IF('제외 후보'!Y404=0,'선정 규칙'!$B$15,IF('제외 후보'!Y404&gt;=100,'선정 규칙'!$B$16,'선정 규칙'!$B$17))</x:f>
        <x:v>12</x:v>
      </x:c>
      <x:c r="G404" s="11" t="n">
        <x:f>IF('제외 후보'!M404="있음",'선정 규칙'!$B$18,'선정 규칙'!$B$19)</x:f>
        <x:v>6</x:v>
      </x:c>
      <x:c r="H404" s="11" t="n">
        <x:f>IF(ISNUMBER(SEARCH("freq-core",'제외 후보'!AD404)),'선정 규칙'!$B$20,0)</x:f>
        <x:v>0</x:v>
      </x:c>
      <x:c r="I404" s="11" t="n">
        <x:f>IF(ISNUMBER(SEARCH("weak_legacy_content",'제외 후보'!P404)),'선정 규칙'!$B$21,0)</x:f>
        <x:v>0</x:v>
      </x:c>
      <x:c r="J404" s="11" t="n">
        <x:f>IF('제외 후보'!AC404&lt;&gt;"",'선정 규칙'!$B$22,0)</x:f>
        <x:v>0</x:v>
      </x:c>
      <x:c r="K404" s="11" t="n">
        <x:f>SUM(B404:J404)</x:f>
        <x:v>24</x:v>
      </x:c>
      <x:c r="L404" s="11" t="n">
        <x:f>'제외 후보'!N404</x:f>
        <x:v>24</x:v>
      </x:c>
      <x:c r="M404" s="2" t="str">
        <x:f>IF(K404=L404,"OK","MISMATCH")</x:f>
        <x:v>OK</x:v>
      </x:c>
    </x:row>
    <x:row r="405">
      <x:c r="A405" s="2" t="str">
        <x:f>'제외 후보'!G405</x:f>
        <x:v>w_4f4d7595857b648b</x:v>
      </x:c>
      <x:c r="B405" s="11" t="n">
        <x:f>IF('제외 후보'!Q405&lt;&gt;"",'선정 규칙'!$B$4,0)</x:f>
        <x:v>0</x:v>
      </x:c>
      <x:c r="C405" s="11" t="n">
        <x:f>IF(ISNUMBER(SEARCH("jmdict_uncommon_or_irregular",'제외 후보'!P405)),'선정 규칙'!$B$5,IF(ISNUMBER(SEARCH("jmdict_rare_or_dated",'제외 후보'!P405)),'선정 규칙'!$B$6,0))</x:f>
        <x:v>0</x:v>
      </x:c>
      <x:c r="D405" s="11" t="n">
        <x:f>IF(ISNUMBER(SEARCH("jmdict_exact_pair_not_found",'제외 후보'!P405)),'선정 규칙'!$B$7,0)</x:f>
        <x:v>0</x:v>
      </x:c>
      <x:c r="E405" s="11" t="n">
        <x:f>IF(OR('제외 후보'!L405="",'제외 후보'!L405&lt;=0),'선정 규칙'!$B$8,IF('제외 후보'!L405&lt;=1.5,'선정 규칙'!$B$9,IF('제외 후보'!L405&lt;=2,'선정 규칙'!$B$10,IF('제외 후보'!L405&lt;=2.5,'선정 규칙'!$B$11,IF('제외 후보'!L405&lt;=3,'선정 규칙'!$B$12,IF('제외 후보'!L405&lt;=3.5,'선정 규칙'!$B$13,IF('제외 후보'!L405&gt;=4.5,'선정 규칙'!$B$14,0)))))))</x:f>
        <x:v>6</x:v>
      </x:c>
      <x:c r="F405" s="11" t="n">
        <x:f>IF('제외 후보'!Y405=0,'선정 규칙'!$B$15,IF('제외 후보'!Y405&gt;=100,'선정 규칙'!$B$16,'선정 규칙'!$B$17))</x:f>
        <x:v>12</x:v>
      </x:c>
      <x:c r="G405" s="11" t="n">
        <x:f>IF('제외 후보'!M405="있음",'선정 규칙'!$B$18,'선정 규칙'!$B$19)</x:f>
        <x:v>6</x:v>
      </x:c>
      <x:c r="H405" s="11" t="n">
        <x:f>IF(ISNUMBER(SEARCH("freq-core",'제외 후보'!AD405)),'선정 규칙'!$B$20,0)</x:f>
        <x:v>0</x:v>
      </x:c>
      <x:c r="I405" s="11" t="n">
        <x:f>IF(ISNUMBER(SEARCH("weak_legacy_content",'제외 후보'!P405)),'선정 규칙'!$B$21,0)</x:f>
        <x:v>0</x:v>
      </x:c>
      <x:c r="J405" s="11" t="n">
        <x:f>IF('제외 후보'!AC405&lt;&gt;"",'선정 규칙'!$B$22,0)</x:f>
        <x:v>0</x:v>
      </x:c>
      <x:c r="K405" s="11" t="n">
        <x:f>SUM(B405:J405)</x:f>
        <x:v>24</x:v>
      </x:c>
      <x:c r="L405" s="11" t="n">
        <x:f>'제외 후보'!N405</x:f>
        <x:v>24</x:v>
      </x:c>
      <x:c r="M405" s="2" t="str">
        <x:f>IF(K405=L405,"OK","MISMATCH")</x:f>
        <x:v>OK</x:v>
      </x:c>
    </x:row>
    <x:row r="406">
      <x:c r="A406" s="2" t="str">
        <x:f>'제외 후보'!G406</x:f>
        <x:v>w_fb87648c22fb2879</x:v>
      </x:c>
      <x:c r="B406" s="11" t="n">
        <x:f>IF('제외 후보'!Q406&lt;&gt;"",'선정 규칙'!$B$4,0)</x:f>
        <x:v>0</x:v>
      </x:c>
      <x:c r="C406" s="11" t="n">
        <x:f>IF(ISNUMBER(SEARCH("jmdict_uncommon_or_irregular",'제외 후보'!P406)),'선정 규칙'!$B$5,IF(ISNUMBER(SEARCH("jmdict_rare_or_dated",'제외 후보'!P406)),'선정 규칙'!$B$6,0))</x:f>
        <x:v>0</x:v>
      </x:c>
      <x:c r="D406" s="11" t="n">
        <x:f>IF(ISNUMBER(SEARCH("jmdict_exact_pair_not_found",'제외 후보'!P406)),'선정 규칙'!$B$7,0)</x:f>
        <x:v>0</x:v>
      </x:c>
      <x:c r="E406" s="11" t="n">
        <x:f>IF(OR('제외 후보'!L406="",'제외 후보'!L406&lt;=0),'선정 규칙'!$B$8,IF('제외 후보'!L406&lt;=1.5,'선정 규칙'!$B$9,IF('제외 후보'!L406&lt;=2,'선정 규칙'!$B$10,IF('제외 후보'!L406&lt;=2.5,'선정 규칙'!$B$11,IF('제외 후보'!L406&lt;=3,'선정 규칙'!$B$12,IF('제외 후보'!L406&lt;=3.5,'선정 규칙'!$B$13,IF('제외 후보'!L406&gt;=4.5,'선정 규칙'!$B$14,0)))))))</x:f>
        <x:v>6</x:v>
      </x:c>
      <x:c r="F406" s="11" t="n">
        <x:f>IF('제외 후보'!Y406=0,'선정 규칙'!$B$15,IF('제외 후보'!Y406&gt;=100,'선정 규칙'!$B$16,'선정 규칙'!$B$17))</x:f>
        <x:v>12</x:v>
      </x:c>
      <x:c r="G406" s="11" t="n">
        <x:f>IF('제외 후보'!M406="있음",'선정 규칙'!$B$18,'선정 규칙'!$B$19)</x:f>
        <x:v>6</x:v>
      </x:c>
      <x:c r="H406" s="11" t="n">
        <x:f>IF(ISNUMBER(SEARCH("freq-core",'제외 후보'!AD406)),'선정 규칙'!$B$20,0)</x:f>
        <x:v>0</x:v>
      </x:c>
      <x:c r="I406" s="11" t="n">
        <x:f>IF(ISNUMBER(SEARCH("weak_legacy_content",'제외 후보'!P406)),'선정 규칙'!$B$21,0)</x:f>
        <x:v>0</x:v>
      </x:c>
      <x:c r="J406" s="11" t="n">
        <x:f>IF('제외 후보'!AC406&lt;&gt;"",'선정 규칙'!$B$22,0)</x:f>
        <x:v>0</x:v>
      </x:c>
      <x:c r="K406" s="11" t="n">
        <x:f>SUM(B406:J406)</x:f>
        <x:v>24</x:v>
      </x:c>
      <x:c r="L406" s="11" t="n">
        <x:f>'제외 후보'!N406</x:f>
        <x:v>24</x:v>
      </x:c>
      <x:c r="M406" s="2" t="str">
        <x:f>IF(K406=L406,"OK","MISMATCH")</x:f>
        <x:v>OK</x:v>
      </x:c>
    </x:row>
    <x:row r="407">
      <x:c r="A407" s="2" t="str">
        <x:f>'제외 후보'!G407</x:f>
        <x:v>w_d0820b94a1686dbf</x:v>
      </x:c>
      <x:c r="B407" s="11" t="n">
        <x:f>IF('제외 후보'!Q407&lt;&gt;"",'선정 규칙'!$B$4,0)</x:f>
        <x:v>0</x:v>
      </x:c>
      <x:c r="C407" s="11" t="n">
        <x:f>IF(ISNUMBER(SEARCH("jmdict_uncommon_or_irregular",'제외 후보'!P407)),'선정 규칙'!$B$5,IF(ISNUMBER(SEARCH("jmdict_rare_or_dated",'제외 후보'!P407)),'선정 규칙'!$B$6,0))</x:f>
        <x:v>0</x:v>
      </x:c>
      <x:c r="D407" s="11" t="n">
        <x:f>IF(ISNUMBER(SEARCH("jmdict_exact_pair_not_found",'제외 후보'!P407)),'선정 규칙'!$B$7,0)</x:f>
        <x:v>0</x:v>
      </x:c>
      <x:c r="E407" s="11" t="n">
        <x:f>IF(OR('제외 후보'!L407="",'제외 후보'!L407&lt;=0),'선정 규칙'!$B$8,IF('제외 후보'!L407&lt;=1.5,'선정 규칙'!$B$9,IF('제외 후보'!L407&lt;=2,'선정 규칙'!$B$10,IF('제외 후보'!L407&lt;=2.5,'선정 규칙'!$B$11,IF('제외 후보'!L407&lt;=3,'선정 규칙'!$B$12,IF('제외 후보'!L407&lt;=3.5,'선정 규칙'!$B$13,IF('제외 후보'!L407&gt;=4.5,'선정 규칙'!$B$14,0)))))))</x:f>
        <x:v>6</x:v>
      </x:c>
      <x:c r="F407" s="11" t="n">
        <x:f>IF('제외 후보'!Y407=0,'선정 규칙'!$B$15,IF('제외 후보'!Y407&gt;=100,'선정 규칙'!$B$16,'선정 규칙'!$B$17))</x:f>
        <x:v>12</x:v>
      </x:c>
      <x:c r="G407" s="11" t="n">
        <x:f>IF('제외 후보'!M407="있음",'선정 규칙'!$B$18,'선정 규칙'!$B$19)</x:f>
        <x:v>6</x:v>
      </x:c>
      <x:c r="H407" s="11" t="n">
        <x:f>IF(ISNUMBER(SEARCH("freq-core",'제외 후보'!AD407)),'선정 규칙'!$B$20,0)</x:f>
        <x:v>0</x:v>
      </x:c>
      <x:c r="I407" s="11" t="n">
        <x:f>IF(ISNUMBER(SEARCH("weak_legacy_content",'제외 후보'!P407)),'선정 규칙'!$B$21,0)</x:f>
        <x:v>0</x:v>
      </x:c>
      <x:c r="J407" s="11" t="n">
        <x:f>IF('제외 후보'!AC407&lt;&gt;"",'선정 규칙'!$B$22,0)</x:f>
        <x:v>0</x:v>
      </x:c>
      <x:c r="K407" s="11" t="n">
        <x:f>SUM(B407:J407)</x:f>
        <x:v>24</x:v>
      </x:c>
      <x:c r="L407" s="11" t="n">
        <x:f>'제외 후보'!N407</x:f>
        <x:v>24</x:v>
      </x:c>
      <x:c r="M407" s="2" t="str">
        <x:f>IF(K407=L407,"OK","MISMATCH")</x:f>
        <x:v>OK</x:v>
      </x:c>
    </x:row>
    <x:row r="408">
      <x:c r="A408" s="2" t="str">
        <x:f>'제외 후보'!G408</x:f>
        <x:v>w_8400b60c7b06f18c</x:v>
      </x:c>
      <x:c r="B408" s="11" t="n">
        <x:f>IF('제외 후보'!Q408&lt;&gt;"",'선정 규칙'!$B$4,0)</x:f>
        <x:v>0</x:v>
      </x:c>
      <x:c r="C408" s="11" t="n">
        <x:f>IF(ISNUMBER(SEARCH("jmdict_uncommon_or_irregular",'제외 후보'!P408)),'선정 규칙'!$B$5,IF(ISNUMBER(SEARCH("jmdict_rare_or_dated",'제외 후보'!P408)),'선정 규칙'!$B$6,0))</x:f>
        <x:v>0</x:v>
      </x:c>
      <x:c r="D408" s="11" t="n">
        <x:f>IF(ISNUMBER(SEARCH("jmdict_exact_pair_not_found",'제외 후보'!P408)),'선정 규칙'!$B$7,0)</x:f>
        <x:v>0</x:v>
      </x:c>
      <x:c r="E408" s="11" t="n">
        <x:f>IF(OR('제외 후보'!L408="",'제외 후보'!L408&lt;=0),'선정 규칙'!$B$8,IF('제외 후보'!L408&lt;=1.5,'선정 규칙'!$B$9,IF('제외 후보'!L408&lt;=2,'선정 규칙'!$B$10,IF('제외 후보'!L408&lt;=2.5,'선정 규칙'!$B$11,IF('제외 후보'!L408&lt;=3,'선정 규칙'!$B$12,IF('제외 후보'!L408&lt;=3.5,'선정 규칙'!$B$13,IF('제외 후보'!L408&gt;=4.5,'선정 규칙'!$B$14,0)))))))</x:f>
        <x:v>6</x:v>
      </x:c>
      <x:c r="F408" s="11" t="n">
        <x:f>IF('제외 후보'!Y408=0,'선정 규칙'!$B$15,IF('제외 후보'!Y408&gt;=100,'선정 규칙'!$B$16,'선정 규칙'!$B$17))</x:f>
        <x:v>12</x:v>
      </x:c>
      <x:c r="G408" s="11" t="n">
        <x:f>IF('제외 후보'!M408="있음",'선정 규칙'!$B$18,'선정 규칙'!$B$19)</x:f>
        <x:v>6</x:v>
      </x:c>
      <x:c r="H408" s="11" t="n">
        <x:f>IF(ISNUMBER(SEARCH("freq-core",'제외 후보'!AD408)),'선정 규칙'!$B$20,0)</x:f>
        <x:v>0</x:v>
      </x:c>
      <x:c r="I408" s="11" t="n">
        <x:f>IF(ISNUMBER(SEARCH("weak_legacy_content",'제외 후보'!P408)),'선정 규칙'!$B$21,0)</x:f>
        <x:v>0</x:v>
      </x:c>
      <x:c r="J408" s="11" t="n">
        <x:f>IF('제외 후보'!AC408&lt;&gt;"",'선정 규칙'!$B$22,0)</x:f>
        <x:v>0</x:v>
      </x:c>
      <x:c r="K408" s="11" t="n">
        <x:f>SUM(B408:J408)</x:f>
        <x:v>24</x:v>
      </x:c>
      <x:c r="L408" s="11" t="n">
        <x:f>'제외 후보'!N408</x:f>
        <x:v>24</x:v>
      </x:c>
      <x:c r="M408" s="2" t="str">
        <x:f>IF(K408=L408,"OK","MISMATCH")</x:f>
        <x:v>OK</x:v>
      </x:c>
    </x:row>
    <x:row r="409">
      <x:c r="A409" s="2" t="str">
        <x:f>'제외 후보'!G409</x:f>
        <x:v>w_75a7da2b41c7a096</x:v>
      </x:c>
      <x:c r="B409" s="11" t="n">
        <x:f>IF('제외 후보'!Q409&lt;&gt;"",'선정 규칙'!$B$4,0)</x:f>
        <x:v>0</x:v>
      </x:c>
      <x:c r="C409" s="11" t="n">
        <x:f>IF(ISNUMBER(SEARCH("jmdict_uncommon_or_irregular",'제외 후보'!P409)),'선정 규칙'!$B$5,IF(ISNUMBER(SEARCH("jmdict_rare_or_dated",'제외 후보'!P409)),'선정 규칙'!$B$6,0))</x:f>
        <x:v>0</x:v>
      </x:c>
      <x:c r="D409" s="11" t="n">
        <x:f>IF(ISNUMBER(SEARCH("jmdict_exact_pair_not_found",'제외 후보'!P409)),'선정 규칙'!$B$7,0)</x:f>
        <x:v>0</x:v>
      </x:c>
      <x:c r="E409" s="11" t="n">
        <x:f>IF(OR('제외 후보'!L409="",'제외 후보'!L409&lt;=0),'선정 규칙'!$B$8,IF('제외 후보'!L409&lt;=1.5,'선정 규칙'!$B$9,IF('제외 후보'!L409&lt;=2,'선정 규칙'!$B$10,IF('제외 후보'!L409&lt;=2.5,'선정 규칙'!$B$11,IF('제외 후보'!L409&lt;=3,'선정 규칙'!$B$12,IF('제외 후보'!L409&lt;=3.5,'선정 규칙'!$B$13,IF('제외 후보'!L409&gt;=4.5,'선정 규칙'!$B$14,0)))))))</x:f>
        <x:v>6</x:v>
      </x:c>
      <x:c r="F409" s="11" t="n">
        <x:f>IF('제외 후보'!Y409=0,'선정 규칙'!$B$15,IF('제외 후보'!Y409&gt;=100,'선정 규칙'!$B$16,'선정 규칙'!$B$17))</x:f>
        <x:v>12</x:v>
      </x:c>
      <x:c r="G409" s="11" t="n">
        <x:f>IF('제외 후보'!M409="있음",'선정 규칙'!$B$18,'선정 규칙'!$B$19)</x:f>
        <x:v>6</x:v>
      </x:c>
      <x:c r="H409" s="11" t="n">
        <x:f>IF(ISNUMBER(SEARCH("freq-core",'제외 후보'!AD409)),'선정 규칙'!$B$20,0)</x:f>
        <x:v>0</x:v>
      </x:c>
      <x:c r="I409" s="11" t="n">
        <x:f>IF(ISNUMBER(SEARCH("weak_legacy_content",'제외 후보'!P409)),'선정 규칙'!$B$21,0)</x:f>
        <x:v>0</x:v>
      </x:c>
      <x:c r="J409" s="11" t="n">
        <x:f>IF('제외 후보'!AC409&lt;&gt;"",'선정 규칙'!$B$22,0)</x:f>
        <x:v>0</x:v>
      </x:c>
      <x:c r="K409" s="11" t="n">
        <x:f>SUM(B409:J409)</x:f>
        <x:v>24</x:v>
      </x:c>
      <x:c r="L409" s="11" t="n">
        <x:f>'제외 후보'!N409</x:f>
        <x:v>24</x:v>
      </x:c>
      <x:c r="M409" s="2" t="str">
        <x:f>IF(K409=L409,"OK","MISMATCH")</x:f>
        <x:v>OK</x:v>
      </x:c>
    </x:row>
    <x:row r="410">
      <x:c r="A410" s="2" t="str">
        <x:f>'제외 후보'!G410</x:f>
        <x:v>w_f6a5dec8e420f557</x:v>
      </x:c>
      <x:c r="B410" s="11" t="n">
        <x:f>IF('제외 후보'!Q410&lt;&gt;"",'선정 규칙'!$B$4,0)</x:f>
        <x:v>0</x:v>
      </x:c>
      <x:c r="C410" s="11" t="n">
        <x:f>IF(ISNUMBER(SEARCH("jmdict_uncommon_or_irregular",'제외 후보'!P410)),'선정 규칙'!$B$5,IF(ISNUMBER(SEARCH("jmdict_rare_or_dated",'제외 후보'!P410)),'선정 규칙'!$B$6,0))</x:f>
        <x:v>0</x:v>
      </x:c>
      <x:c r="D410" s="11" t="n">
        <x:f>IF(ISNUMBER(SEARCH("jmdict_exact_pair_not_found",'제외 후보'!P410)),'선정 규칙'!$B$7,0)</x:f>
        <x:v>0</x:v>
      </x:c>
      <x:c r="E410" s="11" t="n">
        <x:f>IF(OR('제외 후보'!L410="",'제외 후보'!L410&lt;=0),'선정 규칙'!$B$8,IF('제외 후보'!L410&lt;=1.5,'선정 규칙'!$B$9,IF('제외 후보'!L410&lt;=2,'선정 규칙'!$B$10,IF('제외 후보'!L410&lt;=2.5,'선정 규칙'!$B$11,IF('제외 후보'!L410&lt;=3,'선정 규칙'!$B$12,IF('제외 후보'!L410&lt;=3.5,'선정 규칙'!$B$13,IF('제외 후보'!L410&gt;=4.5,'선정 규칙'!$B$14,0)))))))</x:f>
        <x:v>6</x:v>
      </x:c>
      <x:c r="F410" s="11" t="n">
        <x:f>IF('제외 후보'!Y410=0,'선정 규칙'!$B$15,IF('제외 후보'!Y410&gt;=100,'선정 규칙'!$B$16,'선정 규칙'!$B$17))</x:f>
        <x:v>12</x:v>
      </x:c>
      <x:c r="G410" s="11" t="n">
        <x:f>IF('제외 후보'!M410="있음",'선정 규칙'!$B$18,'선정 규칙'!$B$19)</x:f>
        <x:v>6</x:v>
      </x:c>
      <x:c r="H410" s="11" t="n">
        <x:f>IF(ISNUMBER(SEARCH("freq-core",'제외 후보'!AD410)),'선정 규칙'!$B$20,0)</x:f>
        <x:v>0</x:v>
      </x:c>
      <x:c r="I410" s="11" t="n">
        <x:f>IF(ISNUMBER(SEARCH("weak_legacy_content",'제외 후보'!P410)),'선정 규칙'!$B$21,0)</x:f>
        <x:v>0</x:v>
      </x:c>
      <x:c r="J410" s="11" t="n">
        <x:f>IF('제외 후보'!AC410&lt;&gt;"",'선정 규칙'!$B$22,0)</x:f>
        <x:v>0</x:v>
      </x:c>
      <x:c r="K410" s="11" t="n">
        <x:f>SUM(B410:J410)</x:f>
        <x:v>24</x:v>
      </x:c>
      <x:c r="L410" s="11" t="n">
        <x:f>'제외 후보'!N410</x:f>
        <x:v>24</x:v>
      </x:c>
      <x:c r="M410" s="2" t="str">
        <x:f>IF(K410=L410,"OK","MISMATCH")</x:f>
        <x:v>OK</x:v>
      </x:c>
    </x:row>
    <x:row r="411">
      <x:c r="A411" s="2" t="str">
        <x:f>'제외 후보'!G411</x:f>
        <x:v>w_a32ce81d6a19a458</x:v>
      </x:c>
      <x:c r="B411" s="11" t="n">
        <x:f>IF('제외 후보'!Q411&lt;&gt;"",'선정 규칙'!$B$4,0)</x:f>
        <x:v>0</x:v>
      </x:c>
      <x:c r="C411" s="11" t="n">
        <x:f>IF(ISNUMBER(SEARCH("jmdict_uncommon_or_irregular",'제외 후보'!P411)),'선정 규칙'!$B$5,IF(ISNUMBER(SEARCH("jmdict_rare_or_dated",'제외 후보'!P411)),'선정 규칙'!$B$6,0))</x:f>
        <x:v>0</x:v>
      </x:c>
      <x:c r="D411" s="11" t="n">
        <x:f>IF(ISNUMBER(SEARCH("jmdict_exact_pair_not_found",'제외 후보'!P411)),'선정 규칙'!$B$7,0)</x:f>
        <x:v>0</x:v>
      </x:c>
      <x:c r="E411" s="11" t="n">
        <x:f>IF(OR('제외 후보'!L411="",'제외 후보'!L411&lt;=0),'선정 규칙'!$B$8,IF('제외 후보'!L411&lt;=1.5,'선정 규칙'!$B$9,IF('제외 후보'!L411&lt;=2,'선정 규칙'!$B$10,IF('제외 후보'!L411&lt;=2.5,'선정 규칙'!$B$11,IF('제외 후보'!L411&lt;=3,'선정 규칙'!$B$12,IF('제외 후보'!L411&lt;=3.5,'선정 규칙'!$B$13,IF('제외 후보'!L411&gt;=4.5,'선정 규칙'!$B$14,0)))))))</x:f>
        <x:v>6</x:v>
      </x:c>
      <x:c r="F411" s="11" t="n">
        <x:f>IF('제외 후보'!Y411=0,'선정 규칙'!$B$15,IF('제외 후보'!Y411&gt;=100,'선정 규칙'!$B$16,'선정 규칙'!$B$17))</x:f>
        <x:v>12</x:v>
      </x:c>
      <x:c r="G411" s="11" t="n">
        <x:f>IF('제외 후보'!M411="있음",'선정 규칙'!$B$18,'선정 규칙'!$B$19)</x:f>
        <x:v>6</x:v>
      </x:c>
      <x:c r="H411" s="11" t="n">
        <x:f>IF(ISNUMBER(SEARCH("freq-core",'제외 후보'!AD411)),'선정 규칙'!$B$20,0)</x:f>
        <x:v>0</x:v>
      </x:c>
      <x:c r="I411" s="11" t="n">
        <x:f>IF(ISNUMBER(SEARCH("weak_legacy_content",'제외 후보'!P411)),'선정 규칙'!$B$21,0)</x:f>
        <x:v>0</x:v>
      </x:c>
      <x:c r="J411" s="11" t="n">
        <x:f>IF('제외 후보'!AC411&lt;&gt;"",'선정 규칙'!$B$22,0)</x:f>
        <x:v>0</x:v>
      </x:c>
      <x:c r="K411" s="11" t="n">
        <x:f>SUM(B411:J411)</x:f>
        <x:v>24</x:v>
      </x:c>
      <x:c r="L411" s="11" t="n">
        <x:f>'제외 후보'!N411</x:f>
        <x:v>24</x:v>
      </x:c>
      <x:c r="M411" s="2" t="str">
        <x:f>IF(K411=L411,"OK","MISMATCH")</x:f>
        <x:v>OK</x:v>
      </x:c>
    </x:row>
    <x:row r="412">
      <x:c r="A412" s="2" t="str">
        <x:f>'제외 후보'!G412</x:f>
        <x:v>w_8d440df94f874e3d</x:v>
      </x:c>
      <x:c r="B412" s="11" t="n">
        <x:f>IF('제외 후보'!Q412&lt;&gt;"",'선정 규칙'!$B$4,0)</x:f>
        <x:v>0</x:v>
      </x:c>
      <x:c r="C412" s="11" t="n">
        <x:f>IF(ISNUMBER(SEARCH("jmdict_uncommon_or_irregular",'제외 후보'!P412)),'선정 규칙'!$B$5,IF(ISNUMBER(SEARCH("jmdict_rare_or_dated",'제외 후보'!P412)),'선정 규칙'!$B$6,0))</x:f>
        <x:v>0</x:v>
      </x:c>
      <x:c r="D412" s="11" t="n">
        <x:f>IF(ISNUMBER(SEARCH("jmdict_exact_pair_not_found",'제외 후보'!P412)),'선정 규칙'!$B$7,0)</x:f>
        <x:v>0</x:v>
      </x:c>
      <x:c r="E412" s="11" t="n">
        <x:f>IF(OR('제외 후보'!L412="",'제외 후보'!L412&lt;=0),'선정 규칙'!$B$8,IF('제외 후보'!L412&lt;=1.5,'선정 규칙'!$B$9,IF('제외 후보'!L412&lt;=2,'선정 규칙'!$B$10,IF('제외 후보'!L412&lt;=2.5,'선정 규칙'!$B$11,IF('제외 후보'!L412&lt;=3,'선정 규칙'!$B$12,IF('제외 후보'!L412&lt;=3.5,'선정 규칙'!$B$13,IF('제외 후보'!L412&gt;=4.5,'선정 규칙'!$B$14,0)))))))</x:f>
        <x:v>6</x:v>
      </x:c>
      <x:c r="F412" s="11" t="n">
        <x:f>IF('제외 후보'!Y412=0,'선정 규칙'!$B$15,IF('제외 후보'!Y412&gt;=100,'선정 규칙'!$B$16,'선정 규칙'!$B$17))</x:f>
        <x:v>12</x:v>
      </x:c>
      <x:c r="G412" s="11" t="n">
        <x:f>IF('제외 후보'!M412="있음",'선정 규칙'!$B$18,'선정 규칙'!$B$19)</x:f>
        <x:v>6</x:v>
      </x:c>
      <x:c r="H412" s="11" t="n">
        <x:f>IF(ISNUMBER(SEARCH("freq-core",'제외 후보'!AD412)),'선정 규칙'!$B$20,0)</x:f>
        <x:v>0</x:v>
      </x:c>
      <x:c r="I412" s="11" t="n">
        <x:f>IF(ISNUMBER(SEARCH("weak_legacy_content",'제외 후보'!P412)),'선정 규칙'!$B$21,0)</x:f>
        <x:v>0</x:v>
      </x:c>
      <x:c r="J412" s="11" t="n">
        <x:f>IF('제외 후보'!AC412&lt;&gt;"",'선정 규칙'!$B$22,0)</x:f>
        <x:v>0</x:v>
      </x:c>
      <x:c r="K412" s="11" t="n">
        <x:f>SUM(B412:J412)</x:f>
        <x:v>24</x:v>
      </x:c>
      <x:c r="L412" s="11" t="n">
        <x:f>'제외 후보'!N412</x:f>
        <x:v>24</x:v>
      </x:c>
      <x:c r="M412" s="2" t="str">
        <x:f>IF(K412=L412,"OK","MISMATCH")</x:f>
        <x:v>OK</x:v>
      </x:c>
    </x:row>
    <x:row r="413">
      <x:c r="A413" s="2" t="str">
        <x:f>'제외 후보'!G413</x:f>
        <x:v>w_08c5eeb0438488cb</x:v>
      </x:c>
      <x:c r="B413" s="11" t="n">
        <x:f>IF('제외 후보'!Q413&lt;&gt;"",'선정 규칙'!$B$4,0)</x:f>
        <x:v>0</x:v>
      </x:c>
      <x:c r="C413" s="11" t="n">
        <x:f>IF(ISNUMBER(SEARCH("jmdict_uncommon_or_irregular",'제외 후보'!P413)),'선정 규칙'!$B$5,IF(ISNUMBER(SEARCH("jmdict_rare_or_dated",'제외 후보'!P413)),'선정 규칙'!$B$6,0))</x:f>
        <x:v>0</x:v>
      </x:c>
      <x:c r="D413" s="11" t="n">
        <x:f>IF(ISNUMBER(SEARCH("jmdict_exact_pair_not_found",'제외 후보'!P413)),'선정 규칙'!$B$7,0)</x:f>
        <x:v>0</x:v>
      </x:c>
      <x:c r="E413" s="11" t="n">
        <x:f>IF(OR('제외 후보'!L413="",'제외 후보'!L413&lt;=0),'선정 규칙'!$B$8,IF('제외 후보'!L413&lt;=1.5,'선정 규칙'!$B$9,IF('제외 후보'!L413&lt;=2,'선정 규칙'!$B$10,IF('제외 후보'!L413&lt;=2.5,'선정 규칙'!$B$11,IF('제외 후보'!L413&lt;=3,'선정 규칙'!$B$12,IF('제외 후보'!L413&lt;=3.5,'선정 규칙'!$B$13,IF('제외 후보'!L413&gt;=4.5,'선정 규칙'!$B$14,0)))))))</x:f>
        <x:v>0</x:v>
      </x:c>
      <x:c r="F413" s="11" t="n">
        <x:f>IF('제외 후보'!Y413=0,'선정 규칙'!$B$15,IF('제외 후보'!Y413&gt;=100,'선정 규칙'!$B$16,'선정 규칙'!$B$17))</x:f>
        <x:v>12</x:v>
      </x:c>
      <x:c r="G413" s="11" t="n">
        <x:f>IF('제외 후보'!M413="있음",'선정 규칙'!$B$18,'선정 규칙'!$B$19)</x:f>
        <x:v>6</x:v>
      </x:c>
      <x:c r="H413" s="11" t="n">
        <x:f>IF(ISNUMBER(SEARCH("freq-core",'제외 후보'!AD413)),'선정 규칙'!$B$20,0)</x:f>
        <x:v>0</x:v>
      </x:c>
      <x:c r="I413" s="11" t="n">
        <x:f>IF(ISNUMBER(SEARCH("weak_legacy_content",'제외 후보'!P413)),'선정 규칙'!$B$21,0)</x:f>
        <x:v>5</x:v>
      </x:c>
      <x:c r="J413" s="11" t="n">
        <x:f>IF('제외 후보'!AC413&lt;&gt;"",'선정 규칙'!$B$22,0)</x:f>
        <x:v>0</x:v>
      </x:c>
      <x:c r="K413" s="11" t="n">
        <x:f>SUM(B413:J413)</x:f>
        <x:v>23</x:v>
      </x:c>
      <x:c r="L413" s="11" t="n">
        <x:f>'제외 후보'!N413</x:f>
        <x:v>23</x:v>
      </x:c>
      <x:c r="M413" s="2" t="str">
        <x:f>IF(K413=L413,"OK","MISMATCH")</x:f>
        <x:v>OK</x:v>
      </x:c>
    </x:row>
    <x:row r="414">
      <x:c r="A414" s="2" t="str">
        <x:f>'제외 후보'!G414</x:f>
        <x:v>w_10ef76d832dab2d9</x:v>
      </x:c>
      <x:c r="B414" s="11" t="n">
        <x:f>IF('제외 후보'!Q414&lt;&gt;"",'선정 규칙'!$B$4,0)</x:f>
        <x:v>0</x:v>
      </x:c>
      <x:c r="C414" s="11" t="n">
        <x:f>IF(ISNUMBER(SEARCH("jmdict_uncommon_or_irregular",'제외 후보'!P414)),'선정 규칙'!$B$5,IF(ISNUMBER(SEARCH("jmdict_rare_or_dated",'제외 후보'!P414)),'선정 규칙'!$B$6,0))</x:f>
        <x:v>0</x:v>
      </x:c>
      <x:c r="D414" s="11" t="n">
        <x:f>IF(ISNUMBER(SEARCH("jmdict_exact_pair_not_found",'제외 후보'!P414)),'선정 규칙'!$B$7,0)</x:f>
        <x:v>0</x:v>
      </x:c>
      <x:c r="E414" s="11" t="n">
        <x:f>IF(OR('제외 후보'!L414="",'제외 후보'!L414&lt;=0),'선정 규칙'!$B$8,IF('제외 후보'!L414&lt;=1.5,'선정 규칙'!$B$9,IF('제외 후보'!L414&lt;=2,'선정 규칙'!$B$10,IF('제외 후보'!L414&lt;=2.5,'선정 규칙'!$B$11,IF('제외 후보'!L414&lt;=3,'선정 규칙'!$B$12,IF('제외 후보'!L414&lt;=3.5,'선정 규칙'!$B$13,IF('제외 후보'!L414&gt;=4.5,'선정 규칙'!$B$14,0)))))))</x:f>
        <x:v>0</x:v>
      </x:c>
      <x:c r="F414" s="11" t="n">
        <x:f>IF('제외 후보'!Y414=0,'선정 규칙'!$B$15,IF('제외 후보'!Y414&gt;=100,'선정 규칙'!$B$16,'선정 규칙'!$B$17))</x:f>
        <x:v>12</x:v>
      </x:c>
      <x:c r="G414" s="11" t="n">
        <x:f>IF('제외 후보'!M414="있음",'선정 규칙'!$B$18,'선정 규칙'!$B$19)</x:f>
        <x:v>6</x:v>
      </x:c>
      <x:c r="H414" s="11" t="n">
        <x:f>IF(ISNUMBER(SEARCH("freq-core",'제외 후보'!AD414)),'선정 규칙'!$B$20,0)</x:f>
        <x:v>0</x:v>
      </x:c>
      <x:c r="I414" s="11" t="n">
        <x:f>IF(ISNUMBER(SEARCH("weak_legacy_content",'제외 후보'!P414)),'선정 규칙'!$B$21,0)</x:f>
        <x:v>5</x:v>
      </x:c>
      <x:c r="J414" s="11" t="n">
        <x:f>IF('제외 후보'!AC414&lt;&gt;"",'선정 규칙'!$B$22,0)</x:f>
        <x:v>0</x:v>
      </x:c>
      <x:c r="K414" s="11" t="n">
        <x:f>SUM(B414:J414)</x:f>
        <x:v>23</x:v>
      </x:c>
      <x:c r="L414" s="11" t="n">
        <x:f>'제외 후보'!N414</x:f>
        <x:v>23</x:v>
      </x:c>
      <x:c r="M414" s="2" t="str">
        <x:f>IF(K414=L414,"OK","MISMATCH")</x:f>
        <x:v>OK</x:v>
      </x:c>
    </x:row>
    <x:row r="415">
      <x:c r="A415" s="2" t="str">
        <x:f>'제외 후보'!G415</x:f>
        <x:v>w_e3ae5a55091c61bf</x:v>
      </x:c>
      <x:c r="B415" s="11" t="n">
        <x:f>IF('제외 후보'!Q415&lt;&gt;"",'선정 규칙'!$B$4,0)</x:f>
        <x:v>0</x:v>
      </x:c>
      <x:c r="C415" s="11" t="n">
        <x:f>IF(ISNUMBER(SEARCH("jmdict_uncommon_or_irregular",'제외 후보'!P415)),'선정 규칙'!$B$5,IF(ISNUMBER(SEARCH("jmdict_rare_or_dated",'제외 후보'!P415)),'선정 규칙'!$B$6,0))</x:f>
        <x:v>0</x:v>
      </x:c>
      <x:c r="D415" s="11" t="n">
        <x:f>IF(ISNUMBER(SEARCH("jmdict_exact_pair_not_found",'제외 후보'!P415)),'선정 규칙'!$B$7,0)</x:f>
        <x:v>0</x:v>
      </x:c>
      <x:c r="E415" s="11" t="n">
        <x:f>IF(OR('제외 후보'!L415="",'제외 후보'!L415&lt;=0),'선정 규칙'!$B$8,IF('제외 후보'!L415&lt;=1.5,'선정 규칙'!$B$9,IF('제외 후보'!L415&lt;=2,'선정 규칙'!$B$10,IF('제외 후보'!L415&lt;=2.5,'선정 규칙'!$B$11,IF('제외 후보'!L415&lt;=3,'선정 규칙'!$B$12,IF('제외 후보'!L415&lt;=3.5,'선정 규칙'!$B$13,IF('제외 후보'!L415&gt;=4.5,'선정 규칙'!$B$14,0)))))))</x:f>
        <x:v>0</x:v>
      </x:c>
      <x:c r="F415" s="11" t="n">
        <x:f>IF('제외 후보'!Y415=0,'선정 규칙'!$B$15,IF('제외 후보'!Y415&gt;=100,'선정 규칙'!$B$16,'선정 규칙'!$B$17))</x:f>
        <x:v>12</x:v>
      </x:c>
      <x:c r="G415" s="11" t="n">
        <x:f>IF('제외 후보'!M415="있음",'선정 규칙'!$B$18,'선정 규칙'!$B$19)</x:f>
        <x:v>6</x:v>
      </x:c>
      <x:c r="H415" s="11" t="n">
        <x:f>IF(ISNUMBER(SEARCH("freq-core",'제외 후보'!AD415)),'선정 규칙'!$B$20,0)</x:f>
        <x:v>0</x:v>
      </x:c>
      <x:c r="I415" s="11" t="n">
        <x:f>IF(ISNUMBER(SEARCH("weak_legacy_content",'제외 후보'!P415)),'선정 규칙'!$B$21,0)</x:f>
        <x:v>5</x:v>
      </x:c>
      <x:c r="J415" s="11" t="n">
        <x:f>IF('제외 후보'!AC415&lt;&gt;"",'선정 규칙'!$B$22,0)</x:f>
        <x:v>0</x:v>
      </x:c>
      <x:c r="K415" s="11" t="n">
        <x:f>SUM(B415:J415)</x:f>
        <x:v>23</x:v>
      </x:c>
      <x:c r="L415" s="11" t="n">
        <x:f>'제외 후보'!N415</x:f>
        <x:v>23</x:v>
      </x:c>
      <x:c r="M415" s="2" t="str">
        <x:f>IF(K415=L415,"OK","MISMATCH")</x:f>
        <x:v>OK</x:v>
      </x:c>
    </x:row>
    <x:row r="416">
      <x:c r="A416" s="2" t="str">
        <x:f>'제외 후보'!G416</x:f>
        <x:v>w_9c7bc22b473216db</x:v>
      </x:c>
      <x:c r="B416" s="11" t="n">
        <x:f>IF('제외 후보'!Q416&lt;&gt;"",'선정 규칙'!$B$4,0)</x:f>
        <x:v>0</x:v>
      </x:c>
      <x:c r="C416" s="11" t="n">
        <x:f>IF(ISNUMBER(SEARCH("jmdict_uncommon_or_irregular",'제외 후보'!P416)),'선정 규칙'!$B$5,IF(ISNUMBER(SEARCH("jmdict_rare_or_dated",'제외 후보'!P416)),'선정 규칙'!$B$6,0))</x:f>
        <x:v>0</x:v>
      </x:c>
      <x:c r="D416" s="11" t="n">
        <x:f>IF(ISNUMBER(SEARCH("jmdict_exact_pair_not_found",'제외 후보'!P416)),'선정 규칙'!$B$7,0)</x:f>
        <x:v>0</x:v>
      </x:c>
      <x:c r="E416" s="11" t="n">
        <x:f>IF(OR('제외 후보'!L416="",'제외 후보'!L416&lt;=0),'선정 규칙'!$B$8,IF('제외 후보'!L416&lt;=1.5,'선정 규칙'!$B$9,IF('제외 후보'!L416&lt;=2,'선정 규칙'!$B$10,IF('제외 후보'!L416&lt;=2.5,'선정 규칙'!$B$11,IF('제외 후보'!L416&lt;=3,'선정 규칙'!$B$12,IF('제외 후보'!L416&lt;=3.5,'선정 규칙'!$B$13,IF('제외 후보'!L416&gt;=4.5,'선정 규칙'!$B$14,0)))))))</x:f>
        <x:v>0</x:v>
      </x:c>
      <x:c r="F416" s="11" t="n">
        <x:f>IF('제외 후보'!Y416=0,'선정 규칙'!$B$15,IF('제외 후보'!Y416&gt;=100,'선정 규칙'!$B$16,'선정 규칙'!$B$17))</x:f>
        <x:v>12</x:v>
      </x:c>
      <x:c r="G416" s="11" t="n">
        <x:f>IF('제외 후보'!M416="있음",'선정 규칙'!$B$18,'선정 규칙'!$B$19)</x:f>
        <x:v>6</x:v>
      </x:c>
      <x:c r="H416" s="11" t="n">
        <x:f>IF(ISNUMBER(SEARCH("freq-core",'제외 후보'!AD416)),'선정 규칙'!$B$20,0)</x:f>
        <x:v>0</x:v>
      </x:c>
      <x:c r="I416" s="11" t="n">
        <x:f>IF(ISNUMBER(SEARCH("weak_legacy_content",'제외 후보'!P416)),'선정 규칙'!$B$21,0)</x:f>
        <x:v>5</x:v>
      </x:c>
      <x:c r="J416" s="11" t="n">
        <x:f>IF('제외 후보'!AC416&lt;&gt;"",'선정 규칙'!$B$22,0)</x:f>
        <x:v>0</x:v>
      </x:c>
      <x:c r="K416" s="11" t="n">
        <x:f>SUM(B416:J416)</x:f>
        <x:v>23</x:v>
      </x:c>
      <x:c r="L416" s="11" t="n">
        <x:f>'제외 후보'!N416</x:f>
        <x:v>23</x:v>
      </x:c>
      <x:c r="M416" s="2" t="str">
        <x:f>IF(K416=L416,"OK","MISMATCH")</x:f>
        <x:v>OK</x:v>
      </x:c>
    </x:row>
    <x:row r="417">
      <x:c r="A417" s="2" t="str">
        <x:f>'제외 후보'!G417</x:f>
        <x:v>w_ff72e3d70a94d51a</x:v>
      </x:c>
      <x:c r="B417" s="11" t="n">
        <x:f>IF('제외 후보'!Q417&lt;&gt;"",'선정 규칙'!$B$4,0)</x:f>
        <x:v>0</x:v>
      </x:c>
      <x:c r="C417" s="11" t="n">
        <x:f>IF(ISNUMBER(SEARCH("jmdict_uncommon_or_irregular",'제외 후보'!P417)),'선정 규칙'!$B$5,IF(ISNUMBER(SEARCH("jmdict_rare_or_dated",'제외 후보'!P417)),'선정 규칙'!$B$6,0))</x:f>
        <x:v>0</x:v>
      </x:c>
      <x:c r="D417" s="11" t="n">
        <x:f>IF(ISNUMBER(SEARCH("jmdict_exact_pair_not_found",'제외 후보'!P417)),'선정 규칙'!$B$7,0)</x:f>
        <x:v>0</x:v>
      </x:c>
      <x:c r="E417" s="11" t="n">
        <x:f>IF(OR('제외 후보'!L417="",'제외 후보'!L417&lt;=0),'선정 규칙'!$B$8,IF('제외 후보'!L417&lt;=1.5,'선정 규칙'!$B$9,IF('제외 후보'!L417&lt;=2,'선정 규칙'!$B$10,IF('제외 후보'!L417&lt;=2.5,'선정 규칙'!$B$11,IF('제외 후보'!L417&lt;=3,'선정 규칙'!$B$12,IF('제외 후보'!L417&lt;=3.5,'선정 규칙'!$B$13,IF('제외 후보'!L417&gt;=4.5,'선정 규칙'!$B$14,0)))))))</x:f>
        <x:v>0</x:v>
      </x:c>
      <x:c r="F417" s="11" t="n">
        <x:f>IF('제외 후보'!Y417=0,'선정 규칙'!$B$15,IF('제외 후보'!Y417&gt;=100,'선정 규칙'!$B$16,'선정 규칙'!$B$17))</x:f>
        <x:v>12</x:v>
      </x:c>
      <x:c r="G417" s="11" t="n">
        <x:f>IF('제외 후보'!M417="있음",'선정 규칙'!$B$18,'선정 규칙'!$B$19)</x:f>
        <x:v>6</x:v>
      </x:c>
      <x:c r="H417" s="11" t="n">
        <x:f>IF(ISNUMBER(SEARCH("freq-core",'제외 후보'!AD417)),'선정 규칙'!$B$20,0)</x:f>
        <x:v>0</x:v>
      </x:c>
      <x:c r="I417" s="11" t="n">
        <x:f>IF(ISNUMBER(SEARCH("weak_legacy_content",'제외 후보'!P417)),'선정 규칙'!$B$21,0)</x:f>
        <x:v>5</x:v>
      </x:c>
      <x:c r="J417" s="11" t="n">
        <x:f>IF('제외 후보'!AC417&lt;&gt;"",'선정 규칙'!$B$22,0)</x:f>
        <x:v>0</x:v>
      </x:c>
      <x:c r="K417" s="11" t="n">
        <x:f>SUM(B417:J417)</x:f>
        <x:v>23</x:v>
      </x:c>
      <x:c r="L417" s="11" t="n">
        <x:f>'제외 후보'!N417</x:f>
        <x:v>23</x:v>
      </x:c>
      <x:c r="M417" s="2" t="str">
        <x:f>IF(K417=L417,"OK","MISMATCH")</x:f>
        <x:v>OK</x:v>
      </x:c>
    </x:row>
    <x:row r="418">
      <x:c r="A418" s="2" t="str">
        <x:f>'제외 후보'!G418</x:f>
        <x:v>w_d80dd58205199d07</x:v>
      </x:c>
      <x:c r="B418" s="11" t="n">
        <x:f>IF('제외 후보'!Q418&lt;&gt;"",'선정 규칙'!$B$4,0)</x:f>
        <x:v>0</x:v>
      </x:c>
      <x:c r="C418" s="11" t="n">
        <x:f>IF(ISNUMBER(SEARCH("jmdict_uncommon_or_irregular",'제외 후보'!P418)),'선정 규칙'!$B$5,IF(ISNUMBER(SEARCH("jmdict_rare_or_dated",'제외 후보'!P418)),'선정 규칙'!$B$6,0))</x:f>
        <x:v>0</x:v>
      </x:c>
      <x:c r="D418" s="11" t="n">
        <x:f>IF(ISNUMBER(SEARCH("jmdict_exact_pair_not_found",'제외 후보'!P418)),'선정 규칙'!$B$7,0)</x:f>
        <x:v>0</x:v>
      </x:c>
      <x:c r="E418" s="11" t="n">
        <x:f>IF(OR('제외 후보'!L418="",'제외 후보'!L418&lt;=0),'선정 규칙'!$B$8,IF('제외 후보'!L418&lt;=1.5,'선정 규칙'!$B$9,IF('제외 후보'!L418&lt;=2,'선정 규칙'!$B$10,IF('제외 후보'!L418&lt;=2.5,'선정 규칙'!$B$11,IF('제외 후보'!L418&lt;=3,'선정 규칙'!$B$12,IF('제외 후보'!L418&lt;=3.5,'선정 규칙'!$B$13,IF('제외 후보'!L418&gt;=4.5,'선정 규칙'!$B$14,0)))))))</x:f>
        <x:v>0</x:v>
      </x:c>
      <x:c r="F418" s="11" t="n">
        <x:f>IF('제외 후보'!Y418=0,'선정 규칙'!$B$15,IF('제외 후보'!Y418&gt;=100,'선정 규칙'!$B$16,'선정 규칙'!$B$17))</x:f>
        <x:v>12</x:v>
      </x:c>
      <x:c r="G418" s="11" t="n">
        <x:f>IF('제외 후보'!M418="있음",'선정 규칙'!$B$18,'선정 규칙'!$B$19)</x:f>
        <x:v>6</x:v>
      </x:c>
      <x:c r="H418" s="11" t="n">
        <x:f>IF(ISNUMBER(SEARCH("freq-core",'제외 후보'!AD418)),'선정 규칙'!$B$20,0)</x:f>
        <x:v>0</x:v>
      </x:c>
      <x:c r="I418" s="11" t="n">
        <x:f>IF(ISNUMBER(SEARCH("weak_legacy_content",'제외 후보'!P418)),'선정 규칙'!$B$21,0)</x:f>
        <x:v>5</x:v>
      </x:c>
      <x:c r="J418" s="11" t="n">
        <x:f>IF('제외 후보'!AC418&lt;&gt;"",'선정 규칙'!$B$22,0)</x:f>
        <x:v>0</x:v>
      </x:c>
      <x:c r="K418" s="11" t="n">
        <x:f>SUM(B418:J418)</x:f>
        <x:v>23</x:v>
      </x:c>
      <x:c r="L418" s="11" t="n">
        <x:f>'제외 후보'!N418</x:f>
        <x:v>23</x:v>
      </x:c>
      <x:c r="M418" s="2" t="str">
        <x:f>IF(K418=L418,"OK","MISMATCH")</x:f>
        <x:v>OK</x:v>
      </x:c>
    </x:row>
    <x:row r="419">
      <x:c r="A419" s="2" t="str">
        <x:f>'제외 후보'!G419</x:f>
        <x:v>w_3b92a122efb08c4e</x:v>
      </x:c>
      <x:c r="B419" s="11" t="n">
        <x:f>IF('제외 후보'!Q419&lt;&gt;"",'선정 규칙'!$B$4,0)</x:f>
        <x:v>0</x:v>
      </x:c>
      <x:c r="C419" s="11" t="n">
        <x:f>IF(ISNUMBER(SEARCH("jmdict_uncommon_or_irregular",'제외 후보'!P419)),'선정 규칙'!$B$5,IF(ISNUMBER(SEARCH("jmdict_rare_or_dated",'제외 후보'!P419)),'선정 규칙'!$B$6,0))</x:f>
        <x:v>0</x:v>
      </x:c>
      <x:c r="D419" s="11" t="n">
        <x:f>IF(ISNUMBER(SEARCH("jmdict_exact_pair_not_found",'제외 후보'!P419)),'선정 규칙'!$B$7,0)</x:f>
        <x:v>0</x:v>
      </x:c>
      <x:c r="E419" s="11" t="n">
        <x:f>IF(OR('제외 후보'!L419="",'제외 후보'!L419&lt;=0),'선정 규칙'!$B$8,IF('제외 후보'!L419&lt;=1.5,'선정 규칙'!$B$9,IF('제외 후보'!L419&lt;=2,'선정 규칙'!$B$10,IF('제외 후보'!L419&lt;=2.5,'선정 규칙'!$B$11,IF('제외 후보'!L419&lt;=3,'선정 규칙'!$B$12,IF('제외 후보'!L419&lt;=3.5,'선정 규칙'!$B$13,IF('제외 후보'!L419&gt;=4.5,'선정 규칙'!$B$14,0)))))))</x:f>
        <x:v>0</x:v>
      </x:c>
      <x:c r="F419" s="11" t="n">
        <x:f>IF('제외 후보'!Y419=0,'선정 규칙'!$B$15,IF('제외 후보'!Y419&gt;=100,'선정 규칙'!$B$16,'선정 규칙'!$B$17))</x:f>
        <x:v>12</x:v>
      </x:c>
      <x:c r="G419" s="11" t="n">
        <x:f>IF('제외 후보'!M419="있음",'선정 규칙'!$B$18,'선정 규칙'!$B$19)</x:f>
        <x:v>6</x:v>
      </x:c>
      <x:c r="H419" s="11" t="n">
        <x:f>IF(ISNUMBER(SEARCH("freq-core",'제외 후보'!AD419)),'선정 규칙'!$B$20,0)</x:f>
        <x:v>0</x:v>
      </x:c>
      <x:c r="I419" s="11" t="n">
        <x:f>IF(ISNUMBER(SEARCH("weak_legacy_content",'제외 후보'!P419)),'선정 규칙'!$B$21,0)</x:f>
        <x:v>5</x:v>
      </x:c>
      <x:c r="J419" s="11" t="n">
        <x:f>IF('제외 후보'!AC419&lt;&gt;"",'선정 규칙'!$B$22,0)</x:f>
        <x:v>0</x:v>
      </x:c>
      <x:c r="K419" s="11" t="n">
        <x:f>SUM(B419:J419)</x:f>
        <x:v>23</x:v>
      </x:c>
      <x:c r="L419" s="11" t="n">
        <x:f>'제외 후보'!N419</x:f>
        <x:v>23</x:v>
      </x:c>
      <x:c r="M419" s="2" t="str">
        <x:f>IF(K419=L419,"OK","MISMATCH")</x:f>
        <x:v>OK</x:v>
      </x:c>
    </x:row>
    <x:row r="420">
      <x:c r="A420" s="2" t="str">
        <x:f>'제외 후보'!G420</x:f>
        <x:v>w_bb67651c404ff1ac</x:v>
      </x:c>
      <x:c r="B420" s="11" t="n">
        <x:f>IF('제외 후보'!Q420&lt;&gt;"",'선정 규칙'!$B$4,0)</x:f>
        <x:v>0</x:v>
      </x:c>
      <x:c r="C420" s="11" t="n">
        <x:f>IF(ISNUMBER(SEARCH("jmdict_uncommon_or_irregular",'제외 후보'!P420)),'선정 규칙'!$B$5,IF(ISNUMBER(SEARCH("jmdict_rare_or_dated",'제외 후보'!P420)),'선정 규칙'!$B$6,0))</x:f>
        <x:v>0</x:v>
      </x:c>
      <x:c r="D420" s="11" t="n">
        <x:f>IF(ISNUMBER(SEARCH("jmdict_exact_pair_not_found",'제외 후보'!P420)),'선정 규칙'!$B$7,0)</x:f>
        <x:v>0</x:v>
      </x:c>
      <x:c r="E420" s="11" t="n">
        <x:f>IF(OR('제외 후보'!L420="",'제외 후보'!L420&lt;=0),'선정 규칙'!$B$8,IF('제외 후보'!L420&lt;=1.5,'선정 규칙'!$B$9,IF('제외 후보'!L420&lt;=2,'선정 규칙'!$B$10,IF('제외 후보'!L420&lt;=2.5,'선정 규칙'!$B$11,IF('제외 후보'!L420&lt;=3,'선정 규칙'!$B$12,IF('제외 후보'!L420&lt;=3.5,'선정 규칙'!$B$13,IF('제외 후보'!L420&gt;=4.5,'선정 규칙'!$B$14,0)))))))</x:f>
        <x:v>0</x:v>
      </x:c>
      <x:c r="F420" s="11" t="n">
        <x:f>IF('제외 후보'!Y420=0,'선정 규칙'!$B$15,IF('제외 후보'!Y420&gt;=100,'선정 규칙'!$B$16,'선정 규칙'!$B$17))</x:f>
        <x:v>12</x:v>
      </x:c>
      <x:c r="G420" s="11" t="n">
        <x:f>IF('제외 후보'!M420="있음",'선정 규칙'!$B$18,'선정 규칙'!$B$19)</x:f>
        <x:v>6</x:v>
      </x:c>
      <x:c r="H420" s="11" t="n">
        <x:f>IF(ISNUMBER(SEARCH("freq-core",'제외 후보'!AD420)),'선정 규칙'!$B$20,0)</x:f>
        <x:v>0</x:v>
      </x:c>
      <x:c r="I420" s="11" t="n">
        <x:f>IF(ISNUMBER(SEARCH("weak_legacy_content",'제외 후보'!P420)),'선정 규칙'!$B$21,0)</x:f>
        <x:v>5</x:v>
      </x:c>
      <x:c r="J420" s="11" t="n">
        <x:f>IF('제외 후보'!AC420&lt;&gt;"",'선정 규칙'!$B$22,0)</x:f>
        <x:v>0</x:v>
      </x:c>
      <x:c r="K420" s="11" t="n">
        <x:f>SUM(B420:J420)</x:f>
        <x:v>23</x:v>
      </x:c>
      <x:c r="L420" s="11" t="n">
        <x:f>'제외 후보'!N420</x:f>
        <x:v>23</x:v>
      </x:c>
      <x:c r="M420" s="2" t="str">
        <x:f>IF(K420=L420,"OK","MISMATCH")</x:f>
        <x:v>OK</x:v>
      </x:c>
    </x:row>
    <x:row r="421">
      <x:c r="A421" s="2" t="str">
        <x:f>'제외 후보'!G421</x:f>
        <x:v>w_3d184fa003b93246</x:v>
      </x:c>
      <x:c r="B421" s="11" t="n">
        <x:f>IF('제외 후보'!Q421&lt;&gt;"",'선정 규칙'!$B$4,0)</x:f>
        <x:v>0</x:v>
      </x:c>
      <x:c r="C421" s="11" t="n">
        <x:f>IF(ISNUMBER(SEARCH("jmdict_uncommon_or_irregular",'제외 후보'!P421)),'선정 규칙'!$B$5,IF(ISNUMBER(SEARCH("jmdict_rare_or_dated",'제외 후보'!P421)),'선정 규칙'!$B$6,0))</x:f>
        <x:v>0</x:v>
      </x:c>
      <x:c r="D421" s="11" t="n">
        <x:f>IF(ISNUMBER(SEARCH("jmdict_exact_pair_not_found",'제외 후보'!P421)),'선정 규칙'!$B$7,0)</x:f>
        <x:v>0</x:v>
      </x:c>
      <x:c r="E421" s="11" t="n">
        <x:f>IF(OR('제외 후보'!L421="",'제외 후보'!L421&lt;=0),'선정 규칙'!$B$8,IF('제외 후보'!L421&lt;=1.5,'선정 규칙'!$B$9,IF('제외 후보'!L421&lt;=2,'선정 규칙'!$B$10,IF('제외 후보'!L421&lt;=2.5,'선정 규칙'!$B$11,IF('제외 후보'!L421&lt;=3,'선정 규칙'!$B$12,IF('제외 후보'!L421&lt;=3.5,'선정 규칙'!$B$13,IF('제외 후보'!L421&gt;=4.5,'선정 규칙'!$B$14,0)))))))</x:f>
        <x:v>0</x:v>
      </x:c>
      <x:c r="F421" s="11" t="n">
        <x:f>IF('제외 후보'!Y421=0,'선정 규칙'!$B$15,IF('제외 후보'!Y421&gt;=100,'선정 규칙'!$B$16,'선정 규칙'!$B$17))</x:f>
        <x:v>12</x:v>
      </x:c>
      <x:c r="G421" s="11" t="n">
        <x:f>IF('제외 후보'!M421="있음",'선정 규칙'!$B$18,'선정 규칙'!$B$19)</x:f>
        <x:v>6</x:v>
      </x:c>
      <x:c r="H421" s="11" t="n">
        <x:f>IF(ISNUMBER(SEARCH("freq-core",'제외 후보'!AD421)),'선정 규칙'!$B$20,0)</x:f>
        <x:v>0</x:v>
      </x:c>
      <x:c r="I421" s="11" t="n">
        <x:f>IF(ISNUMBER(SEARCH("weak_legacy_content",'제외 후보'!P421)),'선정 규칙'!$B$21,0)</x:f>
        <x:v>5</x:v>
      </x:c>
      <x:c r="J421" s="11" t="n">
        <x:f>IF('제외 후보'!AC421&lt;&gt;"",'선정 규칙'!$B$22,0)</x:f>
        <x:v>0</x:v>
      </x:c>
      <x:c r="K421" s="11" t="n">
        <x:f>SUM(B421:J421)</x:f>
        <x:v>23</x:v>
      </x:c>
      <x:c r="L421" s="11" t="n">
        <x:f>'제외 후보'!N421</x:f>
        <x:v>23</x:v>
      </x:c>
      <x:c r="M421" s="2" t="str">
        <x:f>IF(K421=L421,"OK","MISMATCH")</x:f>
        <x:v>OK</x:v>
      </x:c>
    </x:row>
    <x:row r="422">
      <x:c r="A422" s="2" t="str">
        <x:f>'제외 후보'!G422</x:f>
        <x:v>w_d6fcc4d9c768c61a</x:v>
      </x:c>
      <x:c r="B422" s="11" t="n">
        <x:f>IF('제외 후보'!Q422&lt;&gt;"",'선정 규칙'!$B$4,0)</x:f>
        <x:v>0</x:v>
      </x:c>
      <x:c r="C422" s="11" t="n">
        <x:f>IF(ISNUMBER(SEARCH("jmdict_uncommon_or_irregular",'제외 후보'!P422)),'선정 규칙'!$B$5,IF(ISNUMBER(SEARCH("jmdict_rare_or_dated",'제외 후보'!P422)),'선정 규칙'!$B$6,0))</x:f>
        <x:v>0</x:v>
      </x:c>
      <x:c r="D422" s="11" t="n">
        <x:f>IF(ISNUMBER(SEARCH("jmdict_exact_pair_not_found",'제외 후보'!P422)),'선정 규칙'!$B$7,0)</x:f>
        <x:v>0</x:v>
      </x:c>
      <x:c r="E422" s="11" t="n">
        <x:f>IF(OR('제외 후보'!L422="",'제외 후보'!L422&lt;=0),'선정 규칙'!$B$8,IF('제외 후보'!L422&lt;=1.5,'선정 규칙'!$B$9,IF('제외 후보'!L422&lt;=2,'선정 규칙'!$B$10,IF('제외 후보'!L422&lt;=2.5,'선정 규칙'!$B$11,IF('제외 후보'!L422&lt;=3,'선정 규칙'!$B$12,IF('제외 후보'!L422&lt;=3.5,'선정 규칙'!$B$13,IF('제외 후보'!L422&gt;=4.5,'선정 규칙'!$B$14,0)))))))</x:f>
        <x:v>0</x:v>
      </x:c>
      <x:c r="F422" s="11" t="n">
        <x:f>IF('제외 후보'!Y422=0,'선정 규칙'!$B$15,IF('제외 후보'!Y422&gt;=100,'선정 규칙'!$B$16,'선정 규칙'!$B$17))</x:f>
        <x:v>12</x:v>
      </x:c>
      <x:c r="G422" s="11" t="n">
        <x:f>IF('제외 후보'!M422="있음",'선정 규칙'!$B$18,'선정 규칙'!$B$19)</x:f>
        <x:v>6</x:v>
      </x:c>
      <x:c r="H422" s="11" t="n">
        <x:f>IF(ISNUMBER(SEARCH("freq-core",'제외 후보'!AD422)),'선정 규칙'!$B$20,0)</x:f>
        <x:v>0</x:v>
      </x:c>
      <x:c r="I422" s="11" t="n">
        <x:f>IF(ISNUMBER(SEARCH("weak_legacy_content",'제외 후보'!P422)),'선정 규칙'!$B$21,0)</x:f>
        <x:v>5</x:v>
      </x:c>
      <x:c r="J422" s="11" t="n">
        <x:f>IF('제외 후보'!AC422&lt;&gt;"",'선정 규칙'!$B$22,0)</x:f>
        <x:v>0</x:v>
      </x:c>
      <x:c r="K422" s="11" t="n">
        <x:f>SUM(B422:J422)</x:f>
        <x:v>23</x:v>
      </x:c>
      <x:c r="L422" s="11" t="n">
        <x:f>'제외 후보'!N422</x:f>
        <x:v>23</x:v>
      </x:c>
      <x:c r="M422" s="2" t="str">
        <x:f>IF(K422=L422,"OK","MISMATCH")</x:f>
        <x:v>OK</x:v>
      </x:c>
    </x:row>
    <x:row r="423">
      <x:c r="A423" s="2" t="str">
        <x:f>'제외 후보'!G423</x:f>
        <x:v>w_187aa2adfb841e8c</x:v>
      </x:c>
      <x:c r="B423" s="11" t="n">
        <x:f>IF('제외 후보'!Q423&lt;&gt;"",'선정 규칙'!$B$4,0)</x:f>
        <x:v>0</x:v>
      </x:c>
      <x:c r="C423" s="11" t="n">
        <x:f>IF(ISNUMBER(SEARCH("jmdict_uncommon_or_irregular",'제외 후보'!P423)),'선정 규칙'!$B$5,IF(ISNUMBER(SEARCH("jmdict_rare_or_dated",'제외 후보'!P423)),'선정 규칙'!$B$6,0))</x:f>
        <x:v>0</x:v>
      </x:c>
      <x:c r="D423" s="11" t="n">
        <x:f>IF(ISNUMBER(SEARCH("jmdict_exact_pair_not_found",'제외 후보'!P423)),'선정 규칙'!$B$7,0)</x:f>
        <x:v>0</x:v>
      </x:c>
      <x:c r="E423" s="11" t="n">
        <x:f>IF(OR('제외 후보'!L423="",'제외 후보'!L423&lt;=0),'선정 규칙'!$B$8,IF('제외 후보'!L423&lt;=1.5,'선정 규칙'!$B$9,IF('제외 후보'!L423&lt;=2,'선정 규칙'!$B$10,IF('제외 후보'!L423&lt;=2.5,'선정 규칙'!$B$11,IF('제외 후보'!L423&lt;=3,'선정 규칙'!$B$12,IF('제외 후보'!L423&lt;=3.5,'선정 규칙'!$B$13,IF('제외 후보'!L423&gt;=4.5,'선정 규칙'!$B$14,0)))))))</x:f>
        <x:v>0</x:v>
      </x:c>
      <x:c r="F423" s="11" t="n">
        <x:f>IF('제외 후보'!Y423=0,'선정 규칙'!$B$15,IF('제외 후보'!Y423&gt;=100,'선정 규칙'!$B$16,'선정 규칙'!$B$17))</x:f>
        <x:v>12</x:v>
      </x:c>
      <x:c r="G423" s="11" t="n">
        <x:f>IF('제외 후보'!M423="있음",'선정 규칙'!$B$18,'선정 규칙'!$B$19)</x:f>
        <x:v>6</x:v>
      </x:c>
      <x:c r="H423" s="11" t="n">
        <x:f>IF(ISNUMBER(SEARCH("freq-core",'제외 후보'!AD423)),'선정 규칙'!$B$20,0)</x:f>
        <x:v>0</x:v>
      </x:c>
      <x:c r="I423" s="11" t="n">
        <x:f>IF(ISNUMBER(SEARCH("weak_legacy_content",'제외 후보'!P423)),'선정 규칙'!$B$21,0)</x:f>
        <x:v>5</x:v>
      </x:c>
      <x:c r="J423" s="11" t="n">
        <x:f>IF('제외 후보'!AC423&lt;&gt;"",'선정 규칙'!$B$22,0)</x:f>
        <x:v>0</x:v>
      </x:c>
      <x:c r="K423" s="11" t="n">
        <x:f>SUM(B423:J423)</x:f>
        <x:v>23</x:v>
      </x:c>
      <x:c r="L423" s="11" t="n">
        <x:f>'제외 후보'!N423</x:f>
        <x:v>23</x:v>
      </x:c>
      <x:c r="M423" s="2" t="str">
        <x:f>IF(K423=L423,"OK","MISMATCH")</x:f>
        <x:v>OK</x:v>
      </x:c>
    </x:row>
    <x:row r="424">
      <x:c r="A424" s="2" t="str">
        <x:f>'제외 후보'!G424</x:f>
        <x:v>w_884534075a14e899</x:v>
      </x:c>
      <x:c r="B424" s="11" t="n">
        <x:f>IF('제외 후보'!Q424&lt;&gt;"",'선정 규칙'!$B$4,0)</x:f>
        <x:v>0</x:v>
      </x:c>
      <x:c r="C424" s="11" t="n">
        <x:f>IF(ISNUMBER(SEARCH("jmdict_uncommon_or_irregular",'제외 후보'!P424)),'선정 규칙'!$B$5,IF(ISNUMBER(SEARCH("jmdict_rare_or_dated",'제외 후보'!P424)),'선정 규칙'!$B$6,0))</x:f>
        <x:v>0</x:v>
      </x:c>
      <x:c r="D424" s="11" t="n">
        <x:f>IF(ISNUMBER(SEARCH("jmdict_exact_pair_not_found",'제외 후보'!P424)),'선정 규칙'!$B$7,0)</x:f>
        <x:v>0</x:v>
      </x:c>
      <x:c r="E424" s="11" t="n">
        <x:f>IF(OR('제외 후보'!L424="",'제외 후보'!L424&lt;=0),'선정 규칙'!$B$8,IF('제외 후보'!L424&lt;=1.5,'선정 규칙'!$B$9,IF('제외 후보'!L424&lt;=2,'선정 규칙'!$B$10,IF('제외 후보'!L424&lt;=2.5,'선정 규칙'!$B$11,IF('제외 후보'!L424&lt;=3,'선정 규칙'!$B$12,IF('제외 후보'!L424&lt;=3.5,'선정 규칙'!$B$13,IF('제외 후보'!L424&gt;=4.5,'선정 규칙'!$B$14,0)))))))</x:f>
        <x:v>0</x:v>
      </x:c>
      <x:c r="F424" s="11" t="n">
        <x:f>IF('제외 후보'!Y424=0,'선정 규칙'!$B$15,IF('제외 후보'!Y424&gt;=100,'선정 규칙'!$B$16,'선정 규칙'!$B$17))</x:f>
        <x:v>12</x:v>
      </x:c>
      <x:c r="G424" s="11" t="n">
        <x:f>IF('제외 후보'!M424="있음",'선정 규칙'!$B$18,'선정 규칙'!$B$19)</x:f>
        <x:v>6</x:v>
      </x:c>
      <x:c r="H424" s="11" t="n">
        <x:f>IF(ISNUMBER(SEARCH("freq-core",'제외 후보'!AD424)),'선정 규칙'!$B$20,0)</x:f>
        <x:v>0</x:v>
      </x:c>
      <x:c r="I424" s="11" t="n">
        <x:f>IF(ISNUMBER(SEARCH("weak_legacy_content",'제외 후보'!P424)),'선정 규칙'!$B$21,0)</x:f>
        <x:v>5</x:v>
      </x:c>
      <x:c r="J424" s="11" t="n">
        <x:f>IF('제외 후보'!AC424&lt;&gt;"",'선정 규칙'!$B$22,0)</x:f>
        <x:v>0</x:v>
      </x:c>
      <x:c r="K424" s="11" t="n">
        <x:f>SUM(B424:J424)</x:f>
        <x:v>23</x:v>
      </x:c>
      <x:c r="L424" s="11" t="n">
        <x:f>'제외 후보'!N424</x:f>
        <x:v>23</x:v>
      </x:c>
      <x:c r="M424" s="2" t="str">
        <x:f>IF(K424=L424,"OK","MISMATCH")</x:f>
        <x:v>OK</x:v>
      </x:c>
    </x:row>
    <x:row r="425">
      <x:c r="A425" s="2" t="str">
        <x:f>'제외 후보'!G425</x:f>
        <x:v>w_231788f2e4be23bc</x:v>
      </x:c>
      <x:c r="B425" s="11" t="n">
        <x:f>IF('제외 후보'!Q425&lt;&gt;"",'선정 규칙'!$B$4,0)</x:f>
        <x:v>0</x:v>
      </x:c>
      <x:c r="C425" s="11" t="n">
        <x:f>IF(ISNUMBER(SEARCH("jmdict_uncommon_or_irregular",'제외 후보'!P425)),'선정 규칙'!$B$5,IF(ISNUMBER(SEARCH("jmdict_rare_or_dated",'제외 후보'!P425)),'선정 규칙'!$B$6,0))</x:f>
        <x:v>0</x:v>
      </x:c>
      <x:c r="D425" s="11" t="n">
        <x:f>IF(ISNUMBER(SEARCH("jmdict_exact_pair_not_found",'제외 후보'!P425)),'선정 규칙'!$B$7,0)</x:f>
        <x:v>0</x:v>
      </x:c>
      <x:c r="E425" s="11" t="n">
        <x:f>IF(OR('제외 후보'!L425="",'제외 후보'!L425&lt;=0),'선정 규칙'!$B$8,IF('제외 후보'!L425&lt;=1.5,'선정 규칙'!$B$9,IF('제외 후보'!L425&lt;=2,'선정 규칙'!$B$10,IF('제외 후보'!L425&lt;=2.5,'선정 규칙'!$B$11,IF('제외 후보'!L425&lt;=3,'선정 규칙'!$B$12,IF('제외 후보'!L425&lt;=3.5,'선정 규칙'!$B$13,IF('제외 후보'!L425&gt;=4.5,'선정 규칙'!$B$14,0)))))))</x:f>
        <x:v>0</x:v>
      </x:c>
      <x:c r="F425" s="11" t="n">
        <x:f>IF('제외 후보'!Y425=0,'선정 규칙'!$B$15,IF('제외 후보'!Y425&gt;=100,'선정 규칙'!$B$16,'선정 규칙'!$B$17))</x:f>
        <x:v>12</x:v>
      </x:c>
      <x:c r="G425" s="11" t="n">
        <x:f>IF('제외 후보'!M425="있음",'선정 규칙'!$B$18,'선정 규칙'!$B$19)</x:f>
        <x:v>6</x:v>
      </x:c>
      <x:c r="H425" s="11" t="n">
        <x:f>IF(ISNUMBER(SEARCH("freq-core",'제외 후보'!AD425)),'선정 규칙'!$B$20,0)</x:f>
        <x:v>0</x:v>
      </x:c>
      <x:c r="I425" s="11" t="n">
        <x:f>IF(ISNUMBER(SEARCH("weak_legacy_content",'제외 후보'!P425)),'선정 규칙'!$B$21,0)</x:f>
        <x:v>5</x:v>
      </x:c>
      <x:c r="J425" s="11" t="n">
        <x:f>IF('제외 후보'!AC425&lt;&gt;"",'선정 규칙'!$B$22,0)</x:f>
        <x:v>0</x:v>
      </x:c>
      <x:c r="K425" s="11" t="n">
        <x:f>SUM(B425:J425)</x:f>
        <x:v>23</x:v>
      </x:c>
      <x:c r="L425" s="11" t="n">
        <x:f>'제외 후보'!N425</x:f>
        <x:v>23</x:v>
      </x:c>
      <x:c r="M425" s="2" t="str">
        <x:f>IF(K425=L425,"OK","MISMATCH")</x:f>
        <x:v>OK</x:v>
      </x:c>
    </x:row>
    <x:row r="426">
      <x:c r="A426" s="2" t="str">
        <x:f>'제외 후보'!G426</x:f>
        <x:v>w_4b35242caba159d7</x:v>
      </x:c>
      <x:c r="B426" s="11" t="n">
        <x:f>IF('제외 후보'!Q426&lt;&gt;"",'선정 규칙'!$B$4,0)</x:f>
        <x:v>0</x:v>
      </x:c>
      <x:c r="C426" s="11" t="n">
        <x:f>IF(ISNUMBER(SEARCH("jmdict_uncommon_or_irregular",'제외 후보'!P426)),'선정 규칙'!$B$5,IF(ISNUMBER(SEARCH("jmdict_rare_or_dated",'제외 후보'!P426)),'선정 규칙'!$B$6,0))</x:f>
        <x:v>0</x:v>
      </x:c>
      <x:c r="D426" s="11" t="n">
        <x:f>IF(ISNUMBER(SEARCH("jmdict_exact_pair_not_found",'제외 후보'!P426)),'선정 규칙'!$B$7,0)</x:f>
        <x:v>0</x:v>
      </x:c>
      <x:c r="E426" s="11" t="n">
        <x:f>IF(OR('제외 후보'!L426="",'제외 후보'!L426&lt;=0),'선정 규칙'!$B$8,IF('제외 후보'!L426&lt;=1.5,'선정 규칙'!$B$9,IF('제외 후보'!L426&lt;=2,'선정 규칙'!$B$10,IF('제외 후보'!L426&lt;=2.5,'선정 규칙'!$B$11,IF('제외 후보'!L426&lt;=3,'선정 규칙'!$B$12,IF('제외 후보'!L426&lt;=3.5,'선정 규칙'!$B$13,IF('제외 후보'!L426&gt;=4.5,'선정 규칙'!$B$14,0)))))))</x:f>
        <x:v>0</x:v>
      </x:c>
      <x:c r="F426" s="11" t="n">
        <x:f>IF('제외 후보'!Y426=0,'선정 규칙'!$B$15,IF('제외 후보'!Y426&gt;=100,'선정 규칙'!$B$16,'선정 규칙'!$B$17))</x:f>
        <x:v>12</x:v>
      </x:c>
      <x:c r="G426" s="11" t="n">
        <x:f>IF('제외 후보'!M426="있음",'선정 규칙'!$B$18,'선정 규칙'!$B$19)</x:f>
        <x:v>6</x:v>
      </x:c>
      <x:c r="H426" s="11" t="n">
        <x:f>IF(ISNUMBER(SEARCH("freq-core",'제외 후보'!AD426)),'선정 규칙'!$B$20,0)</x:f>
        <x:v>0</x:v>
      </x:c>
      <x:c r="I426" s="11" t="n">
        <x:f>IF(ISNUMBER(SEARCH("weak_legacy_content",'제외 후보'!P426)),'선정 규칙'!$B$21,0)</x:f>
        <x:v>5</x:v>
      </x:c>
      <x:c r="J426" s="11" t="n">
        <x:f>IF('제외 후보'!AC426&lt;&gt;"",'선정 규칙'!$B$22,0)</x:f>
        <x:v>0</x:v>
      </x:c>
      <x:c r="K426" s="11" t="n">
        <x:f>SUM(B426:J426)</x:f>
        <x:v>23</x:v>
      </x:c>
      <x:c r="L426" s="11" t="n">
        <x:f>'제외 후보'!N426</x:f>
        <x:v>23</x:v>
      </x:c>
      <x:c r="M426" s="2" t="str">
        <x:f>IF(K426=L426,"OK","MISMATCH")</x:f>
        <x:v>OK</x:v>
      </x:c>
    </x:row>
    <x:row r="427">
      <x:c r="A427" s="2" t="str">
        <x:f>'제외 후보'!G427</x:f>
        <x:v>w_0aa0079bc4547987</x:v>
      </x:c>
      <x:c r="B427" s="11" t="n">
        <x:f>IF('제외 후보'!Q427&lt;&gt;"",'선정 규칙'!$B$4,0)</x:f>
        <x:v>0</x:v>
      </x:c>
      <x:c r="C427" s="11" t="n">
        <x:f>IF(ISNUMBER(SEARCH("jmdict_uncommon_or_irregular",'제외 후보'!P427)),'선정 규칙'!$B$5,IF(ISNUMBER(SEARCH("jmdict_rare_or_dated",'제외 후보'!P427)),'선정 규칙'!$B$6,0))</x:f>
        <x:v>0</x:v>
      </x:c>
      <x:c r="D427" s="11" t="n">
        <x:f>IF(ISNUMBER(SEARCH("jmdict_exact_pair_not_found",'제외 후보'!P427)),'선정 규칙'!$B$7,0)</x:f>
        <x:v>0</x:v>
      </x:c>
      <x:c r="E427" s="11" t="n">
        <x:f>IF(OR('제외 후보'!L427="",'제외 후보'!L427&lt;=0),'선정 규칙'!$B$8,IF('제외 후보'!L427&lt;=1.5,'선정 규칙'!$B$9,IF('제외 후보'!L427&lt;=2,'선정 규칙'!$B$10,IF('제외 후보'!L427&lt;=2.5,'선정 규칙'!$B$11,IF('제외 후보'!L427&lt;=3,'선정 규칙'!$B$12,IF('제외 후보'!L427&lt;=3.5,'선정 규칙'!$B$13,IF('제외 후보'!L427&gt;=4.5,'선정 규칙'!$B$14,0)))))))</x:f>
        <x:v>0</x:v>
      </x:c>
      <x:c r="F427" s="11" t="n">
        <x:f>IF('제외 후보'!Y427=0,'선정 규칙'!$B$15,IF('제외 후보'!Y427&gt;=100,'선정 규칙'!$B$16,'선정 규칙'!$B$17))</x:f>
        <x:v>12</x:v>
      </x:c>
      <x:c r="G427" s="11" t="n">
        <x:f>IF('제외 후보'!M427="있음",'선정 규칙'!$B$18,'선정 규칙'!$B$19)</x:f>
        <x:v>6</x:v>
      </x:c>
      <x:c r="H427" s="11" t="n">
        <x:f>IF(ISNUMBER(SEARCH("freq-core",'제외 후보'!AD427)),'선정 규칙'!$B$20,0)</x:f>
        <x:v>0</x:v>
      </x:c>
      <x:c r="I427" s="11" t="n">
        <x:f>IF(ISNUMBER(SEARCH("weak_legacy_content",'제외 후보'!P427)),'선정 규칙'!$B$21,0)</x:f>
        <x:v>5</x:v>
      </x:c>
      <x:c r="J427" s="11" t="n">
        <x:f>IF('제외 후보'!AC427&lt;&gt;"",'선정 규칙'!$B$22,0)</x:f>
        <x:v>0</x:v>
      </x:c>
      <x:c r="K427" s="11" t="n">
        <x:f>SUM(B427:J427)</x:f>
        <x:v>23</x:v>
      </x:c>
      <x:c r="L427" s="11" t="n">
        <x:f>'제외 후보'!N427</x:f>
        <x:v>23</x:v>
      </x:c>
      <x:c r="M427" s="2" t="str">
        <x:f>IF(K427=L427,"OK","MISMATCH")</x:f>
        <x:v>OK</x:v>
      </x:c>
    </x:row>
    <x:row r="428">
      <x:c r="A428" s="2" t="str">
        <x:f>'제외 후보'!G428</x:f>
        <x:v>w_847eb8c2c66cca90</x:v>
      </x:c>
      <x:c r="B428" s="11" t="n">
        <x:f>IF('제외 후보'!Q428&lt;&gt;"",'선정 규칙'!$B$4,0)</x:f>
        <x:v>0</x:v>
      </x:c>
      <x:c r="C428" s="11" t="n">
        <x:f>IF(ISNUMBER(SEARCH("jmdict_uncommon_or_irregular",'제외 후보'!P428)),'선정 규칙'!$B$5,IF(ISNUMBER(SEARCH("jmdict_rare_or_dated",'제외 후보'!P428)),'선정 규칙'!$B$6,0))</x:f>
        <x:v>0</x:v>
      </x:c>
      <x:c r="D428" s="11" t="n">
        <x:f>IF(ISNUMBER(SEARCH("jmdict_exact_pair_not_found",'제외 후보'!P428)),'선정 규칙'!$B$7,0)</x:f>
        <x:v>0</x:v>
      </x:c>
      <x:c r="E428" s="11" t="n">
        <x:f>IF(OR('제외 후보'!L428="",'제외 후보'!L428&lt;=0),'선정 규칙'!$B$8,IF('제외 후보'!L428&lt;=1.5,'선정 규칙'!$B$9,IF('제외 후보'!L428&lt;=2,'선정 규칙'!$B$10,IF('제외 후보'!L428&lt;=2.5,'선정 규칙'!$B$11,IF('제외 후보'!L428&lt;=3,'선정 규칙'!$B$12,IF('제외 후보'!L428&lt;=3.5,'선정 규칙'!$B$13,IF('제외 후보'!L428&gt;=4.5,'선정 규칙'!$B$14,0)))))))</x:f>
        <x:v>0</x:v>
      </x:c>
      <x:c r="F428" s="11" t="n">
        <x:f>IF('제외 후보'!Y428=0,'선정 규칙'!$B$15,IF('제외 후보'!Y428&gt;=100,'선정 규칙'!$B$16,'선정 규칙'!$B$17))</x:f>
        <x:v>12</x:v>
      </x:c>
      <x:c r="G428" s="11" t="n">
        <x:f>IF('제외 후보'!M428="있음",'선정 규칙'!$B$18,'선정 규칙'!$B$19)</x:f>
        <x:v>6</x:v>
      </x:c>
      <x:c r="H428" s="11" t="n">
        <x:f>IF(ISNUMBER(SEARCH("freq-core",'제외 후보'!AD428)),'선정 규칙'!$B$20,0)</x:f>
        <x:v>0</x:v>
      </x:c>
      <x:c r="I428" s="11" t="n">
        <x:f>IF(ISNUMBER(SEARCH("weak_legacy_content",'제외 후보'!P428)),'선정 규칙'!$B$21,0)</x:f>
        <x:v>5</x:v>
      </x:c>
      <x:c r="J428" s="11" t="n">
        <x:f>IF('제외 후보'!AC428&lt;&gt;"",'선정 규칙'!$B$22,0)</x:f>
        <x:v>0</x:v>
      </x:c>
      <x:c r="K428" s="11" t="n">
        <x:f>SUM(B428:J428)</x:f>
        <x:v>23</x:v>
      </x:c>
      <x:c r="L428" s="11" t="n">
        <x:f>'제외 후보'!N428</x:f>
        <x:v>23</x:v>
      </x:c>
      <x:c r="M428" s="2" t="str">
        <x:f>IF(K428=L428,"OK","MISMATCH")</x:f>
        <x:v>OK</x:v>
      </x:c>
    </x:row>
    <x:row r="429">
      <x:c r="A429" s="2" t="str">
        <x:f>'제외 후보'!G429</x:f>
        <x:v>w_01d0a9e64e50bb37</x:v>
      </x:c>
      <x:c r="B429" s="11" t="n">
        <x:f>IF('제외 후보'!Q429&lt;&gt;"",'선정 규칙'!$B$4,0)</x:f>
        <x:v>0</x:v>
      </x:c>
      <x:c r="C429" s="11" t="n">
        <x:f>IF(ISNUMBER(SEARCH("jmdict_uncommon_or_irregular",'제외 후보'!P429)),'선정 규칙'!$B$5,IF(ISNUMBER(SEARCH("jmdict_rare_or_dated",'제외 후보'!P429)),'선정 규칙'!$B$6,0))</x:f>
        <x:v>0</x:v>
      </x:c>
      <x:c r="D429" s="11" t="n">
        <x:f>IF(ISNUMBER(SEARCH("jmdict_exact_pair_not_found",'제외 후보'!P429)),'선정 규칙'!$B$7,0)</x:f>
        <x:v>0</x:v>
      </x:c>
      <x:c r="E429" s="11" t="n">
        <x:f>IF(OR('제외 후보'!L429="",'제외 후보'!L429&lt;=0),'선정 규칙'!$B$8,IF('제외 후보'!L429&lt;=1.5,'선정 규칙'!$B$9,IF('제외 후보'!L429&lt;=2,'선정 규칙'!$B$10,IF('제외 후보'!L429&lt;=2.5,'선정 규칙'!$B$11,IF('제외 후보'!L429&lt;=3,'선정 규칙'!$B$12,IF('제외 후보'!L429&lt;=3.5,'선정 규칙'!$B$13,IF('제외 후보'!L429&gt;=4.5,'선정 규칙'!$B$14,0)))))))</x:f>
        <x:v>0</x:v>
      </x:c>
      <x:c r="F429" s="11" t="n">
        <x:f>IF('제외 후보'!Y429=0,'선정 규칙'!$B$15,IF('제외 후보'!Y429&gt;=100,'선정 규칙'!$B$16,'선정 규칙'!$B$17))</x:f>
        <x:v>12</x:v>
      </x:c>
      <x:c r="G429" s="11" t="n">
        <x:f>IF('제외 후보'!M429="있음",'선정 규칙'!$B$18,'선정 규칙'!$B$19)</x:f>
        <x:v>6</x:v>
      </x:c>
      <x:c r="H429" s="11" t="n">
        <x:f>IF(ISNUMBER(SEARCH("freq-core",'제외 후보'!AD429)),'선정 규칙'!$B$20,0)</x:f>
        <x:v>0</x:v>
      </x:c>
      <x:c r="I429" s="11" t="n">
        <x:f>IF(ISNUMBER(SEARCH("weak_legacy_content",'제외 후보'!P429)),'선정 규칙'!$B$21,0)</x:f>
        <x:v>5</x:v>
      </x:c>
      <x:c r="J429" s="11" t="n">
        <x:f>IF('제외 후보'!AC429&lt;&gt;"",'선정 규칙'!$B$22,0)</x:f>
        <x:v>0</x:v>
      </x:c>
      <x:c r="K429" s="11" t="n">
        <x:f>SUM(B429:J429)</x:f>
        <x:v>23</x:v>
      </x:c>
      <x:c r="L429" s="11" t="n">
        <x:f>'제외 후보'!N429</x:f>
        <x:v>23</x:v>
      </x:c>
      <x:c r="M429" s="2" t="str">
        <x:f>IF(K429=L429,"OK","MISMATCH")</x:f>
        <x:v>OK</x:v>
      </x:c>
    </x:row>
    <x:row r="430">
      <x:c r="A430" s="2" t="str">
        <x:f>'제외 후보'!G430</x:f>
        <x:v>w_c58699ef273c3ff5</x:v>
      </x:c>
      <x:c r="B430" s="11" t="n">
        <x:f>IF('제외 후보'!Q430&lt;&gt;"",'선정 규칙'!$B$4,0)</x:f>
        <x:v>0</x:v>
      </x:c>
      <x:c r="C430" s="11" t="n">
        <x:f>IF(ISNUMBER(SEARCH("jmdict_uncommon_or_irregular",'제외 후보'!P430)),'선정 규칙'!$B$5,IF(ISNUMBER(SEARCH("jmdict_rare_or_dated",'제외 후보'!P430)),'선정 규칙'!$B$6,0))</x:f>
        <x:v>0</x:v>
      </x:c>
      <x:c r="D430" s="11" t="n">
        <x:f>IF(ISNUMBER(SEARCH("jmdict_exact_pair_not_found",'제외 후보'!P430)),'선정 규칙'!$B$7,0)</x:f>
        <x:v>0</x:v>
      </x:c>
      <x:c r="E430" s="11" t="n">
        <x:f>IF(OR('제외 후보'!L430="",'제외 후보'!L430&lt;=0),'선정 규칙'!$B$8,IF('제외 후보'!L430&lt;=1.5,'선정 규칙'!$B$9,IF('제외 후보'!L430&lt;=2,'선정 규칙'!$B$10,IF('제외 후보'!L430&lt;=2.5,'선정 규칙'!$B$11,IF('제외 후보'!L430&lt;=3,'선정 규칙'!$B$12,IF('제외 후보'!L430&lt;=3.5,'선정 규칙'!$B$13,IF('제외 후보'!L430&gt;=4.5,'선정 규칙'!$B$14,0)))))))</x:f>
        <x:v>0</x:v>
      </x:c>
      <x:c r="F430" s="11" t="n">
        <x:f>IF('제외 후보'!Y430=0,'선정 규칙'!$B$15,IF('제외 후보'!Y430&gt;=100,'선정 규칙'!$B$16,'선정 규칙'!$B$17))</x:f>
        <x:v>12</x:v>
      </x:c>
      <x:c r="G430" s="11" t="n">
        <x:f>IF('제외 후보'!M430="있음",'선정 규칙'!$B$18,'선정 규칙'!$B$19)</x:f>
        <x:v>6</x:v>
      </x:c>
      <x:c r="H430" s="11" t="n">
        <x:f>IF(ISNUMBER(SEARCH("freq-core",'제외 후보'!AD430)),'선정 규칙'!$B$20,0)</x:f>
        <x:v>0</x:v>
      </x:c>
      <x:c r="I430" s="11" t="n">
        <x:f>IF(ISNUMBER(SEARCH("weak_legacy_content",'제외 후보'!P430)),'선정 규칙'!$B$21,0)</x:f>
        <x:v>5</x:v>
      </x:c>
      <x:c r="J430" s="11" t="n">
        <x:f>IF('제외 후보'!AC430&lt;&gt;"",'선정 규칙'!$B$22,0)</x:f>
        <x:v>0</x:v>
      </x:c>
      <x:c r="K430" s="11" t="n">
        <x:f>SUM(B430:J430)</x:f>
        <x:v>23</x:v>
      </x:c>
      <x:c r="L430" s="11" t="n">
        <x:f>'제외 후보'!N430</x:f>
        <x:v>23</x:v>
      </x:c>
      <x:c r="M430" s="2" t="str">
        <x:f>IF(K430=L430,"OK","MISMATCH")</x:f>
        <x:v>OK</x:v>
      </x:c>
    </x:row>
    <x:row r="431">
      <x:c r="A431" s="2" t="str">
        <x:f>'제외 후보'!G431</x:f>
        <x:v>w_276fd64e78b0496c</x:v>
      </x:c>
      <x:c r="B431" s="11" t="n">
        <x:f>IF('제외 후보'!Q431&lt;&gt;"",'선정 규칙'!$B$4,0)</x:f>
        <x:v>0</x:v>
      </x:c>
      <x:c r="C431" s="11" t="n">
        <x:f>IF(ISNUMBER(SEARCH("jmdict_uncommon_or_irregular",'제외 후보'!P431)),'선정 규칙'!$B$5,IF(ISNUMBER(SEARCH("jmdict_rare_or_dated",'제외 후보'!P431)),'선정 규칙'!$B$6,0))</x:f>
        <x:v>0</x:v>
      </x:c>
      <x:c r="D431" s="11" t="n">
        <x:f>IF(ISNUMBER(SEARCH("jmdict_exact_pair_not_found",'제외 후보'!P431)),'선정 규칙'!$B$7,0)</x:f>
        <x:v>0</x:v>
      </x:c>
      <x:c r="E431" s="11" t="n">
        <x:f>IF(OR('제외 후보'!L431="",'제외 후보'!L431&lt;=0),'선정 규칙'!$B$8,IF('제외 후보'!L431&lt;=1.5,'선정 규칙'!$B$9,IF('제외 후보'!L431&lt;=2,'선정 규칙'!$B$10,IF('제외 후보'!L431&lt;=2.5,'선정 규칙'!$B$11,IF('제외 후보'!L431&lt;=3,'선정 규칙'!$B$12,IF('제외 후보'!L431&lt;=3.5,'선정 규칙'!$B$13,IF('제외 후보'!L431&gt;=4.5,'선정 규칙'!$B$14,0)))))))</x:f>
        <x:v>0</x:v>
      </x:c>
      <x:c r="F431" s="11" t="n">
        <x:f>IF('제외 후보'!Y431=0,'선정 규칙'!$B$15,IF('제외 후보'!Y431&gt;=100,'선정 규칙'!$B$16,'선정 규칙'!$B$17))</x:f>
        <x:v>12</x:v>
      </x:c>
      <x:c r="G431" s="11" t="n">
        <x:f>IF('제외 후보'!M431="있음",'선정 규칙'!$B$18,'선정 규칙'!$B$19)</x:f>
        <x:v>6</x:v>
      </x:c>
      <x:c r="H431" s="11" t="n">
        <x:f>IF(ISNUMBER(SEARCH("freq-core",'제외 후보'!AD431)),'선정 규칙'!$B$20,0)</x:f>
        <x:v>0</x:v>
      </x:c>
      <x:c r="I431" s="11" t="n">
        <x:f>IF(ISNUMBER(SEARCH("weak_legacy_content",'제외 후보'!P431)),'선정 규칙'!$B$21,0)</x:f>
        <x:v>5</x:v>
      </x:c>
      <x:c r="J431" s="11" t="n">
        <x:f>IF('제외 후보'!AC431&lt;&gt;"",'선정 규칙'!$B$22,0)</x:f>
        <x:v>0</x:v>
      </x:c>
      <x:c r="K431" s="11" t="n">
        <x:f>SUM(B431:J431)</x:f>
        <x:v>23</x:v>
      </x:c>
      <x:c r="L431" s="11" t="n">
        <x:f>'제외 후보'!N431</x:f>
        <x:v>23</x:v>
      </x:c>
      <x:c r="M431" s="2" t="str">
        <x:f>IF(K431=L431,"OK","MISMATCH")</x:f>
        <x:v>OK</x:v>
      </x:c>
    </x:row>
    <x:row r="432">
      <x:c r="A432" s="2" t="str">
        <x:f>'제외 후보'!G432</x:f>
        <x:v>w_3c4bb37b73540b8a</x:v>
      </x:c>
      <x:c r="B432" s="11" t="n">
        <x:f>IF('제외 후보'!Q432&lt;&gt;"",'선정 규칙'!$B$4,0)</x:f>
        <x:v>0</x:v>
      </x:c>
      <x:c r="C432" s="11" t="n">
        <x:f>IF(ISNUMBER(SEARCH("jmdict_uncommon_or_irregular",'제외 후보'!P432)),'선정 규칙'!$B$5,IF(ISNUMBER(SEARCH("jmdict_rare_or_dated",'제외 후보'!P432)),'선정 규칙'!$B$6,0))</x:f>
        <x:v>0</x:v>
      </x:c>
      <x:c r="D432" s="11" t="n">
        <x:f>IF(ISNUMBER(SEARCH("jmdict_exact_pair_not_found",'제외 후보'!P432)),'선정 규칙'!$B$7,0)</x:f>
        <x:v>0</x:v>
      </x:c>
      <x:c r="E432" s="11" t="n">
        <x:f>IF(OR('제외 후보'!L432="",'제외 후보'!L432&lt;=0),'선정 규칙'!$B$8,IF('제외 후보'!L432&lt;=1.5,'선정 규칙'!$B$9,IF('제외 후보'!L432&lt;=2,'선정 규칙'!$B$10,IF('제외 후보'!L432&lt;=2.5,'선정 규칙'!$B$11,IF('제외 후보'!L432&lt;=3,'선정 규칙'!$B$12,IF('제외 후보'!L432&lt;=3.5,'선정 규칙'!$B$13,IF('제외 후보'!L432&gt;=4.5,'선정 규칙'!$B$14,0)))))))</x:f>
        <x:v>0</x:v>
      </x:c>
      <x:c r="F432" s="11" t="n">
        <x:f>IF('제외 후보'!Y432=0,'선정 규칙'!$B$15,IF('제외 후보'!Y432&gt;=100,'선정 규칙'!$B$16,'선정 규칙'!$B$17))</x:f>
        <x:v>12</x:v>
      </x:c>
      <x:c r="G432" s="11" t="n">
        <x:f>IF('제외 후보'!M432="있음",'선정 규칙'!$B$18,'선정 규칙'!$B$19)</x:f>
        <x:v>6</x:v>
      </x:c>
      <x:c r="H432" s="11" t="n">
        <x:f>IF(ISNUMBER(SEARCH("freq-core",'제외 후보'!AD432)),'선정 규칙'!$B$20,0)</x:f>
        <x:v>0</x:v>
      </x:c>
      <x:c r="I432" s="11" t="n">
        <x:f>IF(ISNUMBER(SEARCH("weak_legacy_content",'제외 후보'!P432)),'선정 규칙'!$B$21,0)</x:f>
        <x:v>5</x:v>
      </x:c>
      <x:c r="J432" s="11" t="n">
        <x:f>IF('제외 후보'!AC432&lt;&gt;"",'선정 규칙'!$B$22,0)</x:f>
        <x:v>0</x:v>
      </x:c>
      <x:c r="K432" s="11" t="n">
        <x:f>SUM(B432:J432)</x:f>
        <x:v>23</x:v>
      </x:c>
      <x:c r="L432" s="11" t="n">
        <x:f>'제외 후보'!N432</x:f>
        <x:v>23</x:v>
      </x:c>
      <x:c r="M432" s="2" t="str">
        <x:f>IF(K432=L432,"OK","MISMATCH")</x:f>
        <x:v>OK</x:v>
      </x:c>
    </x:row>
    <x:row r="433">
      <x:c r="A433" s="2" t="str">
        <x:f>'제외 후보'!G433</x:f>
        <x:v>w_16bc27b031413df0</x:v>
      </x:c>
      <x:c r="B433" s="11" t="n">
        <x:f>IF('제외 후보'!Q433&lt;&gt;"",'선정 규칙'!$B$4,0)</x:f>
        <x:v>0</x:v>
      </x:c>
      <x:c r="C433" s="11" t="n">
        <x:f>IF(ISNUMBER(SEARCH("jmdict_uncommon_or_irregular",'제외 후보'!P433)),'선정 규칙'!$B$5,IF(ISNUMBER(SEARCH("jmdict_rare_or_dated",'제외 후보'!P433)),'선정 규칙'!$B$6,0))</x:f>
        <x:v>0</x:v>
      </x:c>
      <x:c r="D433" s="11" t="n">
        <x:f>IF(ISNUMBER(SEARCH("jmdict_exact_pair_not_found",'제외 후보'!P433)),'선정 규칙'!$B$7,0)</x:f>
        <x:v>0</x:v>
      </x:c>
      <x:c r="E433" s="11" t="n">
        <x:f>IF(OR('제외 후보'!L433="",'제외 후보'!L433&lt;=0),'선정 규칙'!$B$8,IF('제외 후보'!L433&lt;=1.5,'선정 규칙'!$B$9,IF('제외 후보'!L433&lt;=2,'선정 규칙'!$B$10,IF('제외 후보'!L433&lt;=2.5,'선정 규칙'!$B$11,IF('제외 후보'!L433&lt;=3,'선정 규칙'!$B$12,IF('제외 후보'!L433&lt;=3.5,'선정 규칙'!$B$13,IF('제외 후보'!L433&gt;=4.5,'선정 규칙'!$B$14,0)))))))</x:f>
        <x:v>0</x:v>
      </x:c>
      <x:c r="F433" s="11" t="n">
        <x:f>IF('제외 후보'!Y433=0,'선정 규칙'!$B$15,IF('제외 후보'!Y433&gt;=100,'선정 규칙'!$B$16,'선정 규칙'!$B$17))</x:f>
        <x:v>12</x:v>
      </x:c>
      <x:c r="G433" s="11" t="n">
        <x:f>IF('제외 후보'!M433="있음",'선정 규칙'!$B$18,'선정 규칙'!$B$19)</x:f>
        <x:v>6</x:v>
      </x:c>
      <x:c r="H433" s="11" t="n">
        <x:f>IF(ISNUMBER(SEARCH("freq-core",'제외 후보'!AD433)),'선정 규칙'!$B$20,0)</x:f>
        <x:v>0</x:v>
      </x:c>
      <x:c r="I433" s="11" t="n">
        <x:f>IF(ISNUMBER(SEARCH("weak_legacy_content",'제외 후보'!P433)),'선정 규칙'!$B$21,0)</x:f>
        <x:v>5</x:v>
      </x:c>
      <x:c r="J433" s="11" t="n">
        <x:f>IF('제외 후보'!AC433&lt;&gt;"",'선정 규칙'!$B$22,0)</x:f>
        <x:v>0</x:v>
      </x:c>
      <x:c r="K433" s="11" t="n">
        <x:f>SUM(B433:J433)</x:f>
        <x:v>23</x:v>
      </x:c>
      <x:c r="L433" s="11" t="n">
        <x:f>'제외 후보'!N433</x:f>
        <x:v>23</x:v>
      </x:c>
      <x:c r="M433" s="2" t="str">
        <x:f>IF(K433=L433,"OK","MISMATCH")</x:f>
        <x:v>OK</x:v>
      </x:c>
    </x:row>
    <x:row r="434">
      <x:c r="A434" s="2" t="str">
        <x:f>'제외 후보'!G434</x:f>
        <x:v>w_b22a9c1d39252e48</x:v>
      </x:c>
      <x:c r="B434" s="11" t="n">
        <x:f>IF('제외 후보'!Q434&lt;&gt;"",'선정 규칙'!$B$4,0)</x:f>
        <x:v>0</x:v>
      </x:c>
      <x:c r="C434" s="11" t="n">
        <x:f>IF(ISNUMBER(SEARCH("jmdict_uncommon_or_irregular",'제외 후보'!P434)),'선정 규칙'!$B$5,IF(ISNUMBER(SEARCH("jmdict_rare_or_dated",'제외 후보'!P434)),'선정 규칙'!$B$6,0))</x:f>
        <x:v>0</x:v>
      </x:c>
      <x:c r="D434" s="11" t="n">
        <x:f>IF(ISNUMBER(SEARCH("jmdict_exact_pair_not_found",'제외 후보'!P434)),'선정 규칙'!$B$7,0)</x:f>
        <x:v>0</x:v>
      </x:c>
      <x:c r="E434" s="11" t="n">
        <x:f>IF(OR('제외 후보'!L434="",'제외 후보'!L434&lt;=0),'선정 규칙'!$B$8,IF('제외 후보'!L434&lt;=1.5,'선정 규칙'!$B$9,IF('제외 후보'!L434&lt;=2,'선정 규칙'!$B$10,IF('제외 후보'!L434&lt;=2.5,'선정 규칙'!$B$11,IF('제외 후보'!L434&lt;=3,'선정 규칙'!$B$12,IF('제외 후보'!L434&lt;=3.5,'선정 규칙'!$B$13,IF('제외 후보'!L434&gt;=4.5,'선정 규칙'!$B$14,0)))))))</x:f>
        <x:v>0</x:v>
      </x:c>
      <x:c r="F434" s="11" t="n">
        <x:f>IF('제외 후보'!Y434=0,'선정 규칙'!$B$15,IF('제외 후보'!Y434&gt;=100,'선정 규칙'!$B$16,'선정 규칙'!$B$17))</x:f>
        <x:v>12</x:v>
      </x:c>
      <x:c r="G434" s="11" t="n">
        <x:f>IF('제외 후보'!M434="있음",'선정 규칙'!$B$18,'선정 규칙'!$B$19)</x:f>
        <x:v>6</x:v>
      </x:c>
      <x:c r="H434" s="11" t="n">
        <x:f>IF(ISNUMBER(SEARCH("freq-core",'제외 후보'!AD434)),'선정 규칙'!$B$20,0)</x:f>
        <x:v>0</x:v>
      </x:c>
      <x:c r="I434" s="11" t="n">
        <x:f>IF(ISNUMBER(SEARCH("weak_legacy_content",'제외 후보'!P434)),'선정 규칙'!$B$21,0)</x:f>
        <x:v>5</x:v>
      </x:c>
      <x:c r="J434" s="11" t="n">
        <x:f>IF('제외 후보'!AC434&lt;&gt;"",'선정 규칙'!$B$22,0)</x:f>
        <x:v>0</x:v>
      </x:c>
      <x:c r="K434" s="11" t="n">
        <x:f>SUM(B434:J434)</x:f>
        <x:v>23</x:v>
      </x:c>
      <x:c r="L434" s="11" t="n">
        <x:f>'제외 후보'!N434</x:f>
        <x:v>23</x:v>
      </x:c>
      <x:c r="M434" s="2" t="str">
        <x:f>IF(K434=L434,"OK","MISMATCH")</x:f>
        <x:v>OK</x:v>
      </x:c>
    </x:row>
    <x:row r="435">
      <x:c r="A435" s="2" t="str">
        <x:f>'제외 후보'!G435</x:f>
        <x:v>w_92699129dc469572</x:v>
      </x:c>
      <x:c r="B435" s="11" t="n">
        <x:f>IF('제외 후보'!Q435&lt;&gt;"",'선정 규칙'!$B$4,0)</x:f>
        <x:v>0</x:v>
      </x:c>
      <x:c r="C435" s="11" t="n">
        <x:f>IF(ISNUMBER(SEARCH("jmdict_uncommon_or_irregular",'제외 후보'!P435)),'선정 규칙'!$B$5,IF(ISNUMBER(SEARCH("jmdict_rare_or_dated",'제외 후보'!P435)),'선정 규칙'!$B$6,0))</x:f>
        <x:v>0</x:v>
      </x:c>
      <x:c r="D435" s="11" t="n">
        <x:f>IF(ISNUMBER(SEARCH("jmdict_exact_pair_not_found",'제외 후보'!P435)),'선정 규칙'!$B$7,0)</x:f>
        <x:v>0</x:v>
      </x:c>
      <x:c r="E435" s="11" t="n">
        <x:f>IF(OR('제외 후보'!L435="",'제외 후보'!L435&lt;=0),'선정 규칙'!$B$8,IF('제외 후보'!L435&lt;=1.5,'선정 규칙'!$B$9,IF('제외 후보'!L435&lt;=2,'선정 규칙'!$B$10,IF('제외 후보'!L435&lt;=2.5,'선정 규칙'!$B$11,IF('제외 후보'!L435&lt;=3,'선정 규칙'!$B$12,IF('제외 후보'!L435&lt;=3.5,'선정 규칙'!$B$13,IF('제외 후보'!L435&gt;=4.5,'선정 규칙'!$B$14,0)))))))</x:f>
        <x:v>0</x:v>
      </x:c>
      <x:c r="F435" s="11" t="n">
        <x:f>IF('제외 후보'!Y435=0,'선정 규칙'!$B$15,IF('제외 후보'!Y435&gt;=100,'선정 규칙'!$B$16,'선정 규칙'!$B$17))</x:f>
        <x:v>12</x:v>
      </x:c>
      <x:c r="G435" s="11" t="n">
        <x:f>IF('제외 후보'!M435="있음",'선정 규칙'!$B$18,'선정 규칙'!$B$19)</x:f>
        <x:v>6</x:v>
      </x:c>
      <x:c r="H435" s="11" t="n">
        <x:f>IF(ISNUMBER(SEARCH("freq-core",'제외 후보'!AD435)),'선정 규칙'!$B$20,0)</x:f>
        <x:v>0</x:v>
      </x:c>
      <x:c r="I435" s="11" t="n">
        <x:f>IF(ISNUMBER(SEARCH("weak_legacy_content",'제외 후보'!P435)),'선정 규칙'!$B$21,0)</x:f>
        <x:v>5</x:v>
      </x:c>
      <x:c r="J435" s="11" t="n">
        <x:f>IF('제외 후보'!AC435&lt;&gt;"",'선정 규칙'!$B$22,0)</x:f>
        <x:v>0</x:v>
      </x:c>
      <x:c r="K435" s="11" t="n">
        <x:f>SUM(B435:J435)</x:f>
        <x:v>23</x:v>
      </x:c>
      <x:c r="L435" s="11" t="n">
        <x:f>'제외 후보'!N435</x:f>
        <x:v>23</x:v>
      </x:c>
      <x:c r="M435" s="2" t="str">
        <x:f>IF(K435=L435,"OK","MISMATCH")</x:f>
        <x:v>OK</x:v>
      </x:c>
    </x:row>
    <x:row r="436">
      <x:c r="A436" s="2" t="str">
        <x:f>'제외 후보'!G436</x:f>
        <x:v>w_b7af60a2cd9d8234</x:v>
      </x:c>
      <x:c r="B436" s="11" t="n">
        <x:f>IF('제외 후보'!Q436&lt;&gt;"",'선정 규칙'!$B$4,0)</x:f>
        <x:v>0</x:v>
      </x:c>
      <x:c r="C436" s="11" t="n">
        <x:f>IF(ISNUMBER(SEARCH("jmdict_uncommon_or_irregular",'제외 후보'!P436)),'선정 규칙'!$B$5,IF(ISNUMBER(SEARCH("jmdict_rare_or_dated",'제외 후보'!P436)),'선정 규칙'!$B$6,0))</x:f>
        <x:v>0</x:v>
      </x:c>
      <x:c r="D436" s="11" t="n">
        <x:f>IF(ISNUMBER(SEARCH("jmdict_exact_pair_not_found",'제외 후보'!P436)),'선정 규칙'!$B$7,0)</x:f>
        <x:v>0</x:v>
      </x:c>
      <x:c r="E436" s="11" t="n">
        <x:f>IF(OR('제외 후보'!L436="",'제외 후보'!L436&lt;=0),'선정 규칙'!$B$8,IF('제외 후보'!L436&lt;=1.5,'선정 규칙'!$B$9,IF('제외 후보'!L436&lt;=2,'선정 규칙'!$B$10,IF('제외 후보'!L436&lt;=2.5,'선정 규칙'!$B$11,IF('제외 후보'!L436&lt;=3,'선정 규칙'!$B$12,IF('제외 후보'!L436&lt;=3.5,'선정 규칙'!$B$13,IF('제외 후보'!L436&gt;=4.5,'선정 규칙'!$B$14,0)))))))</x:f>
        <x:v>0</x:v>
      </x:c>
      <x:c r="F436" s="11" t="n">
        <x:f>IF('제외 후보'!Y436=0,'선정 규칙'!$B$15,IF('제외 후보'!Y436&gt;=100,'선정 규칙'!$B$16,'선정 규칙'!$B$17))</x:f>
        <x:v>12</x:v>
      </x:c>
      <x:c r="G436" s="11" t="n">
        <x:f>IF('제외 후보'!M436="있음",'선정 규칙'!$B$18,'선정 규칙'!$B$19)</x:f>
        <x:v>6</x:v>
      </x:c>
      <x:c r="H436" s="11" t="n">
        <x:f>IF(ISNUMBER(SEARCH("freq-core",'제외 후보'!AD436)),'선정 규칙'!$B$20,0)</x:f>
        <x:v>0</x:v>
      </x:c>
      <x:c r="I436" s="11" t="n">
        <x:f>IF(ISNUMBER(SEARCH("weak_legacy_content",'제외 후보'!P436)),'선정 규칙'!$B$21,0)</x:f>
        <x:v>5</x:v>
      </x:c>
      <x:c r="J436" s="11" t="n">
        <x:f>IF('제외 후보'!AC436&lt;&gt;"",'선정 규칙'!$B$22,0)</x:f>
        <x:v>0</x:v>
      </x:c>
      <x:c r="K436" s="11" t="n">
        <x:f>SUM(B436:J436)</x:f>
        <x:v>23</x:v>
      </x:c>
      <x:c r="L436" s="11" t="n">
        <x:f>'제외 후보'!N436</x:f>
        <x:v>23</x:v>
      </x:c>
      <x:c r="M436" s="2" t="str">
        <x:f>IF(K436=L436,"OK","MISMATCH")</x:f>
        <x:v>OK</x:v>
      </x:c>
    </x:row>
    <x:row r="437">
      <x:c r="A437" s="2" t="str">
        <x:f>'제외 후보'!G437</x:f>
        <x:v>w_60add9e2fe81065f</x:v>
      </x:c>
      <x:c r="B437" s="11" t="n">
        <x:f>IF('제외 후보'!Q437&lt;&gt;"",'선정 규칙'!$B$4,0)</x:f>
        <x:v>0</x:v>
      </x:c>
      <x:c r="C437" s="11" t="n">
        <x:f>IF(ISNUMBER(SEARCH("jmdict_uncommon_or_irregular",'제외 후보'!P437)),'선정 규칙'!$B$5,IF(ISNUMBER(SEARCH("jmdict_rare_or_dated",'제외 후보'!P437)),'선정 규칙'!$B$6,0))</x:f>
        <x:v>0</x:v>
      </x:c>
      <x:c r="D437" s="11" t="n">
        <x:f>IF(ISNUMBER(SEARCH("jmdict_exact_pair_not_found",'제외 후보'!P437)),'선정 규칙'!$B$7,0)</x:f>
        <x:v>0</x:v>
      </x:c>
      <x:c r="E437" s="11" t="n">
        <x:f>IF(OR('제외 후보'!L437="",'제외 후보'!L437&lt;=0),'선정 규칙'!$B$8,IF('제외 후보'!L437&lt;=1.5,'선정 규칙'!$B$9,IF('제외 후보'!L437&lt;=2,'선정 규칙'!$B$10,IF('제외 후보'!L437&lt;=2.5,'선정 규칙'!$B$11,IF('제외 후보'!L437&lt;=3,'선정 규칙'!$B$12,IF('제외 후보'!L437&lt;=3.5,'선정 규칙'!$B$13,IF('제외 후보'!L437&gt;=4.5,'선정 규칙'!$B$14,0)))))))</x:f>
        <x:v>0</x:v>
      </x:c>
      <x:c r="F437" s="11" t="n">
        <x:f>IF('제외 후보'!Y437=0,'선정 규칙'!$B$15,IF('제외 후보'!Y437&gt;=100,'선정 규칙'!$B$16,'선정 규칙'!$B$17))</x:f>
        <x:v>12</x:v>
      </x:c>
      <x:c r="G437" s="11" t="n">
        <x:f>IF('제외 후보'!M437="있음",'선정 규칙'!$B$18,'선정 규칙'!$B$19)</x:f>
        <x:v>6</x:v>
      </x:c>
      <x:c r="H437" s="11" t="n">
        <x:f>IF(ISNUMBER(SEARCH("freq-core",'제외 후보'!AD437)),'선정 규칙'!$B$20,0)</x:f>
        <x:v>0</x:v>
      </x:c>
      <x:c r="I437" s="11" t="n">
        <x:f>IF(ISNUMBER(SEARCH("weak_legacy_content",'제외 후보'!P437)),'선정 규칙'!$B$21,0)</x:f>
        <x:v>5</x:v>
      </x:c>
      <x:c r="J437" s="11" t="n">
        <x:f>IF('제외 후보'!AC437&lt;&gt;"",'선정 규칙'!$B$22,0)</x:f>
        <x:v>0</x:v>
      </x:c>
      <x:c r="K437" s="11" t="n">
        <x:f>SUM(B437:J437)</x:f>
        <x:v>23</x:v>
      </x:c>
      <x:c r="L437" s="11" t="n">
        <x:f>'제외 후보'!N437</x:f>
        <x:v>23</x:v>
      </x:c>
      <x:c r="M437" s="2" t="str">
        <x:f>IF(K437=L437,"OK","MISMATCH")</x:f>
        <x:v>OK</x:v>
      </x:c>
    </x:row>
    <x:row r="438">
      <x:c r="A438" s="2" t="str">
        <x:f>'제외 후보'!G438</x:f>
        <x:v>w_36ea85c3b7fcc06f</x:v>
      </x:c>
      <x:c r="B438" s="11" t="n">
        <x:f>IF('제외 후보'!Q438&lt;&gt;"",'선정 규칙'!$B$4,0)</x:f>
        <x:v>0</x:v>
      </x:c>
      <x:c r="C438" s="11" t="n">
        <x:f>IF(ISNUMBER(SEARCH("jmdict_uncommon_or_irregular",'제외 후보'!P438)),'선정 규칙'!$B$5,IF(ISNUMBER(SEARCH("jmdict_rare_or_dated",'제외 후보'!P438)),'선정 규칙'!$B$6,0))</x:f>
        <x:v>0</x:v>
      </x:c>
      <x:c r="D438" s="11" t="n">
        <x:f>IF(ISNUMBER(SEARCH("jmdict_exact_pair_not_found",'제외 후보'!P438)),'선정 규칙'!$B$7,0)</x:f>
        <x:v>0</x:v>
      </x:c>
      <x:c r="E438" s="11" t="n">
        <x:f>IF(OR('제외 후보'!L438="",'제외 후보'!L438&lt;=0),'선정 규칙'!$B$8,IF('제외 후보'!L438&lt;=1.5,'선정 규칙'!$B$9,IF('제외 후보'!L438&lt;=2,'선정 규칙'!$B$10,IF('제외 후보'!L438&lt;=2.5,'선정 규칙'!$B$11,IF('제외 후보'!L438&lt;=3,'선정 규칙'!$B$12,IF('제외 후보'!L438&lt;=3.5,'선정 규칙'!$B$13,IF('제외 후보'!L438&gt;=4.5,'선정 규칙'!$B$14,0)))))))</x:f>
        <x:v>0</x:v>
      </x:c>
      <x:c r="F438" s="11" t="n">
        <x:f>IF('제외 후보'!Y438=0,'선정 규칙'!$B$15,IF('제외 후보'!Y438&gt;=100,'선정 규칙'!$B$16,'선정 규칙'!$B$17))</x:f>
        <x:v>12</x:v>
      </x:c>
      <x:c r="G438" s="11" t="n">
        <x:f>IF('제외 후보'!M438="있음",'선정 규칙'!$B$18,'선정 규칙'!$B$19)</x:f>
        <x:v>6</x:v>
      </x:c>
      <x:c r="H438" s="11" t="n">
        <x:f>IF(ISNUMBER(SEARCH("freq-core",'제외 후보'!AD438)),'선정 규칙'!$B$20,0)</x:f>
        <x:v>0</x:v>
      </x:c>
      <x:c r="I438" s="11" t="n">
        <x:f>IF(ISNUMBER(SEARCH("weak_legacy_content",'제외 후보'!P438)),'선정 규칙'!$B$21,0)</x:f>
        <x:v>5</x:v>
      </x:c>
      <x:c r="J438" s="11" t="n">
        <x:f>IF('제외 후보'!AC438&lt;&gt;"",'선정 규칙'!$B$22,0)</x:f>
        <x:v>0</x:v>
      </x:c>
      <x:c r="K438" s="11" t="n">
        <x:f>SUM(B438:J438)</x:f>
        <x:v>23</x:v>
      </x:c>
      <x:c r="L438" s="11" t="n">
        <x:f>'제외 후보'!N438</x:f>
        <x:v>23</x:v>
      </x:c>
      <x:c r="M438" s="2" t="str">
        <x:f>IF(K438=L438,"OK","MISMATCH")</x:f>
        <x:v>OK</x:v>
      </x:c>
    </x:row>
    <x:row r="439">
      <x:c r="A439" s="2" t="str">
        <x:f>'제외 후보'!G439</x:f>
        <x:v>w_926081e6aef5ddde</x:v>
      </x:c>
      <x:c r="B439" s="11" t="n">
        <x:f>IF('제외 후보'!Q439&lt;&gt;"",'선정 규칙'!$B$4,0)</x:f>
        <x:v>0</x:v>
      </x:c>
      <x:c r="C439" s="11" t="n">
        <x:f>IF(ISNUMBER(SEARCH("jmdict_uncommon_or_irregular",'제외 후보'!P439)),'선정 규칙'!$B$5,IF(ISNUMBER(SEARCH("jmdict_rare_or_dated",'제외 후보'!P439)),'선정 규칙'!$B$6,0))</x:f>
        <x:v>0</x:v>
      </x:c>
      <x:c r="D439" s="11" t="n">
        <x:f>IF(ISNUMBER(SEARCH("jmdict_exact_pair_not_found",'제외 후보'!P439)),'선정 규칙'!$B$7,0)</x:f>
        <x:v>0</x:v>
      </x:c>
      <x:c r="E439" s="11" t="n">
        <x:f>IF(OR('제외 후보'!L439="",'제외 후보'!L439&lt;=0),'선정 규칙'!$B$8,IF('제외 후보'!L439&lt;=1.5,'선정 규칙'!$B$9,IF('제외 후보'!L439&lt;=2,'선정 규칙'!$B$10,IF('제외 후보'!L439&lt;=2.5,'선정 규칙'!$B$11,IF('제외 후보'!L439&lt;=3,'선정 규칙'!$B$12,IF('제외 후보'!L439&lt;=3.5,'선정 규칙'!$B$13,IF('제외 후보'!L439&gt;=4.5,'선정 규칙'!$B$14,0)))))))</x:f>
        <x:v>0</x:v>
      </x:c>
      <x:c r="F439" s="11" t="n">
        <x:f>IF('제외 후보'!Y439=0,'선정 규칙'!$B$15,IF('제외 후보'!Y439&gt;=100,'선정 규칙'!$B$16,'선정 규칙'!$B$17))</x:f>
        <x:v>12</x:v>
      </x:c>
      <x:c r="G439" s="11" t="n">
        <x:f>IF('제외 후보'!M439="있음",'선정 규칙'!$B$18,'선정 규칙'!$B$19)</x:f>
        <x:v>6</x:v>
      </x:c>
      <x:c r="H439" s="11" t="n">
        <x:f>IF(ISNUMBER(SEARCH("freq-core",'제외 후보'!AD439)),'선정 규칙'!$B$20,0)</x:f>
        <x:v>0</x:v>
      </x:c>
      <x:c r="I439" s="11" t="n">
        <x:f>IF(ISNUMBER(SEARCH("weak_legacy_content",'제외 후보'!P439)),'선정 규칙'!$B$21,0)</x:f>
        <x:v>5</x:v>
      </x:c>
      <x:c r="J439" s="11" t="n">
        <x:f>IF('제외 후보'!AC439&lt;&gt;"",'선정 규칙'!$B$22,0)</x:f>
        <x:v>0</x:v>
      </x:c>
      <x:c r="K439" s="11" t="n">
        <x:f>SUM(B439:J439)</x:f>
        <x:v>23</x:v>
      </x:c>
      <x:c r="L439" s="11" t="n">
        <x:f>'제외 후보'!N439</x:f>
        <x:v>23</x:v>
      </x:c>
      <x:c r="M439" s="2" t="str">
        <x:f>IF(K439=L439,"OK","MISMATCH")</x:f>
        <x:v>OK</x:v>
      </x:c>
    </x:row>
    <x:row r="440">
      <x:c r="A440" s="2" t="str">
        <x:f>'제외 후보'!G440</x:f>
        <x:v>w_a92f3ba962ba4a0b</x:v>
      </x:c>
      <x:c r="B440" s="11" t="n">
        <x:f>IF('제외 후보'!Q440&lt;&gt;"",'선정 규칙'!$B$4,0)</x:f>
        <x:v>0</x:v>
      </x:c>
      <x:c r="C440" s="11" t="n">
        <x:f>IF(ISNUMBER(SEARCH("jmdict_uncommon_or_irregular",'제외 후보'!P440)),'선정 규칙'!$B$5,IF(ISNUMBER(SEARCH("jmdict_rare_or_dated",'제외 후보'!P440)),'선정 규칙'!$B$6,0))</x:f>
        <x:v>0</x:v>
      </x:c>
      <x:c r="D440" s="11" t="n">
        <x:f>IF(ISNUMBER(SEARCH("jmdict_exact_pair_not_found",'제외 후보'!P440)),'선정 규칙'!$B$7,0)</x:f>
        <x:v>0</x:v>
      </x:c>
      <x:c r="E440" s="11" t="n">
        <x:f>IF(OR('제외 후보'!L440="",'제외 후보'!L440&lt;=0),'선정 규칙'!$B$8,IF('제외 후보'!L440&lt;=1.5,'선정 규칙'!$B$9,IF('제외 후보'!L440&lt;=2,'선정 규칙'!$B$10,IF('제외 후보'!L440&lt;=2.5,'선정 규칙'!$B$11,IF('제외 후보'!L440&lt;=3,'선정 규칙'!$B$12,IF('제외 후보'!L440&lt;=3.5,'선정 규칙'!$B$13,IF('제외 후보'!L440&gt;=4.5,'선정 규칙'!$B$14,0)))))))</x:f>
        <x:v>0</x:v>
      </x:c>
      <x:c r="F440" s="11" t="n">
        <x:f>IF('제외 후보'!Y440=0,'선정 규칙'!$B$15,IF('제외 후보'!Y440&gt;=100,'선정 규칙'!$B$16,'선정 규칙'!$B$17))</x:f>
        <x:v>12</x:v>
      </x:c>
      <x:c r="G440" s="11" t="n">
        <x:f>IF('제외 후보'!M440="있음",'선정 규칙'!$B$18,'선정 규칙'!$B$19)</x:f>
        <x:v>6</x:v>
      </x:c>
      <x:c r="H440" s="11" t="n">
        <x:f>IF(ISNUMBER(SEARCH("freq-core",'제외 후보'!AD440)),'선정 규칙'!$B$20,0)</x:f>
        <x:v>0</x:v>
      </x:c>
      <x:c r="I440" s="11" t="n">
        <x:f>IF(ISNUMBER(SEARCH("weak_legacy_content",'제외 후보'!P440)),'선정 규칙'!$B$21,0)</x:f>
        <x:v>5</x:v>
      </x:c>
      <x:c r="J440" s="11" t="n">
        <x:f>IF('제외 후보'!AC440&lt;&gt;"",'선정 규칙'!$B$22,0)</x:f>
        <x:v>0</x:v>
      </x:c>
      <x:c r="K440" s="11" t="n">
        <x:f>SUM(B440:J440)</x:f>
        <x:v>23</x:v>
      </x:c>
      <x:c r="L440" s="11" t="n">
        <x:f>'제외 후보'!N440</x:f>
        <x:v>23</x:v>
      </x:c>
      <x:c r="M440" s="2" t="str">
        <x:f>IF(K440=L440,"OK","MISMATCH")</x:f>
        <x:v>OK</x:v>
      </x:c>
    </x:row>
    <x:row r="441">
      <x:c r="A441" s="2" t="str">
        <x:f>'제외 후보'!G441</x:f>
        <x:v>w_a748f14f1dc74403</x:v>
      </x:c>
      <x:c r="B441" s="11" t="n">
        <x:f>IF('제외 후보'!Q441&lt;&gt;"",'선정 규칙'!$B$4,0)</x:f>
        <x:v>0</x:v>
      </x:c>
      <x:c r="C441" s="11" t="n">
        <x:f>IF(ISNUMBER(SEARCH("jmdict_uncommon_or_irregular",'제외 후보'!P441)),'선정 규칙'!$B$5,IF(ISNUMBER(SEARCH("jmdict_rare_or_dated",'제외 후보'!P441)),'선정 규칙'!$B$6,0))</x:f>
        <x:v>0</x:v>
      </x:c>
      <x:c r="D441" s="11" t="n">
        <x:f>IF(ISNUMBER(SEARCH("jmdict_exact_pair_not_found",'제외 후보'!P441)),'선정 규칙'!$B$7,0)</x:f>
        <x:v>0</x:v>
      </x:c>
      <x:c r="E441" s="11" t="n">
        <x:f>IF(OR('제외 후보'!L441="",'제외 후보'!L441&lt;=0),'선정 규칙'!$B$8,IF('제외 후보'!L441&lt;=1.5,'선정 규칙'!$B$9,IF('제외 후보'!L441&lt;=2,'선정 규칙'!$B$10,IF('제외 후보'!L441&lt;=2.5,'선정 규칙'!$B$11,IF('제외 후보'!L441&lt;=3,'선정 규칙'!$B$12,IF('제외 후보'!L441&lt;=3.5,'선정 규칙'!$B$13,IF('제외 후보'!L441&gt;=4.5,'선정 규칙'!$B$14,0)))))))</x:f>
        <x:v>0</x:v>
      </x:c>
      <x:c r="F441" s="11" t="n">
        <x:f>IF('제외 후보'!Y441=0,'선정 규칙'!$B$15,IF('제외 후보'!Y441&gt;=100,'선정 규칙'!$B$16,'선정 규칙'!$B$17))</x:f>
        <x:v>12</x:v>
      </x:c>
      <x:c r="G441" s="11" t="n">
        <x:f>IF('제외 후보'!M441="있음",'선정 규칙'!$B$18,'선정 규칙'!$B$19)</x:f>
        <x:v>6</x:v>
      </x:c>
      <x:c r="H441" s="11" t="n">
        <x:f>IF(ISNUMBER(SEARCH("freq-core",'제외 후보'!AD441)),'선정 규칙'!$B$20,0)</x:f>
        <x:v>0</x:v>
      </x:c>
      <x:c r="I441" s="11" t="n">
        <x:f>IF(ISNUMBER(SEARCH("weak_legacy_content",'제외 후보'!P441)),'선정 규칙'!$B$21,0)</x:f>
        <x:v>5</x:v>
      </x:c>
      <x:c r="J441" s="11" t="n">
        <x:f>IF('제외 후보'!AC441&lt;&gt;"",'선정 규칙'!$B$22,0)</x:f>
        <x:v>0</x:v>
      </x:c>
      <x:c r="K441" s="11" t="n">
        <x:f>SUM(B441:J441)</x:f>
        <x:v>23</x:v>
      </x:c>
      <x:c r="L441" s="11" t="n">
        <x:f>'제외 후보'!N441</x:f>
        <x:v>23</x:v>
      </x:c>
      <x:c r="M441" s="2" t="str">
        <x:f>IF(K441=L441,"OK","MISMATCH")</x:f>
        <x:v>OK</x:v>
      </x:c>
    </x:row>
    <x:row r="442">
      <x:c r="A442" s="2" t="str">
        <x:f>'제외 후보'!G442</x:f>
        <x:v>w_306e7e2e4af2935b</x:v>
      </x:c>
      <x:c r="B442" s="11" t="n">
        <x:f>IF('제외 후보'!Q442&lt;&gt;"",'선정 규칙'!$B$4,0)</x:f>
        <x:v>0</x:v>
      </x:c>
      <x:c r="C442" s="11" t="n">
        <x:f>IF(ISNUMBER(SEARCH("jmdict_uncommon_or_irregular",'제외 후보'!P442)),'선정 규칙'!$B$5,IF(ISNUMBER(SEARCH("jmdict_rare_or_dated",'제외 후보'!P442)),'선정 규칙'!$B$6,0))</x:f>
        <x:v>0</x:v>
      </x:c>
      <x:c r="D442" s="11" t="n">
        <x:f>IF(ISNUMBER(SEARCH("jmdict_exact_pair_not_found",'제외 후보'!P442)),'선정 규칙'!$B$7,0)</x:f>
        <x:v>0</x:v>
      </x:c>
      <x:c r="E442" s="11" t="n">
        <x:f>IF(OR('제외 후보'!L442="",'제외 후보'!L442&lt;=0),'선정 규칙'!$B$8,IF('제외 후보'!L442&lt;=1.5,'선정 규칙'!$B$9,IF('제외 후보'!L442&lt;=2,'선정 규칙'!$B$10,IF('제외 후보'!L442&lt;=2.5,'선정 규칙'!$B$11,IF('제외 후보'!L442&lt;=3,'선정 규칙'!$B$12,IF('제외 후보'!L442&lt;=3.5,'선정 규칙'!$B$13,IF('제외 후보'!L442&gt;=4.5,'선정 규칙'!$B$14,0)))))))</x:f>
        <x:v>0</x:v>
      </x:c>
      <x:c r="F442" s="11" t="n">
        <x:f>IF('제외 후보'!Y442=0,'선정 규칙'!$B$15,IF('제외 후보'!Y442&gt;=100,'선정 규칙'!$B$16,'선정 규칙'!$B$17))</x:f>
        <x:v>12</x:v>
      </x:c>
      <x:c r="G442" s="11" t="n">
        <x:f>IF('제외 후보'!M442="있음",'선정 규칙'!$B$18,'선정 규칙'!$B$19)</x:f>
        <x:v>6</x:v>
      </x:c>
      <x:c r="H442" s="11" t="n">
        <x:f>IF(ISNUMBER(SEARCH("freq-core",'제외 후보'!AD442)),'선정 규칙'!$B$20,0)</x:f>
        <x:v>0</x:v>
      </x:c>
      <x:c r="I442" s="11" t="n">
        <x:f>IF(ISNUMBER(SEARCH("weak_legacy_content",'제외 후보'!P442)),'선정 규칙'!$B$21,0)</x:f>
        <x:v>5</x:v>
      </x:c>
      <x:c r="J442" s="11" t="n">
        <x:f>IF('제외 후보'!AC442&lt;&gt;"",'선정 규칙'!$B$22,0)</x:f>
        <x:v>0</x:v>
      </x:c>
      <x:c r="K442" s="11" t="n">
        <x:f>SUM(B442:J442)</x:f>
        <x:v>23</x:v>
      </x:c>
      <x:c r="L442" s="11" t="n">
        <x:f>'제외 후보'!N442</x:f>
        <x:v>23</x:v>
      </x:c>
      <x:c r="M442" s="2" t="str">
        <x:f>IF(K442=L442,"OK","MISMATCH")</x:f>
        <x:v>OK</x:v>
      </x:c>
    </x:row>
    <x:row r="443">
      <x:c r="A443" s="2" t="str">
        <x:f>'제외 후보'!G443</x:f>
        <x:v>w_61d9ca79f7ebd30f</x:v>
      </x:c>
      <x:c r="B443" s="11" t="n">
        <x:f>IF('제외 후보'!Q443&lt;&gt;"",'선정 규칙'!$B$4,0)</x:f>
        <x:v>0</x:v>
      </x:c>
      <x:c r="C443" s="11" t="n">
        <x:f>IF(ISNUMBER(SEARCH("jmdict_uncommon_or_irregular",'제외 후보'!P443)),'선정 규칙'!$B$5,IF(ISNUMBER(SEARCH("jmdict_rare_or_dated",'제외 후보'!P443)),'선정 규칙'!$B$6,0))</x:f>
        <x:v>0</x:v>
      </x:c>
      <x:c r="D443" s="11" t="n">
        <x:f>IF(ISNUMBER(SEARCH("jmdict_exact_pair_not_found",'제외 후보'!P443)),'선정 규칙'!$B$7,0)</x:f>
        <x:v>0</x:v>
      </x:c>
      <x:c r="E443" s="11" t="n">
        <x:f>IF(OR('제외 후보'!L443="",'제외 후보'!L443&lt;=0),'선정 규칙'!$B$8,IF('제외 후보'!L443&lt;=1.5,'선정 규칙'!$B$9,IF('제외 후보'!L443&lt;=2,'선정 규칙'!$B$10,IF('제외 후보'!L443&lt;=2.5,'선정 규칙'!$B$11,IF('제외 후보'!L443&lt;=3,'선정 규칙'!$B$12,IF('제외 후보'!L443&lt;=3.5,'선정 규칙'!$B$13,IF('제외 후보'!L443&gt;=4.5,'선정 규칙'!$B$14,0)))))))</x:f>
        <x:v>0</x:v>
      </x:c>
      <x:c r="F443" s="11" t="n">
        <x:f>IF('제외 후보'!Y443=0,'선정 규칙'!$B$15,IF('제외 후보'!Y443&gt;=100,'선정 규칙'!$B$16,'선정 규칙'!$B$17))</x:f>
        <x:v>12</x:v>
      </x:c>
      <x:c r="G443" s="11" t="n">
        <x:f>IF('제외 후보'!M443="있음",'선정 규칙'!$B$18,'선정 규칙'!$B$19)</x:f>
        <x:v>6</x:v>
      </x:c>
      <x:c r="H443" s="11" t="n">
        <x:f>IF(ISNUMBER(SEARCH("freq-core",'제외 후보'!AD443)),'선정 규칙'!$B$20,0)</x:f>
        <x:v>0</x:v>
      </x:c>
      <x:c r="I443" s="11" t="n">
        <x:f>IF(ISNUMBER(SEARCH("weak_legacy_content",'제외 후보'!P443)),'선정 규칙'!$B$21,0)</x:f>
        <x:v>5</x:v>
      </x:c>
      <x:c r="J443" s="11" t="n">
        <x:f>IF('제외 후보'!AC443&lt;&gt;"",'선정 규칙'!$B$22,0)</x:f>
        <x:v>0</x:v>
      </x:c>
      <x:c r="K443" s="11" t="n">
        <x:f>SUM(B443:J443)</x:f>
        <x:v>23</x:v>
      </x:c>
      <x:c r="L443" s="11" t="n">
        <x:f>'제외 후보'!N443</x:f>
        <x:v>23</x:v>
      </x:c>
      <x:c r="M443" s="2" t="str">
        <x:f>IF(K443=L443,"OK","MISMATCH")</x:f>
        <x:v>OK</x:v>
      </x:c>
    </x:row>
    <x:row r="444">
      <x:c r="A444" s="2" t="str">
        <x:f>'제외 후보'!G444</x:f>
        <x:v>w_c4cb4233bcc47f0a</x:v>
      </x:c>
      <x:c r="B444" s="11" t="n">
        <x:f>IF('제외 후보'!Q444&lt;&gt;"",'선정 규칙'!$B$4,0)</x:f>
        <x:v>0</x:v>
      </x:c>
      <x:c r="C444" s="11" t="n">
        <x:f>IF(ISNUMBER(SEARCH("jmdict_uncommon_or_irregular",'제외 후보'!P444)),'선정 규칙'!$B$5,IF(ISNUMBER(SEARCH("jmdict_rare_or_dated",'제외 후보'!P444)),'선정 규칙'!$B$6,0))</x:f>
        <x:v>0</x:v>
      </x:c>
      <x:c r="D444" s="11" t="n">
        <x:f>IF(ISNUMBER(SEARCH("jmdict_exact_pair_not_found",'제외 후보'!P444)),'선정 규칙'!$B$7,0)</x:f>
        <x:v>0</x:v>
      </x:c>
      <x:c r="E444" s="11" t="n">
        <x:f>IF(OR('제외 후보'!L444="",'제외 후보'!L444&lt;=0),'선정 규칙'!$B$8,IF('제외 후보'!L444&lt;=1.5,'선정 규칙'!$B$9,IF('제외 후보'!L444&lt;=2,'선정 규칙'!$B$10,IF('제외 후보'!L444&lt;=2.5,'선정 규칙'!$B$11,IF('제외 후보'!L444&lt;=3,'선정 규칙'!$B$12,IF('제외 후보'!L444&lt;=3.5,'선정 규칙'!$B$13,IF('제외 후보'!L444&gt;=4.5,'선정 규칙'!$B$14,0)))))))</x:f>
        <x:v>0</x:v>
      </x:c>
      <x:c r="F444" s="11" t="n">
        <x:f>IF('제외 후보'!Y444=0,'선정 규칙'!$B$15,IF('제외 후보'!Y444&gt;=100,'선정 규칙'!$B$16,'선정 규칙'!$B$17))</x:f>
        <x:v>12</x:v>
      </x:c>
      <x:c r="G444" s="11" t="n">
        <x:f>IF('제외 후보'!M444="있음",'선정 규칙'!$B$18,'선정 규칙'!$B$19)</x:f>
        <x:v>6</x:v>
      </x:c>
      <x:c r="H444" s="11" t="n">
        <x:f>IF(ISNUMBER(SEARCH("freq-core",'제외 후보'!AD444)),'선정 규칙'!$B$20,0)</x:f>
        <x:v>0</x:v>
      </x:c>
      <x:c r="I444" s="11" t="n">
        <x:f>IF(ISNUMBER(SEARCH("weak_legacy_content",'제외 후보'!P444)),'선정 규칙'!$B$21,0)</x:f>
        <x:v>5</x:v>
      </x:c>
      <x:c r="J444" s="11" t="n">
        <x:f>IF('제외 후보'!AC444&lt;&gt;"",'선정 규칙'!$B$22,0)</x:f>
        <x:v>0</x:v>
      </x:c>
      <x:c r="K444" s="11" t="n">
        <x:f>SUM(B444:J444)</x:f>
        <x:v>23</x:v>
      </x:c>
      <x:c r="L444" s="11" t="n">
        <x:f>'제외 후보'!N444</x:f>
        <x:v>23</x:v>
      </x:c>
      <x:c r="M444" s="2" t="str">
        <x:f>IF(K444=L444,"OK","MISMATCH")</x:f>
        <x:v>OK</x:v>
      </x:c>
    </x:row>
    <x:row r="445">
      <x:c r="A445" s="2" t="str">
        <x:f>'제외 후보'!G445</x:f>
        <x:v>w_96b8135551933035</x:v>
      </x:c>
      <x:c r="B445" s="11" t="n">
        <x:f>IF('제외 후보'!Q445&lt;&gt;"",'선정 규칙'!$B$4,0)</x:f>
        <x:v>0</x:v>
      </x:c>
      <x:c r="C445" s="11" t="n">
        <x:f>IF(ISNUMBER(SEARCH("jmdict_uncommon_or_irregular",'제외 후보'!P445)),'선정 규칙'!$B$5,IF(ISNUMBER(SEARCH("jmdict_rare_or_dated",'제외 후보'!P445)),'선정 규칙'!$B$6,0))</x:f>
        <x:v>0</x:v>
      </x:c>
      <x:c r="D445" s="11" t="n">
        <x:f>IF(ISNUMBER(SEARCH("jmdict_exact_pair_not_found",'제외 후보'!P445)),'선정 규칙'!$B$7,0)</x:f>
        <x:v>0</x:v>
      </x:c>
      <x:c r="E445" s="11" t="n">
        <x:f>IF(OR('제외 후보'!L445="",'제외 후보'!L445&lt;=0),'선정 규칙'!$B$8,IF('제외 후보'!L445&lt;=1.5,'선정 규칙'!$B$9,IF('제외 후보'!L445&lt;=2,'선정 규칙'!$B$10,IF('제외 후보'!L445&lt;=2.5,'선정 규칙'!$B$11,IF('제외 후보'!L445&lt;=3,'선정 규칙'!$B$12,IF('제외 후보'!L445&lt;=3.5,'선정 규칙'!$B$13,IF('제외 후보'!L445&gt;=4.5,'선정 규칙'!$B$14,0)))))))</x:f>
        <x:v>0</x:v>
      </x:c>
      <x:c r="F445" s="11" t="n">
        <x:f>IF('제외 후보'!Y445=0,'선정 규칙'!$B$15,IF('제외 후보'!Y445&gt;=100,'선정 규칙'!$B$16,'선정 규칙'!$B$17))</x:f>
        <x:v>12</x:v>
      </x:c>
      <x:c r="G445" s="11" t="n">
        <x:f>IF('제외 후보'!M445="있음",'선정 규칙'!$B$18,'선정 규칙'!$B$19)</x:f>
        <x:v>6</x:v>
      </x:c>
      <x:c r="H445" s="11" t="n">
        <x:f>IF(ISNUMBER(SEARCH("freq-core",'제외 후보'!AD445)),'선정 규칙'!$B$20,0)</x:f>
        <x:v>0</x:v>
      </x:c>
      <x:c r="I445" s="11" t="n">
        <x:f>IF(ISNUMBER(SEARCH("weak_legacy_content",'제외 후보'!P445)),'선정 규칙'!$B$21,0)</x:f>
        <x:v>5</x:v>
      </x:c>
      <x:c r="J445" s="11" t="n">
        <x:f>IF('제외 후보'!AC445&lt;&gt;"",'선정 규칙'!$B$22,0)</x:f>
        <x:v>0</x:v>
      </x:c>
      <x:c r="K445" s="11" t="n">
        <x:f>SUM(B445:J445)</x:f>
        <x:v>23</x:v>
      </x:c>
      <x:c r="L445" s="11" t="n">
        <x:f>'제외 후보'!N445</x:f>
        <x:v>23</x:v>
      </x:c>
      <x:c r="M445" s="2" t="str">
        <x:f>IF(K445=L445,"OK","MISMATCH")</x:f>
        <x:v>OK</x:v>
      </x:c>
    </x:row>
    <x:row r="446">
      <x:c r="A446" s="2" t="str">
        <x:f>'제외 후보'!G446</x:f>
        <x:v>w_e27d31e0e8e360af</x:v>
      </x:c>
      <x:c r="B446" s="11" t="n">
        <x:f>IF('제외 후보'!Q446&lt;&gt;"",'선정 규칙'!$B$4,0)</x:f>
        <x:v>0</x:v>
      </x:c>
      <x:c r="C446" s="11" t="n">
        <x:f>IF(ISNUMBER(SEARCH("jmdict_uncommon_or_irregular",'제외 후보'!P446)),'선정 규칙'!$B$5,IF(ISNUMBER(SEARCH("jmdict_rare_or_dated",'제외 후보'!P446)),'선정 규칙'!$B$6,0))</x:f>
        <x:v>0</x:v>
      </x:c>
      <x:c r="D446" s="11" t="n">
        <x:f>IF(ISNUMBER(SEARCH("jmdict_exact_pair_not_found",'제외 후보'!P446)),'선정 규칙'!$B$7,0)</x:f>
        <x:v>0</x:v>
      </x:c>
      <x:c r="E446" s="11" t="n">
        <x:f>IF(OR('제외 후보'!L446="",'제외 후보'!L446&lt;=0),'선정 규칙'!$B$8,IF('제외 후보'!L446&lt;=1.5,'선정 규칙'!$B$9,IF('제외 후보'!L446&lt;=2,'선정 규칙'!$B$10,IF('제외 후보'!L446&lt;=2.5,'선정 규칙'!$B$11,IF('제외 후보'!L446&lt;=3,'선정 규칙'!$B$12,IF('제외 후보'!L446&lt;=3.5,'선정 규칙'!$B$13,IF('제외 후보'!L446&gt;=4.5,'선정 규칙'!$B$14,0)))))))</x:f>
        <x:v>0</x:v>
      </x:c>
      <x:c r="F446" s="11" t="n">
        <x:f>IF('제외 후보'!Y446=0,'선정 규칙'!$B$15,IF('제외 후보'!Y446&gt;=100,'선정 규칙'!$B$16,'선정 규칙'!$B$17))</x:f>
        <x:v>12</x:v>
      </x:c>
      <x:c r="G446" s="11" t="n">
        <x:f>IF('제외 후보'!M446="있음",'선정 규칙'!$B$18,'선정 규칙'!$B$19)</x:f>
        <x:v>6</x:v>
      </x:c>
      <x:c r="H446" s="11" t="n">
        <x:f>IF(ISNUMBER(SEARCH("freq-core",'제외 후보'!AD446)),'선정 규칙'!$B$20,0)</x:f>
        <x:v>0</x:v>
      </x:c>
      <x:c r="I446" s="11" t="n">
        <x:f>IF(ISNUMBER(SEARCH("weak_legacy_content",'제외 후보'!P446)),'선정 규칙'!$B$21,0)</x:f>
        <x:v>5</x:v>
      </x:c>
      <x:c r="J446" s="11" t="n">
        <x:f>IF('제외 후보'!AC446&lt;&gt;"",'선정 규칙'!$B$22,0)</x:f>
        <x:v>0</x:v>
      </x:c>
      <x:c r="K446" s="11" t="n">
        <x:f>SUM(B446:J446)</x:f>
        <x:v>23</x:v>
      </x:c>
      <x:c r="L446" s="11" t="n">
        <x:f>'제외 후보'!N446</x:f>
        <x:v>23</x:v>
      </x:c>
      <x:c r="M446" s="2" t="str">
        <x:f>IF(K446=L446,"OK","MISMATCH")</x:f>
        <x:v>OK</x:v>
      </x:c>
    </x:row>
    <x:row r="447">
      <x:c r="A447" s="2" t="str">
        <x:f>'제외 후보'!G447</x:f>
        <x:v>w_966f45a36d366db2</x:v>
      </x:c>
      <x:c r="B447" s="11" t="n">
        <x:f>IF('제외 후보'!Q447&lt;&gt;"",'선정 규칙'!$B$4,0)</x:f>
        <x:v>0</x:v>
      </x:c>
      <x:c r="C447" s="11" t="n">
        <x:f>IF(ISNUMBER(SEARCH("jmdict_uncommon_or_irregular",'제외 후보'!P447)),'선정 규칙'!$B$5,IF(ISNUMBER(SEARCH("jmdict_rare_or_dated",'제외 후보'!P447)),'선정 규칙'!$B$6,0))</x:f>
        <x:v>0</x:v>
      </x:c>
      <x:c r="D447" s="11" t="n">
        <x:f>IF(ISNUMBER(SEARCH("jmdict_exact_pair_not_found",'제외 후보'!P447)),'선정 규칙'!$B$7,0)</x:f>
        <x:v>0</x:v>
      </x:c>
      <x:c r="E447" s="11" t="n">
        <x:f>IF(OR('제외 후보'!L447="",'제외 후보'!L447&lt;=0),'선정 규칙'!$B$8,IF('제외 후보'!L447&lt;=1.5,'선정 규칙'!$B$9,IF('제외 후보'!L447&lt;=2,'선정 규칙'!$B$10,IF('제외 후보'!L447&lt;=2.5,'선정 규칙'!$B$11,IF('제외 후보'!L447&lt;=3,'선정 규칙'!$B$12,IF('제외 후보'!L447&lt;=3.5,'선정 규칙'!$B$13,IF('제외 후보'!L447&gt;=4.5,'선정 규칙'!$B$14,0)))))))</x:f>
        <x:v>0</x:v>
      </x:c>
      <x:c r="F447" s="11" t="n">
        <x:f>IF('제외 후보'!Y447=0,'선정 규칙'!$B$15,IF('제외 후보'!Y447&gt;=100,'선정 규칙'!$B$16,'선정 규칙'!$B$17))</x:f>
        <x:v>12</x:v>
      </x:c>
      <x:c r="G447" s="11" t="n">
        <x:f>IF('제외 후보'!M447="있음",'선정 규칙'!$B$18,'선정 규칙'!$B$19)</x:f>
        <x:v>6</x:v>
      </x:c>
      <x:c r="H447" s="11" t="n">
        <x:f>IF(ISNUMBER(SEARCH("freq-core",'제외 후보'!AD447)),'선정 규칙'!$B$20,0)</x:f>
        <x:v>0</x:v>
      </x:c>
      <x:c r="I447" s="11" t="n">
        <x:f>IF(ISNUMBER(SEARCH("weak_legacy_content",'제외 후보'!P447)),'선정 규칙'!$B$21,0)</x:f>
        <x:v>5</x:v>
      </x:c>
      <x:c r="J447" s="11" t="n">
        <x:f>IF('제외 후보'!AC447&lt;&gt;"",'선정 규칙'!$B$22,0)</x:f>
        <x:v>0</x:v>
      </x:c>
      <x:c r="K447" s="11" t="n">
        <x:f>SUM(B447:J447)</x:f>
        <x:v>23</x:v>
      </x:c>
      <x:c r="L447" s="11" t="n">
        <x:f>'제외 후보'!N447</x:f>
        <x:v>23</x:v>
      </x:c>
      <x:c r="M447" s="2" t="str">
        <x:f>IF(K447=L447,"OK","MISMATCH")</x:f>
        <x:v>OK</x:v>
      </x:c>
    </x:row>
    <x:row r="448">
      <x:c r="A448" s="2" t="str">
        <x:f>'제외 후보'!G448</x:f>
        <x:v>w_f7ff8b934526cfbf</x:v>
      </x:c>
      <x:c r="B448" s="11" t="n">
        <x:f>IF('제외 후보'!Q448&lt;&gt;"",'선정 규칙'!$B$4,0)</x:f>
        <x:v>0</x:v>
      </x:c>
      <x:c r="C448" s="11" t="n">
        <x:f>IF(ISNUMBER(SEARCH("jmdict_uncommon_or_irregular",'제외 후보'!P448)),'선정 규칙'!$B$5,IF(ISNUMBER(SEARCH("jmdict_rare_or_dated",'제외 후보'!P448)),'선정 규칙'!$B$6,0))</x:f>
        <x:v>0</x:v>
      </x:c>
      <x:c r="D448" s="11" t="n">
        <x:f>IF(ISNUMBER(SEARCH("jmdict_exact_pair_not_found",'제외 후보'!P448)),'선정 규칙'!$B$7,0)</x:f>
        <x:v>0</x:v>
      </x:c>
      <x:c r="E448" s="11" t="n">
        <x:f>IF(OR('제외 후보'!L448="",'제외 후보'!L448&lt;=0),'선정 규칙'!$B$8,IF('제외 후보'!L448&lt;=1.5,'선정 규칙'!$B$9,IF('제외 후보'!L448&lt;=2,'선정 규칙'!$B$10,IF('제외 후보'!L448&lt;=2.5,'선정 규칙'!$B$11,IF('제외 후보'!L448&lt;=3,'선정 규칙'!$B$12,IF('제외 후보'!L448&lt;=3.5,'선정 규칙'!$B$13,IF('제외 후보'!L448&gt;=4.5,'선정 규칙'!$B$14,0)))))))</x:f>
        <x:v>0</x:v>
      </x:c>
      <x:c r="F448" s="11" t="n">
        <x:f>IF('제외 후보'!Y448=0,'선정 규칙'!$B$15,IF('제외 후보'!Y448&gt;=100,'선정 규칙'!$B$16,'선정 규칙'!$B$17))</x:f>
        <x:v>12</x:v>
      </x:c>
      <x:c r="G448" s="11" t="n">
        <x:f>IF('제외 후보'!M448="있음",'선정 규칙'!$B$18,'선정 규칙'!$B$19)</x:f>
        <x:v>6</x:v>
      </x:c>
      <x:c r="H448" s="11" t="n">
        <x:f>IF(ISNUMBER(SEARCH("freq-core",'제외 후보'!AD448)),'선정 규칙'!$B$20,0)</x:f>
        <x:v>0</x:v>
      </x:c>
      <x:c r="I448" s="11" t="n">
        <x:f>IF(ISNUMBER(SEARCH("weak_legacy_content",'제외 후보'!P448)),'선정 규칙'!$B$21,0)</x:f>
        <x:v>5</x:v>
      </x:c>
      <x:c r="J448" s="11" t="n">
        <x:f>IF('제외 후보'!AC448&lt;&gt;"",'선정 규칙'!$B$22,0)</x:f>
        <x:v>0</x:v>
      </x:c>
      <x:c r="K448" s="11" t="n">
        <x:f>SUM(B448:J448)</x:f>
        <x:v>23</x:v>
      </x:c>
      <x:c r="L448" s="11" t="n">
        <x:f>'제외 후보'!N448</x:f>
        <x:v>23</x:v>
      </x:c>
      <x:c r="M448" s="2" t="str">
        <x:f>IF(K448=L448,"OK","MISMATCH")</x:f>
        <x:v>OK</x:v>
      </x:c>
    </x:row>
    <x:row r="449">
      <x:c r="A449" s="2" t="str">
        <x:f>'제외 후보'!G449</x:f>
        <x:v>w_bb0e4760b8f1abb5</x:v>
      </x:c>
      <x:c r="B449" s="11" t="n">
        <x:f>IF('제외 후보'!Q449&lt;&gt;"",'선정 규칙'!$B$4,0)</x:f>
        <x:v>0</x:v>
      </x:c>
      <x:c r="C449" s="11" t="n">
        <x:f>IF(ISNUMBER(SEARCH("jmdict_uncommon_or_irregular",'제외 후보'!P449)),'선정 규칙'!$B$5,IF(ISNUMBER(SEARCH("jmdict_rare_or_dated",'제외 후보'!P449)),'선정 규칙'!$B$6,0))</x:f>
        <x:v>0</x:v>
      </x:c>
      <x:c r="D449" s="11" t="n">
        <x:f>IF(ISNUMBER(SEARCH("jmdict_exact_pair_not_found",'제외 후보'!P449)),'선정 규칙'!$B$7,0)</x:f>
        <x:v>0</x:v>
      </x:c>
      <x:c r="E449" s="11" t="n">
        <x:f>IF(OR('제외 후보'!L449="",'제외 후보'!L449&lt;=0),'선정 규칙'!$B$8,IF('제외 후보'!L449&lt;=1.5,'선정 규칙'!$B$9,IF('제외 후보'!L449&lt;=2,'선정 규칙'!$B$10,IF('제외 후보'!L449&lt;=2.5,'선정 규칙'!$B$11,IF('제외 후보'!L449&lt;=3,'선정 규칙'!$B$12,IF('제외 후보'!L449&lt;=3.5,'선정 규칙'!$B$13,IF('제외 후보'!L449&gt;=4.5,'선정 규칙'!$B$14,0)))))))</x:f>
        <x:v>0</x:v>
      </x:c>
      <x:c r="F449" s="11" t="n">
        <x:f>IF('제외 후보'!Y449=0,'선정 규칙'!$B$15,IF('제외 후보'!Y449&gt;=100,'선정 규칙'!$B$16,'선정 규칙'!$B$17))</x:f>
        <x:v>12</x:v>
      </x:c>
      <x:c r="G449" s="11" t="n">
        <x:f>IF('제외 후보'!M449="있음",'선정 규칙'!$B$18,'선정 규칙'!$B$19)</x:f>
        <x:v>6</x:v>
      </x:c>
      <x:c r="H449" s="11" t="n">
        <x:f>IF(ISNUMBER(SEARCH("freq-core",'제외 후보'!AD449)),'선정 규칙'!$B$20,0)</x:f>
        <x:v>0</x:v>
      </x:c>
      <x:c r="I449" s="11" t="n">
        <x:f>IF(ISNUMBER(SEARCH("weak_legacy_content",'제외 후보'!P449)),'선정 규칙'!$B$21,0)</x:f>
        <x:v>5</x:v>
      </x:c>
      <x:c r="J449" s="11" t="n">
        <x:f>IF('제외 후보'!AC449&lt;&gt;"",'선정 규칙'!$B$22,0)</x:f>
        <x:v>0</x:v>
      </x:c>
      <x:c r="K449" s="11" t="n">
        <x:f>SUM(B449:J449)</x:f>
        <x:v>23</x:v>
      </x:c>
      <x:c r="L449" s="11" t="n">
        <x:f>'제외 후보'!N449</x:f>
        <x:v>23</x:v>
      </x:c>
      <x:c r="M449" s="2" t="str">
        <x:f>IF(K449=L449,"OK","MISMATCH")</x:f>
        <x:v>OK</x:v>
      </x:c>
    </x:row>
    <x:row r="450">
      <x:c r="A450" s="2" t="str">
        <x:f>'제외 후보'!G450</x:f>
        <x:v>w_1b8e13af3bb28051</x:v>
      </x:c>
      <x:c r="B450" s="11" t="n">
        <x:f>IF('제외 후보'!Q450&lt;&gt;"",'선정 규칙'!$B$4,0)</x:f>
        <x:v>0</x:v>
      </x:c>
      <x:c r="C450" s="11" t="n">
        <x:f>IF(ISNUMBER(SEARCH("jmdict_uncommon_or_irregular",'제외 후보'!P450)),'선정 규칙'!$B$5,IF(ISNUMBER(SEARCH("jmdict_rare_or_dated",'제외 후보'!P450)),'선정 규칙'!$B$6,0))</x:f>
        <x:v>0</x:v>
      </x:c>
      <x:c r="D450" s="11" t="n">
        <x:f>IF(ISNUMBER(SEARCH("jmdict_exact_pair_not_found",'제외 후보'!P450)),'선정 규칙'!$B$7,0)</x:f>
        <x:v>0</x:v>
      </x:c>
      <x:c r="E450" s="11" t="n">
        <x:f>IF(OR('제외 후보'!L450="",'제외 후보'!L450&lt;=0),'선정 규칙'!$B$8,IF('제외 후보'!L450&lt;=1.5,'선정 규칙'!$B$9,IF('제외 후보'!L450&lt;=2,'선정 규칙'!$B$10,IF('제외 후보'!L450&lt;=2.5,'선정 규칙'!$B$11,IF('제외 후보'!L450&lt;=3,'선정 규칙'!$B$12,IF('제외 후보'!L450&lt;=3.5,'선정 규칙'!$B$13,IF('제외 후보'!L450&gt;=4.5,'선정 규칙'!$B$14,0)))))))</x:f>
        <x:v>0</x:v>
      </x:c>
      <x:c r="F450" s="11" t="n">
        <x:f>IF('제외 후보'!Y450=0,'선정 규칙'!$B$15,IF('제외 후보'!Y450&gt;=100,'선정 규칙'!$B$16,'선정 규칙'!$B$17))</x:f>
        <x:v>12</x:v>
      </x:c>
      <x:c r="G450" s="11" t="n">
        <x:f>IF('제외 후보'!M450="있음",'선정 규칙'!$B$18,'선정 규칙'!$B$19)</x:f>
        <x:v>6</x:v>
      </x:c>
      <x:c r="H450" s="11" t="n">
        <x:f>IF(ISNUMBER(SEARCH("freq-core",'제외 후보'!AD450)),'선정 규칙'!$B$20,0)</x:f>
        <x:v>0</x:v>
      </x:c>
      <x:c r="I450" s="11" t="n">
        <x:f>IF(ISNUMBER(SEARCH("weak_legacy_content",'제외 후보'!P450)),'선정 규칙'!$B$21,0)</x:f>
        <x:v>5</x:v>
      </x:c>
      <x:c r="J450" s="11" t="n">
        <x:f>IF('제외 후보'!AC450&lt;&gt;"",'선정 규칙'!$B$22,0)</x:f>
        <x:v>0</x:v>
      </x:c>
      <x:c r="K450" s="11" t="n">
        <x:f>SUM(B450:J450)</x:f>
        <x:v>23</x:v>
      </x:c>
      <x:c r="L450" s="11" t="n">
        <x:f>'제외 후보'!N450</x:f>
        <x:v>23</x:v>
      </x:c>
      <x:c r="M450" s="2" t="str">
        <x:f>IF(K450=L450,"OK","MISMATCH")</x:f>
        <x:v>OK</x:v>
      </x:c>
    </x:row>
    <x:row r="451">
      <x:c r="A451" s="2" t="str">
        <x:f>'제외 후보'!G451</x:f>
        <x:v>w_e66a2fdb4f75789d</x:v>
      </x:c>
      <x:c r="B451" s="11" t="n">
        <x:f>IF('제외 후보'!Q451&lt;&gt;"",'선정 규칙'!$B$4,0)</x:f>
        <x:v>0</x:v>
      </x:c>
      <x:c r="C451" s="11" t="n">
        <x:f>IF(ISNUMBER(SEARCH("jmdict_uncommon_or_irregular",'제외 후보'!P451)),'선정 규칙'!$B$5,IF(ISNUMBER(SEARCH("jmdict_rare_or_dated",'제외 후보'!P451)),'선정 규칙'!$B$6,0))</x:f>
        <x:v>0</x:v>
      </x:c>
      <x:c r="D451" s="11" t="n">
        <x:f>IF(ISNUMBER(SEARCH("jmdict_exact_pair_not_found",'제외 후보'!P451)),'선정 규칙'!$B$7,0)</x:f>
        <x:v>0</x:v>
      </x:c>
      <x:c r="E451" s="11" t="n">
        <x:f>IF(OR('제외 후보'!L451="",'제외 후보'!L451&lt;=0),'선정 규칙'!$B$8,IF('제외 후보'!L451&lt;=1.5,'선정 규칙'!$B$9,IF('제외 후보'!L451&lt;=2,'선정 규칙'!$B$10,IF('제외 후보'!L451&lt;=2.5,'선정 규칙'!$B$11,IF('제외 후보'!L451&lt;=3,'선정 규칙'!$B$12,IF('제외 후보'!L451&lt;=3.5,'선정 규칙'!$B$13,IF('제외 후보'!L451&gt;=4.5,'선정 규칙'!$B$14,0)))))))</x:f>
        <x:v>0</x:v>
      </x:c>
      <x:c r="F451" s="11" t="n">
        <x:f>IF('제외 후보'!Y451=0,'선정 규칙'!$B$15,IF('제외 후보'!Y451&gt;=100,'선정 규칙'!$B$16,'선정 규칙'!$B$17))</x:f>
        <x:v>12</x:v>
      </x:c>
      <x:c r="G451" s="11" t="n">
        <x:f>IF('제외 후보'!M451="있음",'선정 규칙'!$B$18,'선정 규칙'!$B$19)</x:f>
        <x:v>6</x:v>
      </x:c>
      <x:c r="H451" s="11" t="n">
        <x:f>IF(ISNUMBER(SEARCH("freq-core",'제외 후보'!AD451)),'선정 규칙'!$B$20,0)</x:f>
        <x:v>0</x:v>
      </x:c>
      <x:c r="I451" s="11" t="n">
        <x:f>IF(ISNUMBER(SEARCH("weak_legacy_content",'제외 후보'!P451)),'선정 규칙'!$B$21,0)</x:f>
        <x:v>5</x:v>
      </x:c>
      <x:c r="J451" s="11" t="n">
        <x:f>IF('제외 후보'!AC451&lt;&gt;"",'선정 규칙'!$B$22,0)</x:f>
        <x:v>0</x:v>
      </x:c>
      <x:c r="K451" s="11" t="n">
        <x:f>SUM(B451:J451)</x:f>
        <x:v>23</x:v>
      </x:c>
      <x:c r="L451" s="11" t="n">
        <x:f>'제외 후보'!N451</x:f>
        <x:v>23</x:v>
      </x:c>
      <x:c r="M451" s="2" t="str">
        <x:f>IF(K451=L451,"OK","MISMATCH")</x:f>
        <x:v>OK</x:v>
      </x:c>
    </x:row>
    <x:row r="452">
      <x:c r="A452" s="2" t="str">
        <x:f>'제외 후보'!G452</x:f>
        <x:v>w_02c1921b2f224dc5</x:v>
      </x:c>
      <x:c r="B452" s="11" t="n">
        <x:f>IF('제외 후보'!Q452&lt;&gt;"",'선정 규칙'!$B$4,0)</x:f>
        <x:v>0</x:v>
      </x:c>
      <x:c r="C452" s="11" t="n">
        <x:f>IF(ISNUMBER(SEARCH("jmdict_uncommon_or_irregular",'제외 후보'!P452)),'선정 규칙'!$B$5,IF(ISNUMBER(SEARCH("jmdict_rare_or_dated",'제외 후보'!P452)),'선정 규칙'!$B$6,0))</x:f>
        <x:v>0</x:v>
      </x:c>
      <x:c r="D452" s="11" t="n">
        <x:f>IF(ISNUMBER(SEARCH("jmdict_exact_pair_not_found",'제외 후보'!P452)),'선정 규칙'!$B$7,0)</x:f>
        <x:v>0</x:v>
      </x:c>
      <x:c r="E452" s="11" t="n">
        <x:f>IF(OR('제외 후보'!L452="",'제외 후보'!L452&lt;=0),'선정 규칙'!$B$8,IF('제외 후보'!L452&lt;=1.5,'선정 규칙'!$B$9,IF('제외 후보'!L452&lt;=2,'선정 규칙'!$B$10,IF('제외 후보'!L452&lt;=2.5,'선정 규칙'!$B$11,IF('제외 후보'!L452&lt;=3,'선정 규칙'!$B$12,IF('제외 후보'!L452&lt;=3.5,'선정 규칙'!$B$13,IF('제외 후보'!L452&gt;=4.5,'선정 규칙'!$B$14,0)))))))</x:f>
        <x:v>0</x:v>
      </x:c>
      <x:c r="F452" s="11" t="n">
        <x:f>IF('제외 후보'!Y452=0,'선정 규칙'!$B$15,IF('제외 후보'!Y452&gt;=100,'선정 규칙'!$B$16,'선정 규칙'!$B$17))</x:f>
        <x:v>12</x:v>
      </x:c>
      <x:c r="G452" s="11" t="n">
        <x:f>IF('제외 후보'!M452="있음",'선정 규칙'!$B$18,'선정 규칙'!$B$19)</x:f>
        <x:v>6</x:v>
      </x:c>
      <x:c r="H452" s="11" t="n">
        <x:f>IF(ISNUMBER(SEARCH("freq-core",'제외 후보'!AD452)),'선정 규칙'!$B$20,0)</x:f>
        <x:v>0</x:v>
      </x:c>
      <x:c r="I452" s="11" t="n">
        <x:f>IF(ISNUMBER(SEARCH("weak_legacy_content",'제외 후보'!P452)),'선정 규칙'!$B$21,0)</x:f>
        <x:v>5</x:v>
      </x:c>
      <x:c r="J452" s="11" t="n">
        <x:f>IF('제외 후보'!AC452&lt;&gt;"",'선정 규칙'!$B$22,0)</x:f>
        <x:v>0</x:v>
      </x:c>
      <x:c r="K452" s="11" t="n">
        <x:f>SUM(B452:J452)</x:f>
        <x:v>23</x:v>
      </x:c>
      <x:c r="L452" s="11" t="n">
        <x:f>'제외 후보'!N452</x:f>
        <x:v>23</x:v>
      </x:c>
      <x:c r="M452" s="2" t="str">
        <x:f>IF(K452=L452,"OK","MISMATCH")</x:f>
        <x:v>OK</x:v>
      </x:c>
    </x:row>
    <x:row r="453">
      <x:c r="A453" s="2" t="str">
        <x:f>'제외 후보'!G453</x:f>
        <x:v>w_c946987b5631709a</x:v>
      </x:c>
      <x:c r="B453" s="11" t="n">
        <x:f>IF('제외 후보'!Q453&lt;&gt;"",'선정 규칙'!$B$4,0)</x:f>
        <x:v>0</x:v>
      </x:c>
      <x:c r="C453" s="11" t="n">
        <x:f>IF(ISNUMBER(SEARCH("jmdict_uncommon_or_irregular",'제외 후보'!P453)),'선정 규칙'!$B$5,IF(ISNUMBER(SEARCH("jmdict_rare_or_dated",'제외 후보'!P453)),'선정 규칙'!$B$6,0))</x:f>
        <x:v>0</x:v>
      </x:c>
      <x:c r="D453" s="11" t="n">
        <x:f>IF(ISNUMBER(SEARCH("jmdict_exact_pair_not_found",'제외 후보'!P453)),'선정 규칙'!$B$7,0)</x:f>
        <x:v>0</x:v>
      </x:c>
      <x:c r="E453" s="11" t="n">
        <x:f>IF(OR('제외 후보'!L453="",'제외 후보'!L453&lt;=0),'선정 규칙'!$B$8,IF('제외 후보'!L453&lt;=1.5,'선정 규칙'!$B$9,IF('제외 후보'!L453&lt;=2,'선정 규칙'!$B$10,IF('제외 후보'!L453&lt;=2.5,'선정 규칙'!$B$11,IF('제외 후보'!L453&lt;=3,'선정 규칙'!$B$12,IF('제외 후보'!L453&lt;=3.5,'선정 규칙'!$B$13,IF('제외 후보'!L453&gt;=4.5,'선정 규칙'!$B$14,0)))))))</x:f>
        <x:v>0</x:v>
      </x:c>
      <x:c r="F453" s="11" t="n">
        <x:f>IF('제외 후보'!Y453=0,'선정 규칙'!$B$15,IF('제외 후보'!Y453&gt;=100,'선정 규칙'!$B$16,'선정 규칙'!$B$17))</x:f>
        <x:v>12</x:v>
      </x:c>
      <x:c r="G453" s="11" t="n">
        <x:f>IF('제외 후보'!M453="있음",'선정 규칙'!$B$18,'선정 규칙'!$B$19)</x:f>
        <x:v>6</x:v>
      </x:c>
      <x:c r="H453" s="11" t="n">
        <x:f>IF(ISNUMBER(SEARCH("freq-core",'제외 후보'!AD453)),'선정 규칙'!$B$20,0)</x:f>
        <x:v>0</x:v>
      </x:c>
      <x:c r="I453" s="11" t="n">
        <x:f>IF(ISNUMBER(SEARCH("weak_legacy_content",'제외 후보'!P453)),'선정 규칙'!$B$21,0)</x:f>
        <x:v>5</x:v>
      </x:c>
      <x:c r="J453" s="11" t="n">
        <x:f>IF('제외 후보'!AC453&lt;&gt;"",'선정 규칙'!$B$22,0)</x:f>
        <x:v>0</x:v>
      </x:c>
      <x:c r="K453" s="11" t="n">
        <x:f>SUM(B453:J453)</x:f>
        <x:v>23</x:v>
      </x:c>
      <x:c r="L453" s="11" t="n">
        <x:f>'제외 후보'!N453</x:f>
        <x:v>23</x:v>
      </x:c>
      <x:c r="M453" s="2" t="str">
        <x:f>IF(K453=L453,"OK","MISMATCH")</x:f>
        <x:v>OK</x:v>
      </x:c>
    </x:row>
    <x:row r="454">
      <x:c r="A454" s="2" t="str">
        <x:f>'제외 후보'!G454</x:f>
        <x:v>w_91eb3bbc909ca1a6</x:v>
      </x:c>
      <x:c r="B454" s="11" t="n">
        <x:f>IF('제외 후보'!Q454&lt;&gt;"",'선정 규칙'!$B$4,0)</x:f>
        <x:v>0</x:v>
      </x:c>
      <x:c r="C454" s="11" t="n">
        <x:f>IF(ISNUMBER(SEARCH("jmdict_uncommon_or_irregular",'제외 후보'!P454)),'선정 규칙'!$B$5,IF(ISNUMBER(SEARCH("jmdict_rare_or_dated",'제외 후보'!P454)),'선정 규칙'!$B$6,0))</x:f>
        <x:v>0</x:v>
      </x:c>
      <x:c r="D454" s="11" t="n">
        <x:f>IF(ISNUMBER(SEARCH("jmdict_exact_pair_not_found",'제외 후보'!P454)),'선정 규칙'!$B$7,0)</x:f>
        <x:v>0</x:v>
      </x:c>
      <x:c r="E454" s="11" t="n">
        <x:f>IF(OR('제외 후보'!L454="",'제외 후보'!L454&lt;=0),'선정 규칙'!$B$8,IF('제외 후보'!L454&lt;=1.5,'선정 규칙'!$B$9,IF('제외 후보'!L454&lt;=2,'선정 규칙'!$B$10,IF('제외 후보'!L454&lt;=2.5,'선정 규칙'!$B$11,IF('제외 후보'!L454&lt;=3,'선정 규칙'!$B$12,IF('제외 후보'!L454&lt;=3.5,'선정 규칙'!$B$13,IF('제외 후보'!L454&gt;=4.5,'선정 규칙'!$B$14,0)))))))</x:f>
        <x:v>0</x:v>
      </x:c>
      <x:c r="F454" s="11" t="n">
        <x:f>IF('제외 후보'!Y454=0,'선정 규칙'!$B$15,IF('제외 후보'!Y454&gt;=100,'선정 규칙'!$B$16,'선정 규칙'!$B$17))</x:f>
        <x:v>12</x:v>
      </x:c>
      <x:c r="G454" s="11" t="n">
        <x:f>IF('제외 후보'!M454="있음",'선정 규칙'!$B$18,'선정 규칙'!$B$19)</x:f>
        <x:v>6</x:v>
      </x:c>
      <x:c r="H454" s="11" t="n">
        <x:f>IF(ISNUMBER(SEARCH("freq-core",'제외 후보'!AD454)),'선정 규칙'!$B$20,0)</x:f>
        <x:v>0</x:v>
      </x:c>
      <x:c r="I454" s="11" t="n">
        <x:f>IF(ISNUMBER(SEARCH("weak_legacy_content",'제외 후보'!P454)),'선정 규칙'!$B$21,0)</x:f>
        <x:v>5</x:v>
      </x:c>
      <x:c r="J454" s="11" t="n">
        <x:f>IF('제외 후보'!AC454&lt;&gt;"",'선정 규칙'!$B$22,0)</x:f>
        <x:v>0</x:v>
      </x:c>
      <x:c r="K454" s="11" t="n">
        <x:f>SUM(B454:J454)</x:f>
        <x:v>23</x:v>
      </x:c>
      <x:c r="L454" s="11" t="n">
        <x:f>'제외 후보'!N454</x:f>
        <x:v>23</x:v>
      </x:c>
      <x:c r="M454" s="2" t="str">
        <x:f>IF(K454=L454,"OK","MISMATCH")</x:f>
        <x:v>OK</x:v>
      </x:c>
    </x:row>
    <x:row r="455">
      <x:c r="A455" s="2" t="str">
        <x:f>'제외 후보'!G455</x:f>
        <x:v>w_e54a70b56626a03a</x:v>
      </x:c>
      <x:c r="B455" s="11" t="n">
        <x:f>IF('제외 후보'!Q455&lt;&gt;"",'선정 규칙'!$B$4,0)</x:f>
        <x:v>0</x:v>
      </x:c>
      <x:c r="C455" s="11" t="n">
        <x:f>IF(ISNUMBER(SEARCH("jmdict_uncommon_or_irregular",'제외 후보'!P455)),'선정 규칙'!$B$5,IF(ISNUMBER(SEARCH("jmdict_rare_or_dated",'제외 후보'!P455)),'선정 규칙'!$B$6,0))</x:f>
        <x:v>0</x:v>
      </x:c>
      <x:c r="D455" s="11" t="n">
        <x:f>IF(ISNUMBER(SEARCH("jmdict_exact_pair_not_found",'제외 후보'!P455)),'선정 규칙'!$B$7,0)</x:f>
        <x:v>0</x:v>
      </x:c>
      <x:c r="E455" s="11" t="n">
        <x:f>IF(OR('제외 후보'!L455="",'제외 후보'!L455&lt;=0),'선정 규칙'!$B$8,IF('제외 후보'!L455&lt;=1.5,'선정 규칙'!$B$9,IF('제외 후보'!L455&lt;=2,'선정 규칙'!$B$10,IF('제외 후보'!L455&lt;=2.5,'선정 규칙'!$B$11,IF('제외 후보'!L455&lt;=3,'선정 규칙'!$B$12,IF('제외 후보'!L455&lt;=3.5,'선정 규칙'!$B$13,IF('제외 후보'!L455&gt;=4.5,'선정 규칙'!$B$14,0)))))))</x:f>
        <x:v>0</x:v>
      </x:c>
      <x:c r="F455" s="11" t="n">
        <x:f>IF('제외 후보'!Y455=0,'선정 규칙'!$B$15,IF('제외 후보'!Y455&gt;=100,'선정 규칙'!$B$16,'선정 규칙'!$B$17))</x:f>
        <x:v>12</x:v>
      </x:c>
      <x:c r="G455" s="11" t="n">
        <x:f>IF('제외 후보'!M455="있음",'선정 규칙'!$B$18,'선정 규칙'!$B$19)</x:f>
        <x:v>6</x:v>
      </x:c>
      <x:c r="H455" s="11" t="n">
        <x:f>IF(ISNUMBER(SEARCH("freq-core",'제외 후보'!AD455)),'선정 규칙'!$B$20,0)</x:f>
        <x:v>0</x:v>
      </x:c>
      <x:c r="I455" s="11" t="n">
        <x:f>IF(ISNUMBER(SEARCH("weak_legacy_content",'제외 후보'!P455)),'선정 규칙'!$B$21,0)</x:f>
        <x:v>5</x:v>
      </x:c>
      <x:c r="J455" s="11" t="n">
        <x:f>IF('제외 후보'!AC455&lt;&gt;"",'선정 규칙'!$B$22,0)</x:f>
        <x:v>0</x:v>
      </x:c>
      <x:c r="K455" s="11" t="n">
        <x:f>SUM(B455:J455)</x:f>
        <x:v>23</x:v>
      </x:c>
      <x:c r="L455" s="11" t="n">
        <x:f>'제외 후보'!N455</x:f>
        <x:v>23</x:v>
      </x:c>
      <x:c r="M455" s="2" t="str">
        <x:f>IF(K455=L455,"OK","MISMATCH")</x:f>
        <x:v>OK</x:v>
      </x:c>
    </x:row>
    <x:row r="456">
      <x:c r="A456" s="2" t="str">
        <x:f>'제외 후보'!G456</x:f>
        <x:v>w_57a011ab09afca76</x:v>
      </x:c>
      <x:c r="B456" s="11" t="n">
        <x:f>IF('제외 후보'!Q456&lt;&gt;"",'선정 규칙'!$B$4,0)</x:f>
        <x:v>0</x:v>
      </x:c>
      <x:c r="C456" s="11" t="n">
        <x:f>IF(ISNUMBER(SEARCH("jmdict_uncommon_or_irregular",'제외 후보'!P456)),'선정 규칙'!$B$5,IF(ISNUMBER(SEARCH("jmdict_rare_or_dated",'제외 후보'!P456)),'선정 규칙'!$B$6,0))</x:f>
        <x:v>0</x:v>
      </x:c>
      <x:c r="D456" s="11" t="n">
        <x:f>IF(ISNUMBER(SEARCH("jmdict_exact_pair_not_found",'제외 후보'!P456)),'선정 규칙'!$B$7,0)</x:f>
        <x:v>0</x:v>
      </x:c>
      <x:c r="E456" s="11" t="n">
        <x:f>IF(OR('제외 후보'!L456="",'제외 후보'!L456&lt;=0),'선정 규칙'!$B$8,IF('제외 후보'!L456&lt;=1.5,'선정 규칙'!$B$9,IF('제외 후보'!L456&lt;=2,'선정 규칙'!$B$10,IF('제외 후보'!L456&lt;=2.5,'선정 규칙'!$B$11,IF('제외 후보'!L456&lt;=3,'선정 규칙'!$B$12,IF('제외 후보'!L456&lt;=3.5,'선정 규칙'!$B$13,IF('제외 후보'!L456&gt;=4.5,'선정 규칙'!$B$14,0)))))))</x:f>
        <x:v>0</x:v>
      </x:c>
      <x:c r="F456" s="11" t="n">
        <x:f>IF('제외 후보'!Y456=0,'선정 규칙'!$B$15,IF('제외 후보'!Y456&gt;=100,'선정 규칙'!$B$16,'선정 규칙'!$B$17))</x:f>
        <x:v>12</x:v>
      </x:c>
      <x:c r="G456" s="11" t="n">
        <x:f>IF('제외 후보'!M456="있음",'선정 규칙'!$B$18,'선정 규칙'!$B$19)</x:f>
        <x:v>6</x:v>
      </x:c>
      <x:c r="H456" s="11" t="n">
        <x:f>IF(ISNUMBER(SEARCH("freq-core",'제외 후보'!AD456)),'선정 규칙'!$B$20,0)</x:f>
        <x:v>0</x:v>
      </x:c>
      <x:c r="I456" s="11" t="n">
        <x:f>IF(ISNUMBER(SEARCH("weak_legacy_content",'제외 후보'!P456)),'선정 규칙'!$B$21,0)</x:f>
        <x:v>5</x:v>
      </x:c>
      <x:c r="J456" s="11" t="n">
        <x:f>IF('제외 후보'!AC456&lt;&gt;"",'선정 규칙'!$B$22,0)</x:f>
        <x:v>0</x:v>
      </x:c>
      <x:c r="K456" s="11" t="n">
        <x:f>SUM(B456:J456)</x:f>
        <x:v>23</x:v>
      </x:c>
      <x:c r="L456" s="11" t="n">
        <x:f>'제외 후보'!N456</x:f>
        <x:v>23</x:v>
      </x:c>
      <x:c r="M456" s="2" t="str">
        <x:f>IF(K456=L456,"OK","MISMATCH")</x:f>
        <x:v>OK</x:v>
      </x:c>
    </x:row>
    <x:row r="457">
      <x:c r="A457" s="2" t="str">
        <x:f>'제외 후보'!G457</x:f>
        <x:v>w_a8b1d7357bf5c843</x:v>
      </x:c>
      <x:c r="B457" s="11" t="n">
        <x:f>IF('제외 후보'!Q457&lt;&gt;"",'선정 규칙'!$B$4,0)</x:f>
        <x:v>0</x:v>
      </x:c>
      <x:c r="C457" s="11" t="n">
        <x:f>IF(ISNUMBER(SEARCH("jmdict_uncommon_or_irregular",'제외 후보'!P457)),'선정 규칙'!$B$5,IF(ISNUMBER(SEARCH("jmdict_rare_or_dated",'제외 후보'!P457)),'선정 규칙'!$B$6,0))</x:f>
        <x:v>0</x:v>
      </x:c>
      <x:c r="D457" s="11" t="n">
        <x:f>IF(ISNUMBER(SEARCH("jmdict_exact_pair_not_found",'제외 후보'!P457)),'선정 규칙'!$B$7,0)</x:f>
        <x:v>0</x:v>
      </x:c>
      <x:c r="E457" s="11" t="n">
        <x:f>IF(OR('제외 후보'!L457="",'제외 후보'!L457&lt;=0),'선정 규칙'!$B$8,IF('제외 후보'!L457&lt;=1.5,'선정 규칙'!$B$9,IF('제외 후보'!L457&lt;=2,'선정 규칙'!$B$10,IF('제외 후보'!L457&lt;=2.5,'선정 규칙'!$B$11,IF('제외 후보'!L457&lt;=3,'선정 규칙'!$B$12,IF('제외 후보'!L457&lt;=3.5,'선정 규칙'!$B$13,IF('제외 후보'!L457&gt;=4.5,'선정 규칙'!$B$14,0)))))))</x:f>
        <x:v>0</x:v>
      </x:c>
      <x:c r="F457" s="11" t="n">
        <x:f>IF('제외 후보'!Y457=0,'선정 규칙'!$B$15,IF('제외 후보'!Y457&gt;=100,'선정 규칙'!$B$16,'선정 규칙'!$B$17))</x:f>
        <x:v>12</x:v>
      </x:c>
      <x:c r="G457" s="11" t="n">
        <x:f>IF('제외 후보'!M457="있음",'선정 규칙'!$B$18,'선정 규칙'!$B$19)</x:f>
        <x:v>6</x:v>
      </x:c>
      <x:c r="H457" s="11" t="n">
        <x:f>IF(ISNUMBER(SEARCH("freq-core",'제외 후보'!AD457)),'선정 규칙'!$B$20,0)</x:f>
        <x:v>0</x:v>
      </x:c>
      <x:c r="I457" s="11" t="n">
        <x:f>IF(ISNUMBER(SEARCH("weak_legacy_content",'제외 후보'!P457)),'선정 규칙'!$B$21,0)</x:f>
        <x:v>5</x:v>
      </x:c>
      <x:c r="J457" s="11" t="n">
        <x:f>IF('제외 후보'!AC457&lt;&gt;"",'선정 규칙'!$B$22,0)</x:f>
        <x:v>0</x:v>
      </x:c>
      <x:c r="K457" s="11" t="n">
        <x:f>SUM(B457:J457)</x:f>
        <x:v>23</x:v>
      </x:c>
      <x:c r="L457" s="11" t="n">
        <x:f>'제외 후보'!N457</x:f>
        <x:v>23</x:v>
      </x:c>
      <x:c r="M457" s="2" t="str">
        <x:f>IF(K457=L457,"OK","MISMATCH")</x:f>
        <x:v>OK</x:v>
      </x:c>
    </x:row>
    <x:row r="458">
      <x:c r="A458" s="2" t="str">
        <x:f>'제외 후보'!G458</x:f>
        <x:v>w_cf2e9e651b239828</x:v>
      </x:c>
      <x:c r="B458" s="11" t="n">
        <x:f>IF('제외 후보'!Q458&lt;&gt;"",'선정 규칙'!$B$4,0)</x:f>
        <x:v>0</x:v>
      </x:c>
      <x:c r="C458" s="11" t="n">
        <x:f>IF(ISNUMBER(SEARCH("jmdict_uncommon_or_irregular",'제외 후보'!P458)),'선정 규칙'!$B$5,IF(ISNUMBER(SEARCH("jmdict_rare_or_dated",'제외 후보'!P458)),'선정 규칙'!$B$6,0))</x:f>
        <x:v>0</x:v>
      </x:c>
      <x:c r="D458" s="11" t="n">
        <x:f>IF(ISNUMBER(SEARCH("jmdict_exact_pair_not_found",'제외 후보'!P458)),'선정 규칙'!$B$7,0)</x:f>
        <x:v>0</x:v>
      </x:c>
      <x:c r="E458" s="11" t="n">
        <x:f>IF(OR('제외 후보'!L458="",'제외 후보'!L458&lt;=0),'선정 규칙'!$B$8,IF('제외 후보'!L458&lt;=1.5,'선정 규칙'!$B$9,IF('제외 후보'!L458&lt;=2,'선정 규칙'!$B$10,IF('제외 후보'!L458&lt;=2.5,'선정 규칙'!$B$11,IF('제외 후보'!L458&lt;=3,'선정 규칙'!$B$12,IF('제외 후보'!L458&lt;=3.5,'선정 규칙'!$B$13,IF('제외 후보'!L458&gt;=4.5,'선정 규칙'!$B$14,0)))))))</x:f>
        <x:v>0</x:v>
      </x:c>
      <x:c r="F458" s="11" t="n">
        <x:f>IF('제외 후보'!Y458=0,'선정 규칙'!$B$15,IF('제외 후보'!Y458&gt;=100,'선정 규칙'!$B$16,'선정 규칙'!$B$17))</x:f>
        <x:v>12</x:v>
      </x:c>
      <x:c r="G458" s="11" t="n">
        <x:f>IF('제외 후보'!M458="있음",'선정 규칙'!$B$18,'선정 규칙'!$B$19)</x:f>
        <x:v>6</x:v>
      </x:c>
      <x:c r="H458" s="11" t="n">
        <x:f>IF(ISNUMBER(SEARCH("freq-core",'제외 후보'!AD458)),'선정 규칙'!$B$20,0)</x:f>
        <x:v>0</x:v>
      </x:c>
      <x:c r="I458" s="11" t="n">
        <x:f>IF(ISNUMBER(SEARCH("weak_legacy_content",'제외 후보'!P458)),'선정 규칙'!$B$21,0)</x:f>
        <x:v>5</x:v>
      </x:c>
      <x:c r="J458" s="11" t="n">
        <x:f>IF('제외 후보'!AC458&lt;&gt;"",'선정 규칙'!$B$22,0)</x:f>
        <x:v>0</x:v>
      </x:c>
      <x:c r="K458" s="11" t="n">
        <x:f>SUM(B458:J458)</x:f>
        <x:v>23</x:v>
      </x:c>
      <x:c r="L458" s="11" t="n">
        <x:f>'제외 후보'!N458</x:f>
        <x:v>23</x:v>
      </x:c>
      <x:c r="M458" s="2" t="str">
        <x:f>IF(K458=L458,"OK","MISMATCH")</x:f>
        <x:v>OK</x:v>
      </x:c>
    </x:row>
    <x:row r="459">
      <x:c r="A459" s="2" t="str">
        <x:f>'제외 후보'!G459</x:f>
        <x:v>w_09596ca95ad863e9</x:v>
      </x:c>
      <x:c r="B459" s="11" t="n">
        <x:f>IF('제외 후보'!Q459&lt;&gt;"",'선정 규칙'!$B$4,0)</x:f>
        <x:v>0</x:v>
      </x:c>
      <x:c r="C459" s="11" t="n">
        <x:f>IF(ISNUMBER(SEARCH("jmdict_uncommon_or_irregular",'제외 후보'!P459)),'선정 규칙'!$B$5,IF(ISNUMBER(SEARCH("jmdict_rare_or_dated",'제외 후보'!P459)),'선정 규칙'!$B$6,0))</x:f>
        <x:v>0</x:v>
      </x:c>
      <x:c r="D459" s="11" t="n">
        <x:f>IF(ISNUMBER(SEARCH("jmdict_exact_pair_not_found",'제외 후보'!P459)),'선정 규칙'!$B$7,0)</x:f>
        <x:v>0</x:v>
      </x:c>
      <x:c r="E459" s="11" t="n">
        <x:f>IF(OR('제외 후보'!L459="",'제외 후보'!L459&lt;=0),'선정 규칙'!$B$8,IF('제외 후보'!L459&lt;=1.5,'선정 규칙'!$B$9,IF('제외 후보'!L459&lt;=2,'선정 규칙'!$B$10,IF('제외 후보'!L459&lt;=2.5,'선정 규칙'!$B$11,IF('제외 후보'!L459&lt;=3,'선정 규칙'!$B$12,IF('제외 후보'!L459&lt;=3.5,'선정 규칙'!$B$13,IF('제외 후보'!L459&gt;=4.5,'선정 규칙'!$B$14,0)))))))</x:f>
        <x:v>0</x:v>
      </x:c>
      <x:c r="F459" s="11" t="n">
        <x:f>IF('제외 후보'!Y459=0,'선정 규칙'!$B$15,IF('제외 후보'!Y459&gt;=100,'선정 규칙'!$B$16,'선정 규칙'!$B$17))</x:f>
        <x:v>12</x:v>
      </x:c>
      <x:c r="G459" s="11" t="n">
        <x:f>IF('제외 후보'!M459="있음",'선정 규칙'!$B$18,'선정 규칙'!$B$19)</x:f>
        <x:v>6</x:v>
      </x:c>
      <x:c r="H459" s="11" t="n">
        <x:f>IF(ISNUMBER(SEARCH("freq-core",'제외 후보'!AD459)),'선정 규칙'!$B$20,0)</x:f>
        <x:v>0</x:v>
      </x:c>
      <x:c r="I459" s="11" t="n">
        <x:f>IF(ISNUMBER(SEARCH("weak_legacy_content",'제외 후보'!P459)),'선정 규칙'!$B$21,0)</x:f>
        <x:v>5</x:v>
      </x:c>
      <x:c r="J459" s="11" t="n">
        <x:f>IF('제외 후보'!AC459&lt;&gt;"",'선정 규칙'!$B$22,0)</x:f>
        <x:v>0</x:v>
      </x:c>
      <x:c r="K459" s="11" t="n">
        <x:f>SUM(B459:J459)</x:f>
        <x:v>23</x:v>
      </x:c>
      <x:c r="L459" s="11" t="n">
        <x:f>'제외 후보'!N459</x:f>
        <x:v>23</x:v>
      </x:c>
      <x:c r="M459" s="2" t="str">
        <x:f>IF(K459=L459,"OK","MISMATCH")</x:f>
        <x:v>OK</x:v>
      </x:c>
    </x:row>
    <x:row r="460">
      <x:c r="A460" s="2" t="str">
        <x:f>'제외 후보'!G460</x:f>
        <x:v>w_cd94ea8ce1292469</x:v>
      </x:c>
      <x:c r="B460" s="11" t="n">
        <x:f>IF('제외 후보'!Q460&lt;&gt;"",'선정 규칙'!$B$4,0)</x:f>
        <x:v>0</x:v>
      </x:c>
      <x:c r="C460" s="11" t="n">
        <x:f>IF(ISNUMBER(SEARCH("jmdict_uncommon_or_irregular",'제외 후보'!P460)),'선정 규칙'!$B$5,IF(ISNUMBER(SEARCH("jmdict_rare_or_dated",'제외 후보'!P460)),'선정 규칙'!$B$6,0))</x:f>
        <x:v>0</x:v>
      </x:c>
      <x:c r="D460" s="11" t="n">
        <x:f>IF(ISNUMBER(SEARCH("jmdict_exact_pair_not_found",'제외 후보'!P460)),'선정 규칙'!$B$7,0)</x:f>
        <x:v>0</x:v>
      </x:c>
      <x:c r="E460" s="11" t="n">
        <x:f>IF(OR('제외 후보'!L460="",'제외 후보'!L460&lt;=0),'선정 규칙'!$B$8,IF('제외 후보'!L460&lt;=1.5,'선정 규칙'!$B$9,IF('제외 후보'!L460&lt;=2,'선정 규칙'!$B$10,IF('제외 후보'!L460&lt;=2.5,'선정 규칙'!$B$11,IF('제외 후보'!L460&lt;=3,'선정 규칙'!$B$12,IF('제외 후보'!L460&lt;=3.5,'선정 규칙'!$B$13,IF('제외 후보'!L460&gt;=4.5,'선정 규칙'!$B$14,0)))))))</x:f>
        <x:v>0</x:v>
      </x:c>
      <x:c r="F460" s="11" t="n">
        <x:f>IF('제외 후보'!Y460=0,'선정 규칙'!$B$15,IF('제외 후보'!Y460&gt;=100,'선정 규칙'!$B$16,'선정 규칙'!$B$17))</x:f>
        <x:v>12</x:v>
      </x:c>
      <x:c r="G460" s="11" t="n">
        <x:f>IF('제외 후보'!M460="있음",'선정 규칙'!$B$18,'선정 규칙'!$B$19)</x:f>
        <x:v>6</x:v>
      </x:c>
      <x:c r="H460" s="11" t="n">
        <x:f>IF(ISNUMBER(SEARCH("freq-core",'제외 후보'!AD460)),'선정 규칙'!$B$20,0)</x:f>
        <x:v>0</x:v>
      </x:c>
      <x:c r="I460" s="11" t="n">
        <x:f>IF(ISNUMBER(SEARCH("weak_legacy_content",'제외 후보'!P460)),'선정 규칙'!$B$21,0)</x:f>
        <x:v>5</x:v>
      </x:c>
      <x:c r="J460" s="11" t="n">
        <x:f>IF('제외 후보'!AC460&lt;&gt;"",'선정 규칙'!$B$22,0)</x:f>
        <x:v>0</x:v>
      </x:c>
      <x:c r="K460" s="11" t="n">
        <x:f>SUM(B460:J460)</x:f>
        <x:v>23</x:v>
      </x:c>
      <x:c r="L460" s="11" t="n">
        <x:f>'제외 후보'!N460</x:f>
        <x:v>23</x:v>
      </x:c>
      <x:c r="M460" s="2" t="str">
        <x:f>IF(K460=L460,"OK","MISMATCH")</x:f>
        <x:v>OK</x:v>
      </x:c>
    </x:row>
    <x:row r="461">
      <x:c r="A461" s="2" t="str">
        <x:f>'제외 후보'!G461</x:f>
        <x:v>w_e0ea97ad746be36f</x:v>
      </x:c>
      <x:c r="B461" s="11" t="n">
        <x:f>IF('제외 후보'!Q461&lt;&gt;"",'선정 규칙'!$B$4,0)</x:f>
        <x:v>0</x:v>
      </x:c>
      <x:c r="C461" s="11" t="n">
        <x:f>IF(ISNUMBER(SEARCH("jmdict_uncommon_or_irregular",'제외 후보'!P461)),'선정 규칙'!$B$5,IF(ISNUMBER(SEARCH("jmdict_rare_or_dated",'제외 후보'!P461)),'선정 규칙'!$B$6,0))</x:f>
        <x:v>0</x:v>
      </x:c>
      <x:c r="D461" s="11" t="n">
        <x:f>IF(ISNUMBER(SEARCH("jmdict_exact_pair_not_found",'제외 후보'!P461)),'선정 규칙'!$B$7,0)</x:f>
        <x:v>0</x:v>
      </x:c>
      <x:c r="E461" s="11" t="n">
        <x:f>IF(OR('제외 후보'!L461="",'제외 후보'!L461&lt;=0),'선정 규칙'!$B$8,IF('제외 후보'!L461&lt;=1.5,'선정 규칙'!$B$9,IF('제외 후보'!L461&lt;=2,'선정 규칙'!$B$10,IF('제외 후보'!L461&lt;=2.5,'선정 규칙'!$B$11,IF('제외 후보'!L461&lt;=3,'선정 규칙'!$B$12,IF('제외 후보'!L461&lt;=3.5,'선정 규칙'!$B$13,IF('제외 후보'!L461&gt;=4.5,'선정 규칙'!$B$14,0)))))))</x:f>
        <x:v>0</x:v>
      </x:c>
      <x:c r="F461" s="11" t="n">
        <x:f>IF('제외 후보'!Y461=0,'선정 규칙'!$B$15,IF('제외 후보'!Y461&gt;=100,'선정 규칙'!$B$16,'선정 규칙'!$B$17))</x:f>
        <x:v>12</x:v>
      </x:c>
      <x:c r="G461" s="11" t="n">
        <x:f>IF('제외 후보'!M461="있음",'선정 규칙'!$B$18,'선정 규칙'!$B$19)</x:f>
        <x:v>6</x:v>
      </x:c>
      <x:c r="H461" s="11" t="n">
        <x:f>IF(ISNUMBER(SEARCH("freq-core",'제외 후보'!AD461)),'선정 규칙'!$B$20,0)</x:f>
        <x:v>0</x:v>
      </x:c>
      <x:c r="I461" s="11" t="n">
        <x:f>IF(ISNUMBER(SEARCH("weak_legacy_content",'제외 후보'!P461)),'선정 규칙'!$B$21,0)</x:f>
        <x:v>5</x:v>
      </x:c>
      <x:c r="J461" s="11" t="n">
        <x:f>IF('제외 후보'!AC461&lt;&gt;"",'선정 규칙'!$B$22,0)</x:f>
        <x:v>0</x:v>
      </x:c>
      <x:c r="K461" s="11" t="n">
        <x:f>SUM(B461:J461)</x:f>
        <x:v>23</x:v>
      </x:c>
      <x:c r="L461" s="11" t="n">
        <x:f>'제외 후보'!N461</x:f>
        <x:v>23</x:v>
      </x:c>
      <x:c r="M461" s="2" t="str">
        <x:f>IF(K461=L461,"OK","MISMATCH")</x:f>
        <x:v>OK</x:v>
      </x:c>
    </x:row>
    <x:row r="462">
      <x:c r="A462" s="2" t="str">
        <x:f>'제외 후보'!G462</x:f>
        <x:v>w_dd2e5667291d8b49</x:v>
      </x:c>
      <x:c r="B462" s="11" t="n">
        <x:f>IF('제외 후보'!Q462&lt;&gt;"",'선정 규칙'!$B$4,0)</x:f>
        <x:v>0</x:v>
      </x:c>
      <x:c r="C462" s="11" t="n">
        <x:f>IF(ISNUMBER(SEARCH("jmdict_uncommon_or_irregular",'제외 후보'!P462)),'선정 규칙'!$B$5,IF(ISNUMBER(SEARCH("jmdict_rare_or_dated",'제외 후보'!P462)),'선정 규칙'!$B$6,0))</x:f>
        <x:v>0</x:v>
      </x:c>
      <x:c r="D462" s="11" t="n">
        <x:f>IF(ISNUMBER(SEARCH("jmdict_exact_pair_not_found",'제외 후보'!P462)),'선정 규칙'!$B$7,0)</x:f>
        <x:v>0</x:v>
      </x:c>
      <x:c r="E462" s="11" t="n">
        <x:f>IF(OR('제외 후보'!L462="",'제외 후보'!L462&lt;=0),'선정 규칙'!$B$8,IF('제외 후보'!L462&lt;=1.5,'선정 규칙'!$B$9,IF('제외 후보'!L462&lt;=2,'선정 규칙'!$B$10,IF('제외 후보'!L462&lt;=2.5,'선정 규칙'!$B$11,IF('제외 후보'!L462&lt;=3,'선정 규칙'!$B$12,IF('제외 후보'!L462&lt;=3.5,'선정 규칙'!$B$13,IF('제외 후보'!L462&gt;=4.5,'선정 규칙'!$B$14,0)))))))</x:f>
        <x:v>0</x:v>
      </x:c>
      <x:c r="F462" s="11" t="n">
        <x:f>IF('제외 후보'!Y462=0,'선정 규칙'!$B$15,IF('제외 후보'!Y462&gt;=100,'선정 규칙'!$B$16,'선정 규칙'!$B$17))</x:f>
        <x:v>12</x:v>
      </x:c>
      <x:c r="G462" s="11" t="n">
        <x:f>IF('제외 후보'!M462="있음",'선정 규칙'!$B$18,'선정 규칙'!$B$19)</x:f>
        <x:v>6</x:v>
      </x:c>
      <x:c r="H462" s="11" t="n">
        <x:f>IF(ISNUMBER(SEARCH("freq-core",'제외 후보'!AD462)),'선정 규칙'!$B$20,0)</x:f>
        <x:v>0</x:v>
      </x:c>
      <x:c r="I462" s="11" t="n">
        <x:f>IF(ISNUMBER(SEARCH("weak_legacy_content",'제외 후보'!P462)),'선정 규칙'!$B$21,0)</x:f>
        <x:v>5</x:v>
      </x:c>
      <x:c r="J462" s="11" t="n">
        <x:f>IF('제외 후보'!AC462&lt;&gt;"",'선정 규칙'!$B$22,0)</x:f>
        <x:v>0</x:v>
      </x:c>
      <x:c r="K462" s="11" t="n">
        <x:f>SUM(B462:J462)</x:f>
        <x:v>23</x:v>
      </x:c>
      <x:c r="L462" s="11" t="n">
        <x:f>'제외 후보'!N462</x:f>
        <x:v>23</x:v>
      </x:c>
      <x:c r="M462" s="2" t="str">
        <x:f>IF(K462=L462,"OK","MISMATCH")</x:f>
        <x:v>OK</x:v>
      </x:c>
    </x:row>
    <x:row r="463">
      <x:c r="A463" s="2" t="str">
        <x:f>'제외 후보'!G463</x:f>
        <x:v>w_946ea69fd5cfd9ec</x:v>
      </x:c>
      <x:c r="B463" s="11" t="n">
        <x:f>IF('제외 후보'!Q463&lt;&gt;"",'선정 규칙'!$B$4,0)</x:f>
        <x:v>0</x:v>
      </x:c>
      <x:c r="C463" s="11" t="n">
        <x:f>IF(ISNUMBER(SEARCH("jmdict_uncommon_or_irregular",'제외 후보'!P463)),'선정 규칙'!$B$5,IF(ISNUMBER(SEARCH("jmdict_rare_or_dated",'제외 후보'!P463)),'선정 규칙'!$B$6,0))</x:f>
        <x:v>0</x:v>
      </x:c>
      <x:c r="D463" s="11" t="n">
        <x:f>IF(ISNUMBER(SEARCH("jmdict_exact_pair_not_found",'제외 후보'!P463)),'선정 규칙'!$B$7,0)</x:f>
        <x:v>0</x:v>
      </x:c>
      <x:c r="E463" s="11" t="n">
        <x:f>IF(OR('제외 후보'!L463="",'제외 후보'!L463&lt;=0),'선정 규칙'!$B$8,IF('제외 후보'!L463&lt;=1.5,'선정 규칙'!$B$9,IF('제외 후보'!L463&lt;=2,'선정 규칙'!$B$10,IF('제외 후보'!L463&lt;=2.5,'선정 규칙'!$B$11,IF('제외 후보'!L463&lt;=3,'선정 규칙'!$B$12,IF('제외 후보'!L463&lt;=3.5,'선정 규칙'!$B$13,IF('제외 후보'!L463&gt;=4.5,'선정 규칙'!$B$14,0)))))))</x:f>
        <x:v>0</x:v>
      </x:c>
      <x:c r="F463" s="11" t="n">
        <x:f>IF('제외 후보'!Y463=0,'선정 규칙'!$B$15,IF('제외 후보'!Y463&gt;=100,'선정 규칙'!$B$16,'선정 규칙'!$B$17))</x:f>
        <x:v>12</x:v>
      </x:c>
      <x:c r="G463" s="11" t="n">
        <x:f>IF('제외 후보'!M463="있음",'선정 규칙'!$B$18,'선정 규칙'!$B$19)</x:f>
        <x:v>6</x:v>
      </x:c>
      <x:c r="H463" s="11" t="n">
        <x:f>IF(ISNUMBER(SEARCH("freq-core",'제외 후보'!AD463)),'선정 규칙'!$B$20,0)</x:f>
        <x:v>0</x:v>
      </x:c>
      <x:c r="I463" s="11" t="n">
        <x:f>IF(ISNUMBER(SEARCH("weak_legacy_content",'제외 후보'!P463)),'선정 규칙'!$B$21,0)</x:f>
        <x:v>5</x:v>
      </x:c>
      <x:c r="J463" s="11" t="n">
        <x:f>IF('제외 후보'!AC463&lt;&gt;"",'선정 규칙'!$B$22,0)</x:f>
        <x:v>0</x:v>
      </x:c>
      <x:c r="K463" s="11" t="n">
        <x:f>SUM(B463:J463)</x:f>
        <x:v>23</x:v>
      </x:c>
      <x:c r="L463" s="11" t="n">
        <x:f>'제외 후보'!N463</x:f>
        <x:v>23</x:v>
      </x:c>
      <x:c r="M463" s="2" t="str">
        <x:f>IF(K463=L463,"OK","MISMATCH")</x:f>
        <x:v>OK</x:v>
      </x:c>
    </x:row>
    <x:row r="464">
      <x:c r="A464" s="2" t="str">
        <x:f>'제외 후보'!G464</x:f>
        <x:v>w_d6a5cf39dd557c41</x:v>
      </x:c>
      <x:c r="B464" s="11" t="n">
        <x:f>IF('제외 후보'!Q464&lt;&gt;"",'선정 규칙'!$B$4,0)</x:f>
        <x:v>0</x:v>
      </x:c>
      <x:c r="C464" s="11" t="n">
        <x:f>IF(ISNUMBER(SEARCH("jmdict_uncommon_or_irregular",'제외 후보'!P464)),'선정 규칙'!$B$5,IF(ISNUMBER(SEARCH("jmdict_rare_or_dated",'제외 후보'!P464)),'선정 규칙'!$B$6,0))</x:f>
        <x:v>0</x:v>
      </x:c>
      <x:c r="D464" s="11" t="n">
        <x:f>IF(ISNUMBER(SEARCH("jmdict_exact_pair_not_found",'제외 후보'!P464)),'선정 규칙'!$B$7,0)</x:f>
        <x:v>0</x:v>
      </x:c>
      <x:c r="E464" s="11" t="n">
        <x:f>IF(OR('제외 후보'!L464="",'제외 후보'!L464&lt;=0),'선정 규칙'!$B$8,IF('제외 후보'!L464&lt;=1.5,'선정 규칙'!$B$9,IF('제외 후보'!L464&lt;=2,'선정 규칙'!$B$10,IF('제외 후보'!L464&lt;=2.5,'선정 규칙'!$B$11,IF('제외 후보'!L464&lt;=3,'선정 규칙'!$B$12,IF('제외 후보'!L464&lt;=3.5,'선정 규칙'!$B$13,IF('제외 후보'!L464&gt;=4.5,'선정 규칙'!$B$14,0)))))))</x:f>
        <x:v>0</x:v>
      </x:c>
      <x:c r="F464" s="11" t="n">
        <x:f>IF('제외 후보'!Y464=0,'선정 규칙'!$B$15,IF('제외 후보'!Y464&gt;=100,'선정 규칙'!$B$16,'선정 규칙'!$B$17))</x:f>
        <x:v>12</x:v>
      </x:c>
      <x:c r="G464" s="11" t="n">
        <x:f>IF('제외 후보'!M464="있음",'선정 규칙'!$B$18,'선정 규칙'!$B$19)</x:f>
        <x:v>6</x:v>
      </x:c>
      <x:c r="H464" s="11" t="n">
        <x:f>IF(ISNUMBER(SEARCH("freq-core",'제외 후보'!AD464)),'선정 규칙'!$B$20,0)</x:f>
        <x:v>0</x:v>
      </x:c>
      <x:c r="I464" s="11" t="n">
        <x:f>IF(ISNUMBER(SEARCH("weak_legacy_content",'제외 후보'!P464)),'선정 규칙'!$B$21,0)</x:f>
        <x:v>5</x:v>
      </x:c>
      <x:c r="J464" s="11" t="n">
        <x:f>IF('제외 후보'!AC464&lt;&gt;"",'선정 규칙'!$B$22,0)</x:f>
        <x:v>0</x:v>
      </x:c>
      <x:c r="K464" s="11" t="n">
        <x:f>SUM(B464:J464)</x:f>
        <x:v>23</x:v>
      </x:c>
      <x:c r="L464" s="11" t="n">
        <x:f>'제외 후보'!N464</x:f>
        <x:v>23</x:v>
      </x:c>
      <x:c r="M464" s="2" t="str">
        <x:f>IF(K464=L464,"OK","MISMATCH")</x:f>
        <x:v>OK</x:v>
      </x:c>
    </x:row>
    <x:row r="465">
      <x:c r="A465" s="2" t="str">
        <x:f>'제외 후보'!G465</x:f>
        <x:v>w_87dece8a34ad7f12</x:v>
      </x:c>
      <x:c r="B465" s="11" t="n">
        <x:f>IF('제외 후보'!Q465&lt;&gt;"",'선정 규칙'!$B$4,0)</x:f>
        <x:v>0</x:v>
      </x:c>
      <x:c r="C465" s="11" t="n">
        <x:f>IF(ISNUMBER(SEARCH("jmdict_uncommon_or_irregular",'제외 후보'!P465)),'선정 규칙'!$B$5,IF(ISNUMBER(SEARCH("jmdict_rare_or_dated",'제외 후보'!P465)),'선정 규칙'!$B$6,0))</x:f>
        <x:v>0</x:v>
      </x:c>
      <x:c r="D465" s="11" t="n">
        <x:f>IF(ISNUMBER(SEARCH("jmdict_exact_pair_not_found",'제외 후보'!P465)),'선정 규칙'!$B$7,0)</x:f>
        <x:v>0</x:v>
      </x:c>
      <x:c r="E465" s="11" t="n">
        <x:f>IF(OR('제외 후보'!L465="",'제외 후보'!L465&lt;=0),'선정 규칙'!$B$8,IF('제외 후보'!L465&lt;=1.5,'선정 규칙'!$B$9,IF('제외 후보'!L465&lt;=2,'선정 규칙'!$B$10,IF('제외 후보'!L465&lt;=2.5,'선정 규칙'!$B$11,IF('제외 후보'!L465&lt;=3,'선정 규칙'!$B$12,IF('제외 후보'!L465&lt;=3.5,'선정 규칙'!$B$13,IF('제외 후보'!L465&gt;=4.5,'선정 규칙'!$B$14,0)))))))</x:f>
        <x:v>0</x:v>
      </x:c>
      <x:c r="F465" s="11" t="n">
        <x:f>IF('제외 후보'!Y465=0,'선정 규칙'!$B$15,IF('제외 후보'!Y465&gt;=100,'선정 규칙'!$B$16,'선정 규칙'!$B$17))</x:f>
        <x:v>12</x:v>
      </x:c>
      <x:c r="G465" s="11" t="n">
        <x:f>IF('제외 후보'!M465="있음",'선정 규칙'!$B$18,'선정 규칙'!$B$19)</x:f>
        <x:v>6</x:v>
      </x:c>
      <x:c r="H465" s="11" t="n">
        <x:f>IF(ISNUMBER(SEARCH("freq-core",'제외 후보'!AD465)),'선정 규칙'!$B$20,0)</x:f>
        <x:v>0</x:v>
      </x:c>
      <x:c r="I465" s="11" t="n">
        <x:f>IF(ISNUMBER(SEARCH("weak_legacy_content",'제외 후보'!P465)),'선정 규칙'!$B$21,0)</x:f>
        <x:v>5</x:v>
      </x:c>
      <x:c r="J465" s="11" t="n">
        <x:f>IF('제외 후보'!AC465&lt;&gt;"",'선정 규칙'!$B$22,0)</x:f>
        <x:v>0</x:v>
      </x:c>
      <x:c r="K465" s="11" t="n">
        <x:f>SUM(B465:J465)</x:f>
        <x:v>23</x:v>
      </x:c>
      <x:c r="L465" s="11" t="n">
        <x:f>'제외 후보'!N465</x:f>
        <x:v>23</x:v>
      </x:c>
      <x:c r="M465" s="2" t="str">
        <x:f>IF(K465=L465,"OK","MISMATCH")</x:f>
        <x:v>OK</x:v>
      </x:c>
    </x:row>
    <x:row r="466">
      <x:c r="A466" s="2" t="str">
        <x:f>'제외 후보'!G466</x:f>
        <x:v>w_62d8dd6802f680a6</x:v>
      </x:c>
      <x:c r="B466" s="11" t="n">
        <x:f>IF('제외 후보'!Q466&lt;&gt;"",'선정 규칙'!$B$4,0)</x:f>
        <x:v>0</x:v>
      </x:c>
      <x:c r="C466" s="11" t="n">
        <x:f>IF(ISNUMBER(SEARCH("jmdict_uncommon_or_irregular",'제외 후보'!P466)),'선정 규칙'!$B$5,IF(ISNUMBER(SEARCH("jmdict_rare_or_dated",'제외 후보'!P466)),'선정 규칙'!$B$6,0))</x:f>
        <x:v>0</x:v>
      </x:c>
      <x:c r="D466" s="11" t="n">
        <x:f>IF(ISNUMBER(SEARCH("jmdict_exact_pair_not_found",'제외 후보'!P466)),'선정 규칙'!$B$7,0)</x:f>
        <x:v>0</x:v>
      </x:c>
      <x:c r="E466" s="11" t="n">
        <x:f>IF(OR('제외 후보'!L466="",'제외 후보'!L466&lt;=0),'선정 규칙'!$B$8,IF('제외 후보'!L466&lt;=1.5,'선정 규칙'!$B$9,IF('제외 후보'!L466&lt;=2,'선정 규칙'!$B$10,IF('제외 후보'!L466&lt;=2.5,'선정 규칙'!$B$11,IF('제외 후보'!L466&lt;=3,'선정 규칙'!$B$12,IF('제외 후보'!L466&lt;=3.5,'선정 규칙'!$B$13,IF('제외 후보'!L466&gt;=4.5,'선정 규칙'!$B$14,0)))))))</x:f>
        <x:v>0</x:v>
      </x:c>
      <x:c r="F466" s="11" t="n">
        <x:f>IF('제외 후보'!Y466=0,'선정 규칙'!$B$15,IF('제외 후보'!Y466&gt;=100,'선정 규칙'!$B$16,'선정 규칙'!$B$17))</x:f>
        <x:v>12</x:v>
      </x:c>
      <x:c r="G466" s="11" t="n">
        <x:f>IF('제외 후보'!M466="있음",'선정 규칙'!$B$18,'선정 규칙'!$B$19)</x:f>
        <x:v>6</x:v>
      </x:c>
      <x:c r="H466" s="11" t="n">
        <x:f>IF(ISNUMBER(SEARCH("freq-core",'제외 후보'!AD466)),'선정 규칙'!$B$20,0)</x:f>
        <x:v>0</x:v>
      </x:c>
      <x:c r="I466" s="11" t="n">
        <x:f>IF(ISNUMBER(SEARCH("weak_legacy_content",'제외 후보'!P466)),'선정 규칙'!$B$21,0)</x:f>
        <x:v>5</x:v>
      </x:c>
      <x:c r="J466" s="11" t="n">
        <x:f>IF('제외 후보'!AC466&lt;&gt;"",'선정 규칙'!$B$22,0)</x:f>
        <x:v>0</x:v>
      </x:c>
      <x:c r="K466" s="11" t="n">
        <x:f>SUM(B466:J466)</x:f>
        <x:v>23</x:v>
      </x:c>
      <x:c r="L466" s="11" t="n">
        <x:f>'제외 후보'!N466</x:f>
        <x:v>23</x:v>
      </x:c>
      <x:c r="M466" s="2" t="str">
        <x:f>IF(K466=L466,"OK","MISMATCH")</x:f>
        <x:v>OK</x:v>
      </x:c>
    </x:row>
    <x:row r="467">
      <x:c r="A467" s="2" t="str">
        <x:f>'제외 후보'!G467</x:f>
        <x:v>w_98c5ecbe9b1af8f0</x:v>
      </x:c>
      <x:c r="B467" s="11" t="n">
        <x:f>IF('제외 후보'!Q467&lt;&gt;"",'선정 규칙'!$B$4,0)</x:f>
        <x:v>0</x:v>
      </x:c>
      <x:c r="C467" s="11" t="n">
        <x:f>IF(ISNUMBER(SEARCH("jmdict_uncommon_or_irregular",'제외 후보'!P467)),'선정 규칙'!$B$5,IF(ISNUMBER(SEARCH("jmdict_rare_or_dated",'제외 후보'!P467)),'선정 규칙'!$B$6,0))</x:f>
        <x:v>0</x:v>
      </x:c>
      <x:c r="D467" s="11" t="n">
        <x:f>IF(ISNUMBER(SEARCH("jmdict_exact_pair_not_found",'제외 후보'!P467)),'선정 규칙'!$B$7,0)</x:f>
        <x:v>0</x:v>
      </x:c>
      <x:c r="E467" s="11" t="n">
        <x:f>IF(OR('제외 후보'!L467="",'제외 후보'!L467&lt;=0),'선정 규칙'!$B$8,IF('제외 후보'!L467&lt;=1.5,'선정 규칙'!$B$9,IF('제외 후보'!L467&lt;=2,'선정 규칙'!$B$10,IF('제외 후보'!L467&lt;=2.5,'선정 규칙'!$B$11,IF('제외 후보'!L467&lt;=3,'선정 규칙'!$B$12,IF('제외 후보'!L467&lt;=3.5,'선정 규칙'!$B$13,IF('제외 후보'!L467&gt;=4.5,'선정 규칙'!$B$14,0)))))))</x:f>
        <x:v>0</x:v>
      </x:c>
      <x:c r="F467" s="11" t="n">
        <x:f>IF('제외 후보'!Y467=0,'선정 규칙'!$B$15,IF('제외 후보'!Y467&gt;=100,'선정 규칙'!$B$16,'선정 규칙'!$B$17))</x:f>
        <x:v>12</x:v>
      </x:c>
      <x:c r="G467" s="11" t="n">
        <x:f>IF('제외 후보'!M467="있음",'선정 규칙'!$B$18,'선정 규칙'!$B$19)</x:f>
        <x:v>6</x:v>
      </x:c>
      <x:c r="H467" s="11" t="n">
        <x:f>IF(ISNUMBER(SEARCH("freq-core",'제외 후보'!AD467)),'선정 규칙'!$B$20,0)</x:f>
        <x:v>0</x:v>
      </x:c>
      <x:c r="I467" s="11" t="n">
        <x:f>IF(ISNUMBER(SEARCH("weak_legacy_content",'제외 후보'!P467)),'선정 규칙'!$B$21,0)</x:f>
        <x:v>5</x:v>
      </x:c>
      <x:c r="J467" s="11" t="n">
        <x:f>IF('제외 후보'!AC467&lt;&gt;"",'선정 규칙'!$B$22,0)</x:f>
        <x:v>0</x:v>
      </x:c>
      <x:c r="K467" s="11" t="n">
        <x:f>SUM(B467:J467)</x:f>
        <x:v>23</x:v>
      </x:c>
      <x:c r="L467" s="11" t="n">
        <x:f>'제외 후보'!N467</x:f>
        <x:v>23</x:v>
      </x:c>
      <x:c r="M467" s="2" t="str">
        <x:f>IF(K467=L467,"OK","MISMATCH")</x:f>
        <x:v>OK</x:v>
      </x:c>
    </x:row>
    <x:row r="468">
      <x:c r="A468" s="2" t="str">
        <x:f>'제외 후보'!G468</x:f>
        <x:v>w_584b74bd400fd74a</x:v>
      </x:c>
      <x:c r="B468" s="11" t="n">
        <x:f>IF('제외 후보'!Q468&lt;&gt;"",'선정 규칙'!$B$4,0)</x:f>
        <x:v>0</x:v>
      </x:c>
      <x:c r="C468" s="11" t="n">
        <x:f>IF(ISNUMBER(SEARCH("jmdict_uncommon_or_irregular",'제외 후보'!P468)),'선정 규칙'!$B$5,IF(ISNUMBER(SEARCH("jmdict_rare_or_dated",'제외 후보'!P468)),'선정 규칙'!$B$6,0))</x:f>
        <x:v>0</x:v>
      </x:c>
      <x:c r="D468" s="11" t="n">
        <x:f>IF(ISNUMBER(SEARCH("jmdict_exact_pair_not_found",'제외 후보'!P468)),'선정 규칙'!$B$7,0)</x:f>
        <x:v>0</x:v>
      </x:c>
      <x:c r="E468" s="11" t="n">
        <x:f>IF(OR('제외 후보'!L468="",'제외 후보'!L468&lt;=0),'선정 규칙'!$B$8,IF('제외 후보'!L468&lt;=1.5,'선정 규칙'!$B$9,IF('제외 후보'!L468&lt;=2,'선정 규칙'!$B$10,IF('제외 후보'!L468&lt;=2.5,'선정 규칙'!$B$11,IF('제외 후보'!L468&lt;=3,'선정 규칙'!$B$12,IF('제외 후보'!L468&lt;=3.5,'선정 규칙'!$B$13,IF('제외 후보'!L468&gt;=4.5,'선정 규칙'!$B$14,0)))))))</x:f>
        <x:v>0</x:v>
      </x:c>
      <x:c r="F468" s="11" t="n">
        <x:f>IF('제외 후보'!Y468=0,'선정 규칙'!$B$15,IF('제외 후보'!Y468&gt;=100,'선정 규칙'!$B$16,'선정 규칙'!$B$17))</x:f>
        <x:v>12</x:v>
      </x:c>
      <x:c r="G468" s="11" t="n">
        <x:f>IF('제외 후보'!M468="있음",'선정 규칙'!$B$18,'선정 규칙'!$B$19)</x:f>
        <x:v>6</x:v>
      </x:c>
      <x:c r="H468" s="11" t="n">
        <x:f>IF(ISNUMBER(SEARCH("freq-core",'제외 후보'!AD468)),'선정 규칙'!$B$20,0)</x:f>
        <x:v>0</x:v>
      </x:c>
      <x:c r="I468" s="11" t="n">
        <x:f>IF(ISNUMBER(SEARCH("weak_legacy_content",'제외 후보'!P468)),'선정 규칙'!$B$21,0)</x:f>
        <x:v>5</x:v>
      </x:c>
      <x:c r="J468" s="11" t="n">
        <x:f>IF('제외 후보'!AC468&lt;&gt;"",'선정 규칙'!$B$22,0)</x:f>
        <x:v>0</x:v>
      </x:c>
      <x:c r="K468" s="11" t="n">
        <x:f>SUM(B468:J468)</x:f>
        <x:v>23</x:v>
      </x:c>
      <x:c r="L468" s="11" t="n">
        <x:f>'제외 후보'!N468</x:f>
        <x:v>23</x:v>
      </x:c>
      <x:c r="M468" s="2" t="str">
        <x:f>IF(K468=L468,"OK","MISMATCH")</x:f>
        <x:v>OK</x:v>
      </x:c>
    </x:row>
    <x:row r="469">
      <x:c r="A469" s="2" t="str">
        <x:f>'제외 후보'!G469</x:f>
        <x:v>w_bb1925cf5d1e272c</x:v>
      </x:c>
      <x:c r="B469" s="11" t="n">
        <x:f>IF('제외 후보'!Q469&lt;&gt;"",'선정 규칙'!$B$4,0)</x:f>
        <x:v>0</x:v>
      </x:c>
      <x:c r="C469" s="11" t="n">
        <x:f>IF(ISNUMBER(SEARCH("jmdict_uncommon_or_irregular",'제외 후보'!P469)),'선정 규칙'!$B$5,IF(ISNUMBER(SEARCH("jmdict_rare_or_dated",'제외 후보'!P469)),'선정 규칙'!$B$6,0))</x:f>
        <x:v>0</x:v>
      </x:c>
      <x:c r="D469" s="11" t="n">
        <x:f>IF(ISNUMBER(SEARCH("jmdict_exact_pair_not_found",'제외 후보'!P469)),'선정 규칙'!$B$7,0)</x:f>
        <x:v>0</x:v>
      </x:c>
      <x:c r="E469" s="11" t="n">
        <x:f>IF(OR('제외 후보'!L469="",'제외 후보'!L469&lt;=0),'선정 규칙'!$B$8,IF('제외 후보'!L469&lt;=1.5,'선정 규칙'!$B$9,IF('제외 후보'!L469&lt;=2,'선정 규칙'!$B$10,IF('제외 후보'!L469&lt;=2.5,'선정 규칙'!$B$11,IF('제외 후보'!L469&lt;=3,'선정 규칙'!$B$12,IF('제외 후보'!L469&lt;=3.5,'선정 규칙'!$B$13,IF('제외 후보'!L469&gt;=4.5,'선정 규칙'!$B$14,0)))))))</x:f>
        <x:v>0</x:v>
      </x:c>
      <x:c r="F469" s="11" t="n">
        <x:f>IF('제외 후보'!Y469=0,'선정 규칙'!$B$15,IF('제외 후보'!Y469&gt;=100,'선정 규칙'!$B$16,'선정 규칙'!$B$17))</x:f>
        <x:v>12</x:v>
      </x:c>
      <x:c r="G469" s="11" t="n">
        <x:f>IF('제외 후보'!M469="있음",'선정 규칙'!$B$18,'선정 규칙'!$B$19)</x:f>
        <x:v>6</x:v>
      </x:c>
      <x:c r="H469" s="11" t="n">
        <x:f>IF(ISNUMBER(SEARCH("freq-core",'제외 후보'!AD469)),'선정 규칙'!$B$20,0)</x:f>
        <x:v>0</x:v>
      </x:c>
      <x:c r="I469" s="11" t="n">
        <x:f>IF(ISNUMBER(SEARCH("weak_legacy_content",'제외 후보'!P469)),'선정 규칙'!$B$21,0)</x:f>
        <x:v>5</x:v>
      </x:c>
      <x:c r="J469" s="11" t="n">
        <x:f>IF('제외 후보'!AC469&lt;&gt;"",'선정 규칙'!$B$22,0)</x:f>
        <x:v>0</x:v>
      </x:c>
      <x:c r="K469" s="11" t="n">
        <x:f>SUM(B469:J469)</x:f>
        <x:v>23</x:v>
      </x:c>
      <x:c r="L469" s="11" t="n">
        <x:f>'제외 후보'!N469</x:f>
        <x:v>23</x:v>
      </x:c>
      <x:c r="M469" s="2" t="str">
        <x:f>IF(K469=L469,"OK","MISMATCH")</x:f>
        <x:v>OK</x:v>
      </x:c>
    </x:row>
    <x:row r="470">
      <x:c r="A470" s="2" t="str">
        <x:f>'제외 후보'!G470</x:f>
        <x:v>w_96f283bc16791012</x:v>
      </x:c>
      <x:c r="B470" s="11" t="n">
        <x:f>IF('제외 후보'!Q470&lt;&gt;"",'선정 규칙'!$B$4,0)</x:f>
        <x:v>0</x:v>
      </x:c>
      <x:c r="C470" s="11" t="n">
        <x:f>IF(ISNUMBER(SEARCH("jmdict_uncommon_or_irregular",'제외 후보'!P470)),'선정 규칙'!$B$5,IF(ISNUMBER(SEARCH("jmdict_rare_or_dated",'제외 후보'!P470)),'선정 규칙'!$B$6,0))</x:f>
        <x:v>0</x:v>
      </x:c>
      <x:c r="D470" s="11" t="n">
        <x:f>IF(ISNUMBER(SEARCH("jmdict_exact_pair_not_found",'제외 후보'!P470)),'선정 규칙'!$B$7,0)</x:f>
        <x:v>0</x:v>
      </x:c>
      <x:c r="E470" s="11" t="n">
        <x:f>IF(OR('제외 후보'!L470="",'제외 후보'!L470&lt;=0),'선정 규칙'!$B$8,IF('제외 후보'!L470&lt;=1.5,'선정 규칙'!$B$9,IF('제외 후보'!L470&lt;=2,'선정 규칙'!$B$10,IF('제외 후보'!L470&lt;=2.5,'선정 규칙'!$B$11,IF('제외 후보'!L470&lt;=3,'선정 규칙'!$B$12,IF('제외 후보'!L470&lt;=3.5,'선정 규칙'!$B$13,IF('제외 후보'!L470&gt;=4.5,'선정 규칙'!$B$14,0)))))))</x:f>
        <x:v>26</x:v>
      </x:c>
      <x:c r="F470" s="11" t="n">
        <x:f>IF('제외 후보'!Y470=0,'선정 규칙'!$B$15,IF('제외 후보'!Y470&gt;=100,'선정 규칙'!$B$16,'선정 규칙'!$B$17))</x:f>
        <x:v>-25</x:v>
      </x:c>
      <x:c r="G470" s="11" t="n">
        <x:f>IF('제외 후보'!M470="있음",'선정 규칙'!$B$18,'선정 규칙'!$B$19)</x:f>
        <x:v>6</x:v>
      </x:c>
      <x:c r="H470" s="11" t="n">
        <x:f>IF(ISNUMBER(SEARCH("freq-core",'제외 후보'!AD470)),'선정 규칙'!$B$20,0)</x:f>
        <x:v>0</x:v>
      </x:c>
      <x:c r="I470" s="11" t="n">
        <x:f>IF(ISNUMBER(SEARCH("weak_legacy_content",'제외 후보'!P470)),'선정 규칙'!$B$21,0)</x:f>
        <x:v>5</x:v>
      </x:c>
      <x:c r="J470" s="11" t="n">
        <x:f>IF('제외 후보'!AC470&lt;&gt;"",'선정 규칙'!$B$22,0)</x:f>
        <x:v>10</x:v>
      </x:c>
      <x:c r="K470" s="11" t="n">
        <x:f>SUM(B470:J470)</x:f>
        <x:v>22</x:v>
      </x:c>
      <x:c r="L470" s="11" t="n">
        <x:f>'제외 후보'!N470</x:f>
        <x:v>22</x:v>
      </x:c>
      <x:c r="M470" s="2" t="str">
        <x:f>IF(K470=L470,"OK","MISMATCH")</x:f>
        <x:v>OK</x:v>
      </x:c>
    </x:row>
    <x:row r="471">
      <x:c r="A471" s="2" t="str">
        <x:f>'제외 후보'!G471</x:f>
        <x:v>w_039c519fd62d3882</x:v>
      </x:c>
      <x:c r="B471" s="11" t="n">
        <x:f>IF('제외 후보'!Q471&lt;&gt;"",'선정 규칙'!$B$4,0)</x:f>
        <x:v>0</x:v>
      </x:c>
      <x:c r="C471" s="11" t="n">
        <x:f>IF(ISNUMBER(SEARCH("jmdict_uncommon_or_irregular",'제외 후보'!P471)),'선정 규칙'!$B$5,IF(ISNUMBER(SEARCH("jmdict_rare_or_dated",'제외 후보'!P471)),'선정 규칙'!$B$6,0))</x:f>
        <x:v>0</x:v>
      </x:c>
      <x:c r="D471" s="11" t="n">
        <x:f>IF(ISNUMBER(SEARCH("jmdict_exact_pair_not_found",'제외 후보'!P471)),'선정 규칙'!$B$7,0)</x:f>
        <x:v>0</x:v>
      </x:c>
      <x:c r="E471" s="11" t="n">
        <x:f>IF(OR('제외 후보'!L471="",'제외 후보'!L471&lt;=0),'선정 규칙'!$B$8,IF('제외 후보'!L471&lt;=1.5,'선정 규칙'!$B$9,IF('제외 후보'!L471&lt;=2,'선정 규칙'!$B$10,IF('제외 후보'!L471&lt;=2.5,'선정 규칙'!$B$11,IF('제외 후보'!L471&lt;=3,'선정 규칙'!$B$12,IF('제외 후보'!L471&lt;=3.5,'선정 규칙'!$B$13,IF('제외 후보'!L471&gt;=4.5,'선정 규칙'!$B$14,0)))))))</x:f>
        <x:v>40</x:v>
      </x:c>
      <x:c r="F471" s="11" t="n">
        <x:f>IF('제외 후보'!Y471=0,'선정 규칙'!$B$15,IF('제외 후보'!Y471&gt;=100,'선정 규칙'!$B$16,'선정 규칙'!$B$17))</x:f>
        <x:v>-25</x:v>
      </x:c>
      <x:c r="G471" s="11" t="n">
        <x:f>IF('제외 후보'!M471="있음",'선정 규칙'!$B$18,'선정 규칙'!$B$19)</x:f>
        <x:v>6</x:v>
      </x:c>
      <x:c r="H471" s="11" t="n">
        <x:f>IF(ISNUMBER(SEARCH("freq-core",'제외 후보'!AD471)),'선정 규칙'!$B$20,0)</x:f>
        <x:v>0</x:v>
      </x:c>
      <x:c r="I471" s="11" t="n">
        <x:f>IF(ISNUMBER(SEARCH("weak_legacy_content",'제외 후보'!P471)),'선정 규칙'!$B$21,0)</x:f>
        <x:v>0</x:v>
      </x:c>
      <x:c r="J471" s="11" t="n">
        <x:f>IF('제외 후보'!AC471&lt;&gt;"",'선정 규칙'!$B$22,0)</x:f>
        <x:v>0</x:v>
      </x:c>
      <x:c r="K471" s="11" t="n">
        <x:f>SUM(B471:J471)</x:f>
        <x:v>21</x:v>
      </x:c>
      <x:c r="L471" s="11" t="n">
        <x:f>'제외 후보'!N471</x:f>
        <x:v>21</x:v>
      </x:c>
      <x:c r="M471" s="2" t="str">
        <x:f>IF(K471=L471,"OK","MISMATCH")</x:f>
        <x:v>OK</x:v>
      </x:c>
    </x:row>
    <x:row r="472">
      <x:c r="A472" s="2" t="str">
        <x:f>'제외 후보'!G472</x:f>
        <x:v>w_04b88ff845b036d7</x:v>
      </x:c>
      <x:c r="B472" s="11" t="n">
        <x:f>IF('제외 후보'!Q472&lt;&gt;"",'선정 규칙'!$B$4,0)</x:f>
        <x:v>0</x:v>
      </x:c>
      <x:c r="C472" s="11" t="n">
        <x:f>IF(ISNUMBER(SEARCH("jmdict_uncommon_or_irregular",'제외 후보'!P472)),'선정 규칙'!$B$5,IF(ISNUMBER(SEARCH("jmdict_rare_or_dated",'제외 후보'!P472)),'선정 규칙'!$B$6,0))</x:f>
        <x:v>0</x:v>
      </x:c>
      <x:c r="D472" s="11" t="n">
        <x:f>IF(ISNUMBER(SEARCH("jmdict_exact_pair_not_found",'제외 후보'!P472)),'선정 규칙'!$B$7,0)</x:f>
        <x:v>0</x:v>
      </x:c>
      <x:c r="E472" s="11" t="n">
        <x:f>IF(OR('제외 후보'!L472="",'제외 후보'!L472&lt;=0),'선정 규칙'!$B$8,IF('제외 후보'!L472&lt;=1.5,'선정 규칙'!$B$9,IF('제외 후보'!L472&lt;=2,'선정 규칙'!$B$10,IF('제외 후보'!L472&lt;=2.5,'선정 규칙'!$B$11,IF('제외 후보'!L472&lt;=3,'선정 규칙'!$B$12,IF('제외 후보'!L472&lt;=3.5,'선정 규칙'!$B$13,IF('제외 후보'!L472&gt;=4.5,'선정 규칙'!$B$14,0)))))))</x:f>
        <x:v>40</x:v>
      </x:c>
      <x:c r="F472" s="11" t="n">
        <x:f>IF('제외 후보'!Y472=0,'선정 규칙'!$B$15,IF('제외 후보'!Y472&gt;=100,'선정 규칙'!$B$16,'선정 규칙'!$B$17))</x:f>
        <x:v>-25</x:v>
      </x:c>
      <x:c r="G472" s="11" t="n">
        <x:f>IF('제외 후보'!M472="있음",'선정 규칙'!$B$18,'선정 규칙'!$B$19)</x:f>
        <x:v>6</x:v>
      </x:c>
      <x:c r="H472" s="11" t="n">
        <x:f>IF(ISNUMBER(SEARCH("freq-core",'제외 후보'!AD472)),'선정 규칙'!$B$20,0)</x:f>
        <x:v>0</x:v>
      </x:c>
      <x:c r="I472" s="11" t="n">
        <x:f>IF(ISNUMBER(SEARCH("weak_legacy_content",'제외 후보'!P472)),'선정 규칙'!$B$21,0)</x:f>
        <x:v>0</x:v>
      </x:c>
      <x:c r="J472" s="11" t="n">
        <x:f>IF('제외 후보'!AC472&lt;&gt;"",'선정 규칙'!$B$22,0)</x:f>
        <x:v>0</x:v>
      </x:c>
      <x:c r="K472" s="11" t="n">
        <x:f>SUM(B472:J472)</x:f>
        <x:v>21</x:v>
      </x:c>
      <x:c r="L472" s="11" t="n">
        <x:f>'제외 후보'!N472</x:f>
        <x:v>21</x:v>
      </x:c>
      <x:c r="M472" s="2" t="str">
        <x:f>IF(K472=L472,"OK","MISMATCH")</x:f>
        <x:v>OK</x:v>
      </x:c>
    </x:row>
    <x:row r="473">
      <x:c r="A473" s="2" t="str">
        <x:f>'제외 후보'!G473</x:f>
        <x:v>w_14c62e58ed734277</x:v>
      </x:c>
      <x:c r="B473" s="11" t="n">
        <x:f>IF('제외 후보'!Q473&lt;&gt;"",'선정 규칙'!$B$4,0)</x:f>
        <x:v>0</x:v>
      </x:c>
      <x:c r="C473" s="11" t="n">
        <x:f>IF(ISNUMBER(SEARCH("jmdict_uncommon_or_irregular",'제외 후보'!P473)),'선정 규칙'!$B$5,IF(ISNUMBER(SEARCH("jmdict_rare_or_dated",'제외 후보'!P473)),'선정 규칙'!$B$6,0))</x:f>
        <x:v>0</x:v>
      </x:c>
      <x:c r="D473" s="11" t="n">
        <x:f>IF(ISNUMBER(SEARCH("jmdict_exact_pair_not_found",'제외 후보'!P473)),'선정 규칙'!$B$7,0)</x:f>
        <x:v>0</x:v>
      </x:c>
      <x:c r="E473" s="11" t="n">
        <x:f>IF(OR('제외 후보'!L473="",'제외 후보'!L473&lt;=0),'선정 규칙'!$B$8,IF('제외 후보'!L473&lt;=1.5,'선정 규칙'!$B$9,IF('제외 후보'!L473&lt;=2,'선정 규칙'!$B$10,IF('제외 후보'!L473&lt;=2.5,'선정 규칙'!$B$11,IF('제외 후보'!L473&lt;=3,'선정 규칙'!$B$12,IF('제외 후보'!L473&lt;=3.5,'선정 규칙'!$B$13,IF('제외 후보'!L473&gt;=4.5,'선정 규칙'!$B$14,0)))))))</x:f>
        <x:v>40</x:v>
      </x:c>
      <x:c r="F473" s="11" t="n">
        <x:f>IF('제외 후보'!Y473=0,'선정 규칙'!$B$15,IF('제외 후보'!Y473&gt;=100,'선정 규칙'!$B$16,'선정 규칙'!$B$17))</x:f>
        <x:v>-25</x:v>
      </x:c>
      <x:c r="G473" s="11" t="n">
        <x:f>IF('제외 후보'!M473="있음",'선정 규칙'!$B$18,'선정 규칙'!$B$19)</x:f>
        <x:v>6</x:v>
      </x:c>
      <x:c r="H473" s="11" t="n">
        <x:f>IF(ISNUMBER(SEARCH("freq-core",'제외 후보'!AD473)),'선정 규칙'!$B$20,0)</x:f>
        <x:v>0</x:v>
      </x:c>
      <x:c r="I473" s="11" t="n">
        <x:f>IF(ISNUMBER(SEARCH("weak_legacy_content",'제외 후보'!P473)),'선정 규칙'!$B$21,0)</x:f>
        <x:v>0</x:v>
      </x:c>
      <x:c r="J473" s="11" t="n">
        <x:f>IF('제외 후보'!AC473&lt;&gt;"",'선정 규칙'!$B$22,0)</x:f>
        <x:v>0</x:v>
      </x:c>
      <x:c r="K473" s="11" t="n">
        <x:f>SUM(B473:J473)</x:f>
        <x:v>21</x:v>
      </x:c>
      <x:c r="L473" s="11" t="n">
        <x:f>'제외 후보'!N473</x:f>
        <x:v>21</x:v>
      </x:c>
      <x:c r="M473" s="2" t="str">
        <x:f>IF(K473=L473,"OK","MISMATCH")</x:f>
        <x:v>OK</x:v>
      </x:c>
    </x:row>
    <x:row r="474">
      <x:c r="A474" s="2" t="str">
        <x:f>'제외 후보'!G474</x:f>
        <x:v>w_27a9b1487ee58f95</x:v>
      </x:c>
      <x:c r="B474" s="11" t="n">
        <x:f>IF('제외 후보'!Q474&lt;&gt;"",'선정 규칙'!$B$4,0)</x:f>
        <x:v>0</x:v>
      </x:c>
      <x:c r="C474" s="11" t="n">
        <x:f>IF(ISNUMBER(SEARCH("jmdict_uncommon_or_irregular",'제외 후보'!P474)),'선정 규칙'!$B$5,IF(ISNUMBER(SEARCH("jmdict_rare_or_dated",'제외 후보'!P474)),'선정 규칙'!$B$6,0))</x:f>
        <x:v>0</x:v>
      </x:c>
      <x:c r="D474" s="11" t="n">
        <x:f>IF(ISNUMBER(SEARCH("jmdict_exact_pair_not_found",'제외 후보'!P474)),'선정 규칙'!$B$7,0)</x:f>
        <x:v>0</x:v>
      </x:c>
      <x:c r="E474" s="11" t="n">
        <x:f>IF(OR('제외 후보'!L474="",'제외 후보'!L474&lt;=0),'선정 규칙'!$B$8,IF('제외 후보'!L474&lt;=1.5,'선정 규칙'!$B$9,IF('제외 후보'!L474&lt;=2,'선정 규칙'!$B$10,IF('제외 후보'!L474&lt;=2.5,'선정 규칙'!$B$11,IF('제외 후보'!L474&lt;=3,'선정 규칙'!$B$12,IF('제외 후보'!L474&lt;=3.5,'선정 규칙'!$B$13,IF('제외 후보'!L474&gt;=4.5,'선정 규칙'!$B$14,0)))))))</x:f>
        <x:v>40</x:v>
      </x:c>
      <x:c r="F474" s="11" t="n">
        <x:f>IF('제외 후보'!Y474=0,'선정 규칙'!$B$15,IF('제외 후보'!Y474&gt;=100,'선정 규칙'!$B$16,'선정 규칙'!$B$17))</x:f>
        <x:v>-25</x:v>
      </x:c>
      <x:c r="G474" s="11" t="n">
        <x:f>IF('제외 후보'!M474="있음",'선정 규칙'!$B$18,'선정 규칙'!$B$19)</x:f>
        <x:v>6</x:v>
      </x:c>
      <x:c r="H474" s="11" t="n">
        <x:f>IF(ISNUMBER(SEARCH("freq-core",'제외 후보'!AD474)),'선정 규칙'!$B$20,0)</x:f>
        <x:v>0</x:v>
      </x:c>
      <x:c r="I474" s="11" t="n">
        <x:f>IF(ISNUMBER(SEARCH("weak_legacy_content",'제외 후보'!P474)),'선정 규칙'!$B$21,0)</x:f>
        <x:v>0</x:v>
      </x:c>
      <x:c r="J474" s="11" t="n">
        <x:f>IF('제외 후보'!AC474&lt;&gt;"",'선정 규칙'!$B$22,0)</x:f>
        <x:v>0</x:v>
      </x:c>
      <x:c r="K474" s="11" t="n">
        <x:f>SUM(B474:J474)</x:f>
        <x:v>21</x:v>
      </x:c>
      <x:c r="L474" s="11" t="n">
        <x:f>'제외 후보'!N474</x:f>
        <x:v>21</x:v>
      </x:c>
      <x:c r="M474" s="2" t="str">
        <x:f>IF(K474=L474,"OK","MISMATCH")</x:f>
        <x:v>OK</x:v>
      </x:c>
    </x:row>
    <x:row r="475">
      <x:c r="A475" s="2" t="str">
        <x:f>'제외 후보'!G475</x:f>
        <x:v>w_29fa67b5b004d0f3</x:v>
      </x:c>
      <x:c r="B475" s="11" t="n">
        <x:f>IF('제외 후보'!Q475&lt;&gt;"",'선정 규칙'!$B$4,0)</x:f>
        <x:v>0</x:v>
      </x:c>
      <x:c r="C475" s="11" t="n">
        <x:f>IF(ISNUMBER(SEARCH("jmdict_uncommon_or_irregular",'제외 후보'!P475)),'선정 규칙'!$B$5,IF(ISNUMBER(SEARCH("jmdict_rare_or_dated",'제외 후보'!P475)),'선정 규칙'!$B$6,0))</x:f>
        <x:v>0</x:v>
      </x:c>
      <x:c r="D475" s="11" t="n">
        <x:f>IF(ISNUMBER(SEARCH("jmdict_exact_pair_not_found",'제외 후보'!P475)),'선정 규칙'!$B$7,0)</x:f>
        <x:v>0</x:v>
      </x:c>
      <x:c r="E475" s="11" t="n">
        <x:f>IF(OR('제외 후보'!L475="",'제외 후보'!L475&lt;=0),'선정 규칙'!$B$8,IF('제외 후보'!L475&lt;=1.5,'선정 규칙'!$B$9,IF('제외 후보'!L475&lt;=2,'선정 규칙'!$B$10,IF('제외 후보'!L475&lt;=2.5,'선정 규칙'!$B$11,IF('제외 후보'!L475&lt;=3,'선정 규칙'!$B$12,IF('제외 후보'!L475&lt;=3.5,'선정 규칙'!$B$13,IF('제외 후보'!L475&gt;=4.5,'선정 규칙'!$B$14,0)))))))</x:f>
        <x:v>40</x:v>
      </x:c>
      <x:c r="F475" s="11" t="n">
        <x:f>IF('제외 후보'!Y475=0,'선정 규칙'!$B$15,IF('제외 후보'!Y475&gt;=100,'선정 규칙'!$B$16,'선정 규칙'!$B$17))</x:f>
        <x:v>-25</x:v>
      </x:c>
      <x:c r="G475" s="11" t="n">
        <x:f>IF('제외 후보'!M475="있음",'선정 규칙'!$B$18,'선정 규칙'!$B$19)</x:f>
        <x:v>6</x:v>
      </x:c>
      <x:c r="H475" s="11" t="n">
        <x:f>IF(ISNUMBER(SEARCH("freq-core",'제외 후보'!AD475)),'선정 규칙'!$B$20,0)</x:f>
        <x:v>0</x:v>
      </x:c>
      <x:c r="I475" s="11" t="n">
        <x:f>IF(ISNUMBER(SEARCH("weak_legacy_content",'제외 후보'!P475)),'선정 규칙'!$B$21,0)</x:f>
        <x:v>0</x:v>
      </x:c>
      <x:c r="J475" s="11" t="n">
        <x:f>IF('제외 후보'!AC475&lt;&gt;"",'선정 규칙'!$B$22,0)</x:f>
        <x:v>0</x:v>
      </x:c>
      <x:c r="K475" s="11" t="n">
        <x:f>SUM(B475:J475)</x:f>
        <x:v>21</x:v>
      </x:c>
      <x:c r="L475" s="11" t="n">
        <x:f>'제외 후보'!N475</x:f>
        <x:v>21</x:v>
      </x:c>
      <x:c r="M475" s="2" t="str">
        <x:f>IF(K475=L475,"OK","MISMATCH")</x:f>
        <x:v>OK</x:v>
      </x:c>
    </x:row>
    <x:row r="476">
      <x:c r="A476" s="2" t="str">
        <x:f>'제외 후보'!G476</x:f>
        <x:v>w_4c61acba86c4d604</x:v>
      </x:c>
      <x:c r="B476" s="11" t="n">
        <x:f>IF('제외 후보'!Q476&lt;&gt;"",'선정 규칙'!$B$4,0)</x:f>
        <x:v>0</x:v>
      </x:c>
      <x:c r="C476" s="11" t="n">
        <x:f>IF(ISNUMBER(SEARCH("jmdict_uncommon_or_irregular",'제외 후보'!P476)),'선정 규칙'!$B$5,IF(ISNUMBER(SEARCH("jmdict_rare_or_dated",'제외 후보'!P476)),'선정 규칙'!$B$6,0))</x:f>
        <x:v>0</x:v>
      </x:c>
      <x:c r="D476" s="11" t="n">
        <x:f>IF(ISNUMBER(SEARCH("jmdict_exact_pair_not_found",'제외 후보'!P476)),'선정 규칙'!$B$7,0)</x:f>
        <x:v>0</x:v>
      </x:c>
      <x:c r="E476" s="11" t="n">
        <x:f>IF(OR('제외 후보'!L476="",'제외 후보'!L476&lt;=0),'선정 규칙'!$B$8,IF('제외 후보'!L476&lt;=1.5,'선정 규칙'!$B$9,IF('제외 후보'!L476&lt;=2,'선정 규칙'!$B$10,IF('제외 후보'!L476&lt;=2.5,'선정 규칙'!$B$11,IF('제외 후보'!L476&lt;=3,'선정 규칙'!$B$12,IF('제외 후보'!L476&lt;=3.5,'선정 규칙'!$B$13,IF('제외 후보'!L476&gt;=4.5,'선정 규칙'!$B$14,0)))))))</x:f>
        <x:v>40</x:v>
      </x:c>
      <x:c r="F476" s="11" t="n">
        <x:f>IF('제외 후보'!Y476=0,'선정 규칙'!$B$15,IF('제외 후보'!Y476&gt;=100,'선정 규칙'!$B$16,'선정 규칙'!$B$17))</x:f>
        <x:v>-25</x:v>
      </x:c>
      <x:c r="G476" s="11" t="n">
        <x:f>IF('제외 후보'!M476="있음",'선정 규칙'!$B$18,'선정 규칙'!$B$19)</x:f>
        <x:v>6</x:v>
      </x:c>
      <x:c r="H476" s="11" t="n">
        <x:f>IF(ISNUMBER(SEARCH("freq-core",'제외 후보'!AD476)),'선정 규칙'!$B$20,0)</x:f>
        <x:v>0</x:v>
      </x:c>
      <x:c r="I476" s="11" t="n">
        <x:f>IF(ISNUMBER(SEARCH("weak_legacy_content",'제외 후보'!P476)),'선정 규칙'!$B$21,0)</x:f>
        <x:v>0</x:v>
      </x:c>
      <x:c r="J476" s="11" t="n">
        <x:f>IF('제외 후보'!AC476&lt;&gt;"",'선정 규칙'!$B$22,0)</x:f>
        <x:v>0</x:v>
      </x:c>
      <x:c r="K476" s="11" t="n">
        <x:f>SUM(B476:J476)</x:f>
        <x:v>21</x:v>
      </x:c>
      <x:c r="L476" s="11" t="n">
        <x:f>'제외 후보'!N476</x:f>
        <x:v>21</x:v>
      </x:c>
      <x:c r="M476" s="2" t="str">
        <x:f>IF(K476=L476,"OK","MISMATCH")</x:f>
        <x:v>OK</x:v>
      </x:c>
    </x:row>
    <x:row r="477">
      <x:c r="A477" s="2" t="str">
        <x:f>'제외 후보'!G477</x:f>
        <x:v>w_65b969c52dc19ac2</x:v>
      </x:c>
      <x:c r="B477" s="11" t="n">
        <x:f>IF('제외 후보'!Q477&lt;&gt;"",'선정 규칙'!$B$4,0)</x:f>
        <x:v>0</x:v>
      </x:c>
      <x:c r="C477" s="11" t="n">
        <x:f>IF(ISNUMBER(SEARCH("jmdict_uncommon_or_irregular",'제외 후보'!P477)),'선정 규칙'!$B$5,IF(ISNUMBER(SEARCH("jmdict_rare_or_dated",'제외 후보'!P477)),'선정 규칙'!$B$6,0))</x:f>
        <x:v>0</x:v>
      </x:c>
      <x:c r="D477" s="11" t="n">
        <x:f>IF(ISNUMBER(SEARCH("jmdict_exact_pair_not_found",'제외 후보'!P477)),'선정 규칙'!$B$7,0)</x:f>
        <x:v>0</x:v>
      </x:c>
      <x:c r="E477" s="11" t="n">
        <x:f>IF(OR('제외 후보'!L477="",'제외 후보'!L477&lt;=0),'선정 규칙'!$B$8,IF('제외 후보'!L477&lt;=1.5,'선정 규칙'!$B$9,IF('제외 후보'!L477&lt;=2,'선정 규칙'!$B$10,IF('제외 후보'!L477&lt;=2.5,'선정 규칙'!$B$11,IF('제외 후보'!L477&lt;=3,'선정 규칙'!$B$12,IF('제외 후보'!L477&lt;=3.5,'선정 규칙'!$B$13,IF('제외 후보'!L477&gt;=4.5,'선정 규칙'!$B$14,0)))))))</x:f>
        <x:v>40</x:v>
      </x:c>
      <x:c r="F477" s="11" t="n">
        <x:f>IF('제외 후보'!Y477=0,'선정 규칙'!$B$15,IF('제외 후보'!Y477&gt;=100,'선정 규칙'!$B$16,'선정 규칙'!$B$17))</x:f>
        <x:v>-25</x:v>
      </x:c>
      <x:c r="G477" s="11" t="n">
        <x:f>IF('제외 후보'!M477="있음",'선정 규칙'!$B$18,'선정 규칙'!$B$19)</x:f>
        <x:v>6</x:v>
      </x:c>
      <x:c r="H477" s="11" t="n">
        <x:f>IF(ISNUMBER(SEARCH("freq-core",'제외 후보'!AD477)),'선정 규칙'!$B$20,0)</x:f>
        <x:v>0</x:v>
      </x:c>
      <x:c r="I477" s="11" t="n">
        <x:f>IF(ISNUMBER(SEARCH("weak_legacy_content",'제외 후보'!P477)),'선정 규칙'!$B$21,0)</x:f>
        <x:v>0</x:v>
      </x:c>
      <x:c r="J477" s="11" t="n">
        <x:f>IF('제외 후보'!AC477&lt;&gt;"",'선정 규칙'!$B$22,0)</x:f>
        <x:v>0</x:v>
      </x:c>
      <x:c r="K477" s="11" t="n">
        <x:f>SUM(B477:J477)</x:f>
        <x:v>21</x:v>
      </x:c>
      <x:c r="L477" s="11" t="n">
        <x:f>'제외 후보'!N477</x:f>
        <x:v>21</x:v>
      </x:c>
      <x:c r="M477" s="2" t="str">
        <x:f>IF(K477=L477,"OK","MISMATCH")</x:f>
        <x:v>OK</x:v>
      </x:c>
    </x:row>
    <x:row r="478">
      <x:c r="A478" s="2" t="str">
        <x:f>'제외 후보'!G478</x:f>
        <x:v>w_abb63267199e597d</x:v>
      </x:c>
      <x:c r="B478" s="11" t="n">
        <x:f>IF('제외 후보'!Q478&lt;&gt;"",'선정 규칙'!$B$4,0)</x:f>
        <x:v>0</x:v>
      </x:c>
      <x:c r="C478" s="11" t="n">
        <x:f>IF(ISNUMBER(SEARCH("jmdict_uncommon_or_irregular",'제외 후보'!P478)),'선정 규칙'!$B$5,IF(ISNUMBER(SEARCH("jmdict_rare_or_dated",'제외 후보'!P478)),'선정 규칙'!$B$6,0))</x:f>
        <x:v>0</x:v>
      </x:c>
      <x:c r="D478" s="11" t="n">
        <x:f>IF(ISNUMBER(SEARCH("jmdict_exact_pair_not_found",'제외 후보'!P478)),'선정 규칙'!$B$7,0)</x:f>
        <x:v>0</x:v>
      </x:c>
      <x:c r="E478" s="11" t="n">
        <x:f>IF(OR('제외 후보'!L478="",'제외 후보'!L478&lt;=0),'선정 규칙'!$B$8,IF('제외 후보'!L478&lt;=1.5,'선정 규칙'!$B$9,IF('제외 후보'!L478&lt;=2,'선정 규칙'!$B$10,IF('제외 후보'!L478&lt;=2.5,'선정 규칙'!$B$11,IF('제외 후보'!L478&lt;=3,'선정 규칙'!$B$12,IF('제외 후보'!L478&lt;=3.5,'선정 규칙'!$B$13,IF('제외 후보'!L478&gt;=4.5,'선정 규칙'!$B$14,0)))))))</x:f>
        <x:v>40</x:v>
      </x:c>
      <x:c r="F478" s="11" t="n">
        <x:f>IF('제외 후보'!Y478=0,'선정 규칙'!$B$15,IF('제외 후보'!Y478&gt;=100,'선정 규칙'!$B$16,'선정 규칙'!$B$17))</x:f>
        <x:v>-25</x:v>
      </x:c>
      <x:c r="G478" s="11" t="n">
        <x:f>IF('제외 후보'!M478="있음",'선정 규칙'!$B$18,'선정 규칙'!$B$19)</x:f>
        <x:v>6</x:v>
      </x:c>
      <x:c r="H478" s="11" t="n">
        <x:f>IF(ISNUMBER(SEARCH("freq-core",'제외 후보'!AD478)),'선정 규칙'!$B$20,0)</x:f>
        <x:v>0</x:v>
      </x:c>
      <x:c r="I478" s="11" t="n">
        <x:f>IF(ISNUMBER(SEARCH("weak_legacy_content",'제외 후보'!P478)),'선정 규칙'!$B$21,0)</x:f>
        <x:v>0</x:v>
      </x:c>
      <x:c r="J478" s="11" t="n">
        <x:f>IF('제외 후보'!AC478&lt;&gt;"",'선정 규칙'!$B$22,0)</x:f>
        <x:v>0</x:v>
      </x:c>
      <x:c r="K478" s="11" t="n">
        <x:f>SUM(B478:J478)</x:f>
        <x:v>21</x:v>
      </x:c>
      <x:c r="L478" s="11" t="n">
        <x:f>'제외 후보'!N478</x:f>
        <x:v>21</x:v>
      </x:c>
      <x:c r="M478" s="2" t="str">
        <x:f>IF(K478=L478,"OK","MISMATCH")</x:f>
        <x:v>OK</x:v>
      </x:c>
    </x:row>
    <x:row r="479">
      <x:c r="A479" s="2" t="str">
        <x:f>'제외 후보'!G479</x:f>
        <x:v>w_aee488186f66c2a2</x:v>
      </x:c>
      <x:c r="B479" s="11" t="n">
        <x:f>IF('제외 후보'!Q479&lt;&gt;"",'선정 규칙'!$B$4,0)</x:f>
        <x:v>0</x:v>
      </x:c>
      <x:c r="C479" s="11" t="n">
        <x:f>IF(ISNUMBER(SEARCH("jmdict_uncommon_or_irregular",'제외 후보'!P479)),'선정 규칙'!$B$5,IF(ISNUMBER(SEARCH("jmdict_rare_or_dated",'제외 후보'!P479)),'선정 규칙'!$B$6,0))</x:f>
        <x:v>0</x:v>
      </x:c>
      <x:c r="D479" s="11" t="n">
        <x:f>IF(ISNUMBER(SEARCH("jmdict_exact_pair_not_found",'제외 후보'!P479)),'선정 규칙'!$B$7,0)</x:f>
        <x:v>0</x:v>
      </x:c>
      <x:c r="E479" s="11" t="n">
        <x:f>IF(OR('제외 후보'!L479="",'제외 후보'!L479&lt;=0),'선정 규칙'!$B$8,IF('제외 후보'!L479&lt;=1.5,'선정 규칙'!$B$9,IF('제외 후보'!L479&lt;=2,'선정 규칙'!$B$10,IF('제외 후보'!L479&lt;=2.5,'선정 규칙'!$B$11,IF('제외 후보'!L479&lt;=3,'선정 규칙'!$B$12,IF('제외 후보'!L479&lt;=3.5,'선정 규칙'!$B$13,IF('제외 후보'!L479&gt;=4.5,'선정 규칙'!$B$14,0)))))))</x:f>
        <x:v>40</x:v>
      </x:c>
      <x:c r="F479" s="11" t="n">
        <x:f>IF('제외 후보'!Y479=0,'선정 규칙'!$B$15,IF('제외 후보'!Y479&gt;=100,'선정 규칙'!$B$16,'선정 규칙'!$B$17))</x:f>
        <x:v>-25</x:v>
      </x:c>
      <x:c r="G479" s="11" t="n">
        <x:f>IF('제외 후보'!M479="있음",'선정 규칙'!$B$18,'선정 규칙'!$B$19)</x:f>
        <x:v>6</x:v>
      </x:c>
      <x:c r="H479" s="11" t="n">
        <x:f>IF(ISNUMBER(SEARCH("freq-core",'제외 후보'!AD479)),'선정 규칙'!$B$20,0)</x:f>
        <x:v>0</x:v>
      </x:c>
      <x:c r="I479" s="11" t="n">
        <x:f>IF(ISNUMBER(SEARCH("weak_legacy_content",'제외 후보'!P479)),'선정 규칙'!$B$21,0)</x:f>
        <x:v>0</x:v>
      </x:c>
      <x:c r="J479" s="11" t="n">
        <x:f>IF('제외 후보'!AC479&lt;&gt;"",'선정 규칙'!$B$22,0)</x:f>
        <x:v>0</x:v>
      </x:c>
      <x:c r="K479" s="11" t="n">
        <x:f>SUM(B479:J479)</x:f>
        <x:v>21</x:v>
      </x:c>
      <x:c r="L479" s="11" t="n">
        <x:f>'제외 후보'!N479</x:f>
        <x:v>21</x:v>
      </x:c>
      <x:c r="M479" s="2" t="str">
        <x:f>IF(K479=L479,"OK","MISMATCH")</x:f>
        <x:v>OK</x:v>
      </x:c>
    </x:row>
    <x:row r="480">
      <x:c r="A480" s="2" t="str">
        <x:f>'제외 후보'!G480</x:f>
        <x:v>w_e4039a5d243b5880</x:v>
      </x:c>
      <x:c r="B480" s="11" t="n">
        <x:f>IF('제외 후보'!Q480&lt;&gt;"",'선정 규칙'!$B$4,0)</x:f>
        <x:v>0</x:v>
      </x:c>
      <x:c r="C480" s="11" t="n">
        <x:f>IF(ISNUMBER(SEARCH("jmdict_uncommon_or_irregular",'제외 후보'!P480)),'선정 규칙'!$B$5,IF(ISNUMBER(SEARCH("jmdict_rare_or_dated",'제외 후보'!P480)),'선정 규칙'!$B$6,0))</x:f>
        <x:v>0</x:v>
      </x:c>
      <x:c r="D480" s="11" t="n">
        <x:f>IF(ISNUMBER(SEARCH("jmdict_exact_pair_not_found",'제외 후보'!P480)),'선정 규칙'!$B$7,0)</x:f>
        <x:v>0</x:v>
      </x:c>
      <x:c r="E480" s="11" t="n">
        <x:f>IF(OR('제외 후보'!L480="",'제외 후보'!L480&lt;=0),'선정 규칙'!$B$8,IF('제외 후보'!L480&lt;=1.5,'선정 규칙'!$B$9,IF('제외 후보'!L480&lt;=2,'선정 규칙'!$B$10,IF('제외 후보'!L480&lt;=2.5,'선정 규칙'!$B$11,IF('제외 후보'!L480&lt;=3,'선정 규칙'!$B$12,IF('제외 후보'!L480&lt;=3.5,'선정 규칙'!$B$13,IF('제외 후보'!L480&gt;=4.5,'선정 규칙'!$B$14,0)))))))</x:f>
        <x:v>40</x:v>
      </x:c>
      <x:c r="F480" s="11" t="n">
        <x:f>IF('제외 후보'!Y480=0,'선정 규칙'!$B$15,IF('제외 후보'!Y480&gt;=100,'선정 규칙'!$B$16,'선정 규칙'!$B$17))</x:f>
        <x:v>-25</x:v>
      </x:c>
      <x:c r="G480" s="11" t="n">
        <x:f>IF('제외 후보'!M480="있음",'선정 규칙'!$B$18,'선정 규칙'!$B$19)</x:f>
        <x:v>6</x:v>
      </x:c>
      <x:c r="H480" s="11" t="n">
        <x:f>IF(ISNUMBER(SEARCH("freq-core",'제외 후보'!AD480)),'선정 규칙'!$B$20,0)</x:f>
        <x:v>0</x:v>
      </x:c>
      <x:c r="I480" s="11" t="n">
        <x:f>IF(ISNUMBER(SEARCH("weak_legacy_content",'제외 후보'!P480)),'선정 규칙'!$B$21,0)</x:f>
        <x:v>0</x:v>
      </x:c>
      <x:c r="J480" s="11" t="n">
        <x:f>IF('제외 후보'!AC480&lt;&gt;"",'선정 규칙'!$B$22,0)</x:f>
        <x:v>0</x:v>
      </x:c>
      <x:c r="K480" s="11" t="n">
        <x:f>SUM(B480:J480)</x:f>
        <x:v>21</x:v>
      </x:c>
      <x:c r="L480" s="11" t="n">
        <x:f>'제외 후보'!N480</x:f>
        <x:v>21</x:v>
      </x:c>
      <x:c r="M480" s="2" t="str">
        <x:f>IF(K480=L480,"OK","MISMATCH")</x:f>
        <x:v>OK</x:v>
      </x:c>
    </x:row>
    <x:row r="481">
      <x:c r="A481" s="2" t="str">
        <x:f>'제외 후보'!G481</x:f>
        <x:v>w_53bb3cf73ffdb8b6</x:v>
      </x:c>
      <x:c r="B481" s="11" t="n">
        <x:f>IF('제외 후보'!Q481&lt;&gt;"",'선정 규칙'!$B$4,0)</x:f>
        <x:v>0</x:v>
      </x:c>
      <x:c r="C481" s="11" t="n">
        <x:f>IF(ISNUMBER(SEARCH("jmdict_uncommon_or_irregular",'제외 후보'!P481)),'선정 규칙'!$B$5,IF(ISNUMBER(SEARCH("jmdict_rare_or_dated",'제외 후보'!P481)),'선정 규칙'!$B$6,0))</x:f>
        <x:v>0</x:v>
      </x:c>
      <x:c r="D481" s="11" t="n">
        <x:f>IF(ISNUMBER(SEARCH("jmdict_exact_pair_not_found",'제외 후보'!P481)),'선정 규칙'!$B$7,0)</x:f>
        <x:v>0</x:v>
      </x:c>
      <x:c r="E481" s="11" t="n">
        <x:f>IF(OR('제외 후보'!L481="",'제외 후보'!L481&lt;=0),'선정 규칙'!$B$8,IF('제외 후보'!L481&lt;=1.5,'선정 규칙'!$B$9,IF('제외 후보'!L481&lt;=2,'선정 규칙'!$B$10,IF('제외 후보'!L481&lt;=2.5,'선정 규칙'!$B$11,IF('제외 후보'!L481&lt;=3,'선정 규칙'!$B$12,IF('제외 후보'!L481&lt;=3.5,'선정 규칙'!$B$13,IF('제외 후보'!L481&gt;=4.5,'선정 규칙'!$B$14,0)))))))</x:f>
        <x:v>40</x:v>
      </x:c>
      <x:c r="F481" s="11" t="n">
        <x:f>IF('제외 후보'!Y481=0,'선정 규칙'!$B$15,IF('제외 후보'!Y481&gt;=100,'선정 규칙'!$B$16,'선정 규칙'!$B$17))</x:f>
        <x:v>-25</x:v>
      </x:c>
      <x:c r="G481" s="11" t="n">
        <x:f>IF('제외 후보'!M481="있음",'선정 규칙'!$B$18,'선정 규칙'!$B$19)</x:f>
        <x:v>6</x:v>
      </x:c>
      <x:c r="H481" s="11" t="n">
        <x:f>IF(ISNUMBER(SEARCH("freq-core",'제외 후보'!AD481)),'선정 규칙'!$B$20,0)</x:f>
        <x:v>0</x:v>
      </x:c>
      <x:c r="I481" s="11" t="n">
        <x:f>IF(ISNUMBER(SEARCH("weak_legacy_content",'제외 후보'!P481)),'선정 규칙'!$B$21,0)</x:f>
        <x:v>0</x:v>
      </x:c>
      <x:c r="J481" s="11" t="n">
        <x:f>IF('제외 후보'!AC481&lt;&gt;"",'선정 규칙'!$B$22,0)</x:f>
        <x:v>0</x:v>
      </x:c>
      <x:c r="K481" s="11" t="n">
        <x:f>SUM(B481:J481)</x:f>
        <x:v>21</x:v>
      </x:c>
      <x:c r="L481" s="11" t="n">
        <x:f>'제외 후보'!N481</x:f>
        <x:v>21</x:v>
      </x:c>
      <x:c r="M481" s="2" t="str">
        <x:f>IF(K481=L481,"OK","MISMATCH")</x:f>
        <x:v>OK</x:v>
      </x:c>
    </x:row>
    <x:row r="482">
      <x:c r="A482" s="2" t="str">
        <x:f>'제외 후보'!G482</x:f>
        <x:v>w_6a95b86178733f43</x:v>
      </x:c>
      <x:c r="B482" s="11" t="n">
        <x:f>IF('제외 후보'!Q482&lt;&gt;"",'선정 규칙'!$B$4,0)</x:f>
        <x:v>0</x:v>
      </x:c>
      <x:c r="C482" s="11" t="n">
        <x:f>IF(ISNUMBER(SEARCH("jmdict_uncommon_or_irregular",'제외 후보'!P482)),'선정 규칙'!$B$5,IF(ISNUMBER(SEARCH("jmdict_rare_or_dated",'제외 후보'!P482)),'선정 규칙'!$B$6,0))</x:f>
        <x:v>0</x:v>
      </x:c>
      <x:c r="D482" s="11" t="n">
        <x:f>IF(ISNUMBER(SEARCH("jmdict_exact_pair_not_found",'제외 후보'!P482)),'선정 규칙'!$B$7,0)</x:f>
        <x:v>0</x:v>
      </x:c>
      <x:c r="E482" s="11" t="n">
        <x:f>IF(OR('제외 후보'!L482="",'제외 후보'!L482&lt;=0),'선정 규칙'!$B$8,IF('제외 후보'!L482&lt;=1.5,'선정 규칙'!$B$9,IF('제외 후보'!L482&lt;=2,'선정 규칙'!$B$10,IF('제외 후보'!L482&lt;=2.5,'선정 규칙'!$B$11,IF('제외 후보'!L482&lt;=3,'선정 규칙'!$B$12,IF('제외 후보'!L482&lt;=3.5,'선정 규칙'!$B$13,IF('제외 후보'!L482&gt;=4.5,'선정 규칙'!$B$14,0)))))))</x:f>
        <x:v>40</x:v>
      </x:c>
      <x:c r="F482" s="11" t="n">
        <x:f>IF('제외 후보'!Y482=0,'선정 규칙'!$B$15,IF('제외 후보'!Y482&gt;=100,'선정 규칙'!$B$16,'선정 규칙'!$B$17))</x:f>
        <x:v>-25</x:v>
      </x:c>
      <x:c r="G482" s="11" t="n">
        <x:f>IF('제외 후보'!M482="있음",'선정 규칙'!$B$18,'선정 규칙'!$B$19)</x:f>
        <x:v>6</x:v>
      </x:c>
      <x:c r="H482" s="11" t="n">
        <x:f>IF(ISNUMBER(SEARCH("freq-core",'제외 후보'!AD482)),'선정 규칙'!$B$20,0)</x:f>
        <x:v>0</x:v>
      </x:c>
      <x:c r="I482" s="11" t="n">
        <x:f>IF(ISNUMBER(SEARCH("weak_legacy_content",'제외 후보'!P482)),'선정 규칙'!$B$21,0)</x:f>
        <x:v>0</x:v>
      </x:c>
      <x:c r="J482" s="11" t="n">
        <x:f>IF('제외 후보'!AC482&lt;&gt;"",'선정 규칙'!$B$22,0)</x:f>
        <x:v>0</x:v>
      </x:c>
      <x:c r="K482" s="11" t="n">
        <x:f>SUM(B482:J482)</x:f>
        <x:v>21</x:v>
      </x:c>
      <x:c r="L482" s="11" t="n">
        <x:f>'제외 후보'!N482</x:f>
        <x:v>21</x:v>
      </x:c>
      <x:c r="M482" s="2" t="str">
        <x:f>IF(K482=L482,"OK","MISMATCH")</x:f>
        <x:v>OK</x:v>
      </x:c>
    </x:row>
    <x:row r="483">
      <x:c r="A483" s="2" t="str">
        <x:f>'제외 후보'!G483</x:f>
        <x:v>w_6d129de0dacae5bb</x:v>
      </x:c>
      <x:c r="B483" s="11" t="n">
        <x:f>IF('제외 후보'!Q483&lt;&gt;"",'선정 규칙'!$B$4,0)</x:f>
        <x:v>0</x:v>
      </x:c>
      <x:c r="C483" s="11" t="n">
        <x:f>IF(ISNUMBER(SEARCH("jmdict_uncommon_or_irregular",'제외 후보'!P483)),'선정 규칙'!$B$5,IF(ISNUMBER(SEARCH("jmdict_rare_or_dated",'제외 후보'!P483)),'선정 규칙'!$B$6,0))</x:f>
        <x:v>0</x:v>
      </x:c>
      <x:c r="D483" s="11" t="n">
        <x:f>IF(ISNUMBER(SEARCH("jmdict_exact_pair_not_found",'제외 후보'!P483)),'선정 규칙'!$B$7,0)</x:f>
        <x:v>0</x:v>
      </x:c>
      <x:c r="E483" s="11" t="n">
        <x:f>IF(OR('제외 후보'!L483="",'제외 후보'!L483&lt;=0),'선정 규칙'!$B$8,IF('제외 후보'!L483&lt;=1.5,'선정 규칙'!$B$9,IF('제외 후보'!L483&lt;=2,'선정 규칙'!$B$10,IF('제외 후보'!L483&lt;=2.5,'선정 규칙'!$B$11,IF('제외 후보'!L483&lt;=3,'선정 규칙'!$B$12,IF('제외 후보'!L483&lt;=3.5,'선정 규칙'!$B$13,IF('제외 후보'!L483&gt;=4.5,'선정 규칙'!$B$14,0)))))))</x:f>
        <x:v>40</x:v>
      </x:c>
      <x:c r="F483" s="11" t="n">
        <x:f>IF('제외 후보'!Y483=0,'선정 규칙'!$B$15,IF('제외 후보'!Y483&gt;=100,'선정 규칙'!$B$16,'선정 규칙'!$B$17))</x:f>
        <x:v>-25</x:v>
      </x:c>
      <x:c r="G483" s="11" t="n">
        <x:f>IF('제외 후보'!M483="있음",'선정 규칙'!$B$18,'선정 규칙'!$B$19)</x:f>
        <x:v>6</x:v>
      </x:c>
      <x:c r="H483" s="11" t="n">
        <x:f>IF(ISNUMBER(SEARCH("freq-core",'제외 후보'!AD483)),'선정 규칙'!$B$20,0)</x:f>
        <x:v>0</x:v>
      </x:c>
      <x:c r="I483" s="11" t="n">
        <x:f>IF(ISNUMBER(SEARCH("weak_legacy_content",'제외 후보'!P483)),'선정 규칙'!$B$21,0)</x:f>
        <x:v>0</x:v>
      </x:c>
      <x:c r="J483" s="11" t="n">
        <x:f>IF('제외 후보'!AC483&lt;&gt;"",'선정 규칙'!$B$22,0)</x:f>
        <x:v>0</x:v>
      </x:c>
      <x:c r="K483" s="11" t="n">
        <x:f>SUM(B483:J483)</x:f>
        <x:v>21</x:v>
      </x:c>
      <x:c r="L483" s="11" t="n">
        <x:f>'제외 후보'!N483</x:f>
        <x:v>21</x:v>
      </x:c>
      <x:c r="M483" s="2" t="str">
        <x:f>IF(K483=L483,"OK","MISMATCH")</x:f>
        <x:v>OK</x:v>
      </x:c>
    </x:row>
    <x:row r="484">
      <x:c r="A484" s="2" t="str">
        <x:f>'제외 후보'!G484</x:f>
        <x:v>w_9a19281a2bb79e1b</x:v>
      </x:c>
      <x:c r="B484" s="11" t="n">
        <x:f>IF('제외 후보'!Q484&lt;&gt;"",'선정 규칙'!$B$4,0)</x:f>
        <x:v>0</x:v>
      </x:c>
      <x:c r="C484" s="11" t="n">
        <x:f>IF(ISNUMBER(SEARCH("jmdict_uncommon_or_irregular",'제외 후보'!P484)),'선정 규칙'!$B$5,IF(ISNUMBER(SEARCH("jmdict_rare_or_dated",'제외 후보'!P484)),'선정 규칙'!$B$6,0))</x:f>
        <x:v>0</x:v>
      </x:c>
      <x:c r="D484" s="11" t="n">
        <x:f>IF(ISNUMBER(SEARCH("jmdict_exact_pair_not_found",'제외 후보'!P484)),'선정 규칙'!$B$7,0)</x:f>
        <x:v>0</x:v>
      </x:c>
      <x:c r="E484" s="11" t="n">
        <x:f>IF(OR('제외 후보'!L484="",'제외 후보'!L484&lt;=0),'선정 규칙'!$B$8,IF('제외 후보'!L484&lt;=1.5,'선정 규칙'!$B$9,IF('제외 후보'!L484&lt;=2,'선정 규칙'!$B$10,IF('제외 후보'!L484&lt;=2.5,'선정 규칙'!$B$11,IF('제외 후보'!L484&lt;=3,'선정 규칙'!$B$12,IF('제외 후보'!L484&lt;=3.5,'선정 규칙'!$B$13,IF('제외 후보'!L484&gt;=4.5,'선정 규칙'!$B$14,0)))))))</x:f>
        <x:v>40</x:v>
      </x:c>
      <x:c r="F484" s="11" t="n">
        <x:f>IF('제외 후보'!Y484=0,'선정 규칙'!$B$15,IF('제외 후보'!Y484&gt;=100,'선정 규칙'!$B$16,'선정 규칙'!$B$17))</x:f>
        <x:v>-25</x:v>
      </x:c>
      <x:c r="G484" s="11" t="n">
        <x:f>IF('제외 후보'!M484="있음",'선정 규칙'!$B$18,'선정 규칙'!$B$19)</x:f>
        <x:v>6</x:v>
      </x:c>
      <x:c r="H484" s="11" t="n">
        <x:f>IF(ISNUMBER(SEARCH("freq-core",'제외 후보'!AD484)),'선정 규칙'!$B$20,0)</x:f>
        <x:v>0</x:v>
      </x:c>
      <x:c r="I484" s="11" t="n">
        <x:f>IF(ISNUMBER(SEARCH("weak_legacy_content",'제외 후보'!P484)),'선정 규칙'!$B$21,0)</x:f>
        <x:v>0</x:v>
      </x:c>
      <x:c r="J484" s="11" t="n">
        <x:f>IF('제외 후보'!AC484&lt;&gt;"",'선정 규칙'!$B$22,0)</x:f>
        <x:v>0</x:v>
      </x:c>
      <x:c r="K484" s="11" t="n">
        <x:f>SUM(B484:J484)</x:f>
        <x:v>21</x:v>
      </x:c>
      <x:c r="L484" s="11" t="n">
        <x:f>'제외 후보'!N484</x:f>
        <x:v>21</x:v>
      </x:c>
      <x:c r="M484" s="2" t="str">
        <x:f>IF(K484=L484,"OK","MISMATCH")</x:f>
        <x:v>OK</x:v>
      </x:c>
    </x:row>
    <x:row r="485">
      <x:c r="A485" s="2" t="str">
        <x:f>'제외 후보'!G485</x:f>
        <x:v>w_cee02ce8918a94e7</x:v>
      </x:c>
      <x:c r="B485" s="11" t="n">
        <x:f>IF('제외 후보'!Q485&lt;&gt;"",'선정 규칙'!$B$4,0)</x:f>
        <x:v>0</x:v>
      </x:c>
      <x:c r="C485" s="11" t="n">
        <x:f>IF(ISNUMBER(SEARCH("jmdict_uncommon_or_irregular",'제외 후보'!P485)),'선정 규칙'!$B$5,IF(ISNUMBER(SEARCH("jmdict_rare_or_dated",'제외 후보'!P485)),'선정 규칙'!$B$6,0))</x:f>
        <x:v>0</x:v>
      </x:c>
      <x:c r="D485" s="11" t="n">
        <x:f>IF(ISNUMBER(SEARCH("jmdict_exact_pair_not_found",'제외 후보'!P485)),'선정 규칙'!$B$7,0)</x:f>
        <x:v>0</x:v>
      </x:c>
      <x:c r="E485" s="11" t="n">
        <x:f>IF(OR('제외 후보'!L485="",'제외 후보'!L485&lt;=0),'선정 규칙'!$B$8,IF('제외 후보'!L485&lt;=1.5,'선정 규칙'!$B$9,IF('제외 후보'!L485&lt;=2,'선정 규칙'!$B$10,IF('제외 후보'!L485&lt;=2.5,'선정 규칙'!$B$11,IF('제외 후보'!L485&lt;=3,'선정 규칙'!$B$12,IF('제외 후보'!L485&lt;=3.5,'선정 규칙'!$B$13,IF('제외 후보'!L485&gt;=4.5,'선정 규칙'!$B$14,0)))))))</x:f>
        <x:v>40</x:v>
      </x:c>
      <x:c r="F485" s="11" t="n">
        <x:f>IF('제외 후보'!Y485=0,'선정 규칙'!$B$15,IF('제외 후보'!Y485&gt;=100,'선정 규칙'!$B$16,'선정 규칙'!$B$17))</x:f>
        <x:v>-25</x:v>
      </x:c>
      <x:c r="G485" s="11" t="n">
        <x:f>IF('제외 후보'!M485="있음",'선정 규칙'!$B$18,'선정 규칙'!$B$19)</x:f>
        <x:v>6</x:v>
      </x:c>
      <x:c r="H485" s="11" t="n">
        <x:f>IF(ISNUMBER(SEARCH("freq-core",'제외 후보'!AD485)),'선정 규칙'!$B$20,0)</x:f>
        <x:v>0</x:v>
      </x:c>
      <x:c r="I485" s="11" t="n">
        <x:f>IF(ISNUMBER(SEARCH("weak_legacy_content",'제외 후보'!P485)),'선정 규칙'!$B$21,0)</x:f>
        <x:v>0</x:v>
      </x:c>
      <x:c r="J485" s="11" t="n">
        <x:f>IF('제외 후보'!AC485&lt;&gt;"",'선정 규칙'!$B$22,0)</x:f>
        <x:v>0</x:v>
      </x:c>
      <x:c r="K485" s="11" t="n">
        <x:f>SUM(B485:J485)</x:f>
        <x:v>21</x:v>
      </x:c>
      <x:c r="L485" s="11" t="n">
        <x:f>'제외 후보'!N485</x:f>
        <x:v>21</x:v>
      </x:c>
      <x:c r="M485" s="2" t="str">
        <x:f>IF(K485=L485,"OK","MISMATCH")</x:f>
        <x:v>OK</x:v>
      </x:c>
    </x:row>
    <x:row r="486">
      <x:c r="A486" s="2" t="str">
        <x:f>'제외 후보'!G486</x:f>
        <x:v>w_1a974daef1d619c3</x:v>
      </x:c>
      <x:c r="B486" s="11" t="n">
        <x:f>IF('제외 후보'!Q486&lt;&gt;"",'선정 규칙'!$B$4,0)</x:f>
        <x:v>0</x:v>
      </x:c>
      <x:c r="C486" s="11" t="n">
        <x:f>IF(ISNUMBER(SEARCH("jmdict_uncommon_or_irregular",'제외 후보'!P486)),'선정 규칙'!$B$5,IF(ISNUMBER(SEARCH("jmdict_rare_or_dated",'제외 후보'!P486)),'선정 규칙'!$B$6,0))</x:f>
        <x:v>0</x:v>
      </x:c>
      <x:c r="D486" s="11" t="n">
        <x:f>IF(ISNUMBER(SEARCH("jmdict_exact_pair_not_found",'제외 후보'!P486)),'선정 규칙'!$B$7,0)</x:f>
        <x:v>0</x:v>
      </x:c>
      <x:c r="E486" s="11" t="n">
        <x:f>IF(OR('제외 후보'!L486="",'제외 후보'!L486&lt;=0),'선정 규칙'!$B$8,IF('제외 후보'!L486&lt;=1.5,'선정 규칙'!$B$9,IF('제외 후보'!L486&lt;=2,'선정 규칙'!$B$10,IF('제외 후보'!L486&lt;=2.5,'선정 규칙'!$B$11,IF('제외 후보'!L486&lt;=3,'선정 규칙'!$B$12,IF('제외 후보'!L486&lt;=3.5,'선정 규칙'!$B$13,IF('제외 후보'!L486&gt;=4.5,'선정 규칙'!$B$14,0)))))))</x:f>
        <x:v>40</x:v>
      </x:c>
      <x:c r="F486" s="11" t="n">
        <x:f>IF('제외 후보'!Y486=0,'선정 규칙'!$B$15,IF('제외 후보'!Y486&gt;=100,'선정 규칙'!$B$16,'선정 규칙'!$B$17))</x:f>
        <x:v>-25</x:v>
      </x:c>
      <x:c r="G486" s="11" t="n">
        <x:f>IF('제외 후보'!M486="있음",'선정 규칙'!$B$18,'선정 규칙'!$B$19)</x:f>
        <x:v>6</x:v>
      </x:c>
      <x:c r="H486" s="11" t="n">
        <x:f>IF(ISNUMBER(SEARCH("freq-core",'제외 후보'!AD486)),'선정 규칙'!$B$20,0)</x:f>
        <x:v>0</x:v>
      </x:c>
      <x:c r="I486" s="11" t="n">
        <x:f>IF(ISNUMBER(SEARCH("weak_legacy_content",'제외 후보'!P486)),'선정 규칙'!$B$21,0)</x:f>
        <x:v>0</x:v>
      </x:c>
      <x:c r="J486" s="11" t="n">
        <x:f>IF('제외 후보'!AC486&lt;&gt;"",'선정 규칙'!$B$22,0)</x:f>
        <x:v>0</x:v>
      </x:c>
      <x:c r="K486" s="11" t="n">
        <x:f>SUM(B486:J486)</x:f>
        <x:v>21</x:v>
      </x:c>
      <x:c r="L486" s="11" t="n">
        <x:f>'제외 후보'!N486</x:f>
        <x:v>21</x:v>
      </x:c>
      <x:c r="M486" s="2" t="str">
        <x:f>IF(K486=L486,"OK","MISMATCH")</x:f>
        <x:v>OK</x:v>
      </x:c>
    </x:row>
    <x:row r="487">
      <x:c r="A487" s="2" t="str">
        <x:f>'제외 후보'!G487</x:f>
        <x:v>w_7eb2a233a41069c6</x:v>
      </x:c>
      <x:c r="B487" s="11" t="n">
        <x:f>IF('제외 후보'!Q487&lt;&gt;"",'선정 규칙'!$B$4,0)</x:f>
        <x:v>0</x:v>
      </x:c>
      <x:c r="C487" s="11" t="n">
        <x:f>IF(ISNUMBER(SEARCH("jmdict_uncommon_or_irregular",'제외 후보'!P487)),'선정 규칙'!$B$5,IF(ISNUMBER(SEARCH("jmdict_rare_or_dated",'제외 후보'!P487)),'선정 규칙'!$B$6,0))</x:f>
        <x:v>0</x:v>
      </x:c>
      <x:c r="D487" s="11" t="n">
        <x:f>IF(ISNUMBER(SEARCH("jmdict_exact_pair_not_found",'제외 후보'!P487)),'선정 규칙'!$B$7,0)</x:f>
        <x:v>0</x:v>
      </x:c>
      <x:c r="E487" s="11" t="n">
        <x:f>IF(OR('제외 후보'!L487="",'제외 후보'!L487&lt;=0),'선정 규칙'!$B$8,IF('제외 후보'!L487&lt;=1.5,'선정 규칙'!$B$9,IF('제외 후보'!L487&lt;=2,'선정 규칙'!$B$10,IF('제외 후보'!L487&lt;=2.5,'선정 규칙'!$B$11,IF('제외 후보'!L487&lt;=3,'선정 규칙'!$B$12,IF('제외 후보'!L487&lt;=3.5,'선정 규칙'!$B$13,IF('제외 후보'!L487&gt;=4.5,'선정 규칙'!$B$14,0)))))))</x:f>
        <x:v>40</x:v>
      </x:c>
      <x:c r="F487" s="11" t="n">
        <x:f>IF('제외 후보'!Y487=0,'선정 규칙'!$B$15,IF('제외 후보'!Y487&gt;=100,'선정 규칙'!$B$16,'선정 규칙'!$B$17))</x:f>
        <x:v>-25</x:v>
      </x:c>
      <x:c r="G487" s="11" t="n">
        <x:f>IF('제외 후보'!M487="있음",'선정 규칙'!$B$18,'선정 규칙'!$B$19)</x:f>
        <x:v>6</x:v>
      </x:c>
      <x:c r="H487" s="11" t="n">
        <x:f>IF(ISNUMBER(SEARCH("freq-core",'제외 후보'!AD487)),'선정 규칙'!$B$20,0)</x:f>
        <x:v>0</x:v>
      </x:c>
      <x:c r="I487" s="11" t="n">
        <x:f>IF(ISNUMBER(SEARCH("weak_legacy_content",'제외 후보'!P487)),'선정 규칙'!$B$21,0)</x:f>
        <x:v>0</x:v>
      </x:c>
      <x:c r="J487" s="11" t="n">
        <x:f>IF('제외 후보'!AC487&lt;&gt;"",'선정 규칙'!$B$22,0)</x:f>
        <x:v>0</x:v>
      </x:c>
      <x:c r="K487" s="11" t="n">
        <x:f>SUM(B487:J487)</x:f>
        <x:v>21</x:v>
      </x:c>
      <x:c r="L487" s="11" t="n">
        <x:f>'제외 후보'!N487</x:f>
        <x:v>21</x:v>
      </x:c>
      <x:c r="M487" s="2" t="str">
        <x:f>IF(K487=L487,"OK","MISMATCH")</x:f>
        <x:v>OK</x:v>
      </x:c>
    </x:row>
    <x:row r="488">
      <x:c r="A488" s="2" t="str">
        <x:f>'제외 후보'!G488</x:f>
        <x:v>w_0ad350a08c148e38</x:v>
      </x:c>
      <x:c r="B488" s="11" t="n">
        <x:f>IF('제외 후보'!Q488&lt;&gt;"",'선정 규칙'!$B$4,0)</x:f>
        <x:v>0</x:v>
      </x:c>
      <x:c r="C488" s="11" t="n">
        <x:f>IF(ISNUMBER(SEARCH("jmdict_uncommon_or_irregular",'제외 후보'!P488)),'선정 규칙'!$B$5,IF(ISNUMBER(SEARCH("jmdict_rare_or_dated",'제외 후보'!P488)),'선정 규칙'!$B$6,0))</x:f>
        <x:v>0</x:v>
      </x:c>
      <x:c r="D488" s="11" t="n">
        <x:f>IF(ISNUMBER(SEARCH("jmdict_exact_pair_not_found",'제외 후보'!P488)),'선정 규칙'!$B$7,0)</x:f>
        <x:v>0</x:v>
      </x:c>
      <x:c r="E488" s="11" t="n">
        <x:f>IF(OR('제외 후보'!L488="",'제외 후보'!L488&lt;=0),'선정 규칙'!$B$8,IF('제외 후보'!L488&lt;=1.5,'선정 규칙'!$B$9,IF('제외 후보'!L488&lt;=2,'선정 규칙'!$B$10,IF('제외 후보'!L488&lt;=2.5,'선정 규칙'!$B$11,IF('제외 후보'!L488&lt;=3,'선정 규칙'!$B$12,IF('제외 후보'!L488&lt;=3.5,'선정 규칙'!$B$13,IF('제외 후보'!L488&gt;=4.5,'선정 규칙'!$B$14,0)))))))</x:f>
        <x:v>12</x:v>
      </x:c>
      <x:c r="F488" s="11" t="n">
        <x:f>IF('제외 후보'!Y488=0,'선정 규칙'!$B$15,IF('제외 후보'!Y488&gt;=100,'선정 규칙'!$B$16,'선정 규칙'!$B$17))</x:f>
        <x:v>-12</x:v>
      </x:c>
      <x:c r="G488" s="11" t="n">
        <x:f>IF('제외 후보'!M488="있음",'선정 규칙'!$B$18,'선정 규칙'!$B$19)</x:f>
        <x:v>6</x:v>
      </x:c>
      <x:c r="H488" s="11" t="n">
        <x:f>IF(ISNUMBER(SEARCH("freq-core",'제외 후보'!AD488)),'선정 규칙'!$B$20,0)</x:f>
        <x:v>0</x:v>
      </x:c>
      <x:c r="I488" s="11" t="n">
        <x:f>IF(ISNUMBER(SEARCH("weak_legacy_content",'제외 후보'!P488)),'선정 규칙'!$B$21,0)</x:f>
        <x:v>5</x:v>
      </x:c>
      <x:c r="J488" s="11" t="n">
        <x:f>IF('제외 후보'!AC488&lt;&gt;"",'선정 규칙'!$B$22,0)</x:f>
        <x:v>10</x:v>
      </x:c>
      <x:c r="K488" s="11" t="n">
        <x:f>SUM(B488:J488)</x:f>
        <x:v>21</x:v>
      </x:c>
      <x:c r="L488" s="11" t="n">
        <x:f>'제외 후보'!N488</x:f>
        <x:v>21</x:v>
      </x:c>
      <x:c r="M488" s="2" t="str">
        <x:f>IF(K488=L488,"OK","MISMATCH")</x:f>
        <x:v>OK</x:v>
      </x:c>
    </x:row>
    <x:row r="489">
      <x:c r="A489" s="2" t="str">
        <x:f>'제외 후보'!G489</x:f>
        <x:v>w_e5f7cf7e405e3c68</x:v>
      </x:c>
      <x:c r="B489" s="11" t="n">
        <x:f>IF('제외 후보'!Q489&lt;&gt;"",'선정 규칙'!$B$4,0)</x:f>
        <x:v>0</x:v>
      </x:c>
      <x:c r="C489" s="11" t="n">
        <x:f>IF(ISNUMBER(SEARCH("jmdict_uncommon_or_irregular",'제외 후보'!P489)),'선정 규칙'!$B$5,IF(ISNUMBER(SEARCH("jmdict_rare_or_dated",'제외 후보'!P489)),'선정 규칙'!$B$6,0))</x:f>
        <x:v>0</x:v>
      </x:c>
      <x:c r="D489" s="11" t="n">
        <x:f>IF(ISNUMBER(SEARCH("jmdict_exact_pair_not_found",'제외 후보'!P489)),'선정 규칙'!$B$7,0)</x:f>
        <x:v>0</x:v>
      </x:c>
      <x:c r="E489" s="11" t="n">
        <x:f>IF(OR('제외 후보'!L489="",'제외 후보'!L489&lt;=0),'선정 규칙'!$B$8,IF('제외 후보'!L489&lt;=1.5,'선정 규칙'!$B$9,IF('제외 후보'!L489&lt;=2,'선정 규칙'!$B$10,IF('제외 후보'!L489&lt;=2.5,'선정 규칙'!$B$11,IF('제외 후보'!L489&lt;=3,'선정 규칙'!$B$12,IF('제외 후보'!L489&lt;=3.5,'선정 규칙'!$B$13,IF('제외 후보'!L489&gt;=4.5,'선정 규칙'!$B$14,0)))))))</x:f>
        <x:v>12</x:v>
      </x:c>
      <x:c r="F489" s="11" t="n">
        <x:f>IF('제외 후보'!Y489=0,'선정 규칙'!$B$15,IF('제외 후보'!Y489&gt;=100,'선정 규칙'!$B$16,'선정 규칙'!$B$17))</x:f>
        <x:v>-12</x:v>
      </x:c>
      <x:c r="G489" s="11" t="n">
        <x:f>IF('제외 후보'!M489="있음",'선정 규칙'!$B$18,'선정 규칙'!$B$19)</x:f>
        <x:v>6</x:v>
      </x:c>
      <x:c r="H489" s="11" t="n">
        <x:f>IF(ISNUMBER(SEARCH("freq-core",'제외 후보'!AD489)),'선정 규칙'!$B$20,0)</x:f>
        <x:v>0</x:v>
      </x:c>
      <x:c r="I489" s="11" t="n">
        <x:f>IF(ISNUMBER(SEARCH("weak_legacy_content",'제외 후보'!P489)),'선정 규칙'!$B$21,0)</x:f>
        <x:v>5</x:v>
      </x:c>
      <x:c r="J489" s="11" t="n">
        <x:f>IF('제외 후보'!AC489&lt;&gt;"",'선정 규칙'!$B$22,0)</x:f>
        <x:v>10</x:v>
      </x:c>
      <x:c r="K489" s="11" t="n">
        <x:f>SUM(B489:J489)</x:f>
        <x:v>21</x:v>
      </x:c>
      <x:c r="L489" s="11" t="n">
        <x:f>'제외 후보'!N489</x:f>
        <x:v>21</x:v>
      </x:c>
      <x:c r="M489" s="2" t="str">
        <x:f>IF(K489=L489,"OK","MISMATCH")</x:f>
        <x:v>OK</x:v>
      </x:c>
    </x:row>
    <x:row r="490">
      <x:c r="A490" s="2" t="str">
        <x:f>'제외 후보'!G490</x:f>
        <x:v>w_b6692781d912a8ce</x:v>
      </x:c>
      <x:c r="B490" s="11" t="n">
        <x:f>IF('제외 후보'!Q490&lt;&gt;"",'선정 규칙'!$B$4,0)</x:f>
        <x:v>60</x:v>
      </x:c>
      <x:c r="C490" s="11" t="n">
        <x:f>IF(ISNUMBER(SEARCH("jmdict_uncommon_or_irregular",'제외 후보'!P490)),'선정 규칙'!$B$5,IF(ISNUMBER(SEARCH("jmdict_rare_or_dated",'제외 후보'!P490)),'선정 규칙'!$B$6,0))</x:f>
        <x:v>0</x:v>
      </x:c>
      <x:c r="D490" s="11" t="n">
        <x:f>IF(ISNUMBER(SEARCH("jmdict_exact_pair_not_found",'제외 후보'!P490)),'선정 규칙'!$B$7,0)</x:f>
        <x:v>0</x:v>
      </x:c>
      <x:c r="E490" s="11" t="n">
        <x:f>IF(OR('제외 후보'!L490="",'제외 후보'!L490&lt;=0),'선정 규칙'!$B$8,IF('제외 후보'!L490&lt;=1.5,'선정 규칙'!$B$9,IF('제외 후보'!L490&lt;=2,'선정 규칙'!$B$10,IF('제외 후보'!L490&lt;=2.5,'선정 규칙'!$B$11,IF('제외 후보'!L490&lt;=3,'선정 규칙'!$B$12,IF('제외 후보'!L490&lt;=3.5,'선정 규칙'!$B$13,IF('제외 후보'!L490&gt;=4.5,'선정 규칙'!$B$14,0)))))))</x:f>
        <x:v>-20</x:v>
      </x:c>
      <x:c r="F490" s="11" t="n">
        <x:f>IF('제외 후보'!Y490=0,'선정 규칙'!$B$15,IF('제외 후보'!Y490&gt;=100,'선정 규칙'!$B$16,'선정 규칙'!$B$17))</x:f>
        <x:v>-25</x:v>
      </x:c>
      <x:c r="G490" s="11" t="n">
        <x:f>IF('제외 후보'!M490="있음",'선정 규칙'!$B$18,'선정 규칙'!$B$19)</x:f>
        <x:v>6</x:v>
      </x:c>
      <x:c r="H490" s="11" t="n">
        <x:f>IF(ISNUMBER(SEARCH("freq-core",'제외 후보'!AD490)),'선정 규칙'!$B$20,0)</x:f>
        <x:v>0</x:v>
      </x:c>
      <x:c r="I490" s="11" t="n">
        <x:f>IF(ISNUMBER(SEARCH("weak_legacy_content",'제외 후보'!P490)),'선정 규칙'!$B$21,0)</x:f>
        <x:v>0</x:v>
      </x:c>
      <x:c r="J490" s="11" t="n">
        <x:f>IF('제외 후보'!AC490&lt;&gt;"",'선정 규칙'!$B$22,0)</x:f>
        <x:v>0</x:v>
      </x:c>
      <x:c r="K490" s="11" t="n">
        <x:f>SUM(B490:J490)</x:f>
        <x:v>21</x:v>
      </x:c>
      <x:c r="L490" s="11" t="n">
        <x:f>'제외 후보'!N490</x:f>
        <x:v>21</x:v>
      </x:c>
      <x:c r="M490" s="2" t="str">
        <x:f>IF(K490=L490,"OK","MISMATCH")</x:f>
        <x:v>OK</x:v>
      </x:c>
    </x:row>
    <x:row r="491">
      <x:c r="A491" s="2" t="str">
        <x:f>'제외 후보'!G491</x:f>
        <x:v>w_2c436e55ab8f8e47</x:v>
      </x:c>
      <x:c r="B491" s="11" t="n">
        <x:f>IF('제외 후보'!Q491&lt;&gt;"",'선정 규칙'!$B$4,0)</x:f>
        <x:v>0</x:v>
      </x:c>
      <x:c r="C491" s="11" t="n">
        <x:f>IF(ISNUMBER(SEARCH("jmdict_uncommon_or_irregular",'제외 후보'!P491)),'선정 규칙'!$B$5,IF(ISNUMBER(SEARCH("jmdict_rare_or_dated",'제외 후보'!P491)),'선정 규칙'!$B$6,0))</x:f>
        <x:v>0</x:v>
      </x:c>
      <x:c r="D491" s="11" t="n">
        <x:f>IF(ISNUMBER(SEARCH("jmdict_exact_pair_not_found",'제외 후보'!P491)),'선정 규칙'!$B$7,0)</x:f>
        <x:v>0</x:v>
      </x:c>
      <x:c r="E491" s="11" t="n">
        <x:f>IF(OR('제외 후보'!L491="",'제외 후보'!L491&lt;=0),'선정 규칙'!$B$8,IF('제외 후보'!L491&lt;=1.5,'선정 규칙'!$B$9,IF('제외 후보'!L491&lt;=2,'선정 규칙'!$B$10,IF('제외 후보'!L491&lt;=2.5,'선정 규칙'!$B$11,IF('제외 후보'!L491&lt;=3,'선정 규칙'!$B$12,IF('제외 후보'!L491&lt;=3.5,'선정 규칙'!$B$13,IF('제외 후보'!L491&gt;=4.5,'선정 규칙'!$B$14,0)))))))</x:f>
        <x:v>26</x:v>
      </x:c>
      <x:c r="F491" s="11" t="n">
        <x:f>IF('제외 후보'!Y491=0,'선정 규칙'!$B$15,IF('제외 후보'!Y491&gt;=100,'선정 규칙'!$B$16,'선정 규칙'!$B$17))</x:f>
        <x:v>-12</x:v>
      </x:c>
      <x:c r="G491" s="11" t="n">
        <x:f>IF('제외 후보'!M491="있음",'선정 규칙'!$B$18,'선정 규칙'!$B$19)</x:f>
        <x:v>6</x:v>
      </x:c>
      <x:c r="H491" s="11" t="n">
        <x:f>IF(ISNUMBER(SEARCH("freq-core",'제외 후보'!AD491)),'선정 규칙'!$B$20,0)</x:f>
        <x:v>0</x:v>
      </x:c>
      <x:c r="I491" s="11" t="n">
        <x:f>IF(ISNUMBER(SEARCH("weak_legacy_content",'제외 후보'!P491)),'선정 규칙'!$B$21,0)</x:f>
        <x:v>0</x:v>
      </x:c>
      <x:c r="J491" s="11" t="n">
        <x:f>IF('제외 후보'!AC491&lt;&gt;"",'선정 규칙'!$B$22,0)</x:f>
        <x:v>0</x:v>
      </x:c>
      <x:c r="K491" s="11" t="n">
        <x:f>SUM(B491:J491)</x:f>
        <x:v>20</x:v>
      </x:c>
      <x:c r="L491" s="11" t="n">
        <x:f>'제외 후보'!N491</x:f>
        <x:v>20</x:v>
      </x:c>
      <x:c r="M491" s="2" t="str">
        <x:f>IF(K491=L491,"OK","MISMATCH")</x:f>
        <x:v>OK</x:v>
      </x:c>
    </x:row>
    <x:row r="492">
      <x:c r="A492" s="2" t="str">
        <x:f>'제외 후보'!G492</x:f>
        <x:v>w_7b6acb6e00cd294a</x:v>
      </x:c>
      <x:c r="B492" s="11" t="n">
        <x:f>IF('제외 후보'!Q492&lt;&gt;"",'선정 규칙'!$B$4,0)</x:f>
        <x:v>0</x:v>
      </x:c>
      <x:c r="C492" s="11" t="n">
        <x:f>IF(ISNUMBER(SEARCH("jmdict_uncommon_or_irregular",'제외 후보'!P492)),'선정 규칙'!$B$5,IF(ISNUMBER(SEARCH("jmdict_rare_or_dated",'제외 후보'!P492)),'선정 규칙'!$B$6,0))</x:f>
        <x:v>0</x:v>
      </x:c>
      <x:c r="D492" s="11" t="n">
        <x:f>IF(ISNUMBER(SEARCH("jmdict_exact_pair_not_found",'제외 후보'!P492)),'선정 규칙'!$B$7,0)</x:f>
        <x:v>0</x:v>
      </x:c>
      <x:c r="E492" s="11" t="n">
        <x:f>IF(OR('제외 후보'!L492="",'제외 후보'!L492&lt;=0),'선정 규칙'!$B$8,IF('제외 후보'!L492&lt;=1.5,'선정 규칙'!$B$9,IF('제외 후보'!L492&lt;=2,'선정 규칙'!$B$10,IF('제외 후보'!L492&lt;=2.5,'선정 규칙'!$B$11,IF('제외 후보'!L492&lt;=3,'선정 규칙'!$B$12,IF('제외 후보'!L492&lt;=3.5,'선정 규칙'!$B$13,IF('제외 후보'!L492&gt;=4.5,'선정 규칙'!$B$14,0)))))))</x:f>
        <x:v>26</x:v>
      </x:c>
      <x:c r="F492" s="11" t="n">
        <x:f>IF('제외 후보'!Y492=0,'선정 규칙'!$B$15,IF('제외 후보'!Y492&gt;=100,'선정 규칙'!$B$16,'선정 규칙'!$B$17))</x:f>
        <x:v>-12</x:v>
      </x:c>
      <x:c r="G492" s="11" t="n">
        <x:f>IF('제외 후보'!M492="있음",'선정 규칙'!$B$18,'선정 규칙'!$B$19)</x:f>
        <x:v>6</x:v>
      </x:c>
      <x:c r="H492" s="11" t="n">
        <x:f>IF(ISNUMBER(SEARCH("freq-core",'제외 후보'!AD492)),'선정 규칙'!$B$20,0)</x:f>
        <x:v>0</x:v>
      </x:c>
      <x:c r="I492" s="11" t="n">
        <x:f>IF(ISNUMBER(SEARCH("weak_legacy_content",'제외 후보'!P492)),'선정 규칙'!$B$21,0)</x:f>
        <x:v>0</x:v>
      </x:c>
      <x:c r="J492" s="11" t="n">
        <x:f>IF('제외 후보'!AC492&lt;&gt;"",'선정 규칙'!$B$22,0)</x:f>
        <x:v>0</x:v>
      </x:c>
      <x:c r="K492" s="11" t="n">
        <x:f>SUM(B492:J492)</x:f>
        <x:v>20</x:v>
      </x:c>
      <x:c r="L492" s="11" t="n">
        <x:f>'제외 후보'!N492</x:f>
        <x:v>20</x:v>
      </x:c>
      <x:c r="M492" s="2" t="str">
        <x:f>IF(K492=L492,"OK","MISMATCH")</x:f>
        <x:v>OK</x:v>
      </x:c>
    </x:row>
    <x:row r="493">
      <x:c r="A493" s="2" t="str">
        <x:f>'제외 후보'!G493</x:f>
        <x:v>w_5f021602114fb122</x:v>
      </x:c>
      <x:c r="B493" s="11" t="n">
        <x:f>IF('제외 후보'!Q493&lt;&gt;"",'선정 규칙'!$B$4,0)</x:f>
        <x:v>0</x:v>
      </x:c>
      <x:c r="C493" s="11" t="n">
        <x:f>IF(ISNUMBER(SEARCH("jmdict_uncommon_or_irregular",'제외 후보'!P493)),'선정 규칙'!$B$5,IF(ISNUMBER(SEARCH("jmdict_rare_or_dated",'제외 후보'!P493)),'선정 규칙'!$B$6,0))</x:f>
        <x:v>0</x:v>
      </x:c>
      <x:c r="D493" s="11" t="n">
        <x:f>IF(ISNUMBER(SEARCH("jmdict_exact_pair_not_found",'제외 후보'!P493)),'선정 규칙'!$B$7,0)</x:f>
        <x:v>0</x:v>
      </x:c>
      <x:c r="E493" s="11" t="n">
        <x:f>IF(OR('제외 후보'!L493="",'제외 후보'!L493&lt;=0),'선정 규칙'!$B$8,IF('제외 후보'!L493&lt;=1.5,'선정 규칙'!$B$9,IF('제외 후보'!L493&lt;=2,'선정 규칙'!$B$10,IF('제외 후보'!L493&lt;=2.5,'선정 규칙'!$B$11,IF('제외 후보'!L493&lt;=3,'선정 규칙'!$B$12,IF('제외 후보'!L493&lt;=3.5,'선정 규칙'!$B$13,IF('제외 후보'!L493&gt;=4.5,'선정 규칙'!$B$14,0)))))))</x:f>
        <x:v>26</x:v>
      </x:c>
      <x:c r="F493" s="11" t="n">
        <x:f>IF('제외 후보'!Y493=0,'선정 규칙'!$B$15,IF('제외 후보'!Y493&gt;=100,'선정 규칙'!$B$16,'선정 규칙'!$B$17))</x:f>
        <x:v>-12</x:v>
      </x:c>
      <x:c r="G493" s="11" t="n">
        <x:f>IF('제외 후보'!M493="있음",'선정 규칙'!$B$18,'선정 규칙'!$B$19)</x:f>
        <x:v>6</x:v>
      </x:c>
      <x:c r="H493" s="11" t="n">
        <x:f>IF(ISNUMBER(SEARCH("freq-core",'제외 후보'!AD493)),'선정 규칙'!$B$20,0)</x:f>
        <x:v>0</x:v>
      </x:c>
      <x:c r="I493" s="11" t="n">
        <x:f>IF(ISNUMBER(SEARCH("weak_legacy_content",'제외 후보'!P493)),'선정 규칙'!$B$21,0)</x:f>
        <x:v>0</x:v>
      </x:c>
      <x:c r="J493" s="11" t="n">
        <x:f>IF('제외 후보'!AC493&lt;&gt;"",'선정 규칙'!$B$22,0)</x:f>
        <x:v>0</x:v>
      </x:c>
      <x:c r="K493" s="11" t="n">
        <x:f>SUM(B493:J493)</x:f>
        <x:v>20</x:v>
      </x:c>
      <x:c r="L493" s="11" t="n">
        <x:f>'제외 후보'!N493</x:f>
        <x:v>20</x:v>
      </x:c>
      <x:c r="M493" s="2" t="str">
        <x:f>IF(K493=L493,"OK","MISMATCH")</x:f>
        <x:v>OK</x:v>
      </x:c>
    </x:row>
    <x:row r="494">
      <x:c r="A494" s="2" t="str">
        <x:f>'제외 후보'!G494</x:f>
        <x:v>w_f35cf25072c98b1c</x:v>
      </x:c>
      <x:c r="B494" s="11" t="n">
        <x:f>IF('제외 후보'!Q494&lt;&gt;"",'선정 규칙'!$B$4,0)</x:f>
        <x:v>0</x:v>
      </x:c>
      <x:c r="C494" s="11" t="n">
        <x:f>IF(ISNUMBER(SEARCH("jmdict_uncommon_or_irregular",'제외 후보'!P494)),'선정 규칙'!$B$5,IF(ISNUMBER(SEARCH("jmdict_rare_or_dated",'제외 후보'!P494)),'선정 규칙'!$B$6,0))</x:f>
        <x:v>0</x:v>
      </x:c>
      <x:c r="D494" s="11" t="n">
        <x:f>IF(ISNUMBER(SEARCH("jmdict_exact_pair_not_found",'제외 후보'!P494)),'선정 규칙'!$B$7,0)</x:f>
        <x:v>0</x:v>
      </x:c>
      <x:c r="E494" s="11" t="n">
        <x:f>IF(OR('제외 후보'!L494="",'제외 후보'!L494&lt;=0),'선정 규칙'!$B$8,IF('제외 후보'!L494&lt;=1.5,'선정 규칙'!$B$9,IF('제외 후보'!L494&lt;=2,'선정 규칙'!$B$10,IF('제외 후보'!L494&lt;=2.5,'선정 규칙'!$B$11,IF('제외 후보'!L494&lt;=3,'선정 규칙'!$B$12,IF('제외 후보'!L494&lt;=3.5,'선정 규칙'!$B$13,IF('제외 후보'!L494&gt;=4.5,'선정 규칙'!$B$14,0)))))))</x:f>
        <x:v>26</x:v>
      </x:c>
      <x:c r="F494" s="11" t="n">
        <x:f>IF('제외 후보'!Y494=0,'선정 규칙'!$B$15,IF('제외 후보'!Y494&gt;=100,'선정 규칙'!$B$16,'선정 규칙'!$B$17))</x:f>
        <x:v>-12</x:v>
      </x:c>
      <x:c r="G494" s="11" t="n">
        <x:f>IF('제외 후보'!M494="있음",'선정 규칙'!$B$18,'선정 규칙'!$B$19)</x:f>
        <x:v>6</x:v>
      </x:c>
      <x:c r="H494" s="11" t="n">
        <x:f>IF(ISNUMBER(SEARCH("freq-core",'제외 후보'!AD494)),'선정 규칙'!$B$20,0)</x:f>
        <x:v>0</x:v>
      </x:c>
      <x:c r="I494" s="11" t="n">
        <x:f>IF(ISNUMBER(SEARCH("weak_legacy_content",'제외 후보'!P494)),'선정 규칙'!$B$21,0)</x:f>
        <x:v>0</x:v>
      </x:c>
      <x:c r="J494" s="11" t="n">
        <x:f>IF('제외 후보'!AC494&lt;&gt;"",'선정 규칙'!$B$22,0)</x:f>
        <x:v>0</x:v>
      </x:c>
      <x:c r="K494" s="11" t="n">
        <x:f>SUM(B494:J494)</x:f>
        <x:v>20</x:v>
      </x:c>
      <x:c r="L494" s="11" t="n">
        <x:f>'제외 후보'!N494</x:f>
        <x:v>20</x:v>
      </x:c>
      <x:c r="M494" s="2" t="str">
        <x:f>IF(K494=L494,"OK","MISMATCH")</x:f>
        <x:v>OK</x:v>
      </x:c>
    </x:row>
    <x:row r="495">
      <x:c r="A495" s="2" t="str">
        <x:f>'제외 후보'!G495</x:f>
        <x:v>w_52884ca8975b7037</x:v>
      </x:c>
      <x:c r="B495" s="11" t="n">
        <x:f>IF('제외 후보'!Q495&lt;&gt;"",'선정 규칙'!$B$4,0)</x:f>
        <x:v>0</x:v>
      </x:c>
      <x:c r="C495" s="11" t="n">
        <x:f>IF(ISNUMBER(SEARCH("jmdict_uncommon_or_irregular",'제외 후보'!P495)),'선정 규칙'!$B$5,IF(ISNUMBER(SEARCH("jmdict_rare_or_dated",'제외 후보'!P495)),'선정 규칙'!$B$6,0))</x:f>
        <x:v>50</x:v>
      </x:c>
      <x:c r="D495" s="11" t="n">
        <x:f>IF(ISNUMBER(SEARCH("jmdict_exact_pair_not_found",'제외 후보'!P495)),'선정 규칙'!$B$7,0)</x:f>
        <x:v>0</x:v>
      </x:c>
      <x:c r="E495" s="11" t="n">
        <x:f>IF(OR('제외 후보'!L495="",'제외 후보'!L495&lt;=0),'선정 규칙'!$B$8,IF('제외 후보'!L495&lt;=1.5,'선정 규칙'!$B$9,IF('제외 후보'!L495&lt;=2,'선정 규칙'!$B$10,IF('제외 후보'!L495&lt;=2.5,'선정 규칙'!$B$11,IF('제외 후보'!L495&lt;=3,'선정 규칙'!$B$12,IF('제외 후보'!L495&lt;=3.5,'선정 규칙'!$B$13,IF('제외 후보'!L495&gt;=4.5,'선정 규칙'!$B$14,0)))))))</x:f>
        <x:v>20</x:v>
      </x:c>
      <x:c r="F495" s="11" t="n">
        <x:f>IF('제외 후보'!Y495=0,'선정 규칙'!$B$15,IF('제외 후보'!Y495&gt;=100,'선정 규칙'!$B$16,'선정 규칙'!$B$17))</x:f>
        <x:v>-25</x:v>
      </x:c>
      <x:c r="G495" s="11" t="n">
        <x:f>IF('제외 후보'!M495="있음",'선정 규칙'!$B$18,'선정 규칙'!$B$19)</x:f>
        <x:v>-25</x:v>
      </x:c>
      <x:c r="H495" s="11" t="n">
        <x:f>IF(ISNUMBER(SEARCH("freq-core",'제외 후보'!AD495)),'선정 규칙'!$B$20,0)</x:f>
        <x:v>0</x:v>
      </x:c>
      <x:c r="I495" s="11" t="n">
        <x:f>IF(ISNUMBER(SEARCH("weak_legacy_content",'제외 후보'!P495)),'선정 규칙'!$B$21,0)</x:f>
        <x:v>0</x:v>
      </x:c>
      <x:c r="J495" s="11" t="n">
        <x:f>IF('제외 후보'!AC495&lt;&gt;"",'선정 규칙'!$B$22,0)</x:f>
        <x:v>0</x:v>
      </x:c>
      <x:c r="K495" s="11" t="n">
        <x:f>SUM(B495:J495)</x:f>
        <x:v>20</x:v>
      </x:c>
      <x:c r="L495" s="11" t="n">
        <x:f>'제외 후보'!N495</x:f>
        <x:v>20</x:v>
      </x:c>
      <x:c r="M495" s="2" t="str">
        <x:f>IF(K495=L495,"OK","MISMATCH")</x:f>
        <x:v>OK</x:v>
      </x:c>
    </x:row>
    <x:row r="496">
      <x:c r="A496" s="2" t="str">
        <x:f>'제외 후보'!G496</x:f>
        <x:v>w_2640d4011edf7e2c</x:v>
      </x:c>
      <x:c r="B496" s="11" t="n">
        <x:f>IF('제외 후보'!Q496&lt;&gt;"",'선정 규칙'!$B$4,0)</x:f>
        <x:v>0</x:v>
      </x:c>
      <x:c r="C496" s="11" t="n">
        <x:f>IF(ISNUMBER(SEARCH("jmdict_uncommon_or_irregular",'제외 후보'!P496)),'선정 규칙'!$B$5,IF(ISNUMBER(SEARCH("jmdict_rare_or_dated",'제외 후보'!P496)),'선정 규칙'!$B$6,0))</x:f>
        <x:v>0</x:v>
      </x:c>
      <x:c r="D496" s="11" t="n">
        <x:f>IF(ISNUMBER(SEARCH("jmdict_exact_pair_not_found",'제외 후보'!P496)),'선정 규칙'!$B$7,0)</x:f>
        <x:v>0</x:v>
      </x:c>
      <x:c r="E496" s="11" t="n">
        <x:f>IF(OR('제외 후보'!L496="",'제외 후보'!L496&lt;=0),'선정 규칙'!$B$8,IF('제외 후보'!L496&lt;=1.5,'선정 규칙'!$B$9,IF('제외 후보'!L496&lt;=2,'선정 규칙'!$B$10,IF('제외 후보'!L496&lt;=2.5,'선정 규칙'!$B$11,IF('제외 후보'!L496&lt;=3,'선정 규칙'!$B$12,IF('제외 후보'!L496&lt;=3.5,'선정 규칙'!$B$13,IF('제외 후보'!L496&gt;=4.5,'선정 규칙'!$B$14,0)))))))</x:f>
        <x:v>32</x:v>
      </x:c>
      <x:c r="F496" s="11" t="n">
        <x:f>IF('제외 후보'!Y496=0,'선정 규칙'!$B$15,IF('제외 후보'!Y496&gt;=100,'선정 규칙'!$B$16,'선정 규칙'!$B$17))</x:f>
        <x:v>12</x:v>
      </x:c>
      <x:c r="G496" s="11" t="n">
        <x:f>IF('제외 후보'!M496="있음",'선정 규칙'!$B$18,'선정 규칙'!$B$19)</x:f>
        <x:v>-25</x:v>
      </x:c>
      <x:c r="H496" s="11" t="n">
        <x:f>IF(ISNUMBER(SEARCH("freq-core",'제외 후보'!AD496)),'선정 규칙'!$B$20,0)</x:f>
        <x:v>0</x:v>
      </x:c>
      <x:c r="I496" s="11" t="n">
        <x:f>IF(ISNUMBER(SEARCH("weak_legacy_content",'제외 후보'!P496)),'선정 규칙'!$B$21,0)</x:f>
        <x:v>0</x:v>
      </x:c>
      <x:c r="J496" s="11" t="n">
        <x:f>IF('제외 후보'!AC496&lt;&gt;"",'선정 규칙'!$B$22,0)</x:f>
        <x:v>0</x:v>
      </x:c>
      <x:c r="K496" s="11" t="n">
        <x:f>SUM(B496:J496)</x:f>
        <x:v>19</x:v>
      </x:c>
      <x:c r="L496" s="11" t="n">
        <x:f>'제외 후보'!N496</x:f>
        <x:v>19</x:v>
      </x:c>
      <x:c r="M496" s="2" t="str">
        <x:f>IF(K496=L496,"OK","MISMATCH")</x:f>
        <x:v>OK</x:v>
      </x:c>
    </x:row>
    <x:row r="497">
      <x:c r="A497" s="2" t="str">
        <x:f>'제외 후보'!G497</x:f>
        <x:v>w_f087c05295412417</x:v>
      </x:c>
      <x:c r="B497" s="11" t="n">
        <x:f>IF('제외 후보'!Q497&lt;&gt;"",'선정 규칙'!$B$4,0)</x:f>
        <x:v>0</x:v>
      </x:c>
      <x:c r="C497" s="11" t="n">
        <x:f>IF(ISNUMBER(SEARCH("jmdict_uncommon_or_irregular",'제외 후보'!P497)),'선정 규칙'!$B$5,IF(ISNUMBER(SEARCH("jmdict_rare_or_dated",'제외 후보'!P497)),'선정 규칙'!$B$6,0))</x:f>
        <x:v>0</x:v>
      </x:c>
      <x:c r="D497" s="11" t="n">
        <x:f>IF(ISNUMBER(SEARCH("jmdict_exact_pair_not_found",'제외 후보'!P497)),'선정 규칙'!$B$7,0)</x:f>
        <x:v>0</x:v>
      </x:c>
      <x:c r="E497" s="11" t="n">
        <x:f>IF(OR('제외 후보'!L497="",'제외 후보'!L497&lt;=0),'선정 규칙'!$B$8,IF('제외 후보'!L497&lt;=1.5,'선정 규칙'!$B$9,IF('제외 후보'!L497&lt;=2,'선정 규칙'!$B$10,IF('제외 후보'!L497&lt;=2.5,'선정 규칙'!$B$11,IF('제외 후보'!L497&lt;=3,'선정 규칙'!$B$12,IF('제외 후보'!L497&lt;=3.5,'선정 규칙'!$B$13,IF('제외 후보'!L497&gt;=4.5,'선정 규칙'!$B$14,0)))))))</x:f>
        <x:v>32</x:v>
      </x:c>
      <x:c r="F497" s="11" t="n">
        <x:f>IF('제외 후보'!Y497=0,'선정 규칙'!$B$15,IF('제외 후보'!Y497&gt;=100,'선정 규칙'!$B$16,'선정 규칙'!$B$17))</x:f>
        <x:v>12</x:v>
      </x:c>
      <x:c r="G497" s="11" t="n">
        <x:f>IF('제외 후보'!M497="있음",'선정 규칙'!$B$18,'선정 규칙'!$B$19)</x:f>
        <x:v>-25</x:v>
      </x:c>
      <x:c r="H497" s="11" t="n">
        <x:f>IF(ISNUMBER(SEARCH("freq-core",'제외 후보'!AD497)),'선정 규칙'!$B$20,0)</x:f>
        <x:v>0</x:v>
      </x:c>
      <x:c r="I497" s="11" t="n">
        <x:f>IF(ISNUMBER(SEARCH("weak_legacy_content",'제외 후보'!P497)),'선정 규칙'!$B$21,0)</x:f>
        <x:v>0</x:v>
      </x:c>
      <x:c r="J497" s="11" t="n">
        <x:f>IF('제외 후보'!AC497&lt;&gt;"",'선정 규칙'!$B$22,0)</x:f>
        <x:v>0</x:v>
      </x:c>
      <x:c r="K497" s="11" t="n">
        <x:f>SUM(B497:J497)</x:f>
        <x:v>19</x:v>
      </x:c>
      <x:c r="L497" s="11" t="n">
        <x:f>'제외 후보'!N497</x:f>
        <x:v>19</x:v>
      </x:c>
      <x:c r="M497" s="2" t="str">
        <x:f>IF(K497=L497,"OK","MISMATCH")</x:f>
        <x:v>OK</x:v>
      </x:c>
    </x:row>
    <x:row r="498">
      <x:c r="A498" s="2" t="str">
        <x:f>'제외 후보'!G498</x:f>
        <x:v>w_fce82908165994a3</x:v>
      </x:c>
      <x:c r="B498" s="11" t="n">
        <x:f>IF('제외 후보'!Q498&lt;&gt;"",'선정 규칙'!$B$4,0)</x:f>
        <x:v>0</x:v>
      </x:c>
      <x:c r="C498" s="11" t="n">
        <x:f>IF(ISNUMBER(SEARCH("jmdict_uncommon_or_irregular",'제외 후보'!P498)),'선정 규칙'!$B$5,IF(ISNUMBER(SEARCH("jmdict_rare_or_dated",'제외 후보'!P498)),'선정 규칙'!$B$6,0))</x:f>
        <x:v>0</x:v>
      </x:c>
      <x:c r="D498" s="11" t="n">
        <x:f>IF(ISNUMBER(SEARCH("jmdict_exact_pair_not_found",'제외 후보'!P498)),'선정 규칙'!$B$7,0)</x:f>
        <x:v>0</x:v>
      </x:c>
      <x:c r="E498" s="11" t="n">
        <x:f>IF(OR('제외 후보'!L498="",'제외 후보'!L498&lt;=0),'선정 규칙'!$B$8,IF('제외 후보'!L498&lt;=1.5,'선정 규칙'!$B$9,IF('제외 후보'!L498&lt;=2,'선정 규칙'!$B$10,IF('제외 후보'!L498&lt;=2.5,'선정 규칙'!$B$11,IF('제외 후보'!L498&lt;=3,'선정 규칙'!$B$12,IF('제외 후보'!L498&lt;=3.5,'선정 규칙'!$B$13,IF('제외 후보'!L498&gt;=4.5,'선정 규칙'!$B$14,0)))))))</x:f>
        <x:v>20</x:v>
      </x:c>
      <x:c r="F498" s="11" t="n">
        <x:f>IF('제외 후보'!Y498=0,'선정 규칙'!$B$15,IF('제외 후보'!Y498&gt;=100,'선정 규칙'!$B$16,'선정 규칙'!$B$17))</x:f>
        <x:v>-12</x:v>
      </x:c>
      <x:c r="G498" s="11" t="n">
        <x:f>IF('제외 후보'!M498="있음",'선정 규칙'!$B$18,'선정 규칙'!$B$19)</x:f>
        <x:v>6</x:v>
      </x:c>
      <x:c r="H498" s="11" t="n">
        <x:f>IF(ISNUMBER(SEARCH("freq-core",'제외 후보'!AD498)),'선정 규칙'!$B$20,0)</x:f>
        <x:v>0</x:v>
      </x:c>
      <x:c r="I498" s="11" t="n">
        <x:f>IF(ISNUMBER(SEARCH("weak_legacy_content",'제외 후보'!P498)),'선정 규칙'!$B$21,0)</x:f>
        <x:v>5</x:v>
      </x:c>
      <x:c r="J498" s="11" t="n">
        <x:f>IF('제외 후보'!AC498&lt;&gt;"",'선정 규칙'!$B$22,0)</x:f>
        <x:v>0</x:v>
      </x:c>
      <x:c r="K498" s="11" t="n">
        <x:f>SUM(B498:J498)</x:f>
        <x:v>19</x:v>
      </x:c>
      <x:c r="L498" s="11" t="n">
        <x:f>'제외 후보'!N498</x:f>
        <x:v>19</x:v>
      </x:c>
      <x:c r="M498" s="2" t="str">
        <x:f>IF(K498=L498,"OK","MISMATCH")</x:f>
        <x:v>OK</x:v>
      </x:c>
    </x:row>
    <x:row r="499">
      <x:c r="A499" s="2" t="str">
        <x:f>'제외 후보'!G499</x:f>
        <x:v>w_a54696c7ba3c4f41</x:v>
      </x:c>
      <x:c r="B499" s="11" t="n">
        <x:f>IF('제외 후보'!Q499&lt;&gt;"",'선정 규칙'!$B$4,0)</x:f>
        <x:v>0</x:v>
      </x:c>
      <x:c r="C499" s="11" t="n">
        <x:f>IF(ISNUMBER(SEARCH("jmdict_uncommon_or_irregular",'제외 후보'!P499)),'선정 규칙'!$B$5,IF(ISNUMBER(SEARCH("jmdict_rare_or_dated",'제외 후보'!P499)),'선정 규칙'!$B$6,0))</x:f>
        <x:v>0</x:v>
      </x:c>
      <x:c r="D499" s="11" t="n">
        <x:f>IF(ISNUMBER(SEARCH("jmdict_exact_pair_not_found",'제외 후보'!P499)),'선정 규칙'!$B$7,0)</x:f>
        <x:v>0</x:v>
      </x:c>
      <x:c r="E499" s="11" t="n">
        <x:f>IF(OR('제외 후보'!L499="",'제외 후보'!L499&lt;=0),'선정 규칙'!$B$8,IF('제외 후보'!L499&lt;=1.5,'선정 규칙'!$B$9,IF('제외 후보'!L499&lt;=2,'선정 규칙'!$B$10,IF('제외 후보'!L499&lt;=2.5,'선정 규칙'!$B$11,IF('제외 후보'!L499&lt;=3,'선정 규칙'!$B$12,IF('제외 후보'!L499&lt;=3.5,'선정 규칙'!$B$13,IF('제외 후보'!L499&gt;=4.5,'선정 규칙'!$B$14,0)))))))</x:f>
        <x:v>20</x:v>
      </x:c>
      <x:c r="F499" s="11" t="n">
        <x:f>IF('제외 후보'!Y499=0,'선정 규칙'!$B$15,IF('제외 후보'!Y499&gt;=100,'선정 규칙'!$B$16,'선정 규칙'!$B$17))</x:f>
        <x:v>-12</x:v>
      </x:c>
      <x:c r="G499" s="11" t="n">
        <x:f>IF('제외 후보'!M499="있음",'선정 규칙'!$B$18,'선정 규칙'!$B$19)</x:f>
        <x:v>6</x:v>
      </x:c>
      <x:c r="H499" s="11" t="n">
        <x:f>IF(ISNUMBER(SEARCH("freq-core",'제외 후보'!AD499)),'선정 규칙'!$B$20,0)</x:f>
        <x:v>0</x:v>
      </x:c>
      <x:c r="I499" s="11" t="n">
        <x:f>IF(ISNUMBER(SEARCH("weak_legacy_content",'제외 후보'!P499)),'선정 규칙'!$B$21,0)</x:f>
        <x:v>5</x:v>
      </x:c>
      <x:c r="J499" s="11" t="n">
        <x:f>IF('제외 후보'!AC499&lt;&gt;"",'선정 규칙'!$B$22,0)</x:f>
        <x:v>0</x:v>
      </x:c>
      <x:c r="K499" s="11" t="n">
        <x:f>SUM(B499:J499)</x:f>
        <x:v>19</x:v>
      </x:c>
      <x:c r="L499" s="11" t="n">
        <x:f>'제외 후보'!N499</x:f>
        <x:v>19</x:v>
      </x:c>
      <x:c r="M499" s="2" t="str">
        <x:f>IF(K499=L499,"OK","MISMATCH")</x:f>
        <x:v>OK</x:v>
      </x:c>
    </x:row>
    <x:row r="500">
      <x:c r="A500" s="2" t="str">
        <x:f>'제외 후보'!G500</x:f>
        <x:v>w_4eed37011d8730c8</x:v>
      </x:c>
      <x:c r="B500" s="11" t="n">
        <x:f>IF('제외 후보'!Q500&lt;&gt;"",'선정 규칙'!$B$4,0)</x:f>
        <x:v>0</x:v>
      </x:c>
      <x:c r="C500" s="11" t="n">
        <x:f>IF(ISNUMBER(SEARCH("jmdict_uncommon_or_irregular",'제외 후보'!P500)),'선정 규칙'!$B$5,IF(ISNUMBER(SEARCH("jmdict_rare_or_dated",'제외 후보'!P500)),'선정 규칙'!$B$6,0))</x:f>
        <x:v>0</x:v>
      </x:c>
      <x:c r="D500" s="11" t="n">
        <x:f>IF(ISNUMBER(SEARCH("jmdict_exact_pair_not_found",'제외 후보'!P500)),'선정 규칙'!$B$7,0)</x:f>
        <x:v>0</x:v>
      </x:c>
      <x:c r="E500" s="11" t="n">
        <x:f>IF(OR('제외 후보'!L500="",'제외 후보'!L500&lt;=0),'선정 규칙'!$B$8,IF('제외 후보'!L500&lt;=1.5,'선정 규칙'!$B$9,IF('제외 후보'!L500&lt;=2,'선정 규칙'!$B$10,IF('제외 후보'!L500&lt;=2.5,'선정 규칙'!$B$11,IF('제외 후보'!L500&lt;=3,'선정 규칙'!$B$12,IF('제외 후보'!L500&lt;=3.5,'선정 규칙'!$B$13,IF('제외 후보'!L500&gt;=4.5,'선정 규칙'!$B$14,0)))))))</x:f>
        <x:v>20</x:v>
      </x:c>
      <x:c r="F500" s="11" t="n">
        <x:f>IF('제외 후보'!Y500=0,'선정 규칙'!$B$15,IF('제외 후보'!Y500&gt;=100,'선정 규칙'!$B$16,'선정 규칙'!$B$17))</x:f>
        <x:v>-12</x:v>
      </x:c>
      <x:c r="G500" s="11" t="n">
        <x:f>IF('제외 후보'!M500="있음",'선정 규칙'!$B$18,'선정 규칙'!$B$19)</x:f>
        <x:v>6</x:v>
      </x:c>
      <x:c r="H500" s="11" t="n">
        <x:f>IF(ISNUMBER(SEARCH("freq-core",'제외 후보'!AD500)),'선정 규칙'!$B$20,0)</x:f>
        <x:v>0</x:v>
      </x:c>
      <x:c r="I500" s="11" t="n">
        <x:f>IF(ISNUMBER(SEARCH("weak_legacy_content",'제외 후보'!P500)),'선정 규칙'!$B$21,0)</x:f>
        <x:v>5</x:v>
      </x:c>
      <x:c r="J500" s="11" t="n">
        <x:f>IF('제외 후보'!AC500&lt;&gt;"",'선정 규칙'!$B$22,0)</x:f>
        <x:v>0</x:v>
      </x:c>
      <x:c r="K500" s="11" t="n">
        <x:f>SUM(B500:J500)</x:f>
        <x:v>19</x:v>
      </x:c>
      <x:c r="L500" s="11" t="n">
        <x:f>'제외 후보'!N500</x:f>
        <x:v>19</x:v>
      </x:c>
      <x:c r="M500" s="2" t="str">
        <x:f>IF(K500=L500,"OK","MISMATCH")</x:f>
        <x:v>OK</x:v>
      </x:c>
    </x:row>
    <x:row r="501">
      <x:c r="A501" s="2" t="str">
        <x:f>'제외 후보'!G501</x:f>
        <x:v>w_a19e3233add10b0c</x:v>
      </x:c>
      <x:c r="B501" s="11" t="n">
        <x:f>IF('제외 후보'!Q501&lt;&gt;"",'선정 규칙'!$B$4,0)</x:f>
        <x:v>0</x:v>
      </x:c>
      <x:c r="C501" s="11" t="n">
        <x:f>IF(ISNUMBER(SEARCH("jmdict_uncommon_or_irregular",'제외 후보'!P501)),'선정 규칙'!$B$5,IF(ISNUMBER(SEARCH("jmdict_rare_or_dated",'제외 후보'!P501)),'선정 규칙'!$B$6,0))</x:f>
        <x:v>0</x:v>
      </x:c>
      <x:c r="D501" s="11" t="n">
        <x:f>IF(ISNUMBER(SEARCH("jmdict_exact_pair_not_found",'제외 후보'!P501)),'선정 규칙'!$B$7,0)</x:f>
        <x:v>0</x:v>
      </x:c>
      <x:c r="E501" s="11" t="n">
        <x:f>IF(OR('제외 후보'!L501="",'제외 후보'!L501&lt;=0),'선정 규칙'!$B$8,IF('제외 후보'!L501&lt;=1.5,'선정 규칙'!$B$9,IF('제외 후보'!L501&lt;=2,'선정 규칙'!$B$10,IF('제외 후보'!L501&lt;=2.5,'선정 규칙'!$B$11,IF('제외 후보'!L501&lt;=3,'선정 규칙'!$B$12,IF('제외 후보'!L501&lt;=3.5,'선정 규칙'!$B$13,IF('제외 후보'!L501&gt;=4.5,'선정 규칙'!$B$14,0)))))))</x:f>
        <x:v>20</x:v>
      </x:c>
      <x:c r="F501" s="11" t="n">
        <x:f>IF('제외 후보'!Y501=0,'선정 규칙'!$B$15,IF('제외 후보'!Y501&gt;=100,'선정 규칙'!$B$16,'선정 규칙'!$B$17))</x:f>
        <x:v>-12</x:v>
      </x:c>
      <x:c r="G501" s="11" t="n">
        <x:f>IF('제외 후보'!M501="있음",'선정 규칙'!$B$18,'선정 규칙'!$B$19)</x:f>
        <x:v>6</x:v>
      </x:c>
      <x:c r="H501" s="11" t="n">
        <x:f>IF(ISNUMBER(SEARCH("freq-core",'제외 후보'!AD501)),'선정 규칙'!$B$20,0)</x:f>
        <x:v>0</x:v>
      </x:c>
      <x:c r="I501" s="11" t="n">
        <x:f>IF(ISNUMBER(SEARCH("weak_legacy_content",'제외 후보'!P501)),'선정 규칙'!$B$21,0)</x:f>
        <x:v>5</x:v>
      </x:c>
      <x:c r="J501" s="11" t="n">
        <x:f>IF('제외 후보'!AC501&lt;&gt;"",'선정 규칙'!$B$22,0)</x:f>
        <x:v>0</x:v>
      </x:c>
      <x:c r="K501" s="11" t="n">
        <x:f>SUM(B501:J501)</x:f>
        <x:v>19</x:v>
      </x:c>
      <x:c r="L501" s="11" t="n">
        <x:f>'제외 후보'!N501</x:f>
        <x:v>19</x:v>
      </x:c>
      <x:c r="M501" s="2" t="str">
        <x:f>IF(K501=L501,"OK","MISMATCH")</x:f>
        <x:v>OK</x:v>
      </x:c>
    </x:row>
    <x:row r="502">
      <x:c r="A502" s="2" t="str">
        <x:f>'제외 후보'!G502</x:f>
        <x:v>w_da6e5c98561e048c</x:v>
      </x:c>
      <x:c r="B502" s="11" t="n">
        <x:f>IF('제외 후보'!Q502&lt;&gt;"",'선정 규칙'!$B$4,0)</x:f>
        <x:v>0</x:v>
      </x:c>
      <x:c r="C502" s="11" t="n">
        <x:f>IF(ISNUMBER(SEARCH("jmdict_uncommon_or_irregular",'제외 후보'!P502)),'선정 규칙'!$B$5,IF(ISNUMBER(SEARCH("jmdict_rare_or_dated",'제외 후보'!P502)),'선정 규칙'!$B$6,0))</x:f>
        <x:v>0</x:v>
      </x:c>
      <x:c r="D502" s="11" t="n">
        <x:f>IF(ISNUMBER(SEARCH("jmdict_exact_pair_not_found",'제외 후보'!P502)),'선정 규칙'!$B$7,0)</x:f>
        <x:v>0</x:v>
      </x:c>
      <x:c r="E502" s="11" t="n">
        <x:f>IF(OR('제외 후보'!L502="",'제외 후보'!L502&lt;=0),'선정 규칙'!$B$8,IF('제외 후보'!L502&lt;=1.5,'선정 규칙'!$B$9,IF('제외 후보'!L502&lt;=2,'선정 규칙'!$B$10,IF('제외 후보'!L502&lt;=2.5,'선정 규칙'!$B$11,IF('제외 후보'!L502&lt;=3,'선정 규칙'!$B$12,IF('제외 후보'!L502&lt;=3.5,'선정 규칙'!$B$13,IF('제외 후보'!L502&gt;=4.5,'선정 규칙'!$B$14,0)))))))</x:f>
        <x:v>20</x:v>
      </x:c>
      <x:c r="F502" s="11" t="n">
        <x:f>IF('제외 후보'!Y502=0,'선정 규칙'!$B$15,IF('제외 후보'!Y502&gt;=100,'선정 규칙'!$B$16,'선정 규칙'!$B$17))</x:f>
        <x:v>-12</x:v>
      </x:c>
      <x:c r="G502" s="11" t="n">
        <x:f>IF('제외 후보'!M502="있음",'선정 규칙'!$B$18,'선정 규칙'!$B$19)</x:f>
        <x:v>6</x:v>
      </x:c>
      <x:c r="H502" s="11" t="n">
        <x:f>IF(ISNUMBER(SEARCH("freq-core",'제외 후보'!AD502)),'선정 규칙'!$B$20,0)</x:f>
        <x:v>0</x:v>
      </x:c>
      <x:c r="I502" s="11" t="n">
        <x:f>IF(ISNUMBER(SEARCH("weak_legacy_content",'제외 후보'!P502)),'선정 규칙'!$B$21,0)</x:f>
        <x:v>5</x:v>
      </x:c>
      <x:c r="J502" s="11" t="n">
        <x:f>IF('제외 후보'!AC502&lt;&gt;"",'선정 규칙'!$B$22,0)</x:f>
        <x:v>0</x:v>
      </x:c>
      <x:c r="K502" s="11" t="n">
        <x:f>SUM(B502:J502)</x:f>
        <x:v>19</x:v>
      </x:c>
      <x:c r="L502" s="11" t="n">
        <x:f>'제외 후보'!N502</x:f>
        <x:v>19</x:v>
      </x:c>
      <x:c r="M502" s="2" t="str">
        <x:f>IF(K502=L502,"OK","MISMATCH")</x:f>
        <x:v>OK</x:v>
      </x:c>
    </x:row>
    <x:row r="503">
      <x:c r="A503" s="2" t="str">
        <x:f>'제외 후보'!G503</x:f>
        <x:v>w_2ae72e1db8570e58</x:v>
      </x:c>
      <x:c r="B503" s="11" t="n">
        <x:f>IF('제외 후보'!Q503&lt;&gt;"",'선정 규칙'!$B$4,0)</x:f>
        <x:v>0</x:v>
      </x:c>
      <x:c r="C503" s="11" t="n">
        <x:f>IF(ISNUMBER(SEARCH("jmdict_uncommon_or_irregular",'제외 후보'!P503)),'선정 규칙'!$B$5,IF(ISNUMBER(SEARCH("jmdict_rare_or_dated",'제외 후보'!P503)),'선정 규칙'!$B$6,0))</x:f>
        <x:v>0</x:v>
      </x:c>
      <x:c r="D503" s="11" t="n">
        <x:f>IF(ISNUMBER(SEARCH("jmdict_exact_pair_not_found",'제외 후보'!P503)),'선정 규칙'!$B$7,0)</x:f>
        <x:v>0</x:v>
      </x:c>
      <x:c r="E503" s="11" t="n">
        <x:f>IF(OR('제외 후보'!L503="",'제외 후보'!L503&lt;=0),'선정 규칙'!$B$8,IF('제외 후보'!L503&lt;=1.5,'선정 규칙'!$B$9,IF('제외 후보'!L503&lt;=2,'선정 규칙'!$B$10,IF('제외 후보'!L503&lt;=2.5,'선정 규칙'!$B$11,IF('제외 후보'!L503&lt;=3,'선정 규칙'!$B$12,IF('제외 후보'!L503&lt;=3.5,'선정 규칙'!$B$13,IF('제외 후보'!L503&gt;=4.5,'선정 규칙'!$B$14,0)))))))</x:f>
        <x:v>20</x:v>
      </x:c>
      <x:c r="F503" s="11" t="n">
        <x:f>IF('제외 후보'!Y503=0,'선정 규칙'!$B$15,IF('제외 후보'!Y503&gt;=100,'선정 규칙'!$B$16,'선정 규칙'!$B$17))</x:f>
        <x:v>-12</x:v>
      </x:c>
      <x:c r="G503" s="11" t="n">
        <x:f>IF('제외 후보'!M503="있음",'선정 규칙'!$B$18,'선정 규칙'!$B$19)</x:f>
        <x:v>6</x:v>
      </x:c>
      <x:c r="H503" s="11" t="n">
        <x:f>IF(ISNUMBER(SEARCH("freq-core",'제외 후보'!AD503)),'선정 규칙'!$B$20,0)</x:f>
        <x:v>0</x:v>
      </x:c>
      <x:c r="I503" s="11" t="n">
        <x:f>IF(ISNUMBER(SEARCH("weak_legacy_content",'제외 후보'!P503)),'선정 규칙'!$B$21,0)</x:f>
        <x:v>5</x:v>
      </x:c>
      <x:c r="J503" s="11" t="n">
        <x:f>IF('제외 후보'!AC503&lt;&gt;"",'선정 규칙'!$B$22,0)</x:f>
        <x:v>0</x:v>
      </x:c>
      <x:c r="K503" s="11" t="n">
        <x:f>SUM(B503:J503)</x:f>
        <x:v>19</x:v>
      </x:c>
      <x:c r="L503" s="11" t="n">
        <x:f>'제외 후보'!N503</x:f>
        <x:v>19</x:v>
      </x:c>
      <x:c r="M503" s="2" t="str">
        <x:f>IF(K503=L503,"OK","MISMATCH")</x:f>
        <x:v>OK</x:v>
      </x:c>
    </x:row>
    <x:row r="504">
      <x:c r="A504" s="2" t="str">
        <x:f>'제외 후보'!G504</x:f>
        <x:v>w_70544c524f0b574a</x:v>
      </x:c>
      <x:c r="B504" s="11" t="n">
        <x:f>IF('제외 후보'!Q504&lt;&gt;"",'선정 규칙'!$B$4,0)</x:f>
        <x:v>0</x:v>
      </x:c>
      <x:c r="C504" s="11" t="n">
        <x:f>IF(ISNUMBER(SEARCH("jmdict_uncommon_or_irregular",'제외 후보'!P504)),'선정 규칙'!$B$5,IF(ISNUMBER(SEARCH("jmdict_rare_or_dated",'제외 후보'!P504)),'선정 규칙'!$B$6,0))</x:f>
        <x:v>0</x:v>
      </x:c>
      <x:c r="D504" s="11" t="n">
        <x:f>IF(ISNUMBER(SEARCH("jmdict_exact_pair_not_found",'제외 후보'!P504)),'선정 규칙'!$B$7,0)</x:f>
        <x:v>0</x:v>
      </x:c>
      <x:c r="E504" s="11" t="n">
        <x:f>IF(OR('제외 후보'!L504="",'제외 후보'!L504&lt;=0),'선정 규칙'!$B$8,IF('제외 후보'!L504&lt;=1.5,'선정 규칙'!$B$9,IF('제외 후보'!L504&lt;=2,'선정 규칙'!$B$10,IF('제외 후보'!L504&lt;=2.5,'선정 규칙'!$B$11,IF('제외 후보'!L504&lt;=3,'선정 규칙'!$B$12,IF('제외 후보'!L504&lt;=3.5,'선정 규칙'!$B$13,IF('제외 후보'!L504&gt;=4.5,'선정 규칙'!$B$14,0)))))))</x:f>
        <x:v>20</x:v>
      </x:c>
      <x:c r="F504" s="11" t="n">
        <x:f>IF('제외 후보'!Y504=0,'선정 규칙'!$B$15,IF('제외 후보'!Y504&gt;=100,'선정 규칙'!$B$16,'선정 규칙'!$B$17))</x:f>
        <x:v>-12</x:v>
      </x:c>
      <x:c r="G504" s="11" t="n">
        <x:f>IF('제외 후보'!M504="있음",'선정 규칙'!$B$18,'선정 규칙'!$B$19)</x:f>
        <x:v>6</x:v>
      </x:c>
      <x:c r="H504" s="11" t="n">
        <x:f>IF(ISNUMBER(SEARCH("freq-core",'제외 후보'!AD504)),'선정 규칙'!$B$20,0)</x:f>
        <x:v>0</x:v>
      </x:c>
      <x:c r="I504" s="11" t="n">
        <x:f>IF(ISNUMBER(SEARCH("weak_legacy_content",'제외 후보'!P504)),'선정 규칙'!$B$21,0)</x:f>
        <x:v>5</x:v>
      </x:c>
      <x:c r="J504" s="11" t="n">
        <x:f>IF('제외 후보'!AC504&lt;&gt;"",'선정 규칙'!$B$22,0)</x:f>
        <x:v>0</x:v>
      </x:c>
      <x:c r="K504" s="11" t="n">
        <x:f>SUM(B504:J504)</x:f>
        <x:v>19</x:v>
      </x:c>
      <x:c r="L504" s="11" t="n">
        <x:f>'제외 후보'!N504</x:f>
        <x:v>19</x:v>
      </x:c>
      <x:c r="M504" s="2" t="str">
        <x:f>IF(K504=L504,"OK","MISMATCH")</x:f>
        <x:v>OK</x:v>
      </x:c>
    </x:row>
    <x:row r="505">
      <x:c r="A505" s="2" t="str">
        <x:f>'제외 후보'!G505</x:f>
        <x:v>w_fa7073b27e7981c3</x:v>
      </x:c>
      <x:c r="B505" s="11" t="n">
        <x:f>IF('제외 후보'!Q505&lt;&gt;"",'선정 규칙'!$B$4,0)</x:f>
        <x:v>0</x:v>
      </x:c>
      <x:c r="C505" s="11" t="n">
        <x:f>IF(ISNUMBER(SEARCH("jmdict_uncommon_or_irregular",'제외 후보'!P505)),'선정 규칙'!$B$5,IF(ISNUMBER(SEARCH("jmdict_rare_or_dated",'제외 후보'!P505)),'선정 규칙'!$B$6,0))</x:f>
        <x:v>0</x:v>
      </x:c>
      <x:c r="D505" s="11" t="n">
        <x:f>IF(ISNUMBER(SEARCH("jmdict_exact_pair_not_found",'제외 후보'!P505)),'선정 규칙'!$B$7,0)</x:f>
        <x:v>0</x:v>
      </x:c>
      <x:c r="E505" s="11" t="n">
        <x:f>IF(OR('제외 후보'!L505="",'제외 후보'!L505&lt;=0),'선정 규칙'!$B$8,IF('제외 후보'!L505&lt;=1.5,'선정 규칙'!$B$9,IF('제외 후보'!L505&lt;=2,'선정 규칙'!$B$10,IF('제외 후보'!L505&lt;=2.5,'선정 규칙'!$B$11,IF('제외 후보'!L505&lt;=3,'선정 규칙'!$B$12,IF('제외 후보'!L505&lt;=3.5,'선정 규칙'!$B$13,IF('제외 후보'!L505&gt;=4.5,'선정 규칙'!$B$14,0)))))))</x:f>
        <x:v>32</x:v>
      </x:c>
      <x:c r="F505" s="11" t="n">
        <x:f>IF('제외 후보'!Y505=0,'선정 규칙'!$B$15,IF('제외 후보'!Y505&gt;=100,'선정 규칙'!$B$16,'선정 규칙'!$B$17))</x:f>
        <x:v>-25</x:v>
      </x:c>
      <x:c r="G505" s="11" t="n">
        <x:f>IF('제외 후보'!M505="있음",'선정 규칙'!$B$18,'선정 규칙'!$B$19)</x:f>
        <x:v>6</x:v>
      </x:c>
      <x:c r="H505" s="11" t="n">
        <x:f>IF(ISNUMBER(SEARCH("freq-core",'제외 후보'!AD505)),'선정 규칙'!$B$20,0)</x:f>
        <x:v>0</x:v>
      </x:c>
      <x:c r="I505" s="11" t="n">
        <x:f>IF(ISNUMBER(SEARCH("weak_legacy_content",'제외 후보'!P505)),'선정 규칙'!$B$21,0)</x:f>
        <x:v>5</x:v>
      </x:c>
      <x:c r="J505" s="11" t="n">
        <x:f>IF('제외 후보'!AC505&lt;&gt;"",'선정 규칙'!$B$22,0)</x:f>
        <x:v>0</x:v>
      </x:c>
      <x:c r="K505" s="11" t="n">
        <x:f>SUM(B505:J505)</x:f>
        <x:v>18</x:v>
      </x:c>
      <x:c r="L505" s="11" t="n">
        <x:f>'제외 후보'!N505</x:f>
        <x:v>18</x:v>
      </x:c>
      <x:c r="M505" s="2" t="str">
        <x:f>IF(K505=L505,"OK","MISMATCH")</x:f>
        <x:v>OK</x:v>
      </x:c>
    </x:row>
    <x:row r="506">
      <x:c r="A506" s="2" t="str">
        <x:f>'제외 후보'!G506</x:f>
        <x:v>w_40cb634a27283bc3</x:v>
      </x:c>
      <x:c r="B506" s="11" t="n">
        <x:f>IF('제외 후보'!Q506&lt;&gt;"",'선정 규칙'!$B$4,0)</x:f>
        <x:v>0</x:v>
      </x:c>
      <x:c r="C506" s="11" t="n">
        <x:f>IF(ISNUMBER(SEARCH("jmdict_uncommon_or_irregular",'제외 후보'!P506)),'선정 규칙'!$B$5,IF(ISNUMBER(SEARCH("jmdict_rare_or_dated",'제외 후보'!P506)),'선정 규칙'!$B$6,0))</x:f>
        <x:v>0</x:v>
      </x:c>
      <x:c r="D506" s="11" t="n">
        <x:f>IF(ISNUMBER(SEARCH("jmdict_exact_pair_not_found",'제외 후보'!P506)),'선정 규칙'!$B$7,0)</x:f>
        <x:v>0</x:v>
      </x:c>
      <x:c r="E506" s="11" t="n">
        <x:f>IF(OR('제외 후보'!L506="",'제외 후보'!L506&lt;=0),'선정 규칙'!$B$8,IF('제외 후보'!L506&lt;=1.5,'선정 규칙'!$B$9,IF('제외 후보'!L506&lt;=2,'선정 규칙'!$B$10,IF('제외 후보'!L506&lt;=2.5,'선정 규칙'!$B$11,IF('제외 후보'!L506&lt;=3,'선정 규칙'!$B$12,IF('제외 후보'!L506&lt;=3.5,'선정 규칙'!$B$13,IF('제외 후보'!L506&gt;=4.5,'선정 규칙'!$B$14,0)))))))</x:f>
        <x:v>32</x:v>
      </x:c>
      <x:c r="F506" s="11" t="n">
        <x:f>IF('제외 후보'!Y506=0,'선정 규칙'!$B$15,IF('제외 후보'!Y506&gt;=100,'선정 규칙'!$B$16,'선정 규칙'!$B$17))</x:f>
        <x:v>-25</x:v>
      </x:c>
      <x:c r="G506" s="11" t="n">
        <x:f>IF('제외 후보'!M506="있음",'선정 규칙'!$B$18,'선정 규칙'!$B$19)</x:f>
        <x:v>6</x:v>
      </x:c>
      <x:c r="H506" s="11" t="n">
        <x:f>IF(ISNUMBER(SEARCH("freq-core",'제외 후보'!AD506)),'선정 규칙'!$B$20,0)</x:f>
        <x:v>0</x:v>
      </x:c>
      <x:c r="I506" s="11" t="n">
        <x:f>IF(ISNUMBER(SEARCH("weak_legacy_content",'제외 후보'!P506)),'선정 규칙'!$B$21,0)</x:f>
        <x:v>5</x:v>
      </x:c>
      <x:c r="J506" s="11" t="n">
        <x:f>IF('제외 후보'!AC506&lt;&gt;"",'선정 규칙'!$B$22,0)</x:f>
        <x:v>0</x:v>
      </x:c>
      <x:c r="K506" s="11" t="n">
        <x:f>SUM(B506:J506)</x:f>
        <x:v>18</x:v>
      </x:c>
      <x:c r="L506" s="11" t="n">
        <x:f>'제외 후보'!N506</x:f>
        <x:v>18</x:v>
      </x:c>
      <x:c r="M506" s="2" t="str">
        <x:f>IF(K506=L506,"OK","MISMATCH")</x:f>
        <x:v>OK</x:v>
      </x:c>
    </x:row>
    <x:row r="507">
      <x:c r="A507" s="2" t="str">
        <x:f>'제외 후보'!G507</x:f>
        <x:v>w_dd024497e7d085ad</x:v>
      </x:c>
      <x:c r="B507" s="11" t="n">
        <x:f>IF('제외 후보'!Q507&lt;&gt;"",'선정 규칙'!$B$4,0)</x:f>
        <x:v>0</x:v>
      </x:c>
      <x:c r="C507" s="11" t="n">
        <x:f>IF(ISNUMBER(SEARCH("jmdict_uncommon_or_irregular",'제외 후보'!P507)),'선정 규칙'!$B$5,IF(ISNUMBER(SEARCH("jmdict_rare_or_dated",'제외 후보'!P507)),'선정 규칙'!$B$6,0))</x:f>
        <x:v>0</x:v>
      </x:c>
      <x:c r="D507" s="11" t="n">
        <x:f>IF(ISNUMBER(SEARCH("jmdict_exact_pair_not_found",'제외 후보'!P507)),'선정 규칙'!$B$7,0)</x:f>
        <x:v>0</x:v>
      </x:c>
      <x:c r="E507" s="11" t="n">
        <x:f>IF(OR('제외 후보'!L507="",'제외 후보'!L507&lt;=0),'선정 규칙'!$B$8,IF('제외 후보'!L507&lt;=1.5,'선정 규칙'!$B$9,IF('제외 후보'!L507&lt;=2,'선정 규칙'!$B$10,IF('제외 후보'!L507&lt;=2.5,'선정 규칙'!$B$11,IF('제외 후보'!L507&lt;=3,'선정 규칙'!$B$12,IF('제외 후보'!L507&lt;=3.5,'선정 규칙'!$B$13,IF('제외 후보'!L507&gt;=4.5,'선정 규칙'!$B$14,0)))))))</x:f>
        <x:v>32</x:v>
      </x:c>
      <x:c r="F507" s="11" t="n">
        <x:f>IF('제외 후보'!Y507=0,'선정 규칙'!$B$15,IF('제외 후보'!Y507&gt;=100,'선정 규칙'!$B$16,'선정 규칙'!$B$17))</x:f>
        <x:v>-25</x:v>
      </x:c>
      <x:c r="G507" s="11" t="n">
        <x:f>IF('제외 후보'!M507="있음",'선정 규칙'!$B$18,'선정 규칙'!$B$19)</x:f>
        <x:v>6</x:v>
      </x:c>
      <x:c r="H507" s="11" t="n">
        <x:f>IF(ISNUMBER(SEARCH("freq-core",'제외 후보'!AD507)),'선정 규칙'!$B$20,0)</x:f>
        <x:v>0</x:v>
      </x:c>
      <x:c r="I507" s="11" t="n">
        <x:f>IF(ISNUMBER(SEARCH("weak_legacy_content",'제외 후보'!P507)),'선정 규칙'!$B$21,0)</x:f>
        <x:v>5</x:v>
      </x:c>
      <x:c r="J507" s="11" t="n">
        <x:f>IF('제외 후보'!AC507&lt;&gt;"",'선정 규칙'!$B$22,0)</x:f>
        <x:v>0</x:v>
      </x:c>
      <x:c r="K507" s="11" t="n">
        <x:f>SUM(B507:J507)</x:f>
        <x:v>18</x:v>
      </x:c>
      <x:c r="L507" s="11" t="n">
        <x:f>'제외 후보'!N507</x:f>
        <x:v>18</x:v>
      </x:c>
      <x:c r="M507" s="2" t="str">
        <x:f>IF(K507=L507,"OK","MISMATCH")</x:f>
        <x:v>OK</x:v>
      </x:c>
    </x:row>
    <x:row r="508">
      <x:c r="A508" s="2" t="str">
        <x:f>'제외 후보'!G508</x:f>
        <x:v>w_c1c3af750431b8f1</x:v>
      </x:c>
      <x:c r="B508" s="11" t="n">
        <x:f>IF('제외 후보'!Q508&lt;&gt;"",'선정 규칙'!$B$4,0)</x:f>
        <x:v>0</x:v>
      </x:c>
      <x:c r="C508" s="11" t="n">
        <x:f>IF(ISNUMBER(SEARCH("jmdict_uncommon_or_irregular",'제외 후보'!P508)),'선정 규칙'!$B$5,IF(ISNUMBER(SEARCH("jmdict_rare_or_dated",'제외 후보'!P508)),'선정 규칙'!$B$6,0))</x:f>
        <x:v>0</x:v>
      </x:c>
      <x:c r="D508" s="11" t="n">
        <x:f>IF(ISNUMBER(SEARCH("jmdict_exact_pair_not_found",'제외 후보'!P508)),'선정 규칙'!$B$7,0)</x:f>
        <x:v>0</x:v>
      </x:c>
      <x:c r="E508" s="11" t="n">
        <x:f>IF(OR('제외 후보'!L508="",'제외 후보'!L508&lt;=0),'선정 규칙'!$B$8,IF('제외 후보'!L508&lt;=1.5,'선정 규칙'!$B$9,IF('제외 후보'!L508&lt;=2,'선정 규칙'!$B$10,IF('제외 후보'!L508&lt;=2.5,'선정 규칙'!$B$11,IF('제외 후보'!L508&lt;=3,'선정 규칙'!$B$12,IF('제외 후보'!L508&lt;=3.5,'선정 규칙'!$B$13,IF('제외 후보'!L508&gt;=4.5,'선정 규칙'!$B$14,0)))))))</x:f>
        <x:v>32</x:v>
      </x:c>
      <x:c r="F508" s="11" t="n">
        <x:f>IF('제외 후보'!Y508=0,'선정 규칙'!$B$15,IF('제외 후보'!Y508&gt;=100,'선정 규칙'!$B$16,'선정 규칙'!$B$17))</x:f>
        <x:v>-25</x:v>
      </x:c>
      <x:c r="G508" s="11" t="n">
        <x:f>IF('제외 후보'!M508="있음",'선정 규칙'!$B$18,'선정 규칙'!$B$19)</x:f>
        <x:v>6</x:v>
      </x:c>
      <x:c r="H508" s="11" t="n">
        <x:f>IF(ISNUMBER(SEARCH("freq-core",'제외 후보'!AD508)),'선정 규칙'!$B$20,0)</x:f>
        <x:v>0</x:v>
      </x:c>
      <x:c r="I508" s="11" t="n">
        <x:f>IF(ISNUMBER(SEARCH("weak_legacy_content",'제외 후보'!P508)),'선정 규칙'!$B$21,0)</x:f>
        <x:v>5</x:v>
      </x:c>
      <x:c r="J508" s="11" t="n">
        <x:f>IF('제외 후보'!AC508&lt;&gt;"",'선정 규칙'!$B$22,0)</x:f>
        <x:v>0</x:v>
      </x:c>
      <x:c r="K508" s="11" t="n">
        <x:f>SUM(B508:J508)</x:f>
        <x:v>18</x:v>
      </x:c>
      <x:c r="L508" s="11" t="n">
        <x:f>'제외 후보'!N508</x:f>
        <x:v>18</x:v>
      </x:c>
      <x:c r="M508" s="2" t="str">
        <x:f>IF(K508=L508,"OK","MISMATCH")</x:f>
        <x:v>OK</x:v>
      </x:c>
    </x:row>
    <x:row r="509">
      <x:c r="A509" s="2" t="str">
        <x:f>'제외 후보'!G509</x:f>
        <x:v>w_c97b11e6ab1be52d</x:v>
      </x:c>
      <x:c r="B509" s="11" t="n">
        <x:f>IF('제외 후보'!Q509&lt;&gt;"",'선정 규칙'!$B$4,0)</x:f>
        <x:v>0</x:v>
      </x:c>
      <x:c r="C509" s="11" t="n">
        <x:f>IF(ISNUMBER(SEARCH("jmdict_uncommon_or_irregular",'제외 후보'!P509)),'선정 규칙'!$B$5,IF(ISNUMBER(SEARCH("jmdict_rare_or_dated",'제외 후보'!P509)),'선정 규칙'!$B$6,0))</x:f>
        <x:v>0</x:v>
      </x:c>
      <x:c r="D509" s="11" t="n">
        <x:f>IF(ISNUMBER(SEARCH("jmdict_exact_pair_not_found",'제외 후보'!P509)),'선정 규칙'!$B$7,0)</x:f>
        <x:v>0</x:v>
      </x:c>
      <x:c r="E509" s="11" t="n">
        <x:f>IF(OR('제외 후보'!L509="",'제외 후보'!L509&lt;=0),'선정 규칙'!$B$8,IF('제외 후보'!L509&lt;=1.5,'선정 규칙'!$B$9,IF('제외 후보'!L509&lt;=2,'선정 규칙'!$B$10,IF('제외 후보'!L509&lt;=2.5,'선정 규칙'!$B$11,IF('제외 후보'!L509&lt;=3,'선정 규칙'!$B$12,IF('제외 후보'!L509&lt;=3.5,'선정 규칙'!$B$13,IF('제외 후보'!L509&gt;=4.5,'선정 규칙'!$B$14,0)))))))</x:f>
        <x:v>26</x:v>
      </x:c>
      <x:c r="F509" s="11" t="n">
        <x:f>IF('제외 후보'!Y509=0,'선정 규칙'!$B$15,IF('제외 후보'!Y509&gt;=100,'선정 규칙'!$B$16,'선정 규칙'!$B$17))</x:f>
        <x:v>12</x:v>
      </x:c>
      <x:c r="G509" s="11" t="n">
        <x:f>IF('제외 후보'!M509="있음",'선정 규칙'!$B$18,'선정 규칙'!$B$19)</x:f>
        <x:v>-25</x:v>
      </x:c>
      <x:c r="H509" s="11" t="n">
        <x:f>IF(ISNUMBER(SEARCH("freq-core",'제외 후보'!AD509)),'선정 규칙'!$B$20,0)</x:f>
        <x:v>0</x:v>
      </x:c>
      <x:c r="I509" s="11" t="n">
        <x:f>IF(ISNUMBER(SEARCH("weak_legacy_content",'제외 후보'!P509)),'선정 규칙'!$B$21,0)</x:f>
        <x:v>5</x:v>
      </x:c>
      <x:c r="J509" s="11" t="n">
        <x:f>IF('제외 후보'!AC509&lt;&gt;"",'선정 규칙'!$B$22,0)</x:f>
        <x:v>0</x:v>
      </x:c>
      <x:c r="K509" s="11" t="n">
        <x:f>SUM(B509:J509)</x:f>
        <x:v>18</x:v>
      </x:c>
      <x:c r="L509" s="11" t="n">
        <x:f>'제외 후보'!N509</x:f>
        <x:v>18</x:v>
      </x:c>
      <x:c r="M509" s="2" t="str">
        <x:f>IF(K509=L509,"OK","MISMATCH")</x:f>
        <x:v>OK</x:v>
      </x:c>
    </x:row>
    <x:row r="510">
      <x:c r="A510" s="2" t="str">
        <x:f>'제외 후보'!G510</x:f>
        <x:v>w_4449a3e240899014</x:v>
      </x:c>
      <x:c r="B510" s="11" t="n">
        <x:f>IF('제외 후보'!Q510&lt;&gt;"",'선정 규칙'!$B$4,0)</x:f>
        <x:v>0</x:v>
      </x:c>
      <x:c r="C510" s="11" t="n">
        <x:f>IF(ISNUMBER(SEARCH("jmdict_uncommon_or_irregular",'제외 후보'!P510)),'선정 규칙'!$B$5,IF(ISNUMBER(SEARCH("jmdict_rare_or_dated",'제외 후보'!P510)),'선정 규칙'!$B$6,0))</x:f>
        <x:v>0</x:v>
      </x:c>
      <x:c r="D510" s="11" t="n">
        <x:f>IF(ISNUMBER(SEARCH("jmdict_exact_pair_not_found",'제외 후보'!P510)),'선정 규칙'!$B$7,0)</x:f>
        <x:v>0</x:v>
      </x:c>
      <x:c r="E510" s="11" t="n">
        <x:f>IF(OR('제외 후보'!L510="",'제외 후보'!L510&lt;=0),'선정 규칙'!$B$8,IF('제외 후보'!L510&lt;=1.5,'선정 규칙'!$B$9,IF('제외 후보'!L510&lt;=2,'선정 규칙'!$B$10,IF('제외 후보'!L510&lt;=2.5,'선정 규칙'!$B$11,IF('제외 후보'!L510&lt;=3,'선정 규칙'!$B$12,IF('제외 후보'!L510&lt;=3.5,'선정 규칙'!$B$13,IF('제외 후보'!L510&gt;=4.5,'선정 규칙'!$B$14,0)))))))</x:f>
        <x:v>26</x:v>
      </x:c>
      <x:c r="F510" s="11" t="n">
        <x:f>IF('제외 후보'!Y510=0,'선정 규칙'!$B$15,IF('제외 후보'!Y510&gt;=100,'선정 규칙'!$B$16,'선정 규칙'!$B$17))</x:f>
        <x:v>12</x:v>
      </x:c>
      <x:c r="G510" s="11" t="n">
        <x:f>IF('제외 후보'!M510="있음",'선정 규칙'!$B$18,'선정 규칙'!$B$19)</x:f>
        <x:v>-25</x:v>
      </x:c>
      <x:c r="H510" s="11" t="n">
        <x:f>IF(ISNUMBER(SEARCH("freq-core",'제외 후보'!AD510)),'선정 규칙'!$B$20,0)</x:f>
        <x:v>0</x:v>
      </x:c>
      <x:c r="I510" s="11" t="n">
        <x:f>IF(ISNUMBER(SEARCH("weak_legacy_content",'제외 후보'!P510)),'선정 규칙'!$B$21,0)</x:f>
        <x:v>5</x:v>
      </x:c>
      <x:c r="J510" s="11" t="n">
        <x:f>IF('제외 후보'!AC510&lt;&gt;"",'선정 규칙'!$B$22,0)</x:f>
        <x:v>0</x:v>
      </x:c>
      <x:c r="K510" s="11" t="n">
        <x:f>SUM(B510:J510)</x:f>
        <x:v>18</x:v>
      </x:c>
      <x:c r="L510" s="11" t="n">
        <x:f>'제외 후보'!N510</x:f>
        <x:v>18</x:v>
      </x:c>
      <x:c r="M510" s="2" t="str">
        <x:f>IF(K510=L510,"OK","MISMATCH")</x:f>
        <x:v>OK</x:v>
      </x:c>
    </x:row>
    <x:row r="511">
      <x:c r="A511" s="2" t="str">
        <x:f>'제외 후보'!G511</x:f>
        <x:v>w_d1644a92a042226a</x:v>
      </x:c>
      <x:c r="B511" s="11" t="n">
        <x:f>IF('제외 후보'!Q511&lt;&gt;"",'선정 규칙'!$B$4,0)</x:f>
        <x:v>0</x:v>
      </x:c>
      <x:c r="C511" s="11" t="n">
        <x:f>IF(ISNUMBER(SEARCH("jmdict_uncommon_or_irregular",'제외 후보'!P511)),'선정 규칙'!$B$5,IF(ISNUMBER(SEARCH("jmdict_rare_or_dated",'제외 후보'!P511)),'선정 규칙'!$B$6,0))</x:f>
        <x:v>0</x:v>
      </x:c>
      <x:c r="D511" s="11" t="n">
        <x:f>IF(ISNUMBER(SEARCH("jmdict_exact_pair_not_found",'제외 후보'!P511)),'선정 규칙'!$B$7,0)</x:f>
        <x:v>0</x:v>
      </x:c>
      <x:c r="E511" s="11" t="n">
        <x:f>IF(OR('제외 후보'!L511="",'제외 후보'!L511&lt;=0),'선정 규칙'!$B$8,IF('제외 후보'!L511&lt;=1.5,'선정 규칙'!$B$9,IF('제외 후보'!L511&lt;=2,'선정 규칙'!$B$10,IF('제외 후보'!L511&lt;=2.5,'선정 규칙'!$B$11,IF('제외 후보'!L511&lt;=3,'선정 규칙'!$B$12,IF('제외 후보'!L511&lt;=3.5,'선정 규칙'!$B$13,IF('제외 후보'!L511&gt;=4.5,'선정 규칙'!$B$14,0)))))))</x:f>
        <x:v>26</x:v>
      </x:c>
      <x:c r="F511" s="11" t="n">
        <x:f>IF('제외 후보'!Y511=0,'선정 규칙'!$B$15,IF('제외 후보'!Y511&gt;=100,'선정 규칙'!$B$16,'선정 규칙'!$B$17))</x:f>
        <x:v>12</x:v>
      </x:c>
      <x:c r="G511" s="11" t="n">
        <x:f>IF('제외 후보'!M511="있음",'선정 규칙'!$B$18,'선정 규칙'!$B$19)</x:f>
        <x:v>-25</x:v>
      </x:c>
      <x:c r="H511" s="11" t="n">
        <x:f>IF(ISNUMBER(SEARCH("freq-core",'제외 후보'!AD511)),'선정 규칙'!$B$20,0)</x:f>
        <x:v>0</x:v>
      </x:c>
      <x:c r="I511" s="11" t="n">
        <x:f>IF(ISNUMBER(SEARCH("weak_legacy_content",'제외 후보'!P511)),'선정 규칙'!$B$21,0)</x:f>
        <x:v>5</x:v>
      </x:c>
      <x:c r="J511" s="11" t="n">
        <x:f>IF('제외 후보'!AC511&lt;&gt;"",'선정 규칙'!$B$22,0)</x:f>
        <x:v>0</x:v>
      </x:c>
      <x:c r="K511" s="11" t="n">
        <x:f>SUM(B511:J511)</x:f>
        <x:v>18</x:v>
      </x:c>
      <x:c r="L511" s="11" t="n">
        <x:f>'제외 후보'!N511</x:f>
        <x:v>18</x:v>
      </x:c>
      <x:c r="M511" s="2" t="str">
        <x:f>IF(K511=L511,"OK","MISMATCH")</x:f>
        <x:v>OK</x:v>
      </x:c>
    </x:row>
    <x:row r="512">
      <x:c r="A512" s="2" t="str">
        <x:f>'제외 후보'!G512</x:f>
        <x:v>w_9bd39afbdbd2966b</x:v>
      </x:c>
      <x:c r="B512" s="11" t="n">
        <x:f>IF('제외 후보'!Q512&lt;&gt;"",'선정 규칙'!$B$4,0)</x:f>
        <x:v>0</x:v>
      </x:c>
      <x:c r="C512" s="11" t="n">
        <x:f>IF(ISNUMBER(SEARCH("jmdict_uncommon_or_irregular",'제외 후보'!P512)),'선정 규칙'!$B$5,IF(ISNUMBER(SEARCH("jmdict_rare_or_dated",'제외 후보'!P512)),'선정 규칙'!$B$6,0))</x:f>
        <x:v>0</x:v>
      </x:c>
      <x:c r="D512" s="11" t="n">
        <x:f>IF(ISNUMBER(SEARCH("jmdict_exact_pair_not_found",'제외 후보'!P512)),'선정 규칙'!$B$7,0)</x:f>
        <x:v>0</x:v>
      </x:c>
      <x:c r="E512" s="11" t="n">
        <x:f>IF(OR('제외 후보'!L512="",'제외 후보'!L512&lt;=0),'선정 규칙'!$B$8,IF('제외 후보'!L512&lt;=1.5,'선정 규칙'!$B$9,IF('제외 후보'!L512&lt;=2,'선정 규칙'!$B$10,IF('제외 후보'!L512&lt;=2.5,'선정 규칙'!$B$11,IF('제외 후보'!L512&lt;=3,'선정 규칙'!$B$12,IF('제외 후보'!L512&lt;=3.5,'선정 규칙'!$B$13,IF('제외 후보'!L512&gt;=4.5,'선정 규칙'!$B$14,0)))))))</x:f>
        <x:v>0</x:v>
      </x:c>
      <x:c r="F512" s="11" t="n">
        <x:f>IF('제외 후보'!Y512=0,'선정 규칙'!$B$15,IF('제외 후보'!Y512&gt;=100,'선정 규칙'!$B$16,'선정 규칙'!$B$17))</x:f>
        <x:v>12</x:v>
      </x:c>
      <x:c r="G512" s="11" t="n">
        <x:f>IF('제외 후보'!M512="있음",'선정 규칙'!$B$18,'선정 규칙'!$B$19)</x:f>
        <x:v>6</x:v>
      </x:c>
      <x:c r="H512" s="11" t="n">
        <x:f>IF(ISNUMBER(SEARCH("freq-core",'제외 후보'!AD512)),'선정 규칙'!$B$20,0)</x:f>
        <x:v>0</x:v>
      </x:c>
      <x:c r="I512" s="11" t="n">
        <x:f>IF(ISNUMBER(SEARCH("weak_legacy_content",'제외 후보'!P512)),'선정 규칙'!$B$21,0)</x:f>
        <x:v>0</x:v>
      </x:c>
      <x:c r="J512" s="11" t="n">
        <x:f>IF('제외 후보'!AC512&lt;&gt;"",'선정 규칙'!$B$22,0)</x:f>
        <x:v>0</x:v>
      </x:c>
      <x:c r="K512" s="11" t="n">
        <x:f>SUM(B512:J512)</x:f>
        <x:v>18</x:v>
      </x:c>
      <x:c r="L512" s="11" t="n">
        <x:f>'제외 후보'!N512</x:f>
        <x:v>18</x:v>
      </x:c>
      <x:c r="M512" s="2" t="str">
        <x:f>IF(K512=L512,"OK","MISMATCH")</x:f>
        <x:v>OK</x:v>
      </x:c>
    </x:row>
    <x:row r="513">
      <x:c r="A513" s="2" t="str">
        <x:f>'제외 후보'!G513</x:f>
        <x:v>w_bfbbd41338ffef8e</x:v>
      </x:c>
      <x:c r="B513" s="11" t="n">
        <x:f>IF('제외 후보'!Q513&lt;&gt;"",'선정 규칙'!$B$4,0)</x:f>
        <x:v>0</x:v>
      </x:c>
      <x:c r="C513" s="11" t="n">
        <x:f>IF(ISNUMBER(SEARCH("jmdict_uncommon_or_irregular",'제외 후보'!P513)),'선정 규칙'!$B$5,IF(ISNUMBER(SEARCH("jmdict_rare_or_dated",'제외 후보'!P513)),'선정 규칙'!$B$6,0))</x:f>
        <x:v>0</x:v>
      </x:c>
      <x:c r="D513" s="11" t="n">
        <x:f>IF(ISNUMBER(SEARCH("jmdict_exact_pair_not_found",'제외 후보'!P513)),'선정 규칙'!$B$7,0)</x:f>
        <x:v>0</x:v>
      </x:c>
      <x:c r="E513" s="11" t="n">
        <x:f>IF(OR('제외 후보'!L513="",'제외 후보'!L513&lt;=0),'선정 규칙'!$B$8,IF('제외 후보'!L513&lt;=1.5,'선정 규칙'!$B$9,IF('제외 후보'!L513&lt;=2,'선정 규칙'!$B$10,IF('제외 후보'!L513&lt;=2.5,'선정 규칙'!$B$11,IF('제외 후보'!L513&lt;=3,'선정 규칙'!$B$12,IF('제외 후보'!L513&lt;=3.5,'선정 규칙'!$B$13,IF('제외 후보'!L513&gt;=4.5,'선정 규칙'!$B$14,0)))))))</x:f>
        <x:v>0</x:v>
      </x:c>
      <x:c r="F513" s="11" t="n">
        <x:f>IF('제외 후보'!Y513=0,'선정 규칙'!$B$15,IF('제외 후보'!Y513&gt;=100,'선정 규칙'!$B$16,'선정 규칙'!$B$17))</x:f>
        <x:v>12</x:v>
      </x:c>
      <x:c r="G513" s="11" t="n">
        <x:f>IF('제외 후보'!M513="있음",'선정 규칙'!$B$18,'선정 규칙'!$B$19)</x:f>
        <x:v>6</x:v>
      </x:c>
      <x:c r="H513" s="11" t="n">
        <x:f>IF(ISNUMBER(SEARCH("freq-core",'제외 후보'!AD513)),'선정 규칙'!$B$20,0)</x:f>
        <x:v>0</x:v>
      </x:c>
      <x:c r="I513" s="11" t="n">
        <x:f>IF(ISNUMBER(SEARCH("weak_legacy_content",'제외 후보'!P513)),'선정 규칙'!$B$21,0)</x:f>
        <x:v>0</x:v>
      </x:c>
      <x:c r="J513" s="11" t="n">
        <x:f>IF('제외 후보'!AC513&lt;&gt;"",'선정 규칙'!$B$22,0)</x:f>
        <x:v>0</x:v>
      </x:c>
      <x:c r="K513" s="11" t="n">
        <x:f>SUM(B513:J513)</x:f>
        <x:v>18</x:v>
      </x:c>
      <x:c r="L513" s="11" t="n">
        <x:f>'제외 후보'!N513</x:f>
        <x:v>18</x:v>
      </x:c>
      <x:c r="M513" s="2" t="str">
        <x:f>IF(K513=L513,"OK","MISMATCH")</x:f>
        <x:v>OK</x:v>
      </x:c>
    </x:row>
    <x:row r="514">
      <x:c r="A514" s="2" t="str">
        <x:f>'제외 후보'!G514</x:f>
        <x:v>w_150038a04425f5cb</x:v>
      </x:c>
      <x:c r="B514" s="11" t="n">
        <x:f>IF('제외 후보'!Q514&lt;&gt;"",'선정 규칙'!$B$4,0)</x:f>
        <x:v>0</x:v>
      </x:c>
      <x:c r="C514" s="11" t="n">
        <x:f>IF(ISNUMBER(SEARCH("jmdict_uncommon_or_irregular",'제외 후보'!P514)),'선정 규칙'!$B$5,IF(ISNUMBER(SEARCH("jmdict_rare_or_dated",'제외 후보'!P514)),'선정 규칙'!$B$6,0))</x:f>
        <x:v>0</x:v>
      </x:c>
      <x:c r="D514" s="11" t="n">
        <x:f>IF(ISNUMBER(SEARCH("jmdict_exact_pair_not_found",'제외 후보'!P514)),'선정 규칙'!$B$7,0)</x:f>
        <x:v>0</x:v>
      </x:c>
      <x:c r="E514" s="11" t="n">
        <x:f>IF(OR('제외 후보'!L514="",'제외 후보'!L514&lt;=0),'선정 규칙'!$B$8,IF('제외 후보'!L514&lt;=1.5,'선정 규칙'!$B$9,IF('제외 후보'!L514&lt;=2,'선정 규칙'!$B$10,IF('제외 후보'!L514&lt;=2.5,'선정 규칙'!$B$11,IF('제외 후보'!L514&lt;=3,'선정 규칙'!$B$12,IF('제외 후보'!L514&lt;=3.5,'선정 규칙'!$B$13,IF('제외 후보'!L514&gt;=4.5,'선정 규칙'!$B$14,0)))))))</x:f>
        <x:v>0</x:v>
      </x:c>
      <x:c r="F514" s="11" t="n">
        <x:f>IF('제외 후보'!Y514=0,'선정 규칙'!$B$15,IF('제외 후보'!Y514&gt;=100,'선정 규칙'!$B$16,'선정 규칙'!$B$17))</x:f>
        <x:v>12</x:v>
      </x:c>
      <x:c r="G514" s="11" t="n">
        <x:f>IF('제외 후보'!M514="있음",'선정 규칙'!$B$18,'선정 규칙'!$B$19)</x:f>
        <x:v>6</x:v>
      </x:c>
      <x:c r="H514" s="11" t="n">
        <x:f>IF(ISNUMBER(SEARCH("freq-core",'제외 후보'!AD514)),'선정 규칙'!$B$20,0)</x:f>
        <x:v>0</x:v>
      </x:c>
      <x:c r="I514" s="11" t="n">
        <x:f>IF(ISNUMBER(SEARCH("weak_legacy_content",'제외 후보'!P514)),'선정 규칙'!$B$21,0)</x:f>
        <x:v>0</x:v>
      </x:c>
      <x:c r="J514" s="11" t="n">
        <x:f>IF('제외 후보'!AC514&lt;&gt;"",'선정 규칙'!$B$22,0)</x:f>
        <x:v>0</x:v>
      </x:c>
      <x:c r="K514" s="11" t="n">
        <x:f>SUM(B514:J514)</x:f>
        <x:v>18</x:v>
      </x:c>
      <x:c r="L514" s="11" t="n">
        <x:f>'제외 후보'!N514</x:f>
        <x:v>18</x:v>
      </x:c>
      <x:c r="M514" s="2" t="str">
        <x:f>IF(K514=L514,"OK","MISMATCH")</x:f>
        <x:v>OK</x:v>
      </x:c>
    </x:row>
    <x:row r="515">
      <x:c r="A515" s="2" t="str">
        <x:f>'제외 후보'!G515</x:f>
        <x:v>w_328e398823ead1c9</x:v>
      </x:c>
      <x:c r="B515" s="11" t="n">
        <x:f>IF('제외 후보'!Q515&lt;&gt;"",'선정 규칙'!$B$4,0)</x:f>
        <x:v>0</x:v>
      </x:c>
      <x:c r="C515" s="11" t="n">
        <x:f>IF(ISNUMBER(SEARCH("jmdict_uncommon_or_irregular",'제외 후보'!P515)),'선정 규칙'!$B$5,IF(ISNUMBER(SEARCH("jmdict_rare_or_dated",'제외 후보'!P515)),'선정 규칙'!$B$6,0))</x:f>
        <x:v>0</x:v>
      </x:c>
      <x:c r="D515" s="11" t="n">
        <x:f>IF(ISNUMBER(SEARCH("jmdict_exact_pair_not_found",'제외 후보'!P515)),'선정 규칙'!$B$7,0)</x:f>
        <x:v>0</x:v>
      </x:c>
      <x:c r="E515" s="11" t="n">
        <x:f>IF(OR('제외 후보'!L515="",'제외 후보'!L515&lt;=0),'선정 규칙'!$B$8,IF('제외 후보'!L515&lt;=1.5,'선정 규칙'!$B$9,IF('제외 후보'!L515&lt;=2,'선정 규칙'!$B$10,IF('제외 후보'!L515&lt;=2.5,'선정 규칙'!$B$11,IF('제외 후보'!L515&lt;=3,'선정 규칙'!$B$12,IF('제외 후보'!L515&lt;=3.5,'선정 규칙'!$B$13,IF('제외 후보'!L515&gt;=4.5,'선정 규칙'!$B$14,0)))))))</x:f>
        <x:v>0</x:v>
      </x:c>
      <x:c r="F515" s="11" t="n">
        <x:f>IF('제외 후보'!Y515=0,'선정 규칙'!$B$15,IF('제외 후보'!Y515&gt;=100,'선정 규칙'!$B$16,'선정 규칙'!$B$17))</x:f>
        <x:v>12</x:v>
      </x:c>
      <x:c r="G515" s="11" t="n">
        <x:f>IF('제외 후보'!M515="있음",'선정 규칙'!$B$18,'선정 규칙'!$B$19)</x:f>
        <x:v>6</x:v>
      </x:c>
      <x:c r="H515" s="11" t="n">
        <x:f>IF(ISNUMBER(SEARCH("freq-core",'제외 후보'!AD515)),'선정 규칙'!$B$20,0)</x:f>
        <x:v>0</x:v>
      </x:c>
      <x:c r="I515" s="11" t="n">
        <x:f>IF(ISNUMBER(SEARCH("weak_legacy_content",'제외 후보'!P515)),'선정 규칙'!$B$21,0)</x:f>
        <x:v>0</x:v>
      </x:c>
      <x:c r="J515" s="11" t="n">
        <x:f>IF('제외 후보'!AC515&lt;&gt;"",'선정 규칙'!$B$22,0)</x:f>
        <x:v>0</x:v>
      </x:c>
      <x:c r="K515" s="11" t="n">
        <x:f>SUM(B515:J515)</x:f>
        <x:v>18</x:v>
      </x:c>
      <x:c r="L515" s="11" t="n">
        <x:f>'제외 후보'!N515</x:f>
        <x:v>18</x:v>
      </x:c>
      <x:c r="M515" s="2" t="str">
        <x:f>IF(K515=L515,"OK","MISMATCH")</x:f>
        <x:v>OK</x:v>
      </x:c>
    </x:row>
    <x:row r="516">
      <x:c r="A516" s="2" t="str">
        <x:f>'제외 후보'!G516</x:f>
        <x:v>w_f082c92daf0db51d</x:v>
      </x:c>
      <x:c r="B516" s="11" t="n">
        <x:f>IF('제외 후보'!Q516&lt;&gt;"",'선정 규칙'!$B$4,0)</x:f>
        <x:v>0</x:v>
      </x:c>
      <x:c r="C516" s="11" t="n">
        <x:f>IF(ISNUMBER(SEARCH("jmdict_uncommon_or_irregular",'제외 후보'!P516)),'선정 규칙'!$B$5,IF(ISNUMBER(SEARCH("jmdict_rare_or_dated",'제외 후보'!P516)),'선정 규칙'!$B$6,0))</x:f>
        <x:v>0</x:v>
      </x:c>
      <x:c r="D516" s="11" t="n">
        <x:f>IF(ISNUMBER(SEARCH("jmdict_exact_pair_not_found",'제외 후보'!P516)),'선정 규칙'!$B$7,0)</x:f>
        <x:v>0</x:v>
      </x:c>
      <x:c r="E516" s="11" t="n">
        <x:f>IF(OR('제외 후보'!L516="",'제외 후보'!L516&lt;=0),'선정 규칙'!$B$8,IF('제외 후보'!L516&lt;=1.5,'선정 규칙'!$B$9,IF('제외 후보'!L516&lt;=2,'선정 규칙'!$B$10,IF('제외 후보'!L516&lt;=2.5,'선정 규칙'!$B$11,IF('제외 후보'!L516&lt;=3,'선정 규칙'!$B$12,IF('제외 후보'!L516&lt;=3.5,'선정 규칙'!$B$13,IF('제외 후보'!L516&gt;=4.5,'선정 규칙'!$B$14,0)))))))</x:f>
        <x:v>0</x:v>
      </x:c>
      <x:c r="F516" s="11" t="n">
        <x:f>IF('제외 후보'!Y516=0,'선정 규칙'!$B$15,IF('제외 후보'!Y516&gt;=100,'선정 규칙'!$B$16,'선정 규칙'!$B$17))</x:f>
        <x:v>12</x:v>
      </x:c>
      <x:c r="G516" s="11" t="n">
        <x:f>IF('제외 후보'!M516="있음",'선정 규칙'!$B$18,'선정 규칙'!$B$19)</x:f>
        <x:v>6</x:v>
      </x:c>
      <x:c r="H516" s="11" t="n">
        <x:f>IF(ISNUMBER(SEARCH("freq-core",'제외 후보'!AD516)),'선정 규칙'!$B$20,0)</x:f>
        <x:v>0</x:v>
      </x:c>
      <x:c r="I516" s="11" t="n">
        <x:f>IF(ISNUMBER(SEARCH("weak_legacy_content",'제외 후보'!P516)),'선정 규칙'!$B$21,0)</x:f>
        <x:v>0</x:v>
      </x:c>
      <x:c r="J516" s="11" t="n">
        <x:f>IF('제외 후보'!AC516&lt;&gt;"",'선정 규칙'!$B$22,0)</x:f>
        <x:v>0</x:v>
      </x:c>
      <x:c r="K516" s="11" t="n">
        <x:f>SUM(B516:J516)</x:f>
        <x:v>18</x:v>
      </x:c>
      <x:c r="L516" s="11" t="n">
        <x:f>'제외 후보'!N516</x:f>
        <x:v>18</x:v>
      </x:c>
      <x:c r="M516" s="2" t="str">
        <x:f>IF(K516=L516,"OK","MISMATCH")</x:f>
        <x:v>OK</x:v>
      </x:c>
    </x:row>
    <x:row r="517">
      <x:c r="A517" s="2" t="str">
        <x:f>'제외 후보'!G517</x:f>
        <x:v>w_955f496f0673fc78</x:v>
      </x:c>
      <x:c r="B517" s="11" t="n">
        <x:f>IF('제외 후보'!Q517&lt;&gt;"",'선정 규칙'!$B$4,0)</x:f>
        <x:v>0</x:v>
      </x:c>
      <x:c r="C517" s="11" t="n">
        <x:f>IF(ISNUMBER(SEARCH("jmdict_uncommon_or_irregular",'제외 후보'!P517)),'선정 규칙'!$B$5,IF(ISNUMBER(SEARCH("jmdict_rare_or_dated",'제외 후보'!P517)),'선정 규칙'!$B$6,0))</x:f>
        <x:v>0</x:v>
      </x:c>
      <x:c r="D517" s="11" t="n">
        <x:f>IF(ISNUMBER(SEARCH("jmdict_exact_pair_not_found",'제외 후보'!P517)),'선정 규칙'!$B$7,0)</x:f>
        <x:v>0</x:v>
      </x:c>
      <x:c r="E517" s="11" t="n">
        <x:f>IF(OR('제외 후보'!L517="",'제외 후보'!L517&lt;=0),'선정 규칙'!$B$8,IF('제외 후보'!L517&lt;=1.5,'선정 규칙'!$B$9,IF('제외 후보'!L517&lt;=2,'선정 규칙'!$B$10,IF('제외 후보'!L517&lt;=2.5,'선정 규칙'!$B$11,IF('제외 후보'!L517&lt;=3,'선정 규칙'!$B$12,IF('제외 후보'!L517&lt;=3.5,'선정 규칙'!$B$13,IF('제외 후보'!L517&gt;=4.5,'선정 규칙'!$B$14,0)))))))</x:f>
        <x:v>0</x:v>
      </x:c>
      <x:c r="F517" s="11" t="n">
        <x:f>IF('제외 후보'!Y517=0,'선정 규칙'!$B$15,IF('제외 후보'!Y517&gt;=100,'선정 규칙'!$B$16,'선정 규칙'!$B$17))</x:f>
        <x:v>12</x:v>
      </x:c>
      <x:c r="G517" s="11" t="n">
        <x:f>IF('제외 후보'!M517="있음",'선정 규칙'!$B$18,'선정 규칙'!$B$19)</x:f>
        <x:v>6</x:v>
      </x:c>
      <x:c r="H517" s="11" t="n">
        <x:f>IF(ISNUMBER(SEARCH("freq-core",'제외 후보'!AD517)),'선정 규칙'!$B$20,0)</x:f>
        <x:v>0</x:v>
      </x:c>
      <x:c r="I517" s="11" t="n">
        <x:f>IF(ISNUMBER(SEARCH("weak_legacy_content",'제외 후보'!P517)),'선정 규칙'!$B$21,0)</x:f>
        <x:v>0</x:v>
      </x:c>
      <x:c r="J517" s="11" t="n">
        <x:f>IF('제외 후보'!AC517&lt;&gt;"",'선정 규칙'!$B$22,0)</x:f>
        <x:v>0</x:v>
      </x:c>
      <x:c r="K517" s="11" t="n">
        <x:f>SUM(B517:J517)</x:f>
        <x:v>18</x:v>
      </x:c>
      <x:c r="L517" s="11" t="n">
        <x:f>'제외 후보'!N517</x:f>
        <x:v>18</x:v>
      </x:c>
      <x:c r="M517" s="2" t="str">
        <x:f>IF(K517=L517,"OK","MISMATCH")</x:f>
        <x:v>OK</x:v>
      </x:c>
    </x:row>
    <x:row r="518">
      <x:c r="A518" s="2" t="str">
        <x:f>'제외 후보'!G518</x:f>
        <x:v>w_1e9f921233a4335f</x:v>
      </x:c>
      <x:c r="B518" s="11" t="n">
        <x:f>IF('제외 후보'!Q518&lt;&gt;"",'선정 규칙'!$B$4,0)</x:f>
        <x:v>0</x:v>
      </x:c>
      <x:c r="C518" s="11" t="n">
        <x:f>IF(ISNUMBER(SEARCH("jmdict_uncommon_or_irregular",'제외 후보'!P518)),'선정 규칙'!$B$5,IF(ISNUMBER(SEARCH("jmdict_rare_or_dated",'제외 후보'!P518)),'선정 규칙'!$B$6,0))</x:f>
        <x:v>0</x:v>
      </x:c>
      <x:c r="D518" s="11" t="n">
        <x:f>IF(ISNUMBER(SEARCH("jmdict_exact_pair_not_found",'제외 후보'!P518)),'선정 규칙'!$B$7,0)</x:f>
        <x:v>0</x:v>
      </x:c>
      <x:c r="E518" s="11" t="n">
        <x:f>IF(OR('제외 후보'!L518="",'제외 후보'!L518&lt;=0),'선정 규칙'!$B$8,IF('제외 후보'!L518&lt;=1.5,'선정 규칙'!$B$9,IF('제외 후보'!L518&lt;=2,'선정 규칙'!$B$10,IF('제외 후보'!L518&lt;=2.5,'선정 규칙'!$B$11,IF('제외 후보'!L518&lt;=3,'선정 규칙'!$B$12,IF('제외 후보'!L518&lt;=3.5,'선정 규칙'!$B$13,IF('제외 후보'!L518&gt;=4.5,'선정 규칙'!$B$14,0)))))))</x:f>
        <x:v>0</x:v>
      </x:c>
      <x:c r="F518" s="11" t="n">
        <x:f>IF('제외 후보'!Y518=0,'선정 규칙'!$B$15,IF('제외 후보'!Y518&gt;=100,'선정 규칙'!$B$16,'선정 규칙'!$B$17))</x:f>
        <x:v>12</x:v>
      </x:c>
      <x:c r="G518" s="11" t="n">
        <x:f>IF('제외 후보'!M518="있음",'선정 규칙'!$B$18,'선정 규칙'!$B$19)</x:f>
        <x:v>6</x:v>
      </x:c>
      <x:c r="H518" s="11" t="n">
        <x:f>IF(ISNUMBER(SEARCH("freq-core",'제외 후보'!AD518)),'선정 규칙'!$B$20,0)</x:f>
        <x:v>0</x:v>
      </x:c>
      <x:c r="I518" s="11" t="n">
        <x:f>IF(ISNUMBER(SEARCH("weak_legacy_content",'제외 후보'!P518)),'선정 규칙'!$B$21,0)</x:f>
        <x:v>0</x:v>
      </x:c>
      <x:c r="J518" s="11" t="n">
        <x:f>IF('제외 후보'!AC518&lt;&gt;"",'선정 규칙'!$B$22,0)</x:f>
        <x:v>0</x:v>
      </x:c>
      <x:c r="K518" s="11" t="n">
        <x:f>SUM(B518:J518)</x:f>
        <x:v>18</x:v>
      </x:c>
      <x:c r="L518" s="11" t="n">
        <x:f>'제외 후보'!N518</x:f>
        <x:v>18</x:v>
      </x:c>
      <x:c r="M518" s="2" t="str">
        <x:f>IF(K518=L518,"OK","MISMATCH")</x:f>
        <x:v>OK</x:v>
      </x:c>
    </x:row>
    <x:row r="519">
      <x:c r="A519" s="2" t="str">
        <x:f>'제외 후보'!G519</x:f>
        <x:v>w_f021ae28bd151ba7</x:v>
      </x:c>
      <x:c r="B519" s="11" t="n">
        <x:f>IF('제외 후보'!Q519&lt;&gt;"",'선정 규칙'!$B$4,0)</x:f>
        <x:v>0</x:v>
      </x:c>
      <x:c r="C519" s="11" t="n">
        <x:f>IF(ISNUMBER(SEARCH("jmdict_uncommon_or_irregular",'제외 후보'!P519)),'선정 규칙'!$B$5,IF(ISNUMBER(SEARCH("jmdict_rare_or_dated",'제외 후보'!P519)),'선정 규칙'!$B$6,0))</x:f>
        <x:v>0</x:v>
      </x:c>
      <x:c r="D519" s="11" t="n">
        <x:f>IF(ISNUMBER(SEARCH("jmdict_exact_pair_not_found",'제외 후보'!P519)),'선정 규칙'!$B$7,0)</x:f>
        <x:v>0</x:v>
      </x:c>
      <x:c r="E519" s="11" t="n">
        <x:f>IF(OR('제외 후보'!L519="",'제외 후보'!L519&lt;=0),'선정 규칙'!$B$8,IF('제외 후보'!L519&lt;=1.5,'선정 규칙'!$B$9,IF('제외 후보'!L519&lt;=2,'선정 규칙'!$B$10,IF('제외 후보'!L519&lt;=2.5,'선정 규칙'!$B$11,IF('제외 후보'!L519&lt;=3,'선정 규칙'!$B$12,IF('제외 후보'!L519&lt;=3.5,'선정 규칙'!$B$13,IF('제외 후보'!L519&gt;=4.5,'선정 규칙'!$B$14,0)))))))</x:f>
        <x:v>0</x:v>
      </x:c>
      <x:c r="F519" s="11" t="n">
        <x:f>IF('제외 후보'!Y519=0,'선정 규칙'!$B$15,IF('제외 후보'!Y519&gt;=100,'선정 규칙'!$B$16,'선정 규칙'!$B$17))</x:f>
        <x:v>12</x:v>
      </x:c>
      <x:c r="G519" s="11" t="n">
        <x:f>IF('제외 후보'!M519="있음",'선정 규칙'!$B$18,'선정 규칙'!$B$19)</x:f>
        <x:v>6</x:v>
      </x:c>
      <x:c r="H519" s="11" t="n">
        <x:f>IF(ISNUMBER(SEARCH("freq-core",'제외 후보'!AD519)),'선정 규칙'!$B$20,0)</x:f>
        <x:v>0</x:v>
      </x:c>
      <x:c r="I519" s="11" t="n">
        <x:f>IF(ISNUMBER(SEARCH("weak_legacy_content",'제외 후보'!P519)),'선정 규칙'!$B$21,0)</x:f>
        <x:v>0</x:v>
      </x:c>
      <x:c r="J519" s="11" t="n">
        <x:f>IF('제외 후보'!AC519&lt;&gt;"",'선정 규칙'!$B$22,0)</x:f>
        <x:v>0</x:v>
      </x:c>
      <x:c r="K519" s="11" t="n">
        <x:f>SUM(B519:J519)</x:f>
        <x:v>18</x:v>
      </x:c>
      <x:c r="L519" s="11" t="n">
        <x:f>'제외 후보'!N519</x:f>
        <x:v>18</x:v>
      </x:c>
      <x:c r="M519" s="2" t="str">
        <x:f>IF(K519=L519,"OK","MISMATCH")</x:f>
        <x:v>OK</x:v>
      </x:c>
    </x:row>
    <x:row r="520">
      <x:c r="A520" s="2" t="str">
        <x:f>'제외 후보'!G520</x:f>
        <x:v>w_287e9af8cd3de909</x:v>
      </x:c>
      <x:c r="B520" s="11" t="n">
        <x:f>IF('제외 후보'!Q520&lt;&gt;"",'선정 규칙'!$B$4,0)</x:f>
        <x:v>0</x:v>
      </x:c>
      <x:c r="C520" s="11" t="n">
        <x:f>IF(ISNUMBER(SEARCH("jmdict_uncommon_or_irregular",'제외 후보'!P520)),'선정 규칙'!$B$5,IF(ISNUMBER(SEARCH("jmdict_rare_or_dated",'제외 후보'!P520)),'선정 규칙'!$B$6,0))</x:f>
        <x:v>0</x:v>
      </x:c>
      <x:c r="D520" s="11" t="n">
        <x:f>IF(ISNUMBER(SEARCH("jmdict_exact_pair_not_found",'제외 후보'!P520)),'선정 규칙'!$B$7,0)</x:f>
        <x:v>0</x:v>
      </x:c>
      <x:c r="E520" s="11" t="n">
        <x:f>IF(OR('제외 후보'!L520="",'제외 후보'!L520&lt;=0),'선정 규칙'!$B$8,IF('제외 후보'!L520&lt;=1.5,'선정 규칙'!$B$9,IF('제외 후보'!L520&lt;=2,'선정 규칙'!$B$10,IF('제외 후보'!L520&lt;=2.5,'선정 규칙'!$B$11,IF('제외 후보'!L520&lt;=3,'선정 규칙'!$B$12,IF('제외 후보'!L520&lt;=3.5,'선정 규칙'!$B$13,IF('제외 후보'!L520&gt;=4.5,'선정 규칙'!$B$14,0)))))))</x:f>
        <x:v>0</x:v>
      </x:c>
      <x:c r="F520" s="11" t="n">
        <x:f>IF('제외 후보'!Y520=0,'선정 규칙'!$B$15,IF('제외 후보'!Y520&gt;=100,'선정 규칙'!$B$16,'선정 규칙'!$B$17))</x:f>
        <x:v>12</x:v>
      </x:c>
      <x:c r="G520" s="11" t="n">
        <x:f>IF('제외 후보'!M520="있음",'선정 규칙'!$B$18,'선정 규칙'!$B$19)</x:f>
        <x:v>6</x:v>
      </x:c>
      <x:c r="H520" s="11" t="n">
        <x:f>IF(ISNUMBER(SEARCH("freq-core",'제외 후보'!AD520)),'선정 규칙'!$B$20,0)</x:f>
        <x:v>0</x:v>
      </x:c>
      <x:c r="I520" s="11" t="n">
        <x:f>IF(ISNUMBER(SEARCH("weak_legacy_content",'제외 후보'!P520)),'선정 규칙'!$B$21,0)</x:f>
        <x:v>0</x:v>
      </x:c>
      <x:c r="J520" s="11" t="n">
        <x:f>IF('제외 후보'!AC520&lt;&gt;"",'선정 규칙'!$B$22,0)</x:f>
        <x:v>0</x:v>
      </x:c>
      <x:c r="K520" s="11" t="n">
        <x:f>SUM(B520:J520)</x:f>
        <x:v>18</x:v>
      </x:c>
      <x:c r="L520" s="11" t="n">
        <x:f>'제외 후보'!N520</x:f>
        <x:v>18</x:v>
      </x:c>
      <x:c r="M520" s="2" t="str">
        <x:f>IF(K520=L520,"OK","MISMATCH")</x:f>
        <x:v>OK</x:v>
      </x:c>
    </x:row>
    <x:row r="521">
      <x:c r="A521" s="2" t="str">
        <x:f>'제외 후보'!G521</x:f>
        <x:v>w_20f87ac376abd413</x:v>
      </x:c>
      <x:c r="B521" s="11" t="n">
        <x:f>IF('제외 후보'!Q521&lt;&gt;"",'선정 규칙'!$B$4,0)</x:f>
        <x:v>0</x:v>
      </x:c>
      <x:c r="C521" s="11" t="n">
        <x:f>IF(ISNUMBER(SEARCH("jmdict_uncommon_or_irregular",'제외 후보'!P521)),'선정 규칙'!$B$5,IF(ISNUMBER(SEARCH("jmdict_rare_or_dated",'제외 후보'!P521)),'선정 규칙'!$B$6,0))</x:f>
        <x:v>0</x:v>
      </x:c>
      <x:c r="D521" s="11" t="n">
        <x:f>IF(ISNUMBER(SEARCH("jmdict_exact_pair_not_found",'제외 후보'!P521)),'선정 규칙'!$B$7,0)</x:f>
        <x:v>0</x:v>
      </x:c>
      <x:c r="E521" s="11" t="n">
        <x:f>IF(OR('제외 후보'!L521="",'제외 후보'!L521&lt;=0),'선정 규칙'!$B$8,IF('제외 후보'!L521&lt;=1.5,'선정 규칙'!$B$9,IF('제외 후보'!L521&lt;=2,'선정 규칙'!$B$10,IF('제외 후보'!L521&lt;=2.5,'선정 규칙'!$B$11,IF('제외 후보'!L521&lt;=3,'선정 규칙'!$B$12,IF('제외 후보'!L521&lt;=3.5,'선정 규칙'!$B$13,IF('제외 후보'!L521&gt;=4.5,'선정 규칙'!$B$14,0)))))))</x:f>
        <x:v>0</x:v>
      </x:c>
      <x:c r="F521" s="11" t="n">
        <x:f>IF('제외 후보'!Y521=0,'선정 규칙'!$B$15,IF('제외 후보'!Y521&gt;=100,'선정 규칙'!$B$16,'선정 규칙'!$B$17))</x:f>
        <x:v>12</x:v>
      </x:c>
      <x:c r="G521" s="11" t="n">
        <x:f>IF('제외 후보'!M521="있음",'선정 규칙'!$B$18,'선정 규칙'!$B$19)</x:f>
        <x:v>6</x:v>
      </x:c>
      <x:c r="H521" s="11" t="n">
        <x:f>IF(ISNUMBER(SEARCH("freq-core",'제외 후보'!AD521)),'선정 규칙'!$B$20,0)</x:f>
        <x:v>0</x:v>
      </x:c>
      <x:c r="I521" s="11" t="n">
        <x:f>IF(ISNUMBER(SEARCH("weak_legacy_content",'제외 후보'!P521)),'선정 규칙'!$B$21,0)</x:f>
        <x:v>0</x:v>
      </x:c>
      <x:c r="J521" s="11" t="n">
        <x:f>IF('제외 후보'!AC521&lt;&gt;"",'선정 규칙'!$B$22,0)</x:f>
        <x:v>0</x:v>
      </x:c>
      <x:c r="K521" s="11" t="n">
        <x:f>SUM(B521:J521)</x:f>
        <x:v>18</x:v>
      </x:c>
      <x:c r="L521" s="11" t="n">
        <x:f>'제외 후보'!N521</x:f>
        <x:v>18</x:v>
      </x:c>
      <x:c r="M521" s="2" t="str">
        <x:f>IF(K521=L521,"OK","MISMATCH")</x:f>
        <x:v>OK</x:v>
      </x:c>
    </x:row>
    <x:row r="522">
      <x:c r="A522" s="2" t="str">
        <x:f>'제외 후보'!G522</x:f>
        <x:v>w_fd33428c595255c2</x:v>
      </x:c>
      <x:c r="B522" s="11" t="n">
        <x:f>IF('제외 후보'!Q522&lt;&gt;"",'선정 규칙'!$B$4,0)</x:f>
        <x:v>0</x:v>
      </x:c>
      <x:c r="C522" s="11" t="n">
        <x:f>IF(ISNUMBER(SEARCH("jmdict_uncommon_or_irregular",'제외 후보'!P522)),'선정 규칙'!$B$5,IF(ISNUMBER(SEARCH("jmdict_rare_or_dated",'제외 후보'!P522)),'선정 규칙'!$B$6,0))</x:f>
        <x:v>0</x:v>
      </x:c>
      <x:c r="D522" s="11" t="n">
        <x:f>IF(ISNUMBER(SEARCH("jmdict_exact_pair_not_found",'제외 후보'!P522)),'선정 규칙'!$B$7,0)</x:f>
        <x:v>0</x:v>
      </x:c>
      <x:c r="E522" s="11" t="n">
        <x:f>IF(OR('제외 후보'!L522="",'제외 후보'!L522&lt;=0),'선정 규칙'!$B$8,IF('제외 후보'!L522&lt;=1.5,'선정 규칙'!$B$9,IF('제외 후보'!L522&lt;=2,'선정 규칙'!$B$10,IF('제외 후보'!L522&lt;=2.5,'선정 규칙'!$B$11,IF('제외 후보'!L522&lt;=3,'선정 규칙'!$B$12,IF('제외 후보'!L522&lt;=3.5,'선정 규칙'!$B$13,IF('제외 후보'!L522&gt;=4.5,'선정 규칙'!$B$14,0)))))))</x:f>
        <x:v>0</x:v>
      </x:c>
      <x:c r="F522" s="11" t="n">
        <x:f>IF('제외 후보'!Y522=0,'선정 규칙'!$B$15,IF('제외 후보'!Y522&gt;=100,'선정 규칙'!$B$16,'선정 규칙'!$B$17))</x:f>
        <x:v>12</x:v>
      </x:c>
      <x:c r="G522" s="11" t="n">
        <x:f>IF('제외 후보'!M522="있음",'선정 규칙'!$B$18,'선정 규칙'!$B$19)</x:f>
        <x:v>6</x:v>
      </x:c>
      <x:c r="H522" s="11" t="n">
        <x:f>IF(ISNUMBER(SEARCH("freq-core",'제외 후보'!AD522)),'선정 규칙'!$B$20,0)</x:f>
        <x:v>0</x:v>
      </x:c>
      <x:c r="I522" s="11" t="n">
        <x:f>IF(ISNUMBER(SEARCH("weak_legacy_content",'제외 후보'!P522)),'선정 규칙'!$B$21,0)</x:f>
        <x:v>0</x:v>
      </x:c>
      <x:c r="J522" s="11" t="n">
        <x:f>IF('제외 후보'!AC522&lt;&gt;"",'선정 규칙'!$B$22,0)</x:f>
        <x:v>0</x:v>
      </x:c>
      <x:c r="K522" s="11" t="n">
        <x:f>SUM(B522:J522)</x:f>
        <x:v>18</x:v>
      </x:c>
      <x:c r="L522" s="11" t="n">
        <x:f>'제외 후보'!N522</x:f>
        <x:v>18</x:v>
      </x:c>
      <x:c r="M522" s="2" t="str">
        <x:f>IF(K522=L522,"OK","MISMATCH")</x:f>
        <x:v>OK</x:v>
      </x:c>
    </x:row>
    <x:row r="523">
      <x:c r="A523" s="2" t="str">
        <x:f>'제외 후보'!G523</x:f>
        <x:v>w_cb99bdc6be468a11</x:v>
      </x:c>
      <x:c r="B523" s="11" t="n">
        <x:f>IF('제외 후보'!Q523&lt;&gt;"",'선정 규칙'!$B$4,0)</x:f>
        <x:v>0</x:v>
      </x:c>
      <x:c r="C523" s="11" t="n">
        <x:f>IF(ISNUMBER(SEARCH("jmdict_uncommon_or_irregular",'제외 후보'!P523)),'선정 규칙'!$B$5,IF(ISNUMBER(SEARCH("jmdict_rare_or_dated",'제외 후보'!P523)),'선정 규칙'!$B$6,0))</x:f>
        <x:v>0</x:v>
      </x:c>
      <x:c r="D523" s="11" t="n">
        <x:f>IF(ISNUMBER(SEARCH("jmdict_exact_pair_not_found",'제외 후보'!P523)),'선정 규칙'!$B$7,0)</x:f>
        <x:v>0</x:v>
      </x:c>
      <x:c r="E523" s="11" t="n">
        <x:f>IF(OR('제외 후보'!L523="",'제외 후보'!L523&lt;=0),'선정 규칙'!$B$8,IF('제외 후보'!L523&lt;=1.5,'선정 규칙'!$B$9,IF('제외 후보'!L523&lt;=2,'선정 규칙'!$B$10,IF('제외 후보'!L523&lt;=2.5,'선정 규칙'!$B$11,IF('제외 후보'!L523&lt;=3,'선정 규칙'!$B$12,IF('제외 후보'!L523&lt;=3.5,'선정 규칙'!$B$13,IF('제외 후보'!L523&gt;=4.5,'선정 규칙'!$B$14,0)))))))</x:f>
        <x:v>0</x:v>
      </x:c>
      <x:c r="F523" s="11" t="n">
        <x:f>IF('제외 후보'!Y523=0,'선정 규칙'!$B$15,IF('제외 후보'!Y523&gt;=100,'선정 규칙'!$B$16,'선정 규칙'!$B$17))</x:f>
        <x:v>12</x:v>
      </x:c>
      <x:c r="G523" s="11" t="n">
        <x:f>IF('제외 후보'!M523="있음",'선정 규칙'!$B$18,'선정 규칙'!$B$19)</x:f>
        <x:v>6</x:v>
      </x:c>
      <x:c r="H523" s="11" t="n">
        <x:f>IF(ISNUMBER(SEARCH("freq-core",'제외 후보'!AD523)),'선정 규칙'!$B$20,0)</x:f>
        <x:v>0</x:v>
      </x:c>
      <x:c r="I523" s="11" t="n">
        <x:f>IF(ISNUMBER(SEARCH("weak_legacy_content",'제외 후보'!P523)),'선정 규칙'!$B$21,0)</x:f>
        <x:v>0</x:v>
      </x:c>
      <x:c r="J523" s="11" t="n">
        <x:f>IF('제외 후보'!AC523&lt;&gt;"",'선정 규칙'!$B$22,0)</x:f>
        <x:v>0</x:v>
      </x:c>
      <x:c r="K523" s="11" t="n">
        <x:f>SUM(B523:J523)</x:f>
        <x:v>18</x:v>
      </x:c>
      <x:c r="L523" s="11" t="n">
        <x:f>'제외 후보'!N523</x:f>
        <x:v>18</x:v>
      </x:c>
      <x:c r="M523" s="2" t="str">
        <x:f>IF(K523=L523,"OK","MISMATCH")</x:f>
        <x:v>OK</x:v>
      </x:c>
    </x:row>
    <x:row r="524">
      <x:c r="A524" s="2" t="str">
        <x:f>'제외 후보'!G524</x:f>
        <x:v>w_f6a0912dd2d2d190</x:v>
      </x:c>
      <x:c r="B524" s="11" t="n">
        <x:f>IF('제외 후보'!Q524&lt;&gt;"",'선정 규칙'!$B$4,0)</x:f>
        <x:v>0</x:v>
      </x:c>
      <x:c r="C524" s="11" t="n">
        <x:f>IF(ISNUMBER(SEARCH("jmdict_uncommon_or_irregular",'제외 후보'!P524)),'선정 규칙'!$B$5,IF(ISNUMBER(SEARCH("jmdict_rare_or_dated",'제외 후보'!P524)),'선정 규칙'!$B$6,0))</x:f>
        <x:v>0</x:v>
      </x:c>
      <x:c r="D524" s="11" t="n">
        <x:f>IF(ISNUMBER(SEARCH("jmdict_exact_pair_not_found",'제외 후보'!P524)),'선정 규칙'!$B$7,0)</x:f>
        <x:v>0</x:v>
      </x:c>
      <x:c r="E524" s="11" t="n">
        <x:f>IF(OR('제외 후보'!L524="",'제외 후보'!L524&lt;=0),'선정 규칙'!$B$8,IF('제외 후보'!L524&lt;=1.5,'선정 규칙'!$B$9,IF('제외 후보'!L524&lt;=2,'선정 규칙'!$B$10,IF('제외 후보'!L524&lt;=2.5,'선정 규칙'!$B$11,IF('제외 후보'!L524&lt;=3,'선정 규칙'!$B$12,IF('제외 후보'!L524&lt;=3.5,'선정 규칙'!$B$13,IF('제외 후보'!L524&gt;=4.5,'선정 규칙'!$B$14,0)))))))</x:f>
        <x:v>0</x:v>
      </x:c>
      <x:c r="F524" s="11" t="n">
        <x:f>IF('제외 후보'!Y524=0,'선정 규칙'!$B$15,IF('제외 후보'!Y524&gt;=100,'선정 규칙'!$B$16,'선정 규칙'!$B$17))</x:f>
        <x:v>12</x:v>
      </x:c>
      <x:c r="G524" s="11" t="n">
        <x:f>IF('제외 후보'!M524="있음",'선정 규칙'!$B$18,'선정 규칙'!$B$19)</x:f>
        <x:v>6</x:v>
      </x:c>
      <x:c r="H524" s="11" t="n">
        <x:f>IF(ISNUMBER(SEARCH("freq-core",'제외 후보'!AD524)),'선정 규칙'!$B$20,0)</x:f>
        <x:v>0</x:v>
      </x:c>
      <x:c r="I524" s="11" t="n">
        <x:f>IF(ISNUMBER(SEARCH("weak_legacy_content",'제외 후보'!P524)),'선정 규칙'!$B$21,0)</x:f>
        <x:v>0</x:v>
      </x:c>
      <x:c r="J524" s="11" t="n">
        <x:f>IF('제외 후보'!AC524&lt;&gt;"",'선정 규칙'!$B$22,0)</x:f>
        <x:v>0</x:v>
      </x:c>
      <x:c r="K524" s="11" t="n">
        <x:f>SUM(B524:J524)</x:f>
        <x:v>18</x:v>
      </x:c>
      <x:c r="L524" s="11" t="n">
        <x:f>'제외 후보'!N524</x:f>
        <x:v>18</x:v>
      </x:c>
      <x:c r="M524" s="2" t="str">
        <x:f>IF(K524=L524,"OK","MISMATCH")</x:f>
        <x:v>OK</x:v>
      </x:c>
    </x:row>
    <x:row r="525">
      <x:c r="A525" s="2" t="str">
        <x:f>'제외 후보'!G525</x:f>
        <x:v>w_f7df34c5096af494</x:v>
      </x:c>
      <x:c r="B525" s="11" t="n">
        <x:f>IF('제외 후보'!Q525&lt;&gt;"",'선정 규칙'!$B$4,0)</x:f>
        <x:v>0</x:v>
      </x:c>
      <x:c r="C525" s="11" t="n">
        <x:f>IF(ISNUMBER(SEARCH("jmdict_uncommon_or_irregular",'제외 후보'!P525)),'선정 규칙'!$B$5,IF(ISNUMBER(SEARCH("jmdict_rare_or_dated",'제외 후보'!P525)),'선정 규칙'!$B$6,0))</x:f>
        <x:v>0</x:v>
      </x:c>
      <x:c r="D525" s="11" t="n">
        <x:f>IF(ISNUMBER(SEARCH("jmdict_exact_pair_not_found",'제외 후보'!P525)),'선정 규칙'!$B$7,0)</x:f>
        <x:v>0</x:v>
      </x:c>
      <x:c r="E525" s="11" t="n">
        <x:f>IF(OR('제외 후보'!L525="",'제외 후보'!L525&lt;=0),'선정 규칙'!$B$8,IF('제외 후보'!L525&lt;=1.5,'선정 규칙'!$B$9,IF('제외 후보'!L525&lt;=2,'선정 규칙'!$B$10,IF('제외 후보'!L525&lt;=2.5,'선정 규칙'!$B$11,IF('제외 후보'!L525&lt;=3,'선정 규칙'!$B$12,IF('제외 후보'!L525&lt;=3.5,'선정 규칙'!$B$13,IF('제외 후보'!L525&gt;=4.5,'선정 규칙'!$B$14,0)))))))</x:f>
        <x:v>0</x:v>
      </x:c>
      <x:c r="F525" s="11" t="n">
        <x:f>IF('제외 후보'!Y525=0,'선정 규칙'!$B$15,IF('제외 후보'!Y525&gt;=100,'선정 규칙'!$B$16,'선정 규칙'!$B$17))</x:f>
        <x:v>12</x:v>
      </x:c>
      <x:c r="G525" s="11" t="n">
        <x:f>IF('제외 후보'!M525="있음",'선정 규칙'!$B$18,'선정 규칙'!$B$19)</x:f>
        <x:v>6</x:v>
      </x:c>
      <x:c r="H525" s="11" t="n">
        <x:f>IF(ISNUMBER(SEARCH("freq-core",'제외 후보'!AD525)),'선정 규칙'!$B$20,0)</x:f>
        <x:v>0</x:v>
      </x:c>
      <x:c r="I525" s="11" t="n">
        <x:f>IF(ISNUMBER(SEARCH("weak_legacy_content",'제외 후보'!P525)),'선정 규칙'!$B$21,0)</x:f>
        <x:v>0</x:v>
      </x:c>
      <x:c r="J525" s="11" t="n">
        <x:f>IF('제외 후보'!AC525&lt;&gt;"",'선정 규칙'!$B$22,0)</x:f>
        <x:v>0</x:v>
      </x:c>
      <x:c r="K525" s="11" t="n">
        <x:f>SUM(B525:J525)</x:f>
        <x:v>18</x:v>
      </x:c>
      <x:c r="L525" s="11" t="n">
        <x:f>'제외 후보'!N525</x:f>
        <x:v>18</x:v>
      </x:c>
      <x:c r="M525" s="2" t="str">
        <x:f>IF(K525=L525,"OK","MISMATCH")</x:f>
        <x:v>OK</x:v>
      </x:c>
    </x:row>
    <x:row r="526">
      <x:c r="A526" s="2" t="str">
        <x:f>'제외 후보'!G526</x:f>
        <x:v>w_dc8a6451763c13b4</x:v>
      </x:c>
      <x:c r="B526" s="11" t="n">
        <x:f>IF('제외 후보'!Q526&lt;&gt;"",'선정 규칙'!$B$4,0)</x:f>
        <x:v>0</x:v>
      </x:c>
      <x:c r="C526" s="11" t="n">
        <x:f>IF(ISNUMBER(SEARCH("jmdict_uncommon_or_irregular",'제외 후보'!P526)),'선정 규칙'!$B$5,IF(ISNUMBER(SEARCH("jmdict_rare_or_dated",'제외 후보'!P526)),'선정 규칙'!$B$6,0))</x:f>
        <x:v>0</x:v>
      </x:c>
      <x:c r="D526" s="11" t="n">
        <x:f>IF(ISNUMBER(SEARCH("jmdict_exact_pair_not_found",'제외 후보'!P526)),'선정 규칙'!$B$7,0)</x:f>
        <x:v>0</x:v>
      </x:c>
      <x:c r="E526" s="11" t="n">
        <x:f>IF(OR('제외 후보'!L526="",'제외 후보'!L526&lt;=0),'선정 규칙'!$B$8,IF('제외 후보'!L526&lt;=1.5,'선정 규칙'!$B$9,IF('제외 후보'!L526&lt;=2,'선정 규칙'!$B$10,IF('제외 후보'!L526&lt;=2.5,'선정 규칙'!$B$11,IF('제외 후보'!L526&lt;=3,'선정 규칙'!$B$12,IF('제외 후보'!L526&lt;=3.5,'선정 규칙'!$B$13,IF('제외 후보'!L526&gt;=4.5,'선정 규칙'!$B$14,0)))))))</x:f>
        <x:v>0</x:v>
      </x:c>
      <x:c r="F526" s="11" t="n">
        <x:f>IF('제외 후보'!Y526=0,'선정 규칙'!$B$15,IF('제외 후보'!Y526&gt;=100,'선정 규칙'!$B$16,'선정 규칙'!$B$17))</x:f>
        <x:v>12</x:v>
      </x:c>
      <x:c r="G526" s="11" t="n">
        <x:f>IF('제외 후보'!M526="있음",'선정 규칙'!$B$18,'선정 규칙'!$B$19)</x:f>
        <x:v>6</x:v>
      </x:c>
      <x:c r="H526" s="11" t="n">
        <x:f>IF(ISNUMBER(SEARCH("freq-core",'제외 후보'!AD526)),'선정 규칙'!$B$20,0)</x:f>
        <x:v>0</x:v>
      </x:c>
      <x:c r="I526" s="11" t="n">
        <x:f>IF(ISNUMBER(SEARCH("weak_legacy_content",'제외 후보'!P526)),'선정 규칙'!$B$21,0)</x:f>
        <x:v>0</x:v>
      </x:c>
      <x:c r="J526" s="11" t="n">
        <x:f>IF('제외 후보'!AC526&lt;&gt;"",'선정 규칙'!$B$22,0)</x:f>
        <x:v>0</x:v>
      </x:c>
      <x:c r="K526" s="11" t="n">
        <x:f>SUM(B526:J526)</x:f>
        <x:v>18</x:v>
      </x:c>
      <x:c r="L526" s="11" t="n">
        <x:f>'제외 후보'!N526</x:f>
        <x:v>18</x:v>
      </x:c>
      <x:c r="M526" s="2" t="str">
        <x:f>IF(K526=L526,"OK","MISMATCH")</x:f>
        <x:v>OK</x:v>
      </x:c>
    </x:row>
    <x:row r="527">
      <x:c r="A527" s="2" t="str">
        <x:f>'제외 후보'!G527</x:f>
        <x:v>w_56c4c1b56896c126</x:v>
      </x:c>
      <x:c r="B527" s="11" t="n">
        <x:f>IF('제외 후보'!Q527&lt;&gt;"",'선정 규칙'!$B$4,0)</x:f>
        <x:v>0</x:v>
      </x:c>
      <x:c r="C527" s="11" t="n">
        <x:f>IF(ISNUMBER(SEARCH("jmdict_uncommon_or_irregular",'제외 후보'!P527)),'선정 규칙'!$B$5,IF(ISNUMBER(SEARCH("jmdict_rare_or_dated",'제외 후보'!P527)),'선정 규칙'!$B$6,0))</x:f>
        <x:v>0</x:v>
      </x:c>
      <x:c r="D527" s="11" t="n">
        <x:f>IF(ISNUMBER(SEARCH("jmdict_exact_pair_not_found",'제외 후보'!P527)),'선정 규칙'!$B$7,0)</x:f>
        <x:v>0</x:v>
      </x:c>
      <x:c r="E527" s="11" t="n">
        <x:f>IF(OR('제외 후보'!L527="",'제외 후보'!L527&lt;=0),'선정 규칙'!$B$8,IF('제외 후보'!L527&lt;=1.5,'선정 규칙'!$B$9,IF('제외 후보'!L527&lt;=2,'선정 규칙'!$B$10,IF('제외 후보'!L527&lt;=2.5,'선정 규칙'!$B$11,IF('제외 후보'!L527&lt;=3,'선정 규칙'!$B$12,IF('제외 후보'!L527&lt;=3.5,'선정 규칙'!$B$13,IF('제외 후보'!L527&gt;=4.5,'선정 규칙'!$B$14,0)))))))</x:f>
        <x:v>0</x:v>
      </x:c>
      <x:c r="F527" s="11" t="n">
        <x:f>IF('제외 후보'!Y527=0,'선정 규칙'!$B$15,IF('제외 후보'!Y527&gt;=100,'선정 규칙'!$B$16,'선정 규칙'!$B$17))</x:f>
        <x:v>12</x:v>
      </x:c>
      <x:c r="G527" s="11" t="n">
        <x:f>IF('제외 후보'!M527="있음",'선정 규칙'!$B$18,'선정 규칙'!$B$19)</x:f>
        <x:v>6</x:v>
      </x:c>
      <x:c r="H527" s="11" t="n">
        <x:f>IF(ISNUMBER(SEARCH("freq-core",'제외 후보'!AD527)),'선정 규칙'!$B$20,0)</x:f>
        <x:v>0</x:v>
      </x:c>
      <x:c r="I527" s="11" t="n">
        <x:f>IF(ISNUMBER(SEARCH("weak_legacy_content",'제외 후보'!P527)),'선정 규칙'!$B$21,0)</x:f>
        <x:v>0</x:v>
      </x:c>
      <x:c r="J527" s="11" t="n">
        <x:f>IF('제외 후보'!AC527&lt;&gt;"",'선정 규칙'!$B$22,0)</x:f>
        <x:v>0</x:v>
      </x:c>
      <x:c r="K527" s="11" t="n">
        <x:f>SUM(B527:J527)</x:f>
        <x:v>18</x:v>
      </x:c>
      <x:c r="L527" s="11" t="n">
        <x:f>'제외 후보'!N527</x:f>
        <x:v>18</x:v>
      </x:c>
      <x:c r="M527" s="2" t="str">
        <x:f>IF(K527=L527,"OK","MISMATCH")</x:f>
        <x:v>OK</x:v>
      </x:c>
    </x:row>
    <x:row r="528">
      <x:c r="A528" s="2" t="str">
        <x:f>'제외 후보'!G528</x:f>
        <x:v>w_939aa72a47ad3ceb</x:v>
      </x:c>
      <x:c r="B528" s="11" t="n">
        <x:f>IF('제외 후보'!Q528&lt;&gt;"",'선정 규칙'!$B$4,0)</x:f>
        <x:v>0</x:v>
      </x:c>
      <x:c r="C528" s="11" t="n">
        <x:f>IF(ISNUMBER(SEARCH("jmdict_uncommon_or_irregular",'제외 후보'!P528)),'선정 규칙'!$B$5,IF(ISNUMBER(SEARCH("jmdict_rare_or_dated",'제외 후보'!P528)),'선정 규칙'!$B$6,0))</x:f>
        <x:v>0</x:v>
      </x:c>
      <x:c r="D528" s="11" t="n">
        <x:f>IF(ISNUMBER(SEARCH("jmdict_exact_pair_not_found",'제외 후보'!P528)),'선정 규칙'!$B$7,0)</x:f>
        <x:v>0</x:v>
      </x:c>
      <x:c r="E528" s="11" t="n">
        <x:f>IF(OR('제외 후보'!L528="",'제외 후보'!L528&lt;=0),'선정 규칙'!$B$8,IF('제외 후보'!L528&lt;=1.5,'선정 규칙'!$B$9,IF('제외 후보'!L528&lt;=2,'선정 규칙'!$B$10,IF('제외 후보'!L528&lt;=2.5,'선정 규칙'!$B$11,IF('제외 후보'!L528&lt;=3,'선정 규칙'!$B$12,IF('제외 후보'!L528&lt;=3.5,'선정 규칙'!$B$13,IF('제외 후보'!L528&gt;=4.5,'선정 규칙'!$B$14,0)))))))</x:f>
        <x:v>0</x:v>
      </x:c>
      <x:c r="F528" s="11" t="n">
        <x:f>IF('제외 후보'!Y528=0,'선정 규칙'!$B$15,IF('제외 후보'!Y528&gt;=100,'선정 규칙'!$B$16,'선정 규칙'!$B$17))</x:f>
        <x:v>12</x:v>
      </x:c>
      <x:c r="G528" s="11" t="n">
        <x:f>IF('제외 후보'!M528="있음",'선정 규칙'!$B$18,'선정 규칙'!$B$19)</x:f>
        <x:v>6</x:v>
      </x:c>
      <x:c r="H528" s="11" t="n">
        <x:f>IF(ISNUMBER(SEARCH("freq-core",'제외 후보'!AD528)),'선정 규칙'!$B$20,0)</x:f>
        <x:v>0</x:v>
      </x:c>
      <x:c r="I528" s="11" t="n">
        <x:f>IF(ISNUMBER(SEARCH("weak_legacy_content",'제외 후보'!P528)),'선정 규칙'!$B$21,0)</x:f>
        <x:v>0</x:v>
      </x:c>
      <x:c r="J528" s="11" t="n">
        <x:f>IF('제외 후보'!AC528&lt;&gt;"",'선정 규칙'!$B$22,0)</x:f>
        <x:v>0</x:v>
      </x:c>
      <x:c r="K528" s="11" t="n">
        <x:f>SUM(B528:J528)</x:f>
        <x:v>18</x:v>
      </x:c>
      <x:c r="L528" s="11" t="n">
        <x:f>'제외 후보'!N528</x:f>
        <x:v>18</x:v>
      </x:c>
      <x:c r="M528" s="2" t="str">
        <x:f>IF(K528=L528,"OK","MISMATCH")</x:f>
        <x:v>OK</x:v>
      </x:c>
    </x:row>
    <x:row r="529">
      <x:c r="A529" s="2" t="str">
        <x:f>'제외 후보'!G529</x:f>
        <x:v>w_3f719204e0837d38</x:v>
      </x:c>
      <x:c r="B529" s="11" t="n">
        <x:f>IF('제외 후보'!Q529&lt;&gt;"",'선정 규칙'!$B$4,0)</x:f>
        <x:v>0</x:v>
      </x:c>
      <x:c r="C529" s="11" t="n">
        <x:f>IF(ISNUMBER(SEARCH("jmdict_uncommon_or_irregular",'제외 후보'!P529)),'선정 규칙'!$B$5,IF(ISNUMBER(SEARCH("jmdict_rare_or_dated",'제외 후보'!P529)),'선정 규칙'!$B$6,0))</x:f>
        <x:v>0</x:v>
      </x:c>
      <x:c r="D529" s="11" t="n">
        <x:f>IF(ISNUMBER(SEARCH("jmdict_exact_pair_not_found",'제외 후보'!P529)),'선정 규칙'!$B$7,0)</x:f>
        <x:v>0</x:v>
      </x:c>
      <x:c r="E529" s="11" t="n">
        <x:f>IF(OR('제외 후보'!L529="",'제외 후보'!L529&lt;=0),'선정 규칙'!$B$8,IF('제외 후보'!L529&lt;=1.5,'선정 규칙'!$B$9,IF('제외 후보'!L529&lt;=2,'선정 규칙'!$B$10,IF('제외 후보'!L529&lt;=2.5,'선정 규칙'!$B$11,IF('제외 후보'!L529&lt;=3,'선정 규칙'!$B$12,IF('제외 후보'!L529&lt;=3.5,'선정 규칙'!$B$13,IF('제외 후보'!L529&gt;=4.5,'선정 규칙'!$B$14,0)))))))</x:f>
        <x:v>0</x:v>
      </x:c>
      <x:c r="F529" s="11" t="n">
        <x:f>IF('제외 후보'!Y529=0,'선정 규칙'!$B$15,IF('제외 후보'!Y529&gt;=100,'선정 규칙'!$B$16,'선정 규칙'!$B$17))</x:f>
        <x:v>12</x:v>
      </x:c>
      <x:c r="G529" s="11" t="n">
        <x:f>IF('제외 후보'!M529="있음",'선정 규칙'!$B$18,'선정 규칙'!$B$19)</x:f>
        <x:v>6</x:v>
      </x:c>
      <x:c r="H529" s="11" t="n">
        <x:f>IF(ISNUMBER(SEARCH("freq-core",'제외 후보'!AD529)),'선정 규칙'!$B$20,0)</x:f>
        <x:v>0</x:v>
      </x:c>
      <x:c r="I529" s="11" t="n">
        <x:f>IF(ISNUMBER(SEARCH("weak_legacy_content",'제외 후보'!P529)),'선정 규칙'!$B$21,0)</x:f>
        <x:v>0</x:v>
      </x:c>
      <x:c r="J529" s="11" t="n">
        <x:f>IF('제외 후보'!AC529&lt;&gt;"",'선정 규칙'!$B$22,0)</x:f>
        <x:v>0</x:v>
      </x:c>
      <x:c r="K529" s="11" t="n">
        <x:f>SUM(B529:J529)</x:f>
        <x:v>18</x:v>
      </x:c>
      <x:c r="L529" s="11" t="n">
        <x:f>'제외 후보'!N529</x:f>
        <x:v>18</x:v>
      </x:c>
      <x:c r="M529" s="2" t="str">
        <x:f>IF(K529=L529,"OK","MISMATCH")</x:f>
        <x:v>OK</x:v>
      </x:c>
    </x:row>
    <x:row r="530">
      <x:c r="A530" s="2" t="str">
        <x:f>'제외 후보'!G530</x:f>
        <x:v>w_ec9e607fc8bac604</x:v>
      </x:c>
      <x:c r="B530" s="11" t="n">
        <x:f>IF('제외 후보'!Q530&lt;&gt;"",'선정 규칙'!$B$4,0)</x:f>
        <x:v>0</x:v>
      </x:c>
      <x:c r="C530" s="11" t="n">
        <x:f>IF(ISNUMBER(SEARCH("jmdict_uncommon_or_irregular",'제외 후보'!P530)),'선정 규칙'!$B$5,IF(ISNUMBER(SEARCH("jmdict_rare_or_dated",'제외 후보'!P530)),'선정 규칙'!$B$6,0))</x:f>
        <x:v>0</x:v>
      </x:c>
      <x:c r="D530" s="11" t="n">
        <x:f>IF(ISNUMBER(SEARCH("jmdict_exact_pair_not_found",'제외 후보'!P530)),'선정 규칙'!$B$7,0)</x:f>
        <x:v>0</x:v>
      </x:c>
      <x:c r="E530" s="11" t="n">
        <x:f>IF(OR('제외 후보'!L530="",'제외 후보'!L530&lt;=0),'선정 규칙'!$B$8,IF('제외 후보'!L530&lt;=1.5,'선정 규칙'!$B$9,IF('제외 후보'!L530&lt;=2,'선정 규칙'!$B$10,IF('제외 후보'!L530&lt;=2.5,'선정 규칙'!$B$11,IF('제외 후보'!L530&lt;=3,'선정 규칙'!$B$12,IF('제외 후보'!L530&lt;=3.5,'선정 규칙'!$B$13,IF('제외 후보'!L530&gt;=4.5,'선정 규칙'!$B$14,0)))))))</x:f>
        <x:v>0</x:v>
      </x:c>
      <x:c r="F530" s="11" t="n">
        <x:f>IF('제외 후보'!Y530=0,'선정 규칙'!$B$15,IF('제외 후보'!Y530&gt;=100,'선정 규칙'!$B$16,'선정 규칙'!$B$17))</x:f>
        <x:v>12</x:v>
      </x:c>
      <x:c r="G530" s="11" t="n">
        <x:f>IF('제외 후보'!M530="있음",'선정 규칙'!$B$18,'선정 규칙'!$B$19)</x:f>
        <x:v>6</x:v>
      </x:c>
      <x:c r="H530" s="11" t="n">
        <x:f>IF(ISNUMBER(SEARCH("freq-core",'제외 후보'!AD530)),'선정 규칙'!$B$20,0)</x:f>
        <x:v>0</x:v>
      </x:c>
      <x:c r="I530" s="11" t="n">
        <x:f>IF(ISNUMBER(SEARCH("weak_legacy_content",'제외 후보'!P530)),'선정 규칙'!$B$21,0)</x:f>
        <x:v>0</x:v>
      </x:c>
      <x:c r="J530" s="11" t="n">
        <x:f>IF('제외 후보'!AC530&lt;&gt;"",'선정 규칙'!$B$22,0)</x:f>
        <x:v>0</x:v>
      </x:c>
      <x:c r="K530" s="11" t="n">
        <x:f>SUM(B530:J530)</x:f>
        <x:v>18</x:v>
      </x:c>
      <x:c r="L530" s="11" t="n">
        <x:f>'제외 후보'!N530</x:f>
        <x:v>18</x:v>
      </x:c>
      <x:c r="M530" s="2" t="str">
        <x:f>IF(K530=L530,"OK","MISMATCH")</x:f>
        <x:v>OK</x:v>
      </x:c>
    </x:row>
    <x:row r="531">
      <x:c r="A531" s="2" t="str">
        <x:f>'제외 후보'!G531</x:f>
        <x:v>w_8353b45ad58dc50b</x:v>
      </x:c>
      <x:c r="B531" s="11" t="n">
        <x:f>IF('제외 후보'!Q531&lt;&gt;"",'선정 규칙'!$B$4,0)</x:f>
        <x:v>0</x:v>
      </x:c>
      <x:c r="C531" s="11" t="n">
        <x:f>IF(ISNUMBER(SEARCH("jmdict_uncommon_or_irregular",'제외 후보'!P531)),'선정 규칙'!$B$5,IF(ISNUMBER(SEARCH("jmdict_rare_or_dated",'제외 후보'!P531)),'선정 규칙'!$B$6,0))</x:f>
        <x:v>0</x:v>
      </x:c>
      <x:c r="D531" s="11" t="n">
        <x:f>IF(ISNUMBER(SEARCH("jmdict_exact_pair_not_found",'제외 후보'!P531)),'선정 규칙'!$B$7,0)</x:f>
        <x:v>0</x:v>
      </x:c>
      <x:c r="E531" s="11" t="n">
        <x:f>IF(OR('제외 후보'!L531="",'제외 후보'!L531&lt;=0),'선정 규칙'!$B$8,IF('제외 후보'!L531&lt;=1.5,'선정 규칙'!$B$9,IF('제외 후보'!L531&lt;=2,'선정 규칙'!$B$10,IF('제외 후보'!L531&lt;=2.5,'선정 규칙'!$B$11,IF('제외 후보'!L531&lt;=3,'선정 규칙'!$B$12,IF('제외 후보'!L531&lt;=3.5,'선정 규칙'!$B$13,IF('제외 후보'!L531&gt;=4.5,'선정 규칙'!$B$14,0)))))))</x:f>
        <x:v>0</x:v>
      </x:c>
      <x:c r="F531" s="11" t="n">
        <x:f>IF('제외 후보'!Y531=0,'선정 규칙'!$B$15,IF('제외 후보'!Y531&gt;=100,'선정 규칙'!$B$16,'선정 규칙'!$B$17))</x:f>
        <x:v>12</x:v>
      </x:c>
      <x:c r="G531" s="11" t="n">
        <x:f>IF('제외 후보'!M531="있음",'선정 규칙'!$B$18,'선정 규칙'!$B$19)</x:f>
        <x:v>6</x:v>
      </x:c>
      <x:c r="H531" s="11" t="n">
        <x:f>IF(ISNUMBER(SEARCH("freq-core",'제외 후보'!AD531)),'선정 규칙'!$B$20,0)</x:f>
        <x:v>0</x:v>
      </x:c>
      <x:c r="I531" s="11" t="n">
        <x:f>IF(ISNUMBER(SEARCH("weak_legacy_content",'제외 후보'!P531)),'선정 규칙'!$B$21,0)</x:f>
        <x:v>0</x:v>
      </x:c>
      <x:c r="J531" s="11" t="n">
        <x:f>IF('제외 후보'!AC531&lt;&gt;"",'선정 규칙'!$B$22,0)</x:f>
        <x:v>0</x:v>
      </x:c>
      <x:c r="K531" s="11" t="n">
        <x:f>SUM(B531:J531)</x:f>
        <x:v>18</x:v>
      </x:c>
      <x:c r="L531" s="11" t="n">
        <x:f>'제외 후보'!N531</x:f>
        <x:v>18</x:v>
      </x:c>
      <x:c r="M531" s="2" t="str">
        <x:f>IF(K531=L531,"OK","MISMATCH")</x:f>
        <x:v>OK</x:v>
      </x:c>
    </x:row>
    <x:row r="532">
      <x:c r="A532" s="2" t="str">
        <x:f>'제외 후보'!G532</x:f>
        <x:v>w_3d65f8ddb9602a41</x:v>
      </x:c>
      <x:c r="B532" s="11" t="n">
        <x:f>IF('제외 후보'!Q532&lt;&gt;"",'선정 규칙'!$B$4,0)</x:f>
        <x:v>0</x:v>
      </x:c>
      <x:c r="C532" s="11" t="n">
        <x:f>IF(ISNUMBER(SEARCH("jmdict_uncommon_or_irregular",'제외 후보'!P532)),'선정 규칙'!$B$5,IF(ISNUMBER(SEARCH("jmdict_rare_or_dated",'제외 후보'!P532)),'선정 규칙'!$B$6,0))</x:f>
        <x:v>0</x:v>
      </x:c>
      <x:c r="D532" s="11" t="n">
        <x:f>IF(ISNUMBER(SEARCH("jmdict_exact_pair_not_found",'제외 후보'!P532)),'선정 규칙'!$B$7,0)</x:f>
        <x:v>0</x:v>
      </x:c>
      <x:c r="E532" s="11" t="n">
        <x:f>IF(OR('제외 후보'!L532="",'제외 후보'!L532&lt;=0),'선정 규칙'!$B$8,IF('제외 후보'!L532&lt;=1.5,'선정 규칙'!$B$9,IF('제외 후보'!L532&lt;=2,'선정 규칙'!$B$10,IF('제외 후보'!L532&lt;=2.5,'선정 규칙'!$B$11,IF('제외 후보'!L532&lt;=3,'선정 규칙'!$B$12,IF('제외 후보'!L532&lt;=3.5,'선정 규칙'!$B$13,IF('제외 후보'!L532&gt;=4.5,'선정 규칙'!$B$14,0)))))))</x:f>
        <x:v>0</x:v>
      </x:c>
      <x:c r="F532" s="11" t="n">
        <x:f>IF('제외 후보'!Y532=0,'선정 규칙'!$B$15,IF('제외 후보'!Y532&gt;=100,'선정 규칙'!$B$16,'선정 규칙'!$B$17))</x:f>
        <x:v>12</x:v>
      </x:c>
      <x:c r="G532" s="11" t="n">
        <x:f>IF('제외 후보'!M532="있음",'선정 규칙'!$B$18,'선정 규칙'!$B$19)</x:f>
        <x:v>6</x:v>
      </x:c>
      <x:c r="H532" s="11" t="n">
        <x:f>IF(ISNUMBER(SEARCH("freq-core",'제외 후보'!AD532)),'선정 규칙'!$B$20,0)</x:f>
        <x:v>0</x:v>
      </x:c>
      <x:c r="I532" s="11" t="n">
        <x:f>IF(ISNUMBER(SEARCH("weak_legacy_content",'제외 후보'!P532)),'선정 규칙'!$B$21,0)</x:f>
        <x:v>0</x:v>
      </x:c>
      <x:c r="J532" s="11" t="n">
        <x:f>IF('제외 후보'!AC532&lt;&gt;"",'선정 규칙'!$B$22,0)</x:f>
        <x:v>0</x:v>
      </x:c>
      <x:c r="K532" s="11" t="n">
        <x:f>SUM(B532:J532)</x:f>
        <x:v>18</x:v>
      </x:c>
      <x:c r="L532" s="11" t="n">
        <x:f>'제외 후보'!N532</x:f>
        <x:v>18</x:v>
      </x:c>
      <x:c r="M532" s="2" t="str">
        <x:f>IF(K532=L532,"OK","MISMATCH")</x:f>
        <x:v>OK</x:v>
      </x:c>
    </x:row>
    <x:row r="533">
      <x:c r="A533" s="2" t="str">
        <x:f>'제외 후보'!G533</x:f>
        <x:v>w_79c57f582ccb832e</x:v>
      </x:c>
      <x:c r="B533" s="11" t="n">
        <x:f>IF('제외 후보'!Q533&lt;&gt;"",'선정 규칙'!$B$4,0)</x:f>
        <x:v>0</x:v>
      </x:c>
      <x:c r="C533" s="11" t="n">
        <x:f>IF(ISNUMBER(SEARCH("jmdict_uncommon_or_irregular",'제외 후보'!P533)),'선정 규칙'!$B$5,IF(ISNUMBER(SEARCH("jmdict_rare_or_dated",'제외 후보'!P533)),'선정 규칙'!$B$6,0))</x:f>
        <x:v>0</x:v>
      </x:c>
      <x:c r="D533" s="11" t="n">
        <x:f>IF(ISNUMBER(SEARCH("jmdict_exact_pair_not_found",'제외 후보'!P533)),'선정 규칙'!$B$7,0)</x:f>
        <x:v>0</x:v>
      </x:c>
      <x:c r="E533" s="11" t="n">
        <x:f>IF(OR('제외 후보'!L533="",'제외 후보'!L533&lt;=0),'선정 규칙'!$B$8,IF('제외 후보'!L533&lt;=1.5,'선정 규칙'!$B$9,IF('제외 후보'!L533&lt;=2,'선정 규칙'!$B$10,IF('제외 후보'!L533&lt;=2.5,'선정 규칙'!$B$11,IF('제외 후보'!L533&lt;=3,'선정 규칙'!$B$12,IF('제외 후보'!L533&lt;=3.5,'선정 규칙'!$B$13,IF('제외 후보'!L533&gt;=4.5,'선정 규칙'!$B$14,0)))))))</x:f>
        <x:v>0</x:v>
      </x:c>
      <x:c r="F533" s="11" t="n">
        <x:f>IF('제외 후보'!Y533=0,'선정 규칙'!$B$15,IF('제외 후보'!Y533&gt;=100,'선정 규칙'!$B$16,'선정 규칙'!$B$17))</x:f>
        <x:v>12</x:v>
      </x:c>
      <x:c r="G533" s="11" t="n">
        <x:f>IF('제외 후보'!M533="있음",'선정 규칙'!$B$18,'선정 규칙'!$B$19)</x:f>
        <x:v>6</x:v>
      </x:c>
      <x:c r="H533" s="11" t="n">
        <x:f>IF(ISNUMBER(SEARCH("freq-core",'제외 후보'!AD533)),'선정 규칙'!$B$20,0)</x:f>
        <x:v>0</x:v>
      </x:c>
      <x:c r="I533" s="11" t="n">
        <x:f>IF(ISNUMBER(SEARCH("weak_legacy_content",'제외 후보'!P533)),'선정 규칙'!$B$21,0)</x:f>
        <x:v>0</x:v>
      </x:c>
      <x:c r="J533" s="11" t="n">
        <x:f>IF('제외 후보'!AC533&lt;&gt;"",'선정 규칙'!$B$22,0)</x:f>
        <x:v>0</x:v>
      </x:c>
      <x:c r="K533" s="11" t="n">
        <x:f>SUM(B533:J533)</x:f>
        <x:v>18</x:v>
      </x:c>
      <x:c r="L533" s="11" t="n">
        <x:f>'제외 후보'!N533</x:f>
        <x:v>18</x:v>
      </x:c>
      <x:c r="M533" s="2" t="str">
        <x:f>IF(K533=L533,"OK","MISMATCH")</x:f>
        <x:v>OK</x:v>
      </x:c>
    </x:row>
    <x:row r="534">
      <x:c r="A534" s="2" t="str">
        <x:f>'제외 후보'!G534</x:f>
        <x:v>w_ff37a1bcad7a7a12</x:v>
      </x:c>
      <x:c r="B534" s="11" t="n">
        <x:f>IF('제외 후보'!Q534&lt;&gt;"",'선정 규칙'!$B$4,0)</x:f>
        <x:v>0</x:v>
      </x:c>
      <x:c r="C534" s="11" t="n">
        <x:f>IF(ISNUMBER(SEARCH("jmdict_uncommon_or_irregular",'제외 후보'!P534)),'선정 규칙'!$B$5,IF(ISNUMBER(SEARCH("jmdict_rare_or_dated",'제외 후보'!P534)),'선정 규칙'!$B$6,0))</x:f>
        <x:v>0</x:v>
      </x:c>
      <x:c r="D534" s="11" t="n">
        <x:f>IF(ISNUMBER(SEARCH("jmdict_exact_pair_not_found",'제외 후보'!P534)),'선정 규칙'!$B$7,0)</x:f>
        <x:v>0</x:v>
      </x:c>
      <x:c r="E534" s="11" t="n">
        <x:f>IF(OR('제외 후보'!L534="",'제외 후보'!L534&lt;=0),'선정 규칙'!$B$8,IF('제외 후보'!L534&lt;=1.5,'선정 규칙'!$B$9,IF('제외 후보'!L534&lt;=2,'선정 규칙'!$B$10,IF('제외 후보'!L534&lt;=2.5,'선정 규칙'!$B$11,IF('제외 후보'!L534&lt;=3,'선정 규칙'!$B$12,IF('제외 후보'!L534&lt;=3.5,'선정 규칙'!$B$13,IF('제외 후보'!L534&gt;=4.5,'선정 규칙'!$B$14,0)))))))</x:f>
        <x:v>0</x:v>
      </x:c>
      <x:c r="F534" s="11" t="n">
        <x:f>IF('제외 후보'!Y534=0,'선정 규칙'!$B$15,IF('제외 후보'!Y534&gt;=100,'선정 규칙'!$B$16,'선정 규칙'!$B$17))</x:f>
        <x:v>12</x:v>
      </x:c>
      <x:c r="G534" s="11" t="n">
        <x:f>IF('제외 후보'!M534="있음",'선정 규칙'!$B$18,'선정 규칙'!$B$19)</x:f>
        <x:v>6</x:v>
      </x:c>
      <x:c r="H534" s="11" t="n">
        <x:f>IF(ISNUMBER(SEARCH("freq-core",'제외 후보'!AD534)),'선정 규칙'!$B$20,0)</x:f>
        <x:v>0</x:v>
      </x:c>
      <x:c r="I534" s="11" t="n">
        <x:f>IF(ISNUMBER(SEARCH("weak_legacy_content",'제외 후보'!P534)),'선정 규칙'!$B$21,0)</x:f>
        <x:v>0</x:v>
      </x:c>
      <x:c r="J534" s="11" t="n">
        <x:f>IF('제외 후보'!AC534&lt;&gt;"",'선정 규칙'!$B$22,0)</x:f>
        <x:v>0</x:v>
      </x:c>
      <x:c r="K534" s="11" t="n">
        <x:f>SUM(B534:J534)</x:f>
        <x:v>18</x:v>
      </x:c>
      <x:c r="L534" s="11" t="n">
        <x:f>'제외 후보'!N534</x:f>
        <x:v>18</x:v>
      </x:c>
      <x:c r="M534" s="2" t="str">
        <x:f>IF(K534=L534,"OK","MISMATCH")</x:f>
        <x:v>OK</x:v>
      </x:c>
    </x:row>
    <x:row r="535">
      <x:c r="A535" s="2" t="str">
        <x:f>'제외 후보'!G535</x:f>
        <x:v>w_99b30f0a1c898b11</x:v>
      </x:c>
      <x:c r="B535" s="11" t="n">
        <x:f>IF('제외 후보'!Q535&lt;&gt;"",'선정 규칙'!$B$4,0)</x:f>
        <x:v>0</x:v>
      </x:c>
      <x:c r="C535" s="11" t="n">
        <x:f>IF(ISNUMBER(SEARCH("jmdict_uncommon_or_irregular",'제외 후보'!P535)),'선정 규칙'!$B$5,IF(ISNUMBER(SEARCH("jmdict_rare_or_dated",'제외 후보'!P535)),'선정 규칙'!$B$6,0))</x:f>
        <x:v>0</x:v>
      </x:c>
      <x:c r="D535" s="11" t="n">
        <x:f>IF(ISNUMBER(SEARCH("jmdict_exact_pair_not_found",'제외 후보'!P535)),'선정 규칙'!$B$7,0)</x:f>
        <x:v>0</x:v>
      </x:c>
      <x:c r="E535" s="11" t="n">
        <x:f>IF(OR('제외 후보'!L535="",'제외 후보'!L535&lt;=0),'선정 규칙'!$B$8,IF('제외 후보'!L535&lt;=1.5,'선정 규칙'!$B$9,IF('제외 후보'!L535&lt;=2,'선정 규칙'!$B$10,IF('제외 후보'!L535&lt;=2.5,'선정 규칙'!$B$11,IF('제외 후보'!L535&lt;=3,'선정 규칙'!$B$12,IF('제외 후보'!L535&lt;=3.5,'선정 규칙'!$B$13,IF('제외 후보'!L535&gt;=4.5,'선정 규칙'!$B$14,0)))))))</x:f>
        <x:v>0</x:v>
      </x:c>
      <x:c r="F535" s="11" t="n">
        <x:f>IF('제외 후보'!Y535=0,'선정 규칙'!$B$15,IF('제외 후보'!Y535&gt;=100,'선정 규칙'!$B$16,'선정 규칙'!$B$17))</x:f>
        <x:v>12</x:v>
      </x:c>
      <x:c r="G535" s="11" t="n">
        <x:f>IF('제외 후보'!M535="있음",'선정 규칙'!$B$18,'선정 규칙'!$B$19)</x:f>
        <x:v>6</x:v>
      </x:c>
      <x:c r="H535" s="11" t="n">
        <x:f>IF(ISNUMBER(SEARCH("freq-core",'제외 후보'!AD535)),'선정 규칙'!$B$20,0)</x:f>
        <x:v>0</x:v>
      </x:c>
      <x:c r="I535" s="11" t="n">
        <x:f>IF(ISNUMBER(SEARCH("weak_legacy_content",'제외 후보'!P535)),'선정 규칙'!$B$21,0)</x:f>
        <x:v>0</x:v>
      </x:c>
      <x:c r="J535" s="11" t="n">
        <x:f>IF('제외 후보'!AC535&lt;&gt;"",'선정 규칙'!$B$22,0)</x:f>
        <x:v>0</x:v>
      </x:c>
      <x:c r="K535" s="11" t="n">
        <x:f>SUM(B535:J535)</x:f>
        <x:v>18</x:v>
      </x:c>
      <x:c r="L535" s="11" t="n">
        <x:f>'제외 후보'!N535</x:f>
        <x:v>18</x:v>
      </x:c>
      <x:c r="M535" s="2" t="str">
        <x:f>IF(K535=L535,"OK","MISMATCH")</x:f>
        <x:v>OK</x:v>
      </x:c>
    </x:row>
    <x:row r="536">
      <x:c r="A536" s="2" t="str">
        <x:f>'제외 후보'!G536</x:f>
        <x:v>w_bae7f715faad00b5</x:v>
      </x:c>
      <x:c r="B536" s="11" t="n">
        <x:f>IF('제외 후보'!Q536&lt;&gt;"",'선정 규칙'!$B$4,0)</x:f>
        <x:v>0</x:v>
      </x:c>
      <x:c r="C536" s="11" t="n">
        <x:f>IF(ISNUMBER(SEARCH("jmdict_uncommon_or_irregular",'제외 후보'!P536)),'선정 규칙'!$B$5,IF(ISNUMBER(SEARCH("jmdict_rare_or_dated",'제외 후보'!P536)),'선정 규칙'!$B$6,0))</x:f>
        <x:v>0</x:v>
      </x:c>
      <x:c r="D536" s="11" t="n">
        <x:f>IF(ISNUMBER(SEARCH("jmdict_exact_pair_not_found",'제외 후보'!P536)),'선정 규칙'!$B$7,0)</x:f>
        <x:v>0</x:v>
      </x:c>
      <x:c r="E536" s="11" t="n">
        <x:f>IF(OR('제외 후보'!L536="",'제외 후보'!L536&lt;=0),'선정 규칙'!$B$8,IF('제외 후보'!L536&lt;=1.5,'선정 규칙'!$B$9,IF('제외 후보'!L536&lt;=2,'선정 규칙'!$B$10,IF('제외 후보'!L536&lt;=2.5,'선정 규칙'!$B$11,IF('제외 후보'!L536&lt;=3,'선정 규칙'!$B$12,IF('제외 후보'!L536&lt;=3.5,'선정 규칙'!$B$13,IF('제외 후보'!L536&gt;=4.5,'선정 규칙'!$B$14,0)))))))</x:f>
        <x:v>0</x:v>
      </x:c>
      <x:c r="F536" s="11" t="n">
        <x:f>IF('제외 후보'!Y536=0,'선정 규칙'!$B$15,IF('제외 후보'!Y536&gt;=100,'선정 규칙'!$B$16,'선정 규칙'!$B$17))</x:f>
        <x:v>12</x:v>
      </x:c>
      <x:c r="G536" s="11" t="n">
        <x:f>IF('제외 후보'!M536="있음",'선정 규칙'!$B$18,'선정 규칙'!$B$19)</x:f>
        <x:v>6</x:v>
      </x:c>
      <x:c r="H536" s="11" t="n">
        <x:f>IF(ISNUMBER(SEARCH("freq-core",'제외 후보'!AD536)),'선정 규칙'!$B$20,0)</x:f>
        <x:v>0</x:v>
      </x:c>
      <x:c r="I536" s="11" t="n">
        <x:f>IF(ISNUMBER(SEARCH("weak_legacy_content",'제외 후보'!P536)),'선정 규칙'!$B$21,0)</x:f>
        <x:v>0</x:v>
      </x:c>
      <x:c r="J536" s="11" t="n">
        <x:f>IF('제외 후보'!AC536&lt;&gt;"",'선정 규칙'!$B$22,0)</x:f>
        <x:v>0</x:v>
      </x:c>
      <x:c r="K536" s="11" t="n">
        <x:f>SUM(B536:J536)</x:f>
        <x:v>18</x:v>
      </x:c>
      <x:c r="L536" s="11" t="n">
        <x:f>'제외 후보'!N536</x:f>
        <x:v>18</x:v>
      </x:c>
      <x:c r="M536" s="2" t="str">
        <x:f>IF(K536=L536,"OK","MISMATCH")</x:f>
        <x:v>OK</x:v>
      </x:c>
    </x:row>
    <x:row r="537">
      <x:c r="A537" s="2" t="str">
        <x:f>'제외 후보'!G537</x:f>
        <x:v>w_ccb6f2de26230065</x:v>
      </x:c>
      <x:c r="B537" s="11" t="n">
        <x:f>IF('제외 후보'!Q537&lt;&gt;"",'선정 규칙'!$B$4,0)</x:f>
        <x:v>0</x:v>
      </x:c>
      <x:c r="C537" s="11" t="n">
        <x:f>IF(ISNUMBER(SEARCH("jmdict_uncommon_or_irregular",'제외 후보'!P537)),'선정 규칙'!$B$5,IF(ISNUMBER(SEARCH("jmdict_rare_or_dated",'제외 후보'!P537)),'선정 규칙'!$B$6,0))</x:f>
        <x:v>0</x:v>
      </x:c>
      <x:c r="D537" s="11" t="n">
        <x:f>IF(ISNUMBER(SEARCH("jmdict_exact_pair_not_found",'제외 후보'!P537)),'선정 규칙'!$B$7,0)</x:f>
        <x:v>0</x:v>
      </x:c>
      <x:c r="E537" s="11" t="n">
        <x:f>IF(OR('제외 후보'!L537="",'제외 후보'!L537&lt;=0),'선정 규칙'!$B$8,IF('제외 후보'!L537&lt;=1.5,'선정 규칙'!$B$9,IF('제외 후보'!L537&lt;=2,'선정 규칙'!$B$10,IF('제외 후보'!L537&lt;=2.5,'선정 규칙'!$B$11,IF('제외 후보'!L537&lt;=3,'선정 규칙'!$B$12,IF('제외 후보'!L537&lt;=3.5,'선정 규칙'!$B$13,IF('제외 후보'!L537&gt;=4.5,'선정 규칙'!$B$14,0)))))))</x:f>
        <x:v>0</x:v>
      </x:c>
      <x:c r="F537" s="11" t="n">
        <x:f>IF('제외 후보'!Y537=0,'선정 규칙'!$B$15,IF('제외 후보'!Y537&gt;=100,'선정 규칙'!$B$16,'선정 규칙'!$B$17))</x:f>
        <x:v>12</x:v>
      </x:c>
      <x:c r="G537" s="11" t="n">
        <x:f>IF('제외 후보'!M537="있음",'선정 규칙'!$B$18,'선정 규칙'!$B$19)</x:f>
        <x:v>6</x:v>
      </x:c>
      <x:c r="H537" s="11" t="n">
        <x:f>IF(ISNUMBER(SEARCH("freq-core",'제외 후보'!AD537)),'선정 규칙'!$B$20,0)</x:f>
        <x:v>0</x:v>
      </x:c>
      <x:c r="I537" s="11" t="n">
        <x:f>IF(ISNUMBER(SEARCH("weak_legacy_content",'제외 후보'!P537)),'선정 규칙'!$B$21,0)</x:f>
        <x:v>0</x:v>
      </x:c>
      <x:c r="J537" s="11" t="n">
        <x:f>IF('제외 후보'!AC537&lt;&gt;"",'선정 규칙'!$B$22,0)</x:f>
        <x:v>0</x:v>
      </x:c>
      <x:c r="K537" s="11" t="n">
        <x:f>SUM(B537:J537)</x:f>
        <x:v>18</x:v>
      </x:c>
      <x:c r="L537" s="11" t="n">
        <x:f>'제외 후보'!N537</x:f>
        <x:v>18</x:v>
      </x:c>
      <x:c r="M537" s="2" t="str">
        <x:f>IF(K537=L537,"OK","MISMATCH")</x:f>
        <x:v>OK</x:v>
      </x:c>
    </x:row>
    <x:row r="538">
      <x:c r="A538" s="2" t="str">
        <x:f>'제외 후보'!G538</x:f>
        <x:v>w_79707d3c49949938</x:v>
      </x:c>
      <x:c r="B538" s="11" t="n">
        <x:f>IF('제외 후보'!Q538&lt;&gt;"",'선정 규칙'!$B$4,0)</x:f>
        <x:v>0</x:v>
      </x:c>
      <x:c r="C538" s="11" t="n">
        <x:f>IF(ISNUMBER(SEARCH("jmdict_uncommon_or_irregular",'제외 후보'!P538)),'선정 규칙'!$B$5,IF(ISNUMBER(SEARCH("jmdict_rare_or_dated",'제외 후보'!P538)),'선정 규칙'!$B$6,0))</x:f>
        <x:v>0</x:v>
      </x:c>
      <x:c r="D538" s="11" t="n">
        <x:f>IF(ISNUMBER(SEARCH("jmdict_exact_pair_not_found",'제외 후보'!P538)),'선정 규칙'!$B$7,0)</x:f>
        <x:v>0</x:v>
      </x:c>
      <x:c r="E538" s="11" t="n">
        <x:f>IF(OR('제외 후보'!L538="",'제외 후보'!L538&lt;=0),'선정 규칙'!$B$8,IF('제외 후보'!L538&lt;=1.5,'선정 규칙'!$B$9,IF('제외 후보'!L538&lt;=2,'선정 규칙'!$B$10,IF('제외 후보'!L538&lt;=2.5,'선정 규칙'!$B$11,IF('제외 후보'!L538&lt;=3,'선정 규칙'!$B$12,IF('제외 후보'!L538&lt;=3.5,'선정 규칙'!$B$13,IF('제외 후보'!L538&gt;=4.5,'선정 규칙'!$B$14,0)))))))</x:f>
        <x:v>0</x:v>
      </x:c>
      <x:c r="F538" s="11" t="n">
        <x:f>IF('제외 후보'!Y538=0,'선정 규칙'!$B$15,IF('제외 후보'!Y538&gt;=100,'선정 규칙'!$B$16,'선정 규칙'!$B$17))</x:f>
        <x:v>12</x:v>
      </x:c>
      <x:c r="G538" s="11" t="n">
        <x:f>IF('제외 후보'!M538="있음",'선정 규칙'!$B$18,'선정 규칙'!$B$19)</x:f>
        <x:v>6</x:v>
      </x:c>
      <x:c r="H538" s="11" t="n">
        <x:f>IF(ISNUMBER(SEARCH("freq-core",'제외 후보'!AD538)),'선정 규칙'!$B$20,0)</x:f>
        <x:v>0</x:v>
      </x:c>
      <x:c r="I538" s="11" t="n">
        <x:f>IF(ISNUMBER(SEARCH("weak_legacy_content",'제외 후보'!P538)),'선정 규칙'!$B$21,0)</x:f>
        <x:v>0</x:v>
      </x:c>
      <x:c r="J538" s="11" t="n">
        <x:f>IF('제외 후보'!AC538&lt;&gt;"",'선정 규칙'!$B$22,0)</x:f>
        <x:v>0</x:v>
      </x:c>
      <x:c r="K538" s="11" t="n">
        <x:f>SUM(B538:J538)</x:f>
        <x:v>18</x:v>
      </x:c>
      <x:c r="L538" s="11" t="n">
        <x:f>'제외 후보'!N538</x:f>
        <x:v>18</x:v>
      </x:c>
      <x:c r="M538" s="2" t="str">
        <x:f>IF(K538=L538,"OK","MISMATCH")</x:f>
        <x:v>OK</x:v>
      </x:c>
    </x:row>
    <x:row r="539">
      <x:c r="A539" s="2" t="str">
        <x:f>'제외 후보'!G539</x:f>
        <x:v>w_54ca74d64604579c</x:v>
      </x:c>
      <x:c r="B539" s="11" t="n">
        <x:f>IF('제외 후보'!Q539&lt;&gt;"",'선정 규칙'!$B$4,0)</x:f>
        <x:v>0</x:v>
      </x:c>
      <x:c r="C539" s="11" t="n">
        <x:f>IF(ISNUMBER(SEARCH("jmdict_uncommon_or_irregular",'제외 후보'!P539)),'선정 규칙'!$B$5,IF(ISNUMBER(SEARCH("jmdict_rare_or_dated",'제외 후보'!P539)),'선정 규칙'!$B$6,0))</x:f>
        <x:v>0</x:v>
      </x:c>
      <x:c r="D539" s="11" t="n">
        <x:f>IF(ISNUMBER(SEARCH("jmdict_exact_pair_not_found",'제외 후보'!P539)),'선정 규칙'!$B$7,0)</x:f>
        <x:v>0</x:v>
      </x:c>
      <x:c r="E539" s="11" t="n">
        <x:f>IF(OR('제외 후보'!L539="",'제외 후보'!L539&lt;=0),'선정 규칙'!$B$8,IF('제외 후보'!L539&lt;=1.5,'선정 규칙'!$B$9,IF('제외 후보'!L539&lt;=2,'선정 규칙'!$B$10,IF('제외 후보'!L539&lt;=2.5,'선정 규칙'!$B$11,IF('제외 후보'!L539&lt;=3,'선정 규칙'!$B$12,IF('제외 후보'!L539&lt;=3.5,'선정 규칙'!$B$13,IF('제외 후보'!L539&gt;=4.5,'선정 규칙'!$B$14,0)))))))</x:f>
        <x:v>0</x:v>
      </x:c>
      <x:c r="F539" s="11" t="n">
        <x:f>IF('제외 후보'!Y539=0,'선정 규칙'!$B$15,IF('제외 후보'!Y539&gt;=100,'선정 규칙'!$B$16,'선정 규칙'!$B$17))</x:f>
        <x:v>12</x:v>
      </x:c>
      <x:c r="G539" s="11" t="n">
        <x:f>IF('제외 후보'!M539="있음",'선정 규칙'!$B$18,'선정 규칙'!$B$19)</x:f>
        <x:v>6</x:v>
      </x:c>
      <x:c r="H539" s="11" t="n">
        <x:f>IF(ISNUMBER(SEARCH("freq-core",'제외 후보'!AD539)),'선정 규칙'!$B$20,0)</x:f>
        <x:v>0</x:v>
      </x:c>
      <x:c r="I539" s="11" t="n">
        <x:f>IF(ISNUMBER(SEARCH("weak_legacy_content",'제외 후보'!P539)),'선정 규칙'!$B$21,0)</x:f>
        <x:v>0</x:v>
      </x:c>
      <x:c r="J539" s="11" t="n">
        <x:f>IF('제외 후보'!AC539&lt;&gt;"",'선정 규칙'!$B$22,0)</x:f>
        <x:v>0</x:v>
      </x:c>
      <x:c r="K539" s="11" t="n">
        <x:f>SUM(B539:J539)</x:f>
        <x:v>18</x:v>
      </x:c>
      <x:c r="L539" s="11" t="n">
        <x:f>'제외 후보'!N539</x:f>
        <x:v>18</x:v>
      </x:c>
      <x:c r="M539" s="2" t="str">
        <x:f>IF(K539=L539,"OK","MISMATCH")</x:f>
        <x:v>OK</x:v>
      </x:c>
    </x:row>
    <x:row r="540">
      <x:c r="A540" s="2" t="str">
        <x:f>'제외 후보'!G540</x:f>
        <x:v>w_adf721446e795271</x:v>
      </x:c>
      <x:c r="B540" s="11" t="n">
        <x:f>IF('제외 후보'!Q540&lt;&gt;"",'선정 규칙'!$B$4,0)</x:f>
        <x:v>0</x:v>
      </x:c>
      <x:c r="C540" s="11" t="n">
        <x:f>IF(ISNUMBER(SEARCH("jmdict_uncommon_or_irregular",'제외 후보'!P540)),'선정 규칙'!$B$5,IF(ISNUMBER(SEARCH("jmdict_rare_or_dated",'제외 후보'!P540)),'선정 규칙'!$B$6,0))</x:f>
        <x:v>0</x:v>
      </x:c>
      <x:c r="D540" s="11" t="n">
        <x:f>IF(ISNUMBER(SEARCH("jmdict_exact_pair_not_found",'제외 후보'!P540)),'선정 규칙'!$B$7,0)</x:f>
        <x:v>0</x:v>
      </x:c>
      <x:c r="E540" s="11" t="n">
        <x:f>IF(OR('제외 후보'!L540="",'제외 후보'!L540&lt;=0),'선정 규칙'!$B$8,IF('제외 후보'!L540&lt;=1.5,'선정 규칙'!$B$9,IF('제외 후보'!L540&lt;=2,'선정 규칙'!$B$10,IF('제외 후보'!L540&lt;=2.5,'선정 규칙'!$B$11,IF('제외 후보'!L540&lt;=3,'선정 규칙'!$B$12,IF('제외 후보'!L540&lt;=3.5,'선정 규칙'!$B$13,IF('제외 후보'!L540&gt;=4.5,'선정 규칙'!$B$14,0)))))))</x:f>
        <x:v>0</x:v>
      </x:c>
      <x:c r="F540" s="11" t="n">
        <x:f>IF('제외 후보'!Y540=0,'선정 규칙'!$B$15,IF('제외 후보'!Y540&gt;=100,'선정 규칙'!$B$16,'선정 규칙'!$B$17))</x:f>
        <x:v>12</x:v>
      </x:c>
      <x:c r="G540" s="11" t="n">
        <x:f>IF('제외 후보'!M540="있음",'선정 규칙'!$B$18,'선정 규칙'!$B$19)</x:f>
        <x:v>6</x:v>
      </x:c>
      <x:c r="H540" s="11" t="n">
        <x:f>IF(ISNUMBER(SEARCH("freq-core",'제외 후보'!AD540)),'선정 규칙'!$B$20,0)</x:f>
        <x:v>0</x:v>
      </x:c>
      <x:c r="I540" s="11" t="n">
        <x:f>IF(ISNUMBER(SEARCH("weak_legacy_content",'제외 후보'!P540)),'선정 규칙'!$B$21,0)</x:f>
        <x:v>0</x:v>
      </x:c>
      <x:c r="J540" s="11" t="n">
        <x:f>IF('제외 후보'!AC540&lt;&gt;"",'선정 규칙'!$B$22,0)</x:f>
        <x:v>0</x:v>
      </x:c>
      <x:c r="K540" s="11" t="n">
        <x:f>SUM(B540:J540)</x:f>
        <x:v>18</x:v>
      </x:c>
      <x:c r="L540" s="11" t="n">
        <x:f>'제외 후보'!N540</x:f>
        <x:v>18</x:v>
      </x:c>
      <x:c r="M540" s="2" t="str">
        <x:f>IF(K540=L540,"OK","MISMATCH")</x:f>
        <x:v>OK</x:v>
      </x:c>
    </x:row>
    <x:row r="541">
      <x:c r="A541" s="2" t="str">
        <x:f>'제외 후보'!G541</x:f>
        <x:v>w_5f9867bc8e5f6165</x:v>
      </x:c>
      <x:c r="B541" s="11" t="n">
        <x:f>IF('제외 후보'!Q541&lt;&gt;"",'선정 규칙'!$B$4,0)</x:f>
        <x:v>0</x:v>
      </x:c>
      <x:c r="C541" s="11" t="n">
        <x:f>IF(ISNUMBER(SEARCH("jmdict_uncommon_or_irregular",'제외 후보'!P541)),'선정 규칙'!$B$5,IF(ISNUMBER(SEARCH("jmdict_rare_or_dated",'제외 후보'!P541)),'선정 규칙'!$B$6,0))</x:f>
        <x:v>0</x:v>
      </x:c>
      <x:c r="D541" s="11" t="n">
        <x:f>IF(ISNUMBER(SEARCH("jmdict_exact_pair_not_found",'제외 후보'!P541)),'선정 규칙'!$B$7,0)</x:f>
        <x:v>0</x:v>
      </x:c>
      <x:c r="E541" s="11" t="n">
        <x:f>IF(OR('제외 후보'!L541="",'제외 후보'!L541&lt;=0),'선정 규칙'!$B$8,IF('제외 후보'!L541&lt;=1.5,'선정 규칙'!$B$9,IF('제외 후보'!L541&lt;=2,'선정 규칙'!$B$10,IF('제외 후보'!L541&lt;=2.5,'선정 규칙'!$B$11,IF('제외 후보'!L541&lt;=3,'선정 규칙'!$B$12,IF('제외 후보'!L541&lt;=3.5,'선정 규칙'!$B$13,IF('제외 후보'!L541&gt;=4.5,'선정 규칙'!$B$14,0)))))))</x:f>
        <x:v>0</x:v>
      </x:c>
      <x:c r="F541" s="11" t="n">
        <x:f>IF('제외 후보'!Y541=0,'선정 규칙'!$B$15,IF('제외 후보'!Y541&gt;=100,'선정 규칙'!$B$16,'선정 규칙'!$B$17))</x:f>
        <x:v>12</x:v>
      </x:c>
      <x:c r="G541" s="11" t="n">
        <x:f>IF('제외 후보'!M541="있음",'선정 규칙'!$B$18,'선정 규칙'!$B$19)</x:f>
        <x:v>6</x:v>
      </x:c>
      <x:c r="H541" s="11" t="n">
        <x:f>IF(ISNUMBER(SEARCH("freq-core",'제외 후보'!AD541)),'선정 규칙'!$B$20,0)</x:f>
        <x:v>0</x:v>
      </x:c>
      <x:c r="I541" s="11" t="n">
        <x:f>IF(ISNUMBER(SEARCH("weak_legacy_content",'제외 후보'!P541)),'선정 규칙'!$B$21,0)</x:f>
        <x:v>0</x:v>
      </x:c>
      <x:c r="J541" s="11" t="n">
        <x:f>IF('제외 후보'!AC541&lt;&gt;"",'선정 규칙'!$B$22,0)</x:f>
        <x:v>0</x:v>
      </x:c>
      <x:c r="K541" s="11" t="n">
        <x:f>SUM(B541:J541)</x:f>
        <x:v>18</x:v>
      </x:c>
      <x:c r="L541" s="11" t="n">
        <x:f>'제외 후보'!N541</x:f>
        <x:v>18</x:v>
      </x:c>
      <x:c r="M541" s="2" t="str">
        <x:f>IF(K541=L541,"OK","MISMATCH")</x:f>
        <x:v>OK</x:v>
      </x:c>
    </x:row>
    <x:row r="542">
      <x:c r="A542" s="2" t="str">
        <x:f>'제외 후보'!G542</x:f>
        <x:v>w_6cd88a7c41aa0855</x:v>
      </x:c>
      <x:c r="B542" s="11" t="n">
        <x:f>IF('제외 후보'!Q542&lt;&gt;"",'선정 규칙'!$B$4,0)</x:f>
        <x:v>0</x:v>
      </x:c>
      <x:c r="C542" s="11" t="n">
        <x:f>IF(ISNUMBER(SEARCH("jmdict_uncommon_or_irregular",'제외 후보'!P542)),'선정 규칙'!$B$5,IF(ISNUMBER(SEARCH("jmdict_rare_or_dated",'제외 후보'!P542)),'선정 규칙'!$B$6,0))</x:f>
        <x:v>0</x:v>
      </x:c>
      <x:c r="D542" s="11" t="n">
        <x:f>IF(ISNUMBER(SEARCH("jmdict_exact_pair_not_found",'제외 후보'!P542)),'선정 규칙'!$B$7,0)</x:f>
        <x:v>0</x:v>
      </x:c>
      <x:c r="E542" s="11" t="n">
        <x:f>IF(OR('제외 후보'!L542="",'제외 후보'!L542&lt;=0),'선정 규칙'!$B$8,IF('제외 후보'!L542&lt;=1.5,'선정 규칙'!$B$9,IF('제외 후보'!L542&lt;=2,'선정 규칙'!$B$10,IF('제외 후보'!L542&lt;=2.5,'선정 규칙'!$B$11,IF('제외 후보'!L542&lt;=3,'선정 규칙'!$B$12,IF('제외 후보'!L542&lt;=3.5,'선정 규칙'!$B$13,IF('제외 후보'!L542&gt;=4.5,'선정 규칙'!$B$14,0)))))))</x:f>
        <x:v>0</x:v>
      </x:c>
      <x:c r="F542" s="11" t="n">
        <x:f>IF('제외 후보'!Y542=0,'선정 규칙'!$B$15,IF('제외 후보'!Y542&gt;=100,'선정 규칙'!$B$16,'선정 규칙'!$B$17))</x:f>
        <x:v>12</x:v>
      </x:c>
      <x:c r="G542" s="11" t="n">
        <x:f>IF('제외 후보'!M542="있음",'선정 규칙'!$B$18,'선정 규칙'!$B$19)</x:f>
        <x:v>6</x:v>
      </x:c>
      <x:c r="H542" s="11" t="n">
        <x:f>IF(ISNUMBER(SEARCH("freq-core",'제외 후보'!AD542)),'선정 규칙'!$B$20,0)</x:f>
        <x:v>0</x:v>
      </x:c>
      <x:c r="I542" s="11" t="n">
        <x:f>IF(ISNUMBER(SEARCH("weak_legacy_content",'제외 후보'!P542)),'선정 규칙'!$B$21,0)</x:f>
        <x:v>0</x:v>
      </x:c>
      <x:c r="J542" s="11" t="n">
        <x:f>IF('제외 후보'!AC542&lt;&gt;"",'선정 규칙'!$B$22,0)</x:f>
        <x:v>0</x:v>
      </x:c>
      <x:c r="K542" s="11" t="n">
        <x:f>SUM(B542:J542)</x:f>
        <x:v>18</x:v>
      </x:c>
      <x:c r="L542" s="11" t="n">
        <x:f>'제외 후보'!N542</x:f>
        <x:v>18</x:v>
      </x:c>
      <x:c r="M542" s="2" t="str">
        <x:f>IF(K542=L542,"OK","MISMATCH")</x:f>
        <x:v>OK</x:v>
      </x:c>
    </x:row>
    <x:row r="543">
      <x:c r="A543" s="2" t="str">
        <x:f>'제외 후보'!G543</x:f>
        <x:v>w_697be9f570bd20db</x:v>
      </x:c>
      <x:c r="B543" s="11" t="n">
        <x:f>IF('제외 후보'!Q543&lt;&gt;"",'선정 규칙'!$B$4,0)</x:f>
        <x:v>0</x:v>
      </x:c>
      <x:c r="C543" s="11" t="n">
        <x:f>IF(ISNUMBER(SEARCH("jmdict_uncommon_or_irregular",'제외 후보'!P543)),'선정 규칙'!$B$5,IF(ISNUMBER(SEARCH("jmdict_rare_or_dated",'제외 후보'!P543)),'선정 규칙'!$B$6,0))</x:f>
        <x:v>0</x:v>
      </x:c>
      <x:c r="D543" s="11" t="n">
        <x:f>IF(ISNUMBER(SEARCH("jmdict_exact_pair_not_found",'제외 후보'!P543)),'선정 규칙'!$B$7,0)</x:f>
        <x:v>0</x:v>
      </x:c>
      <x:c r="E543" s="11" t="n">
        <x:f>IF(OR('제외 후보'!L543="",'제외 후보'!L543&lt;=0),'선정 규칙'!$B$8,IF('제외 후보'!L543&lt;=1.5,'선정 규칙'!$B$9,IF('제외 후보'!L543&lt;=2,'선정 규칙'!$B$10,IF('제외 후보'!L543&lt;=2.5,'선정 규칙'!$B$11,IF('제외 후보'!L543&lt;=3,'선정 규칙'!$B$12,IF('제외 후보'!L543&lt;=3.5,'선정 규칙'!$B$13,IF('제외 후보'!L543&gt;=4.5,'선정 규칙'!$B$14,0)))))))</x:f>
        <x:v>0</x:v>
      </x:c>
      <x:c r="F543" s="11" t="n">
        <x:f>IF('제외 후보'!Y543=0,'선정 규칙'!$B$15,IF('제외 후보'!Y543&gt;=100,'선정 규칙'!$B$16,'선정 규칙'!$B$17))</x:f>
        <x:v>12</x:v>
      </x:c>
      <x:c r="G543" s="11" t="n">
        <x:f>IF('제외 후보'!M543="있음",'선정 규칙'!$B$18,'선정 규칙'!$B$19)</x:f>
        <x:v>6</x:v>
      </x:c>
      <x:c r="H543" s="11" t="n">
        <x:f>IF(ISNUMBER(SEARCH("freq-core",'제외 후보'!AD543)),'선정 규칙'!$B$20,0)</x:f>
        <x:v>0</x:v>
      </x:c>
      <x:c r="I543" s="11" t="n">
        <x:f>IF(ISNUMBER(SEARCH("weak_legacy_content",'제외 후보'!P543)),'선정 규칙'!$B$21,0)</x:f>
        <x:v>0</x:v>
      </x:c>
      <x:c r="J543" s="11" t="n">
        <x:f>IF('제외 후보'!AC543&lt;&gt;"",'선정 규칙'!$B$22,0)</x:f>
        <x:v>0</x:v>
      </x:c>
      <x:c r="K543" s="11" t="n">
        <x:f>SUM(B543:J543)</x:f>
        <x:v>18</x:v>
      </x:c>
      <x:c r="L543" s="11" t="n">
        <x:f>'제외 후보'!N543</x:f>
        <x:v>18</x:v>
      </x:c>
      <x:c r="M543" s="2" t="str">
        <x:f>IF(K543=L543,"OK","MISMATCH")</x:f>
        <x:v>OK</x:v>
      </x:c>
    </x:row>
    <x:row r="544">
      <x:c r="A544" s="2" t="str">
        <x:f>'제외 후보'!G544</x:f>
        <x:v>w_10780f6ded8b68bd</x:v>
      </x:c>
      <x:c r="B544" s="11" t="n">
        <x:f>IF('제외 후보'!Q544&lt;&gt;"",'선정 규칙'!$B$4,0)</x:f>
        <x:v>0</x:v>
      </x:c>
      <x:c r="C544" s="11" t="n">
        <x:f>IF(ISNUMBER(SEARCH("jmdict_uncommon_or_irregular",'제외 후보'!P544)),'선정 규칙'!$B$5,IF(ISNUMBER(SEARCH("jmdict_rare_or_dated",'제외 후보'!P544)),'선정 규칙'!$B$6,0))</x:f>
        <x:v>0</x:v>
      </x:c>
      <x:c r="D544" s="11" t="n">
        <x:f>IF(ISNUMBER(SEARCH("jmdict_exact_pair_not_found",'제외 후보'!P544)),'선정 규칙'!$B$7,0)</x:f>
        <x:v>0</x:v>
      </x:c>
      <x:c r="E544" s="11" t="n">
        <x:f>IF(OR('제외 후보'!L544="",'제외 후보'!L544&lt;=0),'선정 규칙'!$B$8,IF('제외 후보'!L544&lt;=1.5,'선정 규칙'!$B$9,IF('제외 후보'!L544&lt;=2,'선정 규칙'!$B$10,IF('제외 후보'!L544&lt;=2.5,'선정 규칙'!$B$11,IF('제외 후보'!L544&lt;=3,'선정 규칙'!$B$12,IF('제외 후보'!L544&lt;=3.5,'선정 규칙'!$B$13,IF('제외 후보'!L544&gt;=4.5,'선정 규칙'!$B$14,0)))))))</x:f>
        <x:v>0</x:v>
      </x:c>
      <x:c r="F544" s="11" t="n">
        <x:f>IF('제외 후보'!Y544=0,'선정 규칙'!$B$15,IF('제외 후보'!Y544&gt;=100,'선정 규칙'!$B$16,'선정 규칙'!$B$17))</x:f>
        <x:v>12</x:v>
      </x:c>
      <x:c r="G544" s="11" t="n">
        <x:f>IF('제외 후보'!M544="있음",'선정 규칙'!$B$18,'선정 규칙'!$B$19)</x:f>
        <x:v>6</x:v>
      </x:c>
      <x:c r="H544" s="11" t="n">
        <x:f>IF(ISNUMBER(SEARCH("freq-core",'제외 후보'!AD544)),'선정 규칙'!$B$20,0)</x:f>
        <x:v>0</x:v>
      </x:c>
      <x:c r="I544" s="11" t="n">
        <x:f>IF(ISNUMBER(SEARCH("weak_legacy_content",'제외 후보'!P544)),'선정 규칙'!$B$21,0)</x:f>
        <x:v>0</x:v>
      </x:c>
      <x:c r="J544" s="11" t="n">
        <x:f>IF('제외 후보'!AC544&lt;&gt;"",'선정 규칙'!$B$22,0)</x:f>
        <x:v>0</x:v>
      </x:c>
      <x:c r="K544" s="11" t="n">
        <x:f>SUM(B544:J544)</x:f>
        <x:v>18</x:v>
      </x:c>
      <x:c r="L544" s="11" t="n">
        <x:f>'제외 후보'!N544</x:f>
        <x:v>18</x:v>
      </x:c>
      <x:c r="M544" s="2" t="str">
        <x:f>IF(K544=L544,"OK","MISMATCH")</x:f>
        <x:v>OK</x:v>
      </x:c>
    </x:row>
    <x:row r="545">
      <x:c r="A545" s="2" t="str">
        <x:f>'제외 후보'!G545</x:f>
        <x:v>w_69d28e85070f97cb</x:v>
      </x:c>
      <x:c r="B545" s="11" t="n">
        <x:f>IF('제외 후보'!Q545&lt;&gt;"",'선정 규칙'!$B$4,0)</x:f>
        <x:v>0</x:v>
      </x:c>
      <x:c r="C545" s="11" t="n">
        <x:f>IF(ISNUMBER(SEARCH("jmdict_uncommon_or_irregular",'제외 후보'!P545)),'선정 규칙'!$B$5,IF(ISNUMBER(SEARCH("jmdict_rare_or_dated",'제외 후보'!P545)),'선정 규칙'!$B$6,0))</x:f>
        <x:v>0</x:v>
      </x:c>
      <x:c r="D545" s="11" t="n">
        <x:f>IF(ISNUMBER(SEARCH("jmdict_exact_pair_not_found",'제외 후보'!P545)),'선정 규칙'!$B$7,0)</x:f>
        <x:v>0</x:v>
      </x:c>
      <x:c r="E545" s="11" t="n">
        <x:f>IF(OR('제외 후보'!L545="",'제외 후보'!L545&lt;=0),'선정 규칙'!$B$8,IF('제외 후보'!L545&lt;=1.5,'선정 규칙'!$B$9,IF('제외 후보'!L545&lt;=2,'선정 규칙'!$B$10,IF('제외 후보'!L545&lt;=2.5,'선정 규칙'!$B$11,IF('제외 후보'!L545&lt;=3,'선정 규칙'!$B$12,IF('제외 후보'!L545&lt;=3.5,'선정 규칙'!$B$13,IF('제외 후보'!L545&gt;=4.5,'선정 규칙'!$B$14,0)))))))</x:f>
        <x:v>0</x:v>
      </x:c>
      <x:c r="F545" s="11" t="n">
        <x:f>IF('제외 후보'!Y545=0,'선정 규칙'!$B$15,IF('제외 후보'!Y545&gt;=100,'선정 규칙'!$B$16,'선정 규칙'!$B$17))</x:f>
        <x:v>12</x:v>
      </x:c>
      <x:c r="G545" s="11" t="n">
        <x:f>IF('제외 후보'!M545="있음",'선정 규칙'!$B$18,'선정 규칙'!$B$19)</x:f>
        <x:v>6</x:v>
      </x:c>
      <x:c r="H545" s="11" t="n">
        <x:f>IF(ISNUMBER(SEARCH("freq-core",'제외 후보'!AD545)),'선정 규칙'!$B$20,0)</x:f>
        <x:v>0</x:v>
      </x:c>
      <x:c r="I545" s="11" t="n">
        <x:f>IF(ISNUMBER(SEARCH("weak_legacy_content",'제외 후보'!P545)),'선정 규칙'!$B$21,0)</x:f>
        <x:v>0</x:v>
      </x:c>
      <x:c r="J545" s="11" t="n">
        <x:f>IF('제외 후보'!AC545&lt;&gt;"",'선정 규칙'!$B$22,0)</x:f>
        <x:v>0</x:v>
      </x:c>
      <x:c r="K545" s="11" t="n">
        <x:f>SUM(B545:J545)</x:f>
        <x:v>18</x:v>
      </x:c>
      <x:c r="L545" s="11" t="n">
        <x:f>'제외 후보'!N545</x:f>
        <x:v>18</x:v>
      </x:c>
      <x:c r="M545" s="2" t="str">
        <x:f>IF(K545=L545,"OK","MISMATCH")</x:f>
        <x:v>OK</x:v>
      </x:c>
    </x:row>
    <x:row r="546">
      <x:c r="A546" s="2" t="str">
        <x:f>'제외 후보'!G546</x:f>
        <x:v>w_b6069a2b4d4b8fe4</x:v>
      </x:c>
      <x:c r="B546" s="11" t="n">
        <x:f>IF('제외 후보'!Q546&lt;&gt;"",'선정 규칙'!$B$4,0)</x:f>
        <x:v>0</x:v>
      </x:c>
      <x:c r="C546" s="11" t="n">
        <x:f>IF(ISNUMBER(SEARCH("jmdict_uncommon_or_irregular",'제외 후보'!P546)),'선정 규칙'!$B$5,IF(ISNUMBER(SEARCH("jmdict_rare_or_dated",'제외 후보'!P546)),'선정 규칙'!$B$6,0))</x:f>
        <x:v>0</x:v>
      </x:c>
      <x:c r="D546" s="11" t="n">
        <x:f>IF(ISNUMBER(SEARCH("jmdict_exact_pair_not_found",'제외 후보'!P546)),'선정 규칙'!$B$7,0)</x:f>
        <x:v>0</x:v>
      </x:c>
      <x:c r="E546" s="11" t="n">
        <x:f>IF(OR('제외 후보'!L546="",'제외 후보'!L546&lt;=0),'선정 규칙'!$B$8,IF('제외 후보'!L546&lt;=1.5,'선정 규칙'!$B$9,IF('제외 후보'!L546&lt;=2,'선정 규칙'!$B$10,IF('제외 후보'!L546&lt;=2.5,'선정 규칙'!$B$11,IF('제외 후보'!L546&lt;=3,'선정 규칙'!$B$12,IF('제외 후보'!L546&lt;=3.5,'선정 규칙'!$B$13,IF('제외 후보'!L546&gt;=4.5,'선정 규칙'!$B$14,0)))))))</x:f>
        <x:v>0</x:v>
      </x:c>
      <x:c r="F546" s="11" t="n">
        <x:f>IF('제외 후보'!Y546=0,'선정 규칙'!$B$15,IF('제외 후보'!Y546&gt;=100,'선정 규칙'!$B$16,'선정 규칙'!$B$17))</x:f>
        <x:v>12</x:v>
      </x:c>
      <x:c r="G546" s="11" t="n">
        <x:f>IF('제외 후보'!M546="있음",'선정 규칙'!$B$18,'선정 규칙'!$B$19)</x:f>
        <x:v>6</x:v>
      </x:c>
      <x:c r="H546" s="11" t="n">
        <x:f>IF(ISNUMBER(SEARCH("freq-core",'제외 후보'!AD546)),'선정 규칙'!$B$20,0)</x:f>
        <x:v>0</x:v>
      </x:c>
      <x:c r="I546" s="11" t="n">
        <x:f>IF(ISNUMBER(SEARCH("weak_legacy_content",'제외 후보'!P546)),'선정 규칙'!$B$21,0)</x:f>
        <x:v>0</x:v>
      </x:c>
      <x:c r="J546" s="11" t="n">
        <x:f>IF('제외 후보'!AC546&lt;&gt;"",'선정 규칙'!$B$22,0)</x:f>
        <x:v>0</x:v>
      </x:c>
      <x:c r="K546" s="11" t="n">
        <x:f>SUM(B546:J546)</x:f>
        <x:v>18</x:v>
      </x:c>
      <x:c r="L546" s="11" t="n">
        <x:f>'제외 후보'!N546</x:f>
        <x:v>18</x:v>
      </x:c>
      <x:c r="M546" s="2" t="str">
        <x:f>IF(K546=L546,"OK","MISMATCH")</x:f>
        <x:v>OK</x:v>
      </x:c>
    </x:row>
    <x:row r="547">
      <x:c r="A547" s="2" t="str">
        <x:f>'제외 후보'!G547</x:f>
        <x:v>w_2cffe27c37de77ad</x:v>
      </x:c>
      <x:c r="B547" s="11" t="n">
        <x:f>IF('제외 후보'!Q547&lt;&gt;"",'선정 규칙'!$B$4,0)</x:f>
        <x:v>0</x:v>
      </x:c>
      <x:c r="C547" s="11" t="n">
        <x:f>IF(ISNUMBER(SEARCH("jmdict_uncommon_or_irregular",'제외 후보'!P547)),'선정 규칙'!$B$5,IF(ISNUMBER(SEARCH("jmdict_rare_or_dated",'제외 후보'!P547)),'선정 규칙'!$B$6,0))</x:f>
        <x:v>0</x:v>
      </x:c>
      <x:c r="D547" s="11" t="n">
        <x:f>IF(ISNUMBER(SEARCH("jmdict_exact_pair_not_found",'제외 후보'!P547)),'선정 규칙'!$B$7,0)</x:f>
        <x:v>0</x:v>
      </x:c>
      <x:c r="E547" s="11" t="n">
        <x:f>IF(OR('제외 후보'!L547="",'제외 후보'!L547&lt;=0),'선정 규칙'!$B$8,IF('제외 후보'!L547&lt;=1.5,'선정 규칙'!$B$9,IF('제외 후보'!L547&lt;=2,'선정 규칙'!$B$10,IF('제외 후보'!L547&lt;=2.5,'선정 규칙'!$B$11,IF('제외 후보'!L547&lt;=3,'선정 규칙'!$B$12,IF('제외 후보'!L547&lt;=3.5,'선정 규칙'!$B$13,IF('제외 후보'!L547&gt;=4.5,'선정 규칙'!$B$14,0)))))))</x:f>
        <x:v>0</x:v>
      </x:c>
      <x:c r="F547" s="11" t="n">
        <x:f>IF('제외 후보'!Y547=0,'선정 규칙'!$B$15,IF('제외 후보'!Y547&gt;=100,'선정 규칙'!$B$16,'선정 규칙'!$B$17))</x:f>
        <x:v>12</x:v>
      </x:c>
      <x:c r="G547" s="11" t="n">
        <x:f>IF('제외 후보'!M547="있음",'선정 규칙'!$B$18,'선정 규칙'!$B$19)</x:f>
        <x:v>6</x:v>
      </x:c>
      <x:c r="H547" s="11" t="n">
        <x:f>IF(ISNUMBER(SEARCH("freq-core",'제외 후보'!AD547)),'선정 규칙'!$B$20,0)</x:f>
        <x:v>0</x:v>
      </x:c>
      <x:c r="I547" s="11" t="n">
        <x:f>IF(ISNUMBER(SEARCH("weak_legacy_content",'제외 후보'!P547)),'선정 규칙'!$B$21,0)</x:f>
        <x:v>0</x:v>
      </x:c>
      <x:c r="J547" s="11" t="n">
        <x:f>IF('제외 후보'!AC547&lt;&gt;"",'선정 규칙'!$B$22,0)</x:f>
        <x:v>0</x:v>
      </x:c>
      <x:c r="K547" s="11" t="n">
        <x:f>SUM(B547:J547)</x:f>
        <x:v>18</x:v>
      </x:c>
      <x:c r="L547" s="11" t="n">
        <x:f>'제외 후보'!N547</x:f>
        <x:v>18</x:v>
      </x:c>
      <x:c r="M547" s="2" t="str">
        <x:f>IF(K547=L547,"OK","MISMATCH")</x:f>
        <x:v>OK</x:v>
      </x:c>
    </x:row>
    <x:row r="548">
      <x:c r="A548" s="2" t="str">
        <x:f>'제외 후보'!G548</x:f>
        <x:v>w_3bb00f4e6b3518da</x:v>
      </x:c>
      <x:c r="B548" s="11" t="n">
        <x:f>IF('제외 후보'!Q548&lt;&gt;"",'선정 규칙'!$B$4,0)</x:f>
        <x:v>0</x:v>
      </x:c>
      <x:c r="C548" s="11" t="n">
        <x:f>IF(ISNUMBER(SEARCH("jmdict_uncommon_or_irregular",'제외 후보'!P548)),'선정 규칙'!$B$5,IF(ISNUMBER(SEARCH("jmdict_rare_or_dated",'제외 후보'!P548)),'선정 규칙'!$B$6,0))</x:f>
        <x:v>0</x:v>
      </x:c>
      <x:c r="D548" s="11" t="n">
        <x:f>IF(ISNUMBER(SEARCH("jmdict_exact_pair_not_found",'제외 후보'!P548)),'선정 규칙'!$B$7,0)</x:f>
        <x:v>0</x:v>
      </x:c>
      <x:c r="E548" s="11" t="n">
        <x:f>IF(OR('제외 후보'!L548="",'제외 후보'!L548&lt;=0),'선정 규칙'!$B$8,IF('제외 후보'!L548&lt;=1.5,'선정 규칙'!$B$9,IF('제외 후보'!L548&lt;=2,'선정 규칙'!$B$10,IF('제외 후보'!L548&lt;=2.5,'선정 규칙'!$B$11,IF('제외 후보'!L548&lt;=3,'선정 규칙'!$B$12,IF('제외 후보'!L548&lt;=3.5,'선정 규칙'!$B$13,IF('제외 후보'!L548&gt;=4.5,'선정 규칙'!$B$14,0)))))))</x:f>
        <x:v>0</x:v>
      </x:c>
      <x:c r="F548" s="11" t="n">
        <x:f>IF('제외 후보'!Y548=0,'선정 규칙'!$B$15,IF('제외 후보'!Y548&gt;=100,'선정 규칙'!$B$16,'선정 규칙'!$B$17))</x:f>
        <x:v>12</x:v>
      </x:c>
      <x:c r="G548" s="11" t="n">
        <x:f>IF('제외 후보'!M548="있음",'선정 규칙'!$B$18,'선정 규칙'!$B$19)</x:f>
        <x:v>6</x:v>
      </x:c>
      <x:c r="H548" s="11" t="n">
        <x:f>IF(ISNUMBER(SEARCH("freq-core",'제외 후보'!AD548)),'선정 규칙'!$B$20,0)</x:f>
        <x:v>0</x:v>
      </x:c>
      <x:c r="I548" s="11" t="n">
        <x:f>IF(ISNUMBER(SEARCH("weak_legacy_content",'제외 후보'!P548)),'선정 규칙'!$B$21,0)</x:f>
        <x:v>0</x:v>
      </x:c>
      <x:c r="J548" s="11" t="n">
        <x:f>IF('제외 후보'!AC548&lt;&gt;"",'선정 규칙'!$B$22,0)</x:f>
        <x:v>0</x:v>
      </x:c>
      <x:c r="K548" s="11" t="n">
        <x:f>SUM(B548:J548)</x:f>
        <x:v>18</x:v>
      </x:c>
      <x:c r="L548" s="11" t="n">
        <x:f>'제외 후보'!N548</x:f>
        <x:v>18</x:v>
      </x:c>
      <x:c r="M548" s="2" t="str">
        <x:f>IF(K548=L548,"OK","MISMATCH")</x:f>
        <x:v>OK</x:v>
      </x:c>
    </x:row>
    <x:row r="549">
      <x:c r="A549" s="2" t="str">
        <x:f>'제외 후보'!G549</x:f>
        <x:v>w_6f016ba1c9fb2b8d</x:v>
      </x:c>
      <x:c r="B549" s="11" t="n">
        <x:f>IF('제외 후보'!Q549&lt;&gt;"",'선정 규칙'!$B$4,0)</x:f>
        <x:v>0</x:v>
      </x:c>
      <x:c r="C549" s="11" t="n">
        <x:f>IF(ISNUMBER(SEARCH("jmdict_uncommon_or_irregular",'제외 후보'!P549)),'선정 규칙'!$B$5,IF(ISNUMBER(SEARCH("jmdict_rare_or_dated",'제외 후보'!P549)),'선정 규칙'!$B$6,0))</x:f>
        <x:v>0</x:v>
      </x:c>
      <x:c r="D549" s="11" t="n">
        <x:f>IF(ISNUMBER(SEARCH("jmdict_exact_pair_not_found",'제외 후보'!P549)),'선정 규칙'!$B$7,0)</x:f>
        <x:v>0</x:v>
      </x:c>
      <x:c r="E549" s="11" t="n">
        <x:f>IF(OR('제외 후보'!L549="",'제외 후보'!L549&lt;=0),'선정 규칙'!$B$8,IF('제외 후보'!L549&lt;=1.5,'선정 규칙'!$B$9,IF('제외 후보'!L549&lt;=2,'선정 규칙'!$B$10,IF('제외 후보'!L549&lt;=2.5,'선정 규칙'!$B$11,IF('제외 후보'!L549&lt;=3,'선정 규칙'!$B$12,IF('제외 후보'!L549&lt;=3.5,'선정 규칙'!$B$13,IF('제외 후보'!L549&gt;=4.5,'선정 규칙'!$B$14,0)))))))</x:f>
        <x:v>0</x:v>
      </x:c>
      <x:c r="F549" s="11" t="n">
        <x:f>IF('제외 후보'!Y549=0,'선정 규칙'!$B$15,IF('제외 후보'!Y549&gt;=100,'선정 규칙'!$B$16,'선정 규칙'!$B$17))</x:f>
        <x:v>12</x:v>
      </x:c>
      <x:c r="G549" s="11" t="n">
        <x:f>IF('제외 후보'!M549="있음",'선정 규칙'!$B$18,'선정 규칙'!$B$19)</x:f>
        <x:v>6</x:v>
      </x:c>
      <x:c r="H549" s="11" t="n">
        <x:f>IF(ISNUMBER(SEARCH("freq-core",'제외 후보'!AD549)),'선정 규칙'!$B$20,0)</x:f>
        <x:v>0</x:v>
      </x:c>
      <x:c r="I549" s="11" t="n">
        <x:f>IF(ISNUMBER(SEARCH("weak_legacy_content",'제외 후보'!P549)),'선정 규칙'!$B$21,0)</x:f>
        <x:v>0</x:v>
      </x:c>
      <x:c r="J549" s="11" t="n">
        <x:f>IF('제외 후보'!AC549&lt;&gt;"",'선정 규칙'!$B$22,0)</x:f>
        <x:v>0</x:v>
      </x:c>
      <x:c r="K549" s="11" t="n">
        <x:f>SUM(B549:J549)</x:f>
        <x:v>18</x:v>
      </x:c>
      <x:c r="L549" s="11" t="n">
        <x:f>'제외 후보'!N549</x:f>
        <x:v>18</x:v>
      </x:c>
      <x:c r="M549" s="2" t="str">
        <x:f>IF(K549=L549,"OK","MISMATCH")</x:f>
        <x:v>OK</x:v>
      </x:c>
    </x:row>
    <x:row r="550">
      <x:c r="A550" s="2" t="str">
        <x:f>'제외 후보'!G550</x:f>
        <x:v>w_68b2b28244f5b063</x:v>
      </x:c>
      <x:c r="B550" s="11" t="n">
        <x:f>IF('제외 후보'!Q550&lt;&gt;"",'선정 규칙'!$B$4,0)</x:f>
        <x:v>0</x:v>
      </x:c>
      <x:c r="C550" s="11" t="n">
        <x:f>IF(ISNUMBER(SEARCH("jmdict_uncommon_or_irregular",'제외 후보'!P550)),'선정 규칙'!$B$5,IF(ISNUMBER(SEARCH("jmdict_rare_or_dated",'제외 후보'!P550)),'선정 규칙'!$B$6,0))</x:f>
        <x:v>0</x:v>
      </x:c>
      <x:c r="D550" s="11" t="n">
        <x:f>IF(ISNUMBER(SEARCH("jmdict_exact_pair_not_found",'제외 후보'!P550)),'선정 규칙'!$B$7,0)</x:f>
        <x:v>0</x:v>
      </x:c>
      <x:c r="E550" s="11" t="n">
        <x:f>IF(OR('제외 후보'!L550="",'제외 후보'!L550&lt;=0),'선정 규칙'!$B$8,IF('제외 후보'!L550&lt;=1.5,'선정 규칙'!$B$9,IF('제외 후보'!L550&lt;=2,'선정 규칙'!$B$10,IF('제외 후보'!L550&lt;=2.5,'선정 규칙'!$B$11,IF('제외 후보'!L550&lt;=3,'선정 규칙'!$B$12,IF('제외 후보'!L550&lt;=3.5,'선정 규칙'!$B$13,IF('제외 후보'!L550&gt;=4.5,'선정 규칙'!$B$14,0)))))))</x:f>
        <x:v>0</x:v>
      </x:c>
      <x:c r="F550" s="11" t="n">
        <x:f>IF('제외 후보'!Y550=0,'선정 규칙'!$B$15,IF('제외 후보'!Y550&gt;=100,'선정 규칙'!$B$16,'선정 규칙'!$B$17))</x:f>
        <x:v>12</x:v>
      </x:c>
      <x:c r="G550" s="11" t="n">
        <x:f>IF('제외 후보'!M550="있음",'선정 규칙'!$B$18,'선정 규칙'!$B$19)</x:f>
        <x:v>6</x:v>
      </x:c>
      <x:c r="H550" s="11" t="n">
        <x:f>IF(ISNUMBER(SEARCH("freq-core",'제외 후보'!AD550)),'선정 규칙'!$B$20,0)</x:f>
        <x:v>0</x:v>
      </x:c>
      <x:c r="I550" s="11" t="n">
        <x:f>IF(ISNUMBER(SEARCH("weak_legacy_content",'제외 후보'!P550)),'선정 규칙'!$B$21,0)</x:f>
        <x:v>0</x:v>
      </x:c>
      <x:c r="J550" s="11" t="n">
        <x:f>IF('제외 후보'!AC550&lt;&gt;"",'선정 규칙'!$B$22,0)</x:f>
        <x:v>0</x:v>
      </x:c>
      <x:c r="K550" s="11" t="n">
        <x:f>SUM(B550:J550)</x:f>
        <x:v>18</x:v>
      </x:c>
      <x:c r="L550" s="11" t="n">
        <x:f>'제외 후보'!N550</x:f>
        <x:v>18</x:v>
      </x:c>
      <x:c r="M550" s="2" t="str">
        <x:f>IF(K550=L550,"OK","MISMATCH")</x:f>
        <x:v>OK</x:v>
      </x:c>
    </x:row>
    <x:row r="551">
      <x:c r="A551" s="2" t="str">
        <x:f>'제외 후보'!G551</x:f>
        <x:v>w_0749cb9bf874ff70</x:v>
      </x:c>
      <x:c r="B551" s="11" t="n">
        <x:f>IF('제외 후보'!Q551&lt;&gt;"",'선정 규칙'!$B$4,0)</x:f>
        <x:v>0</x:v>
      </x:c>
      <x:c r="C551" s="11" t="n">
        <x:f>IF(ISNUMBER(SEARCH("jmdict_uncommon_or_irregular",'제외 후보'!P551)),'선정 규칙'!$B$5,IF(ISNUMBER(SEARCH("jmdict_rare_or_dated",'제외 후보'!P551)),'선정 규칙'!$B$6,0))</x:f>
        <x:v>0</x:v>
      </x:c>
      <x:c r="D551" s="11" t="n">
        <x:f>IF(ISNUMBER(SEARCH("jmdict_exact_pair_not_found",'제외 후보'!P551)),'선정 규칙'!$B$7,0)</x:f>
        <x:v>0</x:v>
      </x:c>
      <x:c r="E551" s="11" t="n">
        <x:f>IF(OR('제외 후보'!L551="",'제외 후보'!L551&lt;=0),'선정 규칙'!$B$8,IF('제외 후보'!L551&lt;=1.5,'선정 규칙'!$B$9,IF('제외 후보'!L551&lt;=2,'선정 규칙'!$B$10,IF('제외 후보'!L551&lt;=2.5,'선정 규칙'!$B$11,IF('제외 후보'!L551&lt;=3,'선정 규칙'!$B$12,IF('제외 후보'!L551&lt;=3.5,'선정 규칙'!$B$13,IF('제외 후보'!L551&gt;=4.5,'선정 규칙'!$B$14,0)))))))</x:f>
        <x:v>0</x:v>
      </x:c>
      <x:c r="F551" s="11" t="n">
        <x:f>IF('제외 후보'!Y551=0,'선정 규칙'!$B$15,IF('제외 후보'!Y551&gt;=100,'선정 규칙'!$B$16,'선정 규칙'!$B$17))</x:f>
        <x:v>12</x:v>
      </x:c>
      <x:c r="G551" s="11" t="n">
        <x:f>IF('제외 후보'!M551="있음",'선정 규칙'!$B$18,'선정 규칙'!$B$19)</x:f>
        <x:v>6</x:v>
      </x:c>
      <x:c r="H551" s="11" t="n">
        <x:f>IF(ISNUMBER(SEARCH("freq-core",'제외 후보'!AD551)),'선정 규칙'!$B$20,0)</x:f>
        <x:v>0</x:v>
      </x:c>
      <x:c r="I551" s="11" t="n">
        <x:f>IF(ISNUMBER(SEARCH("weak_legacy_content",'제외 후보'!P551)),'선정 규칙'!$B$21,0)</x:f>
        <x:v>0</x:v>
      </x:c>
      <x:c r="J551" s="11" t="n">
        <x:f>IF('제외 후보'!AC551&lt;&gt;"",'선정 규칙'!$B$22,0)</x:f>
        <x:v>0</x:v>
      </x:c>
      <x:c r="K551" s="11" t="n">
        <x:f>SUM(B551:J551)</x:f>
        <x:v>18</x:v>
      </x:c>
      <x:c r="L551" s="11" t="n">
        <x:f>'제외 후보'!N551</x:f>
        <x:v>18</x:v>
      </x:c>
      <x:c r="M551" s="2" t="str">
        <x:f>IF(K551=L551,"OK","MISMATCH")</x:f>
        <x:v>OK</x:v>
      </x:c>
    </x:row>
    <x:row r="552">
      <x:c r="A552" s="2" t="str">
        <x:f>'제외 후보'!G552</x:f>
        <x:v>w_b685e7abbe1567a6</x:v>
      </x:c>
      <x:c r="B552" s="11" t="n">
        <x:f>IF('제외 후보'!Q552&lt;&gt;"",'선정 규칙'!$B$4,0)</x:f>
        <x:v>60</x:v>
      </x:c>
      <x:c r="C552" s="11" t="n">
        <x:f>IF(ISNUMBER(SEARCH("jmdict_uncommon_or_irregular",'제외 후보'!P552)),'선정 규칙'!$B$5,IF(ISNUMBER(SEARCH("jmdict_rare_or_dated",'제외 후보'!P552)),'선정 규칙'!$B$6,0))</x:f>
        <x:v>0</x:v>
      </x:c>
      <x:c r="D552" s="11" t="n">
        <x:f>IF(ISNUMBER(SEARCH("jmdict_exact_pair_not_found",'제외 후보'!P552)),'선정 규칙'!$B$7,0)</x:f>
        <x:v>0</x:v>
      </x:c>
      <x:c r="E552" s="11" t="n">
        <x:f>IF(OR('제외 후보'!L552="",'제외 후보'!L552&lt;=0),'선정 규칙'!$B$8,IF('제외 후보'!L552&lt;=1.5,'선정 규칙'!$B$9,IF('제외 후보'!L552&lt;=2,'선정 규칙'!$B$10,IF('제외 후보'!L552&lt;=2.5,'선정 규칙'!$B$11,IF('제외 후보'!L552&lt;=3,'선정 규칙'!$B$12,IF('제외 후보'!L552&lt;=3.5,'선정 규칙'!$B$13,IF('제외 후보'!L552&gt;=4.5,'선정 규칙'!$B$14,0)))))))</x:f>
        <x:v>6</x:v>
      </x:c>
      <x:c r="F552" s="11" t="n">
        <x:f>IF('제외 후보'!Y552=0,'선정 규칙'!$B$15,IF('제외 후보'!Y552&gt;=100,'선정 규칙'!$B$16,'선정 규칙'!$B$17))</x:f>
        <x:v>-25</x:v>
      </x:c>
      <x:c r="G552" s="11" t="n">
        <x:f>IF('제외 후보'!M552="있음",'선정 규칙'!$B$18,'선정 규칙'!$B$19)</x:f>
        <x:v>6</x:v>
      </x:c>
      <x:c r="H552" s="11" t="n">
        <x:f>IF(ISNUMBER(SEARCH("freq-core",'제외 후보'!AD552)),'선정 규칙'!$B$20,0)</x:f>
        <x:v>-30</x:v>
      </x:c>
      <x:c r="I552" s="11" t="n">
        <x:f>IF(ISNUMBER(SEARCH("weak_legacy_content",'제외 후보'!P552)),'선정 규칙'!$B$21,0)</x:f>
        <x:v>0</x:v>
      </x:c>
      <x:c r="J552" s="11" t="n">
        <x:f>IF('제외 후보'!AC552&lt;&gt;"",'선정 규칙'!$B$22,0)</x:f>
        <x:v>0</x:v>
      </x:c>
      <x:c r="K552" s="11" t="n">
        <x:f>SUM(B552:J552)</x:f>
        <x:v>17</x:v>
      </x:c>
      <x:c r="L552" s="11" t="n">
        <x:f>'제외 후보'!N552</x:f>
        <x:v>17</x:v>
      </x:c>
      <x:c r="M552" s="2" t="str">
        <x:f>IF(K552=L552,"OK","MISMATCH")</x:f>
        <x:v>OK</x:v>
      </x:c>
    </x:row>
    <x:row r="553">
      <x:c r="A553" s="2" t="str">
        <x:f>'제외 후보'!G553</x:f>
        <x:v>w_1ad8082c21023f77</x:v>
      </x:c>
      <x:c r="B553" s="11" t="n">
        <x:f>IF('제외 후보'!Q553&lt;&gt;"",'선정 규칙'!$B$4,0)</x:f>
        <x:v>0</x:v>
      </x:c>
      <x:c r="C553" s="11" t="n">
        <x:f>IF(ISNUMBER(SEARCH("jmdict_uncommon_or_irregular",'제외 후보'!P553)),'선정 규칙'!$B$5,IF(ISNUMBER(SEARCH("jmdict_rare_or_dated",'제외 후보'!P553)),'선정 규칙'!$B$6,0))</x:f>
        <x:v>0</x:v>
      </x:c>
      <x:c r="D553" s="11" t="n">
        <x:f>IF(ISNUMBER(SEARCH("jmdict_exact_pair_not_found",'제외 후보'!P553)),'선정 규칙'!$B$7,0)</x:f>
        <x:v>0</x:v>
      </x:c>
      <x:c r="E553" s="11" t="n">
        <x:f>IF(OR('제외 후보'!L553="",'제외 후보'!L553&lt;=0),'선정 규칙'!$B$8,IF('제외 후보'!L553&lt;=1.5,'선정 규칙'!$B$9,IF('제외 후보'!L553&lt;=2,'선정 규칙'!$B$10,IF('제외 후보'!L553&lt;=2.5,'선정 규칙'!$B$11,IF('제외 후보'!L553&lt;=3,'선정 규칙'!$B$12,IF('제외 후보'!L553&lt;=3.5,'선정 규칙'!$B$13,IF('제외 후보'!L553&gt;=4.5,'선정 규칙'!$B$14,0)))))))</x:f>
        <x:v>20</x:v>
      </x:c>
      <x:c r="F553" s="11" t="n">
        <x:f>IF('제외 후보'!Y553=0,'선정 규칙'!$B$15,IF('제외 후보'!Y553&gt;=100,'선정 규칙'!$B$16,'선정 규칙'!$B$17))</x:f>
        <x:v>-25</x:v>
      </x:c>
      <x:c r="G553" s="11" t="n">
        <x:f>IF('제외 후보'!M553="있음",'선정 규칙'!$B$18,'선정 규칙'!$B$19)</x:f>
        <x:v>6</x:v>
      </x:c>
      <x:c r="H553" s="11" t="n">
        <x:f>IF(ISNUMBER(SEARCH("freq-core",'제외 후보'!AD553)),'선정 규칙'!$B$20,0)</x:f>
        <x:v>0</x:v>
      </x:c>
      <x:c r="I553" s="11" t="n">
        <x:f>IF(ISNUMBER(SEARCH("weak_legacy_content",'제외 후보'!P553)),'선정 규칙'!$B$21,0)</x:f>
        <x:v>5</x:v>
      </x:c>
      <x:c r="J553" s="11" t="n">
        <x:f>IF('제외 후보'!AC553&lt;&gt;"",'선정 규칙'!$B$22,0)</x:f>
        <x:v>10</x:v>
      </x:c>
      <x:c r="K553" s="11" t="n">
        <x:f>SUM(B553:J553)</x:f>
        <x:v>16</x:v>
      </x:c>
      <x:c r="L553" s="11" t="n">
        <x:f>'제외 후보'!N553</x:f>
        <x:v>16</x:v>
      </x:c>
      <x:c r="M553" s="2" t="str">
        <x:f>IF(K553=L553,"OK","MISMATCH")</x:f>
        <x:v>OK</x:v>
      </x:c>
    </x:row>
    <x:row r="554">
      <x:c r="A554" s="2" t="str">
        <x:f>'제외 후보'!G554</x:f>
        <x:v>w_cf3d0b52a7f2a0ed</x:v>
      </x:c>
      <x:c r="B554" s="11" t="n">
        <x:f>IF('제외 후보'!Q554&lt;&gt;"",'선정 규칙'!$B$4,0)</x:f>
        <x:v>0</x:v>
      </x:c>
      <x:c r="C554" s="11" t="n">
        <x:f>IF(ISNUMBER(SEARCH("jmdict_uncommon_or_irregular",'제외 후보'!P554)),'선정 규칙'!$B$5,IF(ISNUMBER(SEARCH("jmdict_rare_or_dated",'제외 후보'!P554)),'선정 규칙'!$B$6,0))</x:f>
        <x:v>0</x:v>
      </x:c>
      <x:c r="D554" s="11" t="n">
        <x:f>IF(ISNUMBER(SEARCH("jmdict_exact_pair_not_found",'제외 후보'!P554)),'선정 규칙'!$B$7,0)</x:f>
        <x:v>0</x:v>
      </x:c>
      <x:c r="E554" s="11" t="n">
        <x:f>IF(OR('제외 후보'!L554="",'제외 후보'!L554&lt;=0),'선정 규칙'!$B$8,IF('제외 후보'!L554&lt;=1.5,'선정 규칙'!$B$9,IF('제외 후보'!L554&lt;=2,'선정 규칙'!$B$10,IF('제외 후보'!L554&lt;=2.5,'선정 규칙'!$B$11,IF('제외 후보'!L554&lt;=3,'선정 규칙'!$B$12,IF('제외 후보'!L554&lt;=3.5,'선정 규칙'!$B$13,IF('제외 후보'!L554&gt;=4.5,'선정 규칙'!$B$14,0)))))))</x:f>
        <x:v>20</x:v>
      </x:c>
      <x:c r="F554" s="11" t="n">
        <x:f>IF('제외 후보'!Y554=0,'선정 규칙'!$B$15,IF('제외 후보'!Y554&gt;=100,'선정 규칙'!$B$16,'선정 규칙'!$B$17))</x:f>
        <x:v>-25</x:v>
      </x:c>
      <x:c r="G554" s="11" t="n">
        <x:f>IF('제외 후보'!M554="있음",'선정 규칙'!$B$18,'선정 규칙'!$B$19)</x:f>
        <x:v>6</x:v>
      </x:c>
      <x:c r="H554" s="11" t="n">
        <x:f>IF(ISNUMBER(SEARCH("freq-core",'제외 후보'!AD554)),'선정 규칙'!$B$20,0)</x:f>
        <x:v>0</x:v>
      </x:c>
      <x:c r="I554" s="11" t="n">
        <x:f>IF(ISNUMBER(SEARCH("weak_legacy_content",'제외 후보'!P554)),'선정 규칙'!$B$21,0)</x:f>
        <x:v>5</x:v>
      </x:c>
      <x:c r="J554" s="11" t="n">
        <x:f>IF('제외 후보'!AC554&lt;&gt;"",'선정 규칙'!$B$22,0)</x:f>
        <x:v>10</x:v>
      </x:c>
      <x:c r="K554" s="11" t="n">
        <x:f>SUM(B554:J554)</x:f>
        <x:v>16</x:v>
      </x:c>
      <x:c r="L554" s="11" t="n">
        <x:f>'제외 후보'!N554</x:f>
        <x:v>16</x:v>
      </x:c>
      <x:c r="M554" s="2" t="str">
        <x:f>IF(K554=L554,"OK","MISMATCH")</x:f>
        <x:v>OK</x:v>
      </x:c>
    </x:row>
    <x:row r="555">
      <x:c r="A555" s="2" t="str">
        <x:f>'제외 후보'!G555</x:f>
        <x:v>w_a323edda92215423</x:v>
      </x:c>
      <x:c r="B555" s="11" t="n">
        <x:f>IF('제외 후보'!Q555&lt;&gt;"",'선정 규칙'!$B$4,0)</x:f>
        <x:v>0</x:v>
      </x:c>
      <x:c r="C555" s="11" t="n">
        <x:f>IF(ISNUMBER(SEARCH("jmdict_uncommon_or_irregular",'제외 후보'!P555)),'선정 규칙'!$B$5,IF(ISNUMBER(SEARCH("jmdict_rare_or_dated",'제외 후보'!P555)),'선정 규칙'!$B$6,0))</x:f>
        <x:v>0</x:v>
      </x:c>
      <x:c r="D555" s="11" t="n">
        <x:f>IF(ISNUMBER(SEARCH("jmdict_exact_pair_not_found",'제외 후보'!P555)),'선정 규칙'!$B$7,0)</x:f>
        <x:v>0</x:v>
      </x:c>
      <x:c r="E555" s="11" t="n">
        <x:f>IF(OR('제외 후보'!L555="",'제외 후보'!L555&lt;=0),'선정 규칙'!$B$8,IF('제외 후보'!L555&lt;=1.5,'선정 규칙'!$B$9,IF('제외 후보'!L555&lt;=2,'선정 규칙'!$B$10,IF('제외 후보'!L555&lt;=2.5,'선정 규칙'!$B$11,IF('제외 후보'!L555&lt;=3,'선정 규칙'!$B$12,IF('제외 후보'!L555&lt;=3.5,'선정 규칙'!$B$13,IF('제외 후보'!L555&gt;=4.5,'선정 규칙'!$B$14,0)))))))</x:f>
        <x:v>20</x:v>
      </x:c>
      <x:c r="F555" s="11" t="n">
        <x:f>IF('제외 후보'!Y555=0,'선정 규칙'!$B$15,IF('제외 후보'!Y555&gt;=100,'선정 규칙'!$B$16,'선정 규칙'!$B$17))</x:f>
        <x:v>-25</x:v>
      </x:c>
      <x:c r="G555" s="11" t="n">
        <x:f>IF('제외 후보'!M555="있음",'선정 규칙'!$B$18,'선정 규칙'!$B$19)</x:f>
        <x:v>6</x:v>
      </x:c>
      <x:c r="H555" s="11" t="n">
        <x:f>IF(ISNUMBER(SEARCH("freq-core",'제외 후보'!AD555)),'선정 규칙'!$B$20,0)</x:f>
        <x:v>0</x:v>
      </x:c>
      <x:c r="I555" s="11" t="n">
        <x:f>IF(ISNUMBER(SEARCH("weak_legacy_content",'제외 후보'!P555)),'선정 규칙'!$B$21,0)</x:f>
        <x:v>5</x:v>
      </x:c>
      <x:c r="J555" s="11" t="n">
        <x:f>IF('제외 후보'!AC555&lt;&gt;"",'선정 규칙'!$B$22,0)</x:f>
        <x:v>10</x:v>
      </x:c>
      <x:c r="K555" s="11" t="n">
        <x:f>SUM(B555:J555)</x:f>
        <x:v>16</x:v>
      </x:c>
      <x:c r="L555" s="11" t="n">
        <x:f>'제외 후보'!N555</x:f>
        <x:v>16</x:v>
      </x:c>
      <x:c r="M555" s="2" t="str">
        <x:f>IF(K555=L555,"OK","MISMATCH")</x:f>
        <x:v>OK</x:v>
      </x:c>
    </x:row>
    <x:row r="556">
      <x:c r="A556" s="2" t="str">
        <x:f>'제외 후보'!G556</x:f>
        <x:v>w_f84a74afe82e20f1</x:v>
      </x:c>
      <x:c r="B556" s="11" t="n">
        <x:f>IF('제외 후보'!Q556&lt;&gt;"",'선정 규칙'!$B$4,0)</x:f>
        <x:v>0</x:v>
      </x:c>
      <x:c r="C556" s="11" t="n">
        <x:f>IF(ISNUMBER(SEARCH("jmdict_uncommon_or_irregular",'제외 후보'!P556)),'선정 규칙'!$B$5,IF(ISNUMBER(SEARCH("jmdict_rare_or_dated",'제외 후보'!P556)),'선정 규칙'!$B$6,0))</x:f>
        <x:v>0</x:v>
      </x:c>
      <x:c r="D556" s="11" t="n">
        <x:f>IF(ISNUMBER(SEARCH("jmdict_exact_pair_not_found",'제외 후보'!P556)),'선정 규칙'!$B$7,0)</x:f>
        <x:v>0</x:v>
      </x:c>
      <x:c r="E556" s="11" t="n">
        <x:f>IF(OR('제외 후보'!L556="",'제외 후보'!L556&lt;=0),'선정 규칙'!$B$8,IF('제외 후보'!L556&lt;=1.5,'선정 규칙'!$B$9,IF('제외 후보'!L556&lt;=2,'선정 규칙'!$B$10,IF('제외 후보'!L556&lt;=2.5,'선정 규칙'!$B$11,IF('제외 후보'!L556&lt;=3,'선정 규칙'!$B$12,IF('제외 후보'!L556&lt;=3.5,'선정 규칙'!$B$13,IF('제외 후보'!L556&gt;=4.5,'선정 규칙'!$B$14,0)))))))</x:f>
        <x:v>20</x:v>
      </x:c>
      <x:c r="F556" s="11" t="n">
        <x:f>IF('제외 후보'!Y556=0,'선정 규칙'!$B$15,IF('제외 후보'!Y556&gt;=100,'선정 규칙'!$B$16,'선정 규칙'!$B$17))</x:f>
        <x:v>-25</x:v>
      </x:c>
      <x:c r="G556" s="11" t="n">
        <x:f>IF('제외 후보'!M556="있음",'선정 규칙'!$B$18,'선정 규칙'!$B$19)</x:f>
        <x:v>6</x:v>
      </x:c>
      <x:c r="H556" s="11" t="n">
        <x:f>IF(ISNUMBER(SEARCH("freq-core",'제외 후보'!AD556)),'선정 규칙'!$B$20,0)</x:f>
        <x:v>0</x:v>
      </x:c>
      <x:c r="I556" s="11" t="n">
        <x:f>IF(ISNUMBER(SEARCH("weak_legacy_content",'제외 후보'!P556)),'선정 규칙'!$B$21,0)</x:f>
        <x:v>5</x:v>
      </x:c>
      <x:c r="J556" s="11" t="n">
        <x:f>IF('제외 후보'!AC556&lt;&gt;"",'선정 규칙'!$B$22,0)</x:f>
        <x:v>10</x:v>
      </x:c>
      <x:c r="K556" s="11" t="n">
        <x:f>SUM(B556:J556)</x:f>
        <x:v>16</x:v>
      </x:c>
      <x:c r="L556" s="11" t="n">
        <x:f>'제외 후보'!N556</x:f>
        <x:v>16</x:v>
      </x:c>
      <x:c r="M556" s="2" t="str">
        <x:f>IF(K556=L556,"OK","MISMATCH")</x:f>
        <x:v>OK</x:v>
      </x:c>
    </x:row>
    <x:row r="557">
      <x:c r="A557" s="2" t="str">
        <x:f>'제외 후보'!G557</x:f>
        <x:v>w_48a9bf334073e183</x:v>
      </x:c>
      <x:c r="B557" s="11" t="n">
        <x:f>IF('제외 후보'!Q557&lt;&gt;"",'선정 규칙'!$B$4,0)</x:f>
        <x:v>0</x:v>
      </x:c>
      <x:c r="C557" s="11" t="n">
        <x:f>IF(ISNUMBER(SEARCH("jmdict_uncommon_or_irregular",'제외 후보'!P557)),'선정 규칙'!$B$5,IF(ISNUMBER(SEARCH("jmdict_rare_or_dated",'제외 후보'!P557)),'선정 규칙'!$B$6,0))</x:f>
        <x:v>0</x:v>
      </x:c>
      <x:c r="D557" s="11" t="n">
        <x:f>IF(ISNUMBER(SEARCH("jmdict_exact_pair_not_found",'제외 후보'!P557)),'선정 규칙'!$B$7,0)</x:f>
        <x:v>0</x:v>
      </x:c>
      <x:c r="E557" s="11" t="n">
        <x:f>IF(OR('제외 후보'!L557="",'제외 후보'!L557&lt;=0),'선정 규칙'!$B$8,IF('제외 후보'!L557&lt;=1.5,'선정 규칙'!$B$9,IF('제외 후보'!L557&lt;=2,'선정 규칙'!$B$10,IF('제외 후보'!L557&lt;=2.5,'선정 규칙'!$B$11,IF('제외 후보'!L557&lt;=3,'선정 규칙'!$B$12,IF('제외 후보'!L557&lt;=3.5,'선정 규칙'!$B$13,IF('제외 후보'!L557&gt;=4.5,'선정 규칙'!$B$14,0)))))))</x:f>
        <x:v>20</x:v>
      </x:c>
      <x:c r="F557" s="11" t="n">
        <x:f>IF('제외 후보'!Y557=0,'선정 규칙'!$B$15,IF('제외 후보'!Y557&gt;=100,'선정 규칙'!$B$16,'선정 규칙'!$B$17))</x:f>
        <x:v>-25</x:v>
      </x:c>
      <x:c r="G557" s="11" t="n">
        <x:f>IF('제외 후보'!M557="있음",'선정 규칙'!$B$18,'선정 규칙'!$B$19)</x:f>
        <x:v>6</x:v>
      </x:c>
      <x:c r="H557" s="11" t="n">
        <x:f>IF(ISNUMBER(SEARCH("freq-core",'제외 후보'!AD557)),'선정 규칙'!$B$20,0)</x:f>
        <x:v>0</x:v>
      </x:c>
      <x:c r="I557" s="11" t="n">
        <x:f>IF(ISNUMBER(SEARCH("weak_legacy_content",'제외 후보'!P557)),'선정 규칙'!$B$21,0)</x:f>
        <x:v>5</x:v>
      </x:c>
      <x:c r="J557" s="11" t="n">
        <x:f>IF('제외 후보'!AC557&lt;&gt;"",'선정 규칙'!$B$22,0)</x:f>
        <x:v>10</x:v>
      </x:c>
      <x:c r="K557" s="11" t="n">
        <x:f>SUM(B557:J557)</x:f>
        <x:v>16</x:v>
      </x:c>
      <x:c r="L557" s="11" t="n">
        <x:f>'제외 후보'!N557</x:f>
        <x:v>16</x:v>
      </x:c>
      <x:c r="M557" s="2" t="str">
        <x:f>IF(K557=L557,"OK","MISMATCH")</x:f>
        <x:v>OK</x:v>
      </x:c>
    </x:row>
    <x:row r="558">
      <x:c r="A558" s="2" t="str">
        <x:f>'제외 후보'!G558</x:f>
        <x:v>w_f2c5800b47db89d8</x:v>
      </x:c>
      <x:c r="B558" s="11" t="n">
        <x:f>IF('제외 후보'!Q558&lt;&gt;"",'선정 규칙'!$B$4,0)</x:f>
        <x:v>0</x:v>
      </x:c>
      <x:c r="C558" s="11" t="n">
        <x:f>IF(ISNUMBER(SEARCH("jmdict_uncommon_or_irregular",'제외 후보'!P558)),'선정 규칙'!$B$5,IF(ISNUMBER(SEARCH("jmdict_rare_or_dated",'제외 후보'!P558)),'선정 규칙'!$B$6,0))</x:f>
        <x:v>0</x:v>
      </x:c>
      <x:c r="D558" s="11" t="n">
        <x:f>IF(ISNUMBER(SEARCH("jmdict_exact_pair_not_found",'제외 후보'!P558)),'선정 규칙'!$B$7,0)</x:f>
        <x:v>0</x:v>
      </x:c>
      <x:c r="E558" s="11" t="n">
        <x:f>IF(OR('제외 후보'!L558="",'제외 후보'!L558&lt;=0),'선정 규칙'!$B$8,IF('제외 후보'!L558&lt;=1.5,'선정 규칙'!$B$9,IF('제외 후보'!L558&lt;=2,'선정 규칙'!$B$10,IF('제외 후보'!L558&lt;=2.5,'선정 규칙'!$B$11,IF('제외 후보'!L558&lt;=3,'선정 규칙'!$B$12,IF('제외 후보'!L558&lt;=3.5,'선정 규칙'!$B$13,IF('제외 후보'!L558&gt;=4.5,'선정 규칙'!$B$14,0)))))))</x:f>
        <x:v>20</x:v>
      </x:c>
      <x:c r="F558" s="11" t="n">
        <x:f>IF('제외 후보'!Y558=0,'선정 규칙'!$B$15,IF('제외 후보'!Y558&gt;=100,'선정 규칙'!$B$16,'선정 규칙'!$B$17))</x:f>
        <x:v>-25</x:v>
      </x:c>
      <x:c r="G558" s="11" t="n">
        <x:f>IF('제외 후보'!M558="있음",'선정 규칙'!$B$18,'선정 규칙'!$B$19)</x:f>
        <x:v>6</x:v>
      </x:c>
      <x:c r="H558" s="11" t="n">
        <x:f>IF(ISNUMBER(SEARCH("freq-core",'제외 후보'!AD558)),'선정 규칙'!$B$20,0)</x:f>
        <x:v>0</x:v>
      </x:c>
      <x:c r="I558" s="11" t="n">
        <x:f>IF(ISNUMBER(SEARCH("weak_legacy_content",'제외 후보'!P558)),'선정 규칙'!$B$21,0)</x:f>
        <x:v>5</x:v>
      </x:c>
      <x:c r="J558" s="11" t="n">
        <x:f>IF('제외 후보'!AC558&lt;&gt;"",'선정 규칙'!$B$22,0)</x:f>
        <x:v>10</x:v>
      </x:c>
      <x:c r="K558" s="11" t="n">
        <x:f>SUM(B558:J558)</x:f>
        <x:v>16</x:v>
      </x:c>
      <x:c r="L558" s="11" t="n">
        <x:f>'제외 후보'!N558</x:f>
        <x:v>16</x:v>
      </x:c>
      <x:c r="M558" s="2" t="str">
        <x:f>IF(K558=L558,"OK","MISMATCH")</x:f>
        <x:v>OK</x:v>
      </x:c>
    </x:row>
    <x:row r="559">
      <x:c r="A559" s="2" t="str">
        <x:f>'제외 후보'!G559</x:f>
        <x:v>w_0c2d353e800feff8</x:v>
      </x:c>
      <x:c r="B559" s="11" t="n">
        <x:f>IF('제외 후보'!Q559&lt;&gt;"",'선정 규칙'!$B$4,0)</x:f>
        <x:v>0</x:v>
      </x:c>
      <x:c r="C559" s="11" t="n">
        <x:f>IF(ISNUMBER(SEARCH("jmdict_uncommon_or_irregular",'제외 후보'!P559)),'선정 규칙'!$B$5,IF(ISNUMBER(SEARCH("jmdict_rare_or_dated",'제외 후보'!P559)),'선정 규칙'!$B$6,0))</x:f>
        <x:v>0</x:v>
      </x:c>
      <x:c r="D559" s="11" t="n">
        <x:f>IF(ISNUMBER(SEARCH("jmdict_exact_pair_not_found",'제외 후보'!P559)),'선정 규칙'!$B$7,0)</x:f>
        <x:v>0</x:v>
      </x:c>
      <x:c r="E559" s="11" t="n">
        <x:f>IF(OR('제외 후보'!L559="",'제외 후보'!L559&lt;=0),'선정 규칙'!$B$8,IF('제외 후보'!L559&lt;=1.5,'선정 규칙'!$B$9,IF('제외 후보'!L559&lt;=2,'선정 규칙'!$B$10,IF('제외 후보'!L559&lt;=2.5,'선정 규칙'!$B$11,IF('제외 후보'!L559&lt;=3,'선정 규칙'!$B$12,IF('제외 후보'!L559&lt;=3.5,'선정 규칙'!$B$13,IF('제외 후보'!L559&gt;=4.5,'선정 규칙'!$B$14,0)))))))</x:f>
        <x:v>20</x:v>
      </x:c>
      <x:c r="F559" s="11" t="n">
        <x:f>IF('제외 후보'!Y559=0,'선정 규칙'!$B$15,IF('제외 후보'!Y559&gt;=100,'선정 규칙'!$B$16,'선정 규칙'!$B$17))</x:f>
        <x:v>-25</x:v>
      </x:c>
      <x:c r="G559" s="11" t="n">
        <x:f>IF('제외 후보'!M559="있음",'선정 규칙'!$B$18,'선정 규칙'!$B$19)</x:f>
        <x:v>6</x:v>
      </x:c>
      <x:c r="H559" s="11" t="n">
        <x:f>IF(ISNUMBER(SEARCH("freq-core",'제외 후보'!AD559)),'선정 규칙'!$B$20,0)</x:f>
        <x:v>0</x:v>
      </x:c>
      <x:c r="I559" s="11" t="n">
        <x:f>IF(ISNUMBER(SEARCH("weak_legacy_content",'제외 후보'!P559)),'선정 규칙'!$B$21,0)</x:f>
        <x:v>5</x:v>
      </x:c>
      <x:c r="J559" s="11" t="n">
        <x:f>IF('제외 후보'!AC559&lt;&gt;"",'선정 규칙'!$B$22,0)</x:f>
        <x:v>10</x:v>
      </x:c>
      <x:c r="K559" s="11" t="n">
        <x:f>SUM(B559:J559)</x:f>
        <x:v>16</x:v>
      </x:c>
      <x:c r="L559" s="11" t="n">
        <x:f>'제외 후보'!N559</x:f>
        <x:v>16</x:v>
      </x:c>
      <x:c r="M559" s="2" t="str">
        <x:f>IF(K559=L559,"OK","MISMATCH")</x:f>
        <x:v>OK</x:v>
      </x:c>
    </x:row>
    <x:row r="560">
      <x:c r="A560" s="2" t="str">
        <x:f>'제외 후보'!G560</x:f>
        <x:v>w_cffcd19e5154f169</x:v>
      </x:c>
      <x:c r="B560" s="11" t="n">
        <x:f>IF('제외 후보'!Q560&lt;&gt;"",'선정 규칙'!$B$4,0)</x:f>
        <x:v>0</x:v>
      </x:c>
      <x:c r="C560" s="11" t="n">
        <x:f>IF(ISNUMBER(SEARCH("jmdict_uncommon_or_irregular",'제외 후보'!P560)),'선정 규칙'!$B$5,IF(ISNUMBER(SEARCH("jmdict_rare_or_dated",'제외 후보'!P560)),'선정 규칙'!$B$6,0))</x:f>
        <x:v>50</x:v>
      </x:c>
      <x:c r="D560" s="11" t="n">
        <x:f>IF(ISNUMBER(SEARCH("jmdict_exact_pair_not_found",'제외 후보'!P560)),'선정 규칙'!$B$7,0)</x:f>
        <x:v>0</x:v>
      </x:c>
      <x:c r="E560" s="11" t="n">
        <x:f>IF(OR('제외 후보'!L560="",'제외 후보'!L560&lt;=0),'선정 규칙'!$B$8,IF('제외 후보'!L560&lt;=1.5,'선정 규칙'!$B$9,IF('제외 후보'!L560&lt;=2,'선정 규칙'!$B$10,IF('제외 후보'!L560&lt;=2.5,'선정 규칙'!$B$11,IF('제외 후보'!L560&lt;=3,'선정 규칙'!$B$12,IF('제외 후보'!L560&lt;=3.5,'선정 규칙'!$B$13,IF('제외 후보'!L560&gt;=4.5,'선정 규칙'!$B$14,0)))))))</x:f>
        <x:v>-20</x:v>
      </x:c>
      <x:c r="F560" s="11" t="n">
        <x:f>IF('제외 후보'!Y560=0,'선정 규칙'!$B$15,IF('제외 후보'!Y560&gt;=100,'선정 규칙'!$B$16,'선정 규칙'!$B$17))</x:f>
        <x:v>-25</x:v>
      </x:c>
      <x:c r="G560" s="11" t="n">
        <x:f>IF('제외 후보'!M560="있음",'선정 규칙'!$B$18,'선정 규칙'!$B$19)</x:f>
        <x:v>6</x:v>
      </x:c>
      <x:c r="H560" s="11" t="n">
        <x:f>IF(ISNUMBER(SEARCH("freq-core",'제외 후보'!AD560)),'선정 규칙'!$B$20,0)</x:f>
        <x:v>0</x:v>
      </x:c>
      <x:c r="I560" s="11" t="n">
        <x:f>IF(ISNUMBER(SEARCH("weak_legacy_content",'제외 후보'!P560)),'선정 규칙'!$B$21,0)</x:f>
        <x:v>5</x:v>
      </x:c>
      <x:c r="J560" s="11" t="n">
        <x:f>IF('제외 후보'!AC560&lt;&gt;"",'선정 규칙'!$B$22,0)</x:f>
        <x:v>0</x:v>
      </x:c>
      <x:c r="K560" s="11" t="n">
        <x:f>SUM(B560:J560)</x:f>
        <x:v>16</x:v>
      </x:c>
      <x:c r="L560" s="11" t="n">
        <x:f>'제외 후보'!N560</x:f>
        <x:v>16</x:v>
      </x:c>
      <x:c r="M560" s="2" t="str">
        <x:f>IF(K560=L560,"OK","MISMATCH")</x:f>
        <x:v>OK</x:v>
      </x:c>
    </x:row>
    <x:row r="561">
      <x:c r="A561" s="2" t="str">
        <x:f>'제외 후보'!G561</x:f>
        <x:v>w_9c2fb37ac164be4e</x:v>
      </x:c>
      <x:c r="B561" s="11" t="n">
        <x:f>IF('제외 후보'!Q561&lt;&gt;"",'선정 규칙'!$B$4,0)</x:f>
        <x:v>0</x:v>
      </x:c>
      <x:c r="C561" s="11" t="n">
        <x:f>IF(ISNUMBER(SEARCH("jmdict_uncommon_or_irregular",'제외 후보'!P561)),'선정 규칙'!$B$5,IF(ISNUMBER(SEARCH("jmdict_rare_or_dated",'제외 후보'!P561)),'선정 규칙'!$B$6,0))</x:f>
        <x:v>50</x:v>
      </x:c>
      <x:c r="D561" s="11" t="n">
        <x:f>IF(ISNUMBER(SEARCH("jmdict_exact_pair_not_found",'제외 후보'!P561)),'선정 규칙'!$B$7,0)</x:f>
        <x:v>0</x:v>
      </x:c>
      <x:c r="E561" s="11" t="n">
        <x:f>IF(OR('제외 후보'!L561="",'제외 후보'!L561&lt;=0),'선정 규칙'!$B$8,IF('제외 후보'!L561&lt;=1.5,'선정 규칙'!$B$9,IF('제외 후보'!L561&lt;=2,'선정 규칙'!$B$10,IF('제외 후보'!L561&lt;=2.5,'선정 규칙'!$B$11,IF('제외 후보'!L561&lt;=3,'선정 규칙'!$B$12,IF('제외 후보'!L561&lt;=3.5,'선정 규칙'!$B$13,IF('제외 후보'!L561&gt;=4.5,'선정 규칙'!$B$14,0)))))))</x:f>
        <x:v>-20</x:v>
      </x:c>
      <x:c r="F561" s="11" t="n">
        <x:f>IF('제외 후보'!Y561=0,'선정 규칙'!$B$15,IF('제외 후보'!Y561&gt;=100,'선정 규칙'!$B$16,'선정 규칙'!$B$17))</x:f>
        <x:v>-25</x:v>
      </x:c>
      <x:c r="G561" s="11" t="n">
        <x:f>IF('제외 후보'!M561="있음",'선정 규칙'!$B$18,'선정 규칙'!$B$19)</x:f>
        <x:v>6</x:v>
      </x:c>
      <x:c r="H561" s="11" t="n">
        <x:f>IF(ISNUMBER(SEARCH("freq-core",'제외 후보'!AD561)),'선정 규칙'!$B$20,0)</x:f>
        <x:v>0</x:v>
      </x:c>
      <x:c r="I561" s="11" t="n">
        <x:f>IF(ISNUMBER(SEARCH("weak_legacy_content",'제외 후보'!P561)),'선정 규칙'!$B$21,0)</x:f>
        <x:v>5</x:v>
      </x:c>
      <x:c r="J561" s="11" t="n">
        <x:f>IF('제외 후보'!AC561&lt;&gt;"",'선정 규칙'!$B$22,0)</x:f>
        <x:v>0</x:v>
      </x:c>
      <x:c r="K561" s="11" t="n">
        <x:f>SUM(B561:J561)</x:f>
        <x:v>16</x:v>
      </x:c>
      <x:c r="L561" s="11" t="n">
        <x:f>'제외 후보'!N561</x:f>
        <x:v>16</x:v>
      </x:c>
      <x:c r="M561" s="2" t="str">
        <x:f>IF(K561=L561,"OK","MISMATCH")</x:f>
        <x:v>OK</x:v>
      </x:c>
    </x:row>
    <x:row r="562">
      <x:c r="A562" s="2" t="str">
        <x:f>'제외 후보'!G562</x:f>
        <x:v>w_10e1b3e0d1e64f7f</x:v>
      </x:c>
      <x:c r="B562" s="11" t="n">
        <x:f>IF('제외 후보'!Q562&lt;&gt;"",'선정 규칙'!$B$4,0)</x:f>
        <x:v>0</x:v>
      </x:c>
      <x:c r="C562" s="11" t="n">
        <x:f>IF(ISNUMBER(SEARCH("jmdict_uncommon_or_irregular",'제외 후보'!P562)),'선정 규칙'!$B$5,IF(ISNUMBER(SEARCH("jmdict_rare_or_dated",'제외 후보'!P562)),'선정 규칙'!$B$6,0))</x:f>
        <x:v>0</x:v>
      </x:c>
      <x:c r="D562" s="11" t="n">
        <x:f>IF(ISNUMBER(SEARCH("jmdict_exact_pair_not_found",'제외 후보'!P562)),'선정 규칙'!$B$7,0)</x:f>
        <x:v>0</x:v>
      </x:c>
      <x:c r="E562" s="11" t="n">
        <x:f>IF(OR('제외 후보'!L562="",'제외 후보'!L562&lt;=0),'선정 규칙'!$B$8,IF('제외 후보'!L562&lt;=1.5,'선정 규칙'!$B$9,IF('제외 후보'!L562&lt;=2,'선정 규칙'!$B$10,IF('제외 후보'!L562&lt;=2.5,'선정 규칙'!$B$11,IF('제외 후보'!L562&lt;=3,'선정 규칙'!$B$12,IF('제외 후보'!L562&lt;=3.5,'선정 규칙'!$B$13,IF('제외 후보'!L562&gt;=4.5,'선정 규칙'!$B$14,0)))))))</x:f>
        <x:v>20</x:v>
      </x:c>
      <x:c r="F562" s="11" t="n">
        <x:f>IF('제외 후보'!Y562=0,'선정 규칙'!$B$15,IF('제외 후보'!Y562&gt;=100,'선정 규칙'!$B$16,'선정 규칙'!$B$17))</x:f>
        <x:v>-12</x:v>
      </x:c>
      <x:c r="G562" s="11" t="n">
        <x:f>IF('제외 후보'!M562="있음",'선정 규칙'!$B$18,'선정 규칙'!$B$19)</x:f>
        <x:v>6</x:v>
      </x:c>
      <x:c r="H562" s="11" t="n">
        <x:f>IF(ISNUMBER(SEARCH("freq-core",'제외 후보'!AD562)),'선정 규칙'!$B$20,0)</x:f>
        <x:v>0</x:v>
      </x:c>
      <x:c r="I562" s="11" t="n">
        <x:f>IF(ISNUMBER(SEARCH("weak_legacy_content",'제외 후보'!P562)),'선정 규칙'!$B$21,0)</x:f>
        <x:v>0</x:v>
      </x:c>
      <x:c r="J562" s="11" t="n">
        <x:f>IF('제외 후보'!AC562&lt;&gt;"",'선정 규칙'!$B$22,0)</x:f>
        <x:v>0</x:v>
      </x:c>
      <x:c r="K562" s="11" t="n">
        <x:f>SUM(B562:J562)</x:f>
        <x:v>14</x:v>
      </x:c>
      <x:c r="L562" s="11" t="n">
        <x:f>'제외 후보'!N562</x:f>
        <x:v>14</x:v>
      </x:c>
      <x:c r="M562" s="2" t="str">
        <x:f>IF(K562=L562,"OK","MISMATCH")</x:f>
        <x:v>OK</x:v>
      </x:c>
    </x:row>
    <x:row r="563">
      <x:c r="A563" s="2" t="str">
        <x:f>'제외 후보'!G563</x:f>
        <x:v>w_9d70cbfe00d0abae</x:v>
      </x:c>
      <x:c r="B563" s="11" t="n">
        <x:f>IF('제외 후보'!Q563&lt;&gt;"",'선정 규칙'!$B$4,0)</x:f>
        <x:v>0</x:v>
      </x:c>
      <x:c r="C563" s="11" t="n">
        <x:f>IF(ISNUMBER(SEARCH("jmdict_uncommon_or_irregular",'제외 후보'!P563)),'선정 규칙'!$B$5,IF(ISNUMBER(SEARCH("jmdict_rare_or_dated",'제외 후보'!P563)),'선정 규칙'!$B$6,0))</x:f>
        <x:v>0</x:v>
      </x:c>
      <x:c r="D563" s="11" t="n">
        <x:f>IF(ISNUMBER(SEARCH("jmdict_exact_pair_not_found",'제외 후보'!P563)),'선정 규칙'!$B$7,0)</x:f>
        <x:v>0</x:v>
      </x:c>
      <x:c r="E563" s="11" t="n">
        <x:f>IF(OR('제외 후보'!L563="",'제외 후보'!L563&lt;=0),'선정 규칙'!$B$8,IF('제외 후보'!L563&lt;=1.5,'선정 규칙'!$B$9,IF('제외 후보'!L563&lt;=2,'선정 규칙'!$B$10,IF('제외 후보'!L563&lt;=2.5,'선정 규칙'!$B$11,IF('제외 후보'!L563&lt;=3,'선정 규칙'!$B$12,IF('제외 후보'!L563&lt;=3.5,'선정 규칙'!$B$13,IF('제외 후보'!L563&gt;=4.5,'선정 규칙'!$B$14,0)))))))</x:f>
        <x:v>20</x:v>
      </x:c>
      <x:c r="F563" s="11" t="n">
        <x:f>IF('제외 후보'!Y563=0,'선정 규칙'!$B$15,IF('제외 후보'!Y563&gt;=100,'선정 규칙'!$B$16,'선정 규칙'!$B$17))</x:f>
        <x:v>-12</x:v>
      </x:c>
      <x:c r="G563" s="11" t="n">
        <x:f>IF('제외 후보'!M563="있음",'선정 규칙'!$B$18,'선정 규칙'!$B$19)</x:f>
        <x:v>6</x:v>
      </x:c>
      <x:c r="H563" s="11" t="n">
        <x:f>IF(ISNUMBER(SEARCH("freq-core",'제외 후보'!AD563)),'선정 규칙'!$B$20,0)</x:f>
        <x:v>0</x:v>
      </x:c>
      <x:c r="I563" s="11" t="n">
        <x:f>IF(ISNUMBER(SEARCH("weak_legacy_content",'제외 후보'!P563)),'선정 규칙'!$B$21,0)</x:f>
        <x:v>0</x:v>
      </x:c>
      <x:c r="J563" s="11" t="n">
        <x:f>IF('제외 후보'!AC563&lt;&gt;"",'선정 규칙'!$B$22,0)</x:f>
        <x:v>0</x:v>
      </x:c>
      <x:c r="K563" s="11" t="n">
        <x:f>SUM(B563:J563)</x:f>
        <x:v>14</x:v>
      </x:c>
      <x:c r="L563" s="11" t="n">
        <x:f>'제외 후보'!N563</x:f>
        <x:v>14</x:v>
      </x:c>
      <x:c r="M563" s="2" t="str">
        <x:f>IF(K563=L563,"OK","MISMATCH")</x:f>
        <x:v>OK</x:v>
      </x:c>
    </x:row>
    <x:row r="564">
      <x:c r="A564" s="2" t="str">
        <x:f>'제외 후보'!G564</x:f>
        <x:v>w_7a43bf4c590c33d0</x:v>
      </x:c>
      <x:c r="B564" s="11" t="n">
        <x:f>IF('제외 후보'!Q564&lt;&gt;"",'선정 규칙'!$B$4,0)</x:f>
        <x:v>0</x:v>
      </x:c>
      <x:c r="C564" s="11" t="n">
        <x:f>IF(ISNUMBER(SEARCH("jmdict_uncommon_or_irregular",'제외 후보'!P564)),'선정 규칙'!$B$5,IF(ISNUMBER(SEARCH("jmdict_rare_or_dated",'제외 후보'!P564)),'선정 규칙'!$B$6,0))</x:f>
        <x:v>0</x:v>
      </x:c>
      <x:c r="D564" s="11" t="n">
        <x:f>IF(ISNUMBER(SEARCH("jmdict_exact_pair_not_found",'제외 후보'!P564)),'선정 규칙'!$B$7,0)</x:f>
        <x:v>0</x:v>
      </x:c>
      <x:c r="E564" s="11" t="n">
        <x:f>IF(OR('제외 후보'!L564="",'제외 후보'!L564&lt;=0),'선정 규칙'!$B$8,IF('제외 후보'!L564&lt;=1.5,'선정 규칙'!$B$9,IF('제외 후보'!L564&lt;=2,'선정 규칙'!$B$10,IF('제외 후보'!L564&lt;=2.5,'선정 규칙'!$B$11,IF('제외 후보'!L564&lt;=3,'선정 규칙'!$B$12,IF('제외 후보'!L564&lt;=3.5,'선정 규칙'!$B$13,IF('제외 후보'!L564&gt;=4.5,'선정 규칙'!$B$14,0)))))))</x:f>
        <x:v>20</x:v>
      </x:c>
      <x:c r="F564" s="11" t="n">
        <x:f>IF('제외 후보'!Y564=0,'선정 규칙'!$B$15,IF('제외 후보'!Y564&gt;=100,'선정 규칙'!$B$16,'선정 규칙'!$B$17))</x:f>
        <x:v>-12</x:v>
      </x:c>
      <x:c r="G564" s="11" t="n">
        <x:f>IF('제외 후보'!M564="있음",'선정 규칙'!$B$18,'선정 규칙'!$B$19)</x:f>
        <x:v>6</x:v>
      </x:c>
      <x:c r="H564" s="11" t="n">
        <x:f>IF(ISNUMBER(SEARCH("freq-core",'제외 후보'!AD564)),'선정 규칙'!$B$20,0)</x:f>
        <x:v>0</x:v>
      </x:c>
      <x:c r="I564" s="11" t="n">
        <x:f>IF(ISNUMBER(SEARCH("weak_legacy_content",'제외 후보'!P564)),'선정 규칙'!$B$21,0)</x:f>
        <x:v>0</x:v>
      </x:c>
      <x:c r="J564" s="11" t="n">
        <x:f>IF('제외 후보'!AC564&lt;&gt;"",'선정 규칙'!$B$22,0)</x:f>
        <x:v>0</x:v>
      </x:c>
      <x:c r="K564" s="11" t="n">
        <x:f>SUM(B564:J564)</x:f>
        <x:v>14</x:v>
      </x:c>
      <x:c r="L564" s="11" t="n">
        <x:f>'제외 후보'!N564</x:f>
        <x:v>14</x:v>
      </x:c>
      <x:c r="M564" s="2" t="str">
        <x:f>IF(K564=L564,"OK","MISMATCH")</x:f>
        <x:v>OK</x:v>
      </x:c>
    </x:row>
    <x:row r="565">
      <x:c r="A565" s="2" t="str">
        <x:f>'제외 후보'!G565</x:f>
        <x:v>w_4fa3af50151a327c</x:v>
      </x:c>
      <x:c r="B565" s="11" t="n">
        <x:f>IF('제외 후보'!Q565&lt;&gt;"",'선정 규칙'!$B$4,0)</x:f>
        <x:v>0</x:v>
      </x:c>
      <x:c r="C565" s="11" t="n">
        <x:f>IF(ISNUMBER(SEARCH("jmdict_uncommon_or_irregular",'제외 후보'!P565)),'선정 규칙'!$B$5,IF(ISNUMBER(SEARCH("jmdict_rare_or_dated",'제외 후보'!P565)),'선정 규칙'!$B$6,0))</x:f>
        <x:v>0</x:v>
      </x:c>
      <x:c r="D565" s="11" t="n">
        <x:f>IF(ISNUMBER(SEARCH("jmdict_exact_pair_not_found",'제외 후보'!P565)),'선정 규칙'!$B$7,0)</x:f>
        <x:v>0</x:v>
      </x:c>
      <x:c r="E565" s="11" t="n">
        <x:f>IF(OR('제외 후보'!L565="",'제외 후보'!L565&lt;=0),'선정 규칙'!$B$8,IF('제외 후보'!L565&lt;=1.5,'선정 규칙'!$B$9,IF('제외 후보'!L565&lt;=2,'선정 규칙'!$B$10,IF('제외 후보'!L565&lt;=2.5,'선정 규칙'!$B$11,IF('제외 후보'!L565&lt;=3,'선정 규칙'!$B$12,IF('제외 후보'!L565&lt;=3.5,'선정 규칙'!$B$13,IF('제외 후보'!L565&gt;=4.5,'선정 규칙'!$B$14,0)))))))</x:f>
        <x:v>20</x:v>
      </x:c>
      <x:c r="F565" s="11" t="n">
        <x:f>IF('제외 후보'!Y565=0,'선정 규칙'!$B$15,IF('제외 후보'!Y565&gt;=100,'선정 규칙'!$B$16,'선정 규칙'!$B$17))</x:f>
        <x:v>-12</x:v>
      </x:c>
      <x:c r="G565" s="11" t="n">
        <x:f>IF('제외 후보'!M565="있음",'선정 규칙'!$B$18,'선정 규칙'!$B$19)</x:f>
        <x:v>6</x:v>
      </x:c>
      <x:c r="H565" s="11" t="n">
        <x:f>IF(ISNUMBER(SEARCH("freq-core",'제외 후보'!AD565)),'선정 규칙'!$B$20,0)</x:f>
        <x:v>0</x:v>
      </x:c>
      <x:c r="I565" s="11" t="n">
        <x:f>IF(ISNUMBER(SEARCH("weak_legacy_content",'제외 후보'!P565)),'선정 규칙'!$B$21,0)</x:f>
        <x:v>0</x:v>
      </x:c>
      <x:c r="J565" s="11" t="n">
        <x:f>IF('제외 후보'!AC565&lt;&gt;"",'선정 규칙'!$B$22,0)</x:f>
        <x:v>0</x:v>
      </x:c>
      <x:c r="K565" s="11" t="n">
        <x:f>SUM(B565:J565)</x:f>
        <x:v>14</x:v>
      </x:c>
      <x:c r="L565" s="11" t="n">
        <x:f>'제외 후보'!N565</x:f>
        <x:v>14</x:v>
      </x:c>
      <x:c r="M565" s="2" t="str">
        <x:f>IF(K565=L565,"OK","MISMATCH")</x:f>
        <x:v>OK</x:v>
      </x:c>
    </x:row>
    <x:row r="566">
      <x:c r="A566" s="2" t="str">
        <x:f>'제외 후보'!G566</x:f>
        <x:v>w_21bf93da938ba2c0</x:v>
      </x:c>
      <x:c r="B566" s="11" t="n">
        <x:f>IF('제외 후보'!Q566&lt;&gt;"",'선정 규칙'!$B$4,0)</x:f>
        <x:v>0</x:v>
      </x:c>
      <x:c r="C566" s="11" t="n">
        <x:f>IF(ISNUMBER(SEARCH("jmdict_uncommon_or_irregular",'제외 후보'!P566)),'선정 규칙'!$B$5,IF(ISNUMBER(SEARCH("jmdict_rare_or_dated",'제외 후보'!P566)),'선정 규칙'!$B$6,0))</x:f>
        <x:v>0</x:v>
      </x:c>
      <x:c r="D566" s="11" t="n">
        <x:f>IF(ISNUMBER(SEARCH("jmdict_exact_pair_not_found",'제외 후보'!P566)),'선정 규칙'!$B$7,0)</x:f>
        <x:v>0</x:v>
      </x:c>
      <x:c r="E566" s="11" t="n">
        <x:f>IF(OR('제외 후보'!L566="",'제외 후보'!L566&lt;=0),'선정 규칙'!$B$8,IF('제외 후보'!L566&lt;=1.5,'선정 규칙'!$B$9,IF('제외 후보'!L566&lt;=2,'선정 규칙'!$B$10,IF('제외 후보'!L566&lt;=2.5,'선정 규칙'!$B$11,IF('제외 후보'!L566&lt;=3,'선정 규칙'!$B$12,IF('제외 후보'!L566&lt;=3.5,'선정 규칙'!$B$13,IF('제외 후보'!L566&gt;=4.5,'선정 규칙'!$B$14,0)))))))</x:f>
        <x:v>20</x:v>
      </x:c>
      <x:c r="F566" s="11" t="n">
        <x:f>IF('제외 후보'!Y566=0,'선정 규칙'!$B$15,IF('제외 후보'!Y566&gt;=100,'선정 규칙'!$B$16,'선정 규칙'!$B$17))</x:f>
        <x:v>-12</x:v>
      </x:c>
      <x:c r="G566" s="11" t="n">
        <x:f>IF('제외 후보'!M566="있음",'선정 규칙'!$B$18,'선정 규칙'!$B$19)</x:f>
        <x:v>6</x:v>
      </x:c>
      <x:c r="H566" s="11" t="n">
        <x:f>IF(ISNUMBER(SEARCH("freq-core",'제외 후보'!AD566)),'선정 규칙'!$B$20,0)</x:f>
        <x:v>0</x:v>
      </x:c>
      <x:c r="I566" s="11" t="n">
        <x:f>IF(ISNUMBER(SEARCH("weak_legacy_content",'제외 후보'!P566)),'선정 규칙'!$B$21,0)</x:f>
        <x:v>0</x:v>
      </x:c>
      <x:c r="J566" s="11" t="n">
        <x:f>IF('제외 후보'!AC566&lt;&gt;"",'선정 규칙'!$B$22,0)</x:f>
        <x:v>0</x:v>
      </x:c>
      <x:c r="K566" s="11" t="n">
        <x:f>SUM(B566:J566)</x:f>
        <x:v>14</x:v>
      </x:c>
      <x:c r="L566" s="11" t="n">
        <x:f>'제외 후보'!N566</x:f>
        <x:v>14</x:v>
      </x:c>
      <x:c r="M566" s="2" t="str">
        <x:f>IF(K566=L566,"OK","MISMATCH")</x:f>
        <x:v>OK</x:v>
      </x:c>
    </x:row>
    <x:row r="567">
      <x:c r="A567" s="2" t="str">
        <x:f>'제외 후보'!G567</x:f>
        <x:v>w_185bd766c346483b</x:v>
      </x:c>
      <x:c r="B567" s="11" t="n">
        <x:f>IF('제외 후보'!Q567&lt;&gt;"",'선정 규칙'!$B$4,0)</x:f>
        <x:v>0</x:v>
      </x:c>
      <x:c r="C567" s="11" t="n">
        <x:f>IF(ISNUMBER(SEARCH("jmdict_uncommon_or_irregular",'제외 후보'!P567)),'선정 규칙'!$B$5,IF(ISNUMBER(SEARCH("jmdict_rare_or_dated",'제외 후보'!P567)),'선정 규칙'!$B$6,0))</x:f>
        <x:v>0</x:v>
      </x:c>
      <x:c r="D567" s="11" t="n">
        <x:f>IF(ISNUMBER(SEARCH("jmdict_exact_pair_not_found",'제외 후보'!P567)),'선정 규칙'!$B$7,0)</x:f>
        <x:v>0</x:v>
      </x:c>
      <x:c r="E567" s="11" t="n">
        <x:f>IF(OR('제외 후보'!L567="",'제외 후보'!L567&lt;=0),'선정 규칙'!$B$8,IF('제외 후보'!L567&lt;=1.5,'선정 규칙'!$B$9,IF('제외 후보'!L567&lt;=2,'선정 규칙'!$B$10,IF('제외 후보'!L567&lt;=2.5,'선정 규칙'!$B$11,IF('제외 후보'!L567&lt;=3,'선정 규칙'!$B$12,IF('제외 후보'!L567&lt;=3.5,'선정 규칙'!$B$13,IF('제외 후보'!L567&gt;=4.5,'선정 규칙'!$B$14,0)))))))</x:f>
        <x:v>20</x:v>
      </x:c>
      <x:c r="F567" s="11" t="n">
        <x:f>IF('제외 후보'!Y567=0,'선정 규칙'!$B$15,IF('제외 후보'!Y567&gt;=100,'선정 규칙'!$B$16,'선정 규칙'!$B$17))</x:f>
        <x:v>-12</x:v>
      </x:c>
      <x:c r="G567" s="11" t="n">
        <x:f>IF('제외 후보'!M567="있음",'선정 규칙'!$B$18,'선정 규칙'!$B$19)</x:f>
        <x:v>6</x:v>
      </x:c>
      <x:c r="H567" s="11" t="n">
        <x:f>IF(ISNUMBER(SEARCH("freq-core",'제외 후보'!AD567)),'선정 규칙'!$B$20,0)</x:f>
        <x:v>0</x:v>
      </x:c>
      <x:c r="I567" s="11" t="n">
        <x:f>IF(ISNUMBER(SEARCH("weak_legacy_content",'제외 후보'!P567)),'선정 규칙'!$B$21,0)</x:f>
        <x:v>0</x:v>
      </x:c>
      <x:c r="J567" s="11" t="n">
        <x:f>IF('제외 후보'!AC567&lt;&gt;"",'선정 규칙'!$B$22,0)</x:f>
        <x:v>0</x:v>
      </x:c>
      <x:c r="K567" s="11" t="n">
        <x:f>SUM(B567:J567)</x:f>
        <x:v>14</x:v>
      </x:c>
      <x:c r="L567" s="11" t="n">
        <x:f>'제외 후보'!N567</x:f>
        <x:v>14</x:v>
      </x:c>
      <x:c r="M567" s="2" t="str">
        <x:f>IF(K567=L567,"OK","MISMATCH")</x:f>
        <x:v>OK</x:v>
      </x:c>
    </x:row>
    <x:row r="568">
      <x:c r="A568" s="2" t="str">
        <x:f>'제외 후보'!G568</x:f>
        <x:v>w_d9a9b326b4c0a808</x:v>
      </x:c>
      <x:c r="B568" s="11" t="n">
        <x:f>IF('제외 후보'!Q568&lt;&gt;"",'선정 규칙'!$B$4,0)</x:f>
        <x:v>0</x:v>
      </x:c>
      <x:c r="C568" s="11" t="n">
        <x:f>IF(ISNUMBER(SEARCH("jmdict_uncommon_or_irregular",'제외 후보'!P568)),'선정 규칙'!$B$5,IF(ISNUMBER(SEARCH("jmdict_rare_or_dated",'제외 후보'!P568)),'선정 규칙'!$B$6,0))</x:f>
        <x:v>0</x:v>
      </x:c>
      <x:c r="D568" s="11" t="n">
        <x:f>IF(ISNUMBER(SEARCH("jmdict_exact_pair_not_found",'제외 후보'!P568)),'선정 규칙'!$B$7,0)</x:f>
        <x:v>0</x:v>
      </x:c>
      <x:c r="E568" s="11" t="n">
        <x:f>IF(OR('제외 후보'!L568="",'제외 후보'!L568&lt;=0),'선정 규칙'!$B$8,IF('제외 후보'!L568&lt;=1.5,'선정 규칙'!$B$9,IF('제외 후보'!L568&lt;=2,'선정 규칙'!$B$10,IF('제외 후보'!L568&lt;=2.5,'선정 규칙'!$B$11,IF('제외 후보'!L568&lt;=3,'선정 규칙'!$B$12,IF('제외 후보'!L568&lt;=3.5,'선정 규칙'!$B$13,IF('제외 후보'!L568&gt;=4.5,'선정 규칙'!$B$14,0)))))))</x:f>
        <x:v>32</x:v>
      </x:c>
      <x:c r="F568" s="11" t="n">
        <x:f>IF('제외 후보'!Y568=0,'선정 규칙'!$B$15,IF('제외 후보'!Y568&gt;=100,'선정 규칙'!$B$16,'선정 규칙'!$B$17))</x:f>
        <x:v>-25</x:v>
      </x:c>
      <x:c r="G568" s="11" t="n">
        <x:f>IF('제외 후보'!M568="있음",'선정 규칙'!$B$18,'선정 규칙'!$B$19)</x:f>
        <x:v>6</x:v>
      </x:c>
      <x:c r="H568" s="11" t="n">
        <x:f>IF(ISNUMBER(SEARCH("freq-core",'제외 후보'!AD568)),'선정 규칙'!$B$20,0)</x:f>
        <x:v>0</x:v>
      </x:c>
      <x:c r="I568" s="11" t="n">
        <x:f>IF(ISNUMBER(SEARCH("weak_legacy_content",'제외 후보'!P568)),'선정 규칙'!$B$21,0)</x:f>
        <x:v>0</x:v>
      </x:c>
      <x:c r="J568" s="11" t="n">
        <x:f>IF('제외 후보'!AC568&lt;&gt;"",'선정 규칙'!$B$22,0)</x:f>
        <x:v>0</x:v>
      </x:c>
      <x:c r="K568" s="11" t="n">
        <x:f>SUM(B568:J568)</x:f>
        <x:v>13</x:v>
      </x:c>
      <x:c r="L568" s="11" t="n">
        <x:f>'제외 후보'!N568</x:f>
        <x:v>13</x:v>
      </x:c>
      <x:c r="M568" s="2" t="str">
        <x:f>IF(K568=L568,"OK","MISMATCH")</x:f>
        <x:v>OK</x:v>
      </x:c>
    </x:row>
    <x:row r="569">
      <x:c r="A569" s="2" t="str">
        <x:f>'제외 후보'!G569</x:f>
        <x:v>w_6c34cac3cb274762</x:v>
      </x:c>
      <x:c r="B569" s="11" t="n">
        <x:f>IF('제외 후보'!Q569&lt;&gt;"",'선정 규칙'!$B$4,0)</x:f>
        <x:v>0</x:v>
      </x:c>
      <x:c r="C569" s="11" t="n">
        <x:f>IF(ISNUMBER(SEARCH("jmdict_uncommon_or_irregular",'제외 후보'!P569)),'선정 규칙'!$B$5,IF(ISNUMBER(SEARCH("jmdict_rare_or_dated",'제외 후보'!P569)),'선정 규칙'!$B$6,0))</x:f>
        <x:v>0</x:v>
      </x:c>
      <x:c r="D569" s="11" t="n">
        <x:f>IF(ISNUMBER(SEARCH("jmdict_exact_pair_not_found",'제외 후보'!P569)),'선정 규칙'!$B$7,0)</x:f>
        <x:v>0</x:v>
      </x:c>
      <x:c r="E569" s="11" t="n">
        <x:f>IF(OR('제외 후보'!L569="",'제외 후보'!L569&lt;=0),'선정 규칙'!$B$8,IF('제외 후보'!L569&lt;=1.5,'선정 규칙'!$B$9,IF('제외 후보'!L569&lt;=2,'선정 규칙'!$B$10,IF('제외 후보'!L569&lt;=2.5,'선정 규칙'!$B$11,IF('제외 후보'!L569&lt;=3,'선정 규칙'!$B$12,IF('제외 후보'!L569&lt;=3.5,'선정 규칙'!$B$13,IF('제외 후보'!L569&gt;=4.5,'선정 규칙'!$B$14,0)))))))</x:f>
        <x:v>32</x:v>
      </x:c>
      <x:c r="F569" s="11" t="n">
        <x:f>IF('제외 후보'!Y569=0,'선정 규칙'!$B$15,IF('제외 후보'!Y569&gt;=100,'선정 규칙'!$B$16,'선정 규칙'!$B$17))</x:f>
        <x:v>-25</x:v>
      </x:c>
      <x:c r="G569" s="11" t="n">
        <x:f>IF('제외 후보'!M569="있음",'선정 규칙'!$B$18,'선정 규칙'!$B$19)</x:f>
        <x:v>6</x:v>
      </x:c>
      <x:c r="H569" s="11" t="n">
        <x:f>IF(ISNUMBER(SEARCH("freq-core",'제외 후보'!AD569)),'선정 규칙'!$B$20,0)</x:f>
        <x:v>0</x:v>
      </x:c>
      <x:c r="I569" s="11" t="n">
        <x:f>IF(ISNUMBER(SEARCH("weak_legacy_content",'제외 후보'!P569)),'선정 규칙'!$B$21,0)</x:f>
        <x:v>0</x:v>
      </x:c>
      <x:c r="J569" s="11" t="n">
        <x:f>IF('제외 후보'!AC569&lt;&gt;"",'선정 규칙'!$B$22,0)</x:f>
        <x:v>0</x:v>
      </x:c>
      <x:c r="K569" s="11" t="n">
        <x:f>SUM(B569:J569)</x:f>
        <x:v>13</x:v>
      </x:c>
      <x:c r="L569" s="11" t="n">
        <x:f>'제외 후보'!N569</x:f>
        <x:v>13</x:v>
      </x:c>
      <x:c r="M569" s="2" t="str">
        <x:f>IF(K569=L569,"OK","MISMATCH")</x:f>
        <x:v>OK</x:v>
      </x:c>
    </x:row>
    <x:row r="570">
      <x:c r="A570" s="2" t="str">
        <x:f>'제외 후보'!G570</x:f>
        <x:v>w_6ac8841e8e2d7e32</x:v>
      </x:c>
      <x:c r="B570" s="11" t="n">
        <x:f>IF('제외 후보'!Q570&lt;&gt;"",'선정 규칙'!$B$4,0)</x:f>
        <x:v>0</x:v>
      </x:c>
      <x:c r="C570" s="11" t="n">
        <x:f>IF(ISNUMBER(SEARCH("jmdict_uncommon_or_irregular",'제외 후보'!P570)),'선정 규칙'!$B$5,IF(ISNUMBER(SEARCH("jmdict_rare_or_dated",'제외 후보'!P570)),'선정 규칙'!$B$6,0))</x:f>
        <x:v>0</x:v>
      </x:c>
      <x:c r="D570" s="11" t="n">
        <x:f>IF(ISNUMBER(SEARCH("jmdict_exact_pair_not_found",'제외 후보'!P570)),'선정 규칙'!$B$7,0)</x:f>
        <x:v>0</x:v>
      </x:c>
      <x:c r="E570" s="11" t="n">
        <x:f>IF(OR('제외 후보'!L570="",'제외 후보'!L570&lt;=0),'선정 규칙'!$B$8,IF('제외 후보'!L570&lt;=1.5,'선정 규칙'!$B$9,IF('제외 후보'!L570&lt;=2,'선정 규칙'!$B$10,IF('제외 후보'!L570&lt;=2.5,'선정 규칙'!$B$11,IF('제외 후보'!L570&lt;=3,'선정 규칙'!$B$12,IF('제외 후보'!L570&lt;=3.5,'선정 규칙'!$B$13,IF('제외 후보'!L570&gt;=4.5,'선정 규칙'!$B$14,0)))))))</x:f>
        <x:v>32</x:v>
      </x:c>
      <x:c r="F570" s="11" t="n">
        <x:f>IF('제외 후보'!Y570=0,'선정 규칙'!$B$15,IF('제외 후보'!Y570&gt;=100,'선정 규칙'!$B$16,'선정 규칙'!$B$17))</x:f>
        <x:v>-25</x:v>
      </x:c>
      <x:c r="G570" s="11" t="n">
        <x:f>IF('제외 후보'!M570="있음",'선정 규칙'!$B$18,'선정 규칙'!$B$19)</x:f>
        <x:v>6</x:v>
      </x:c>
      <x:c r="H570" s="11" t="n">
        <x:f>IF(ISNUMBER(SEARCH("freq-core",'제외 후보'!AD570)),'선정 규칙'!$B$20,0)</x:f>
        <x:v>0</x:v>
      </x:c>
      <x:c r="I570" s="11" t="n">
        <x:f>IF(ISNUMBER(SEARCH("weak_legacy_content",'제외 후보'!P570)),'선정 규칙'!$B$21,0)</x:f>
        <x:v>0</x:v>
      </x:c>
      <x:c r="J570" s="11" t="n">
        <x:f>IF('제외 후보'!AC570&lt;&gt;"",'선정 규칙'!$B$22,0)</x:f>
        <x:v>0</x:v>
      </x:c>
      <x:c r="K570" s="11" t="n">
        <x:f>SUM(B570:J570)</x:f>
        <x:v>13</x:v>
      </x:c>
      <x:c r="L570" s="11" t="n">
        <x:f>'제외 후보'!N570</x:f>
        <x:v>13</x:v>
      </x:c>
      <x:c r="M570" s="2" t="str">
        <x:f>IF(K570=L570,"OK","MISMATCH")</x:f>
        <x:v>OK</x:v>
      </x:c>
    </x:row>
    <x:row r="571">
      <x:c r="A571" s="2" t="str">
        <x:f>'제외 후보'!G571</x:f>
        <x:v>w_a1dcca27520837a3</x:v>
      </x:c>
      <x:c r="B571" s="11" t="n">
        <x:f>IF('제외 후보'!Q571&lt;&gt;"",'선정 규칙'!$B$4,0)</x:f>
        <x:v>0</x:v>
      </x:c>
      <x:c r="C571" s="11" t="n">
        <x:f>IF(ISNUMBER(SEARCH("jmdict_uncommon_or_irregular",'제외 후보'!P571)),'선정 규칙'!$B$5,IF(ISNUMBER(SEARCH("jmdict_rare_or_dated",'제외 후보'!P571)),'선정 규칙'!$B$6,0))</x:f>
        <x:v>0</x:v>
      </x:c>
      <x:c r="D571" s="11" t="n">
        <x:f>IF(ISNUMBER(SEARCH("jmdict_exact_pair_not_found",'제외 후보'!P571)),'선정 규칙'!$B$7,0)</x:f>
        <x:v>0</x:v>
      </x:c>
      <x:c r="E571" s="11" t="n">
        <x:f>IF(OR('제외 후보'!L571="",'제외 후보'!L571&lt;=0),'선정 규칙'!$B$8,IF('제외 후보'!L571&lt;=1.5,'선정 규칙'!$B$9,IF('제외 후보'!L571&lt;=2,'선정 규칙'!$B$10,IF('제외 후보'!L571&lt;=2.5,'선정 규칙'!$B$11,IF('제외 후보'!L571&lt;=3,'선정 규칙'!$B$12,IF('제외 후보'!L571&lt;=3.5,'선정 규칙'!$B$13,IF('제외 후보'!L571&gt;=4.5,'선정 규칙'!$B$14,0)))))))</x:f>
        <x:v>32</x:v>
      </x:c>
      <x:c r="F571" s="11" t="n">
        <x:f>IF('제외 후보'!Y571=0,'선정 규칙'!$B$15,IF('제외 후보'!Y571&gt;=100,'선정 규칙'!$B$16,'선정 규칙'!$B$17))</x:f>
        <x:v>-25</x:v>
      </x:c>
      <x:c r="G571" s="11" t="n">
        <x:f>IF('제외 후보'!M571="있음",'선정 규칙'!$B$18,'선정 규칙'!$B$19)</x:f>
        <x:v>6</x:v>
      </x:c>
      <x:c r="H571" s="11" t="n">
        <x:f>IF(ISNUMBER(SEARCH("freq-core",'제외 후보'!AD571)),'선정 규칙'!$B$20,0)</x:f>
        <x:v>0</x:v>
      </x:c>
      <x:c r="I571" s="11" t="n">
        <x:f>IF(ISNUMBER(SEARCH("weak_legacy_content",'제외 후보'!P571)),'선정 규칙'!$B$21,0)</x:f>
        <x:v>0</x:v>
      </x:c>
      <x:c r="J571" s="11" t="n">
        <x:f>IF('제외 후보'!AC571&lt;&gt;"",'선정 규칙'!$B$22,0)</x:f>
        <x:v>0</x:v>
      </x:c>
      <x:c r="K571" s="11" t="n">
        <x:f>SUM(B571:J571)</x:f>
        <x:v>13</x:v>
      </x:c>
      <x:c r="L571" s="11" t="n">
        <x:f>'제외 후보'!N571</x:f>
        <x:v>13</x:v>
      </x:c>
      <x:c r="M571" s="2" t="str">
        <x:f>IF(K571=L571,"OK","MISMATCH")</x:f>
        <x:v>OK</x:v>
      </x:c>
    </x:row>
    <x:row r="572">
      <x:c r="A572" s="2" t="str">
        <x:f>'제외 후보'!G572</x:f>
        <x:v>w_3b3a8fd641682907</x:v>
      </x:c>
      <x:c r="B572" s="11" t="n">
        <x:f>IF('제외 후보'!Q572&lt;&gt;"",'선정 규칙'!$B$4,0)</x:f>
        <x:v>0</x:v>
      </x:c>
      <x:c r="C572" s="11" t="n">
        <x:f>IF(ISNUMBER(SEARCH("jmdict_uncommon_or_irregular",'제외 후보'!P572)),'선정 규칙'!$B$5,IF(ISNUMBER(SEARCH("jmdict_rare_or_dated",'제외 후보'!P572)),'선정 규칙'!$B$6,0))</x:f>
        <x:v>0</x:v>
      </x:c>
      <x:c r="D572" s="11" t="n">
        <x:f>IF(ISNUMBER(SEARCH("jmdict_exact_pair_not_found",'제외 후보'!P572)),'선정 규칙'!$B$7,0)</x:f>
        <x:v>0</x:v>
      </x:c>
      <x:c r="E572" s="11" t="n">
        <x:f>IF(OR('제외 후보'!L572="",'제외 후보'!L572&lt;=0),'선정 규칙'!$B$8,IF('제외 후보'!L572&lt;=1.5,'선정 규칙'!$B$9,IF('제외 후보'!L572&lt;=2,'선정 규칙'!$B$10,IF('제외 후보'!L572&lt;=2.5,'선정 규칙'!$B$11,IF('제외 후보'!L572&lt;=3,'선정 규칙'!$B$12,IF('제외 후보'!L572&lt;=3.5,'선정 규칙'!$B$13,IF('제외 후보'!L572&gt;=4.5,'선정 규칙'!$B$14,0)))))))</x:f>
        <x:v>32</x:v>
      </x:c>
      <x:c r="F572" s="11" t="n">
        <x:f>IF('제외 후보'!Y572=0,'선정 규칙'!$B$15,IF('제외 후보'!Y572&gt;=100,'선정 규칙'!$B$16,'선정 규칙'!$B$17))</x:f>
        <x:v>-25</x:v>
      </x:c>
      <x:c r="G572" s="11" t="n">
        <x:f>IF('제외 후보'!M572="있음",'선정 규칙'!$B$18,'선정 규칙'!$B$19)</x:f>
        <x:v>6</x:v>
      </x:c>
      <x:c r="H572" s="11" t="n">
        <x:f>IF(ISNUMBER(SEARCH("freq-core",'제외 후보'!AD572)),'선정 규칙'!$B$20,0)</x:f>
        <x:v>0</x:v>
      </x:c>
      <x:c r="I572" s="11" t="n">
        <x:f>IF(ISNUMBER(SEARCH("weak_legacy_content",'제외 후보'!P572)),'선정 규칙'!$B$21,0)</x:f>
        <x:v>0</x:v>
      </x:c>
      <x:c r="J572" s="11" t="n">
        <x:f>IF('제외 후보'!AC572&lt;&gt;"",'선정 규칙'!$B$22,0)</x:f>
        <x:v>0</x:v>
      </x:c>
      <x:c r="K572" s="11" t="n">
        <x:f>SUM(B572:J572)</x:f>
        <x:v>13</x:v>
      </x:c>
      <x:c r="L572" s="11" t="n">
        <x:f>'제외 후보'!N572</x:f>
        <x:v>13</x:v>
      </x:c>
      <x:c r="M572" s="2" t="str">
        <x:f>IF(K572=L572,"OK","MISMATCH")</x:f>
        <x:v>OK</x:v>
      </x:c>
    </x:row>
    <x:row r="573">
      <x:c r="A573" s="2" t="str">
        <x:f>'제외 후보'!G573</x:f>
        <x:v>w_8a98172acb9a29bd</x:v>
      </x:c>
      <x:c r="B573" s="11" t="n">
        <x:f>IF('제외 후보'!Q573&lt;&gt;"",'선정 규칙'!$B$4,0)</x:f>
        <x:v>0</x:v>
      </x:c>
      <x:c r="C573" s="11" t="n">
        <x:f>IF(ISNUMBER(SEARCH("jmdict_uncommon_or_irregular",'제외 후보'!P573)),'선정 규칙'!$B$5,IF(ISNUMBER(SEARCH("jmdict_rare_or_dated",'제외 후보'!P573)),'선정 규칙'!$B$6,0))</x:f>
        <x:v>0</x:v>
      </x:c>
      <x:c r="D573" s="11" t="n">
        <x:f>IF(ISNUMBER(SEARCH("jmdict_exact_pair_not_found",'제외 후보'!P573)),'선정 규칙'!$B$7,0)</x:f>
        <x:v>0</x:v>
      </x:c>
      <x:c r="E573" s="11" t="n">
        <x:f>IF(OR('제외 후보'!L573="",'제외 후보'!L573&lt;=0),'선정 규칙'!$B$8,IF('제외 후보'!L573&lt;=1.5,'선정 규칙'!$B$9,IF('제외 후보'!L573&lt;=2,'선정 규칙'!$B$10,IF('제외 후보'!L573&lt;=2.5,'선정 규칙'!$B$11,IF('제외 후보'!L573&lt;=3,'선정 규칙'!$B$12,IF('제외 후보'!L573&lt;=3.5,'선정 규칙'!$B$13,IF('제외 후보'!L573&gt;=4.5,'선정 규칙'!$B$14,0)))))))</x:f>
        <x:v>32</x:v>
      </x:c>
      <x:c r="F573" s="11" t="n">
        <x:f>IF('제외 후보'!Y573=0,'선정 규칙'!$B$15,IF('제외 후보'!Y573&gt;=100,'선정 규칙'!$B$16,'선정 규칙'!$B$17))</x:f>
        <x:v>-25</x:v>
      </x:c>
      <x:c r="G573" s="11" t="n">
        <x:f>IF('제외 후보'!M573="있음",'선정 규칙'!$B$18,'선정 규칙'!$B$19)</x:f>
        <x:v>6</x:v>
      </x:c>
      <x:c r="H573" s="11" t="n">
        <x:f>IF(ISNUMBER(SEARCH("freq-core",'제외 후보'!AD573)),'선정 규칙'!$B$20,0)</x:f>
        <x:v>0</x:v>
      </x:c>
      <x:c r="I573" s="11" t="n">
        <x:f>IF(ISNUMBER(SEARCH("weak_legacy_content",'제외 후보'!P573)),'선정 규칙'!$B$21,0)</x:f>
        <x:v>0</x:v>
      </x:c>
      <x:c r="J573" s="11" t="n">
        <x:f>IF('제외 후보'!AC573&lt;&gt;"",'선정 규칙'!$B$22,0)</x:f>
        <x:v>0</x:v>
      </x:c>
      <x:c r="K573" s="11" t="n">
        <x:f>SUM(B573:J573)</x:f>
        <x:v>13</x:v>
      </x:c>
      <x:c r="L573" s="11" t="n">
        <x:f>'제외 후보'!N573</x:f>
        <x:v>13</x:v>
      </x:c>
      <x:c r="M573" s="2" t="str">
        <x:f>IF(K573=L573,"OK","MISMATCH")</x:f>
        <x:v>OK</x:v>
      </x:c>
    </x:row>
    <x:row r="574">
      <x:c r="A574" s="2" t="str">
        <x:f>'제외 후보'!G574</x:f>
        <x:v>w_4e94f997e8a26e52</x:v>
      </x:c>
      <x:c r="B574" s="11" t="n">
        <x:f>IF('제외 후보'!Q574&lt;&gt;"",'선정 규칙'!$B$4,0)</x:f>
        <x:v>0</x:v>
      </x:c>
      <x:c r="C574" s="11" t="n">
        <x:f>IF(ISNUMBER(SEARCH("jmdict_uncommon_or_irregular",'제외 후보'!P574)),'선정 규칙'!$B$5,IF(ISNUMBER(SEARCH("jmdict_rare_or_dated",'제외 후보'!P574)),'선정 규칙'!$B$6,0))</x:f>
        <x:v>0</x:v>
      </x:c>
      <x:c r="D574" s="11" t="n">
        <x:f>IF(ISNUMBER(SEARCH("jmdict_exact_pair_not_found",'제외 후보'!P574)),'선정 규칙'!$B$7,0)</x:f>
        <x:v>0</x:v>
      </x:c>
      <x:c r="E574" s="11" t="n">
        <x:f>IF(OR('제외 후보'!L574="",'제외 후보'!L574&lt;=0),'선정 규칙'!$B$8,IF('제외 후보'!L574&lt;=1.5,'선정 규칙'!$B$9,IF('제외 후보'!L574&lt;=2,'선정 규칙'!$B$10,IF('제외 후보'!L574&lt;=2.5,'선정 규칙'!$B$11,IF('제외 후보'!L574&lt;=3,'선정 규칙'!$B$12,IF('제외 후보'!L574&lt;=3.5,'선정 규칙'!$B$13,IF('제외 후보'!L574&gt;=4.5,'선정 규칙'!$B$14,0)))))))</x:f>
        <x:v>32</x:v>
      </x:c>
      <x:c r="F574" s="11" t="n">
        <x:f>IF('제외 후보'!Y574=0,'선정 규칙'!$B$15,IF('제외 후보'!Y574&gt;=100,'선정 규칙'!$B$16,'선정 규칙'!$B$17))</x:f>
        <x:v>-25</x:v>
      </x:c>
      <x:c r="G574" s="11" t="n">
        <x:f>IF('제외 후보'!M574="있음",'선정 규칙'!$B$18,'선정 규칙'!$B$19)</x:f>
        <x:v>6</x:v>
      </x:c>
      <x:c r="H574" s="11" t="n">
        <x:f>IF(ISNUMBER(SEARCH("freq-core",'제외 후보'!AD574)),'선정 규칙'!$B$20,0)</x:f>
        <x:v>0</x:v>
      </x:c>
      <x:c r="I574" s="11" t="n">
        <x:f>IF(ISNUMBER(SEARCH("weak_legacy_content",'제외 후보'!P574)),'선정 규칙'!$B$21,0)</x:f>
        <x:v>0</x:v>
      </x:c>
      <x:c r="J574" s="11" t="n">
        <x:f>IF('제외 후보'!AC574&lt;&gt;"",'선정 규칙'!$B$22,0)</x:f>
        <x:v>0</x:v>
      </x:c>
      <x:c r="K574" s="11" t="n">
        <x:f>SUM(B574:J574)</x:f>
        <x:v>13</x:v>
      </x:c>
      <x:c r="L574" s="11" t="n">
        <x:f>'제외 후보'!N574</x:f>
        <x:v>13</x:v>
      </x:c>
      <x:c r="M574" s="2" t="str">
        <x:f>IF(K574=L574,"OK","MISMATCH")</x:f>
        <x:v>OK</x:v>
      </x:c>
    </x:row>
    <x:row r="575">
      <x:c r="A575" s="2" t="str">
        <x:f>'제외 후보'!G575</x:f>
        <x:v>w_4b25d8afface826b</x:v>
      </x:c>
      <x:c r="B575" s="11" t="n">
        <x:f>IF('제외 후보'!Q575&lt;&gt;"",'선정 규칙'!$B$4,0)</x:f>
        <x:v>0</x:v>
      </x:c>
      <x:c r="C575" s="11" t="n">
        <x:f>IF(ISNUMBER(SEARCH("jmdict_uncommon_or_irregular",'제외 후보'!P575)),'선정 규칙'!$B$5,IF(ISNUMBER(SEARCH("jmdict_rare_or_dated",'제외 후보'!P575)),'선정 규칙'!$B$6,0))</x:f>
        <x:v>0</x:v>
      </x:c>
      <x:c r="D575" s="11" t="n">
        <x:f>IF(ISNUMBER(SEARCH("jmdict_exact_pair_not_found",'제외 후보'!P575)),'선정 규칙'!$B$7,0)</x:f>
        <x:v>0</x:v>
      </x:c>
      <x:c r="E575" s="11" t="n">
        <x:f>IF(OR('제외 후보'!L575="",'제외 후보'!L575&lt;=0),'선정 규칙'!$B$8,IF('제외 후보'!L575&lt;=1.5,'선정 규칙'!$B$9,IF('제외 후보'!L575&lt;=2,'선정 규칙'!$B$10,IF('제외 후보'!L575&lt;=2.5,'선정 규칙'!$B$11,IF('제외 후보'!L575&lt;=3,'선정 규칙'!$B$12,IF('제외 후보'!L575&lt;=3.5,'선정 규칙'!$B$13,IF('제외 후보'!L575&gt;=4.5,'선정 규칙'!$B$14,0)))))))</x:f>
        <x:v>32</x:v>
      </x:c>
      <x:c r="F575" s="11" t="n">
        <x:f>IF('제외 후보'!Y575=0,'선정 규칙'!$B$15,IF('제외 후보'!Y575&gt;=100,'선정 규칙'!$B$16,'선정 규칙'!$B$17))</x:f>
        <x:v>-25</x:v>
      </x:c>
      <x:c r="G575" s="11" t="n">
        <x:f>IF('제외 후보'!M575="있음",'선정 규칙'!$B$18,'선정 규칙'!$B$19)</x:f>
        <x:v>6</x:v>
      </x:c>
      <x:c r="H575" s="11" t="n">
        <x:f>IF(ISNUMBER(SEARCH("freq-core",'제외 후보'!AD575)),'선정 규칙'!$B$20,0)</x:f>
        <x:v>0</x:v>
      </x:c>
      <x:c r="I575" s="11" t="n">
        <x:f>IF(ISNUMBER(SEARCH("weak_legacy_content",'제외 후보'!P575)),'선정 규칙'!$B$21,0)</x:f>
        <x:v>0</x:v>
      </x:c>
      <x:c r="J575" s="11" t="n">
        <x:f>IF('제외 후보'!AC575&lt;&gt;"",'선정 규칙'!$B$22,0)</x:f>
        <x:v>0</x:v>
      </x:c>
      <x:c r="K575" s="11" t="n">
        <x:f>SUM(B575:J575)</x:f>
        <x:v>13</x:v>
      </x:c>
      <x:c r="L575" s="11" t="n">
        <x:f>'제외 후보'!N575</x:f>
        <x:v>13</x:v>
      </x:c>
      <x:c r="M575" s="2" t="str">
        <x:f>IF(K575=L575,"OK","MISMATCH")</x:f>
        <x:v>OK</x:v>
      </x:c>
    </x:row>
    <x:row r="576">
      <x:c r="A576" s="2" t="str">
        <x:f>'제외 후보'!G576</x:f>
        <x:v>w_bab2e8ffc8930556</x:v>
      </x:c>
      <x:c r="B576" s="11" t="n">
        <x:f>IF('제외 후보'!Q576&lt;&gt;"",'선정 규칙'!$B$4,0)</x:f>
        <x:v>0</x:v>
      </x:c>
      <x:c r="C576" s="11" t="n">
        <x:f>IF(ISNUMBER(SEARCH("jmdict_uncommon_or_irregular",'제외 후보'!P576)),'선정 규칙'!$B$5,IF(ISNUMBER(SEARCH("jmdict_rare_or_dated",'제외 후보'!P576)),'선정 규칙'!$B$6,0))</x:f>
        <x:v>0</x:v>
      </x:c>
      <x:c r="D576" s="11" t="n">
        <x:f>IF(ISNUMBER(SEARCH("jmdict_exact_pair_not_found",'제외 후보'!P576)),'선정 규칙'!$B$7,0)</x:f>
        <x:v>0</x:v>
      </x:c>
      <x:c r="E576" s="11" t="n">
        <x:f>IF(OR('제외 후보'!L576="",'제외 후보'!L576&lt;=0),'선정 규칙'!$B$8,IF('제외 후보'!L576&lt;=1.5,'선정 규칙'!$B$9,IF('제외 후보'!L576&lt;=2,'선정 규칙'!$B$10,IF('제외 후보'!L576&lt;=2.5,'선정 규칙'!$B$11,IF('제외 후보'!L576&lt;=3,'선정 규칙'!$B$12,IF('제외 후보'!L576&lt;=3.5,'선정 규칙'!$B$13,IF('제외 후보'!L576&gt;=4.5,'선정 규칙'!$B$14,0)))))))</x:f>
        <x:v>32</x:v>
      </x:c>
      <x:c r="F576" s="11" t="n">
        <x:f>IF('제외 후보'!Y576=0,'선정 규칙'!$B$15,IF('제외 후보'!Y576&gt;=100,'선정 규칙'!$B$16,'선정 규칙'!$B$17))</x:f>
        <x:v>-25</x:v>
      </x:c>
      <x:c r="G576" s="11" t="n">
        <x:f>IF('제외 후보'!M576="있음",'선정 규칙'!$B$18,'선정 규칙'!$B$19)</x:f>
        <x:v>6</x:v>
      </x:c>
      <x:c r="H576" s="11" t="n">
        <x:f>IF(ISNUMBER(SEARCH("freq-core",'제외 후보'!AD576)),'선정 규칙'!$B$20,0)</x:f>
        <x:v>0</x:v>
      </x:c>
      <x:c r="I576" s="11" t="n">
        <x:f>IF(ISNUMBER(SEARCH("weak_legacy_content",'제외 후보'!P576)),'선정 규칙'!$B$21,0)</x:f>
        <x:v>0</x:v>
      </x:c>
      <x:c r="J576" s="11" t="n">
        <x:f>IF('제외 후보'!AC576&lt;&gt;"",'선정 규칙'!$B$22,0)</x:f>
        <x:v>0</x:v>
      </x:c>
      <x:c r="K576" s="11" t="n">
        <x:f>SUM(B576:J576)</x:f>
        <x:v>13</x:v>
      </x:c>
      <x:c r="L576" s="11" t="n">
        <x:f>'제외 후보'!N576</x:f>
        <x:v>13</x:v>
      </x:c>
      <x:c r="M576" s="2" t="str">
        <x:f>IF(K576=L576,"OK","MISMATCH")</x:f>
        <x:v>OK</x:v>
      </x:c>
    </x:row>
    <x:row r="577">
      <x:c r="A577" s="2" t="str">
        <x:f>'제외 후보'!G577</x:f>
        <x:v>w_809e6df92f7c76d7</x:v>
      </x:c>
      <x:c r="B577" s="11" t="n">
        <x:f>IF('제외 후보'!Q577&lt;&gt;"",'선정 규칙'!$B$4,0)</x:f>
        <x:v>0</x:v>
      </x:c>
      <x:c r="C577" s="11" t="n">
        <x:f>IF(ISNUMBER(SEARCH("jmdict_uncommon_or_irregular",'제외 후보'!P577)),'선정 규칙'!$B$5,IF(ISNUMBER(SEARCH("jmdict_rare_or_dated",'제외 후보'!P577)),'선정 규칙'!$B$6,0))</x:f>
        <x:v>0</x:v>
      </x:c>
      <x:c r="D577" s="11" t="n">
        <x:f>IF(ISNUMBER(SEARCH("jmdict_exact_pair_not_found",'제외 후보'!P577)),'선정 규칙'!$B$7,0)</x:f>
        <x:v>0</x:v>
      </x:c>
      <x:c r="E577" s="11" t="n">
        <x:f>IF(OR('제외 후보'!L577="",'제외 후보'!L577&lt;=0),'선정 규칙'!$B$8,IF('제외 후보'!L577&lt;=1.5,'선정 규칙'!$B$9,IF('제외 후보'!L577&lt;=2,'선정 규칙'!$B$10,IF('제외 후보'!L577&lt;=2.5,'선정 규칙'!$B$11,IF('제외 후보'!L577&lt;=3,'선정 규칙'!$B$12,IF('제외 후보'!L577&lt;=3.5,'선정 규칙'!$B$13,IF('제외 후보'!L577&gt;=4.5,'선정 규칙'!$B$14,0)))))))</x:f>
        <x:v>32</x:v>
      </x:c>
      <x:c r="F577" s="11" t="n">
        <x:f>IF('제외 후보'!Y577=0,'선정 규칙'!$B$15,IF('제외 후보'!Y577&gt;=100,'선정 규칙'!$B$16,'선정 규칙'!$B$17))</x:f>
        <x:v>-25</x:v>
      </x:c>
      <x:c r="G577" s="11" t="n">
        <x:f>IF('제외 후보'!M577="있음",'선정 규칙'!$B$18,'선정 규칙'!$B$19)</x:f>
        <x:v>6</x:v>
      </x:c>
      <x:c r="H577" s="11" t="n">
        <x:f>IF(ISNUMBER(SEARCH("freq-core",'제외 후보'!AD577)),'선정 규칙'!$B$20,0)</x:f>
        <x:v>0</x:v>
      </x:c>
      <x:c r="I577" s="11" t="n">
        <x:f>IF(ISNUMBER(SEARCH("weak_legacy_content",'제외 후보'!P577)),'선정 규칙'!$B$21,0)</x:f>
        <x:v>0</x:v>
      </x:c>
      <x:c r="J577" s="11" t="n">
        <x:f>IF('제외 후보'!AC577&lt;&gt;"",'선정 규칙'!$B$22,0)</x:f>
        <x:v>0</x:v>
      </x:c>
      <x:c r="K577" s="11" t="n">
        <x:f>SUM(B577:J577)</x:f>
        <x:v>13</x:v>
      </x:c>
      <x:c r="L577" s="11" t="n">
        <x:f>'제외 후보'!N577</x:f>
        <x:v>13</x:v>
      </x:c>
      <x:c r="M577" s="2" t="str">
        <x:f>IF(K577=L577,"OK","MISMATCH")</x:f>
        <x:v>OK</x:v>
      </x:c>
    </x:row>
    <x:row r="578">
      <x:c r="A578" s="2" t="str">
        <x:f>'제외 후보'!G578</x:f>
        <x:v>w_3ffdbe21aecf8ffc</x:v>
      </x:c>
      <x:c r="B578" s="11" t="n">
        <x:f>IF('제외 후보'!Q578&lt;&gt;"",'선정 규칙'!$B$4,0)</x:f>
        <x:v>0</x:v>
      </x:c>
      <x:c r="C578" s="11" t="n">
        <x:f>IF(ISNUMBER(SEARCH("jmdict_uncommon_or_irregular",'제외 후보'!P578)),'선정 규칙'!$B$5,IF(ISNUMBER(SEARCH("jmdict_rare_or_dated",'제외 후보'!P578)),'선정 규칙'!$B$6,0))</x:f>
        <x:v>0</x:v>
      </x:c>
      <x:c r="D578" s="11" t="n">
        <x:f>IF(ISNUMBER(SEARCH("jmdict_exact_pair_not_found",'제외 후보'!P578)),'선정 규칙'!$B$7,0)</x:f>
        <x:v>0</x:v>
      </x:c>
      <x:c r="E578" s="11" t="n">
        <x:f>IF(OR('제외 후보'!L578="",'제외 후보'!L578&lt;=0),'선정 규칙'!$B$8,IF('제외 후보'!L578&lt;=1.5,'선정 규칙'!$B$9,IF('제외 후보'!L578&lt;=2,'선정 규칙'!$B$10,IF('제외 후보'!L578&lt;=2.5,'선정 규칙'!$B$11,IF('제외 후보'!L578&lt;=3,'선정 규칙'!$B$12,IF('제외 후보'!L578&lt;=3.5,'선정 규칙'!$B$13,IF('제외 후보'!L578&gt;=4.5,'선정 규칙'!$B$14,0)))))))</x:f>
        <x:v>32</x:v>
      </x:c>
      <x:c r="F578" s="11" t="n">
        <x:f>IF('제외 후보'!Y578=0,'선정 규칙'!$B$15,IF('제외 후보'!Y578&gt;=100,'선정 규칙'!$B$16,'선정 규칙'!$B$17))</x:f>
        <x:v>-25</x:v>
      </x:c>
      <x:c r="G578" s="11" t="n">
        <x:f>IF('제외 후보'!M578="있음",'선정 규칙'!$B$18,'선정 규칙'!$B$19)</x:f>
        <x:v>6</x:v>
      </x:c>
      <x:c r="H578" s="11" t="n">
        <x:f>IF(ISNUMBER(SEARCH("freq-core",'제외 후보'!AD578)),'선정 규칙'!$B$20,0)</x:f>
        <x:v>0</x:v>
      </x:c>
      <x:c r="I578" s="11" t="n">
        <x:f>IF(ISNUMBER(SEARCH("weak_legacy_content",'제외 후보'!P578)),'선정 규칙'!$B$21,0)</x:f>
        <x:v>0</x:v>
      </x:c>
      <x:c r="J578" s="11" t="n">
        <x:f>IF('제외 후보'!AC578&lt;&gt;"",'선정 규칙'!$B$22,0)</x:f>
        <x:v>0</x:v>
      </x:c>
      <x:c r="K578" s="11" t="n">
        <x:f>SUM(B578:J578)</x:f>
        <x:v>13</x:v>
      </x:c>
      <x:c r="L578" s="11" t="n">
        <x:f>'제외 후보'!N578</x:f>
        <x:v>13</x:v>
      </x:c>
      <x:c r="M578" s="2" t="str">
        <x:f>IF(K578=L578,"OK","MISMATCH")</x:f>
        <x:v>OK</x:v>
      </x:c>
    </x:row>
    <x:row r="579">
      <x:c r="A579" s="2" t="str">
        <x:f>'제외 후보'!G579</x:f>
        <x:v>w_67af86e2514f1964</x:v>
      </x:c>
      <x:c r="B579" s="11" t="n">
        <x:f>IF('제외 후보'!Q579&lt;&gt;"",'선정 규칙'!$B$4,0)</x:f>
        <x:v>0</x:v>
      </x:c>
      <x:c r="C579" s="11" t="n">
        <x:f>IF(ISNUMBER(SEARCH("jmdict_uncommon_or_irregular",'제외 후보'!P579)),'선정 규칙'!$B$5,IF(ISNUMBER(SEARCH("jmdict_rare_or_dated",'제외 후보'!P579)),'선정 규칙'!$B$6,0))</x:f>
        <x:v>0</x:v>
      </x:c>
      <x:c r="D579" s="11" t="n">
        <x:f>IF(ISNUMBER(SEARCH("jmdict_exact_pair_not_found",'제외 후보'!P579)),'선정 규칙'!$B$7,0)</x:f>
        <x:v>0</x:v>
      </x:c>
      <x:c r="E579" s="11" t="n">
        <x:f>IF(OR('제외 후보'!L579="",'제외 후보'!L579&lt;=0),'선정 규칙'!$B$8,IF('제외 후보'!L579&lt;=1.5,'선정 규칙'!$B$9,IF('제외 후보'!L579&lt;=2,'선정 규칙'!$B$10,IF('제외 후보'!L579&lt;=2.5,'선정 규칙'!$B$11,IF('제외 후보'!L579&lt;=3,'선정 규칙'!$B$12,IF('제외 후보'!L579&lt;=3.5,'선정 규칙'!$B$13,IF('제외 후보'!L579&gt;=4.5,'선정 규칙'!$B$14,0)))))))</x:f>
        <x:v>32</x:v>
      </x:c>
      <x:c r="F579" s="11" t="n">
        <x:f>IF('제외 후보'!Y579=0,'선정 규칙'!$B$15,IF('제외 후보'!Y579&gt;=100,'선정 규칙'!$B$16,'선정 규칙'!$B$17))</x:f>
        <x:v>-25</x:v>
      </x:c>
      <x:c r="G579" s="11" t="n">
        <x:f>IF('제외 후보'!M579="있음",'선정 규칙'!$B$18,'선정 규칙'!$B$19)</x:f>
        <x:v>6</x:v>
      </x:c>
      <x:c r="H579" s="11" t="n">
        <x:f>IF(ISNUMBER(SEARCH("freq-core",'제외 후보'!AD579)),'선정 규칙'!$B$20,0)</x:f>
        <x:v>0</x:v>
      </x:c>
      <x:c r="I579" s="11" t="n">
        <x:f>IF(ISNUMBER(SEARCH("weak_legacy_content",'제외 후보'!P579)),'선정 규칙'!$B$21,0)</x:f>
        <x:v>0</x:v>
      </x:c>
      <x:c r="J579" s="11" t="n">
        <x:f>IF('제외 후보'!AC579&lt;&gt;"",'선정 규칙'!$B$22,0)</x:f>
        <x:v>0</x:v>
      </x:c>
      <x:c r="K579" s="11" t="n">
        <x:f>SUM(B579:J579)</x:f>
        <x:v>13</x:v>
      </x:c>
      <x:c r="L579" s="11" t="n">
        <x:f>'제외 후보'!N579</x:f>
        <x:v>13</x:v>
      </x:c>
      <x:c r="M579" s="2" t="str">
        <x:f>IF(K579=L579,"OK","MISMATCH")</x:f>
        <x:v>OK</x:v>
      </x:c>
    </x:row>
    <x:row r="580">
      <x:c r="A580" s="2" t="str">
        <x:f>'제외 후보'!G580</x:f>
        <x:v>w_ddf3685cda51dfc4</x:v>
      </x:c>
      <x:c r="B580" s="11" t="n">
        <x:f>IF('제외 후보'!Q580&lt;&gt;"",'선정 규칙'!$B$4,0)</x:f>
        <x:v>0</x:v>
      </x:c>
      <x:c r="C580" s="11" t="n">
        <x:f>IF(ISNUMBER(SEARCH("jmdict_uncommon_or_irregular",'제외 후보'!P580)),'선정 규칙'!$B$5,IF(ISNUMBER(SEARCH("jmdict_rare_or_dated",'제외 후보'!P580)),'선정 규칙'!$B$6,0))</x:f>
        <x:v>0</x:v>
      </x:c>
      <x:c r="D580" s="11" t="n">
        <x:f>IF(ISNUMBER(SEARCH("jmdict_exact_pair_not_found",'제외 후보'!P580)),'선정 규칙'!$B$7,0)</x:f>
        <x:v>0</x:v>
      </x:c>
      <x:c r="E580" s="11" t="n">
        <x:f>IF(OR('제외 후보'!L580="",'제외 후보'!L580&lt;=0),'선정 규칙'!$B$8,IF('제외 후보'!L580&lt;=1.5,'선정 규칙'!$B$9,IF('제외 후보'!L580&lt;=2,'선정 규칙'!$B$10,IF('제외 후보'!L580&lt;=2.5,'선정 규칙'!$B$11,IF('제외 후보'!L580&lt;=3,'선정 규칙'!$B$12,IF('제외 후보'!L580&lt;=3.5,'선정 규칙'!$B$13,IF('제외 후보'!L580&gt;=4.5,'선정 규칙'!$B$14,0)))))))</x:f>
        <x:v>32</x:v>
      </x:c>
      <x:c r="F580" s="11" t="n">
        <x:f>IF('제외 후보'!Y580=0,'선정 규칙'!$B$15,IF('제외 후보'!Y580&gt;=100,'선정 규칙'!$B$16,'선정 규칙'!$B$17))</x:f>
        <x:v>-25</x:v>
      </x:c>
      <x:c r="G580" s="11" t="n">
        <x:f>IF('제외 후보'!M580="있음",'선정 규칙'!$B$18,'선정 규칙'!$B$19)</x:f>
        <x:v>6</x:v>
      </x:c>
      <x:c r="H580" s="11" t="n">
        <x:f>IF(ISNUMBER(SEARCH("freq-core",'제외 후보'!AD580)),'선정 규칙'!$B$20,0)</x:f>
        <x:v>0</x:v>
      </x:c>
      <x:c r="I580" s="11" t="n">
        <x:f>IF(ISNUMBER(SEARCH("weak_legacy_content",'제외 후보'!P580)),'선정 규칙'!$B$21,0)</x:f>
        <x:v>0</x:v>
      </x:c>
      <x:c r="J580" s="11" t="n">
        <x:f>IF('제외 후보'!AC580&lt;&gt;"",'선정 규칙'!$B$22,0)</x:f>
        <x:v>0</x:v>
      </x:c>
      <x:c r="K580" s="11" t="n">
        <x:f>SUM(B580:J580)</x:f>
        <x:v>13</x:v>
      </x:c>
      <x:c r="L580" s="11" t="n">
        <x:f>'제외 후보'!N580</x:f>
        <x:v>13</x:v>
      </x:c>
      <x:c r="M580" s="2" t="str">
        <x:f>IF(K580=L580,"OK","MISMATCH")</x:f>
        <x:v>OK</x:v>
      </x:c>
    </x:row>
    <x:row r="581">
      <x:c r="A581" s="2" t="str">
        <x:f>'제외 후보'!G581</x:f>
        <x:v>w_2735e9745df8d0ac</x:v>
      </x:c>
      <x:c r="B581" s="11" t="n">
        <x:f>IF('제외 후보'!Q581&lt;&gt;"",'선정 규칙'!$B$4,0)</x:f>
        <x:v>0</x:v>
      </x:c>
      <x:c r="C581" s="11" t="n">
        <x:f>IF(ISNUMBER(SEARCH("jmdict_uncommon_or_irregular",'제외 후보'!P581)),'선정 규칙'!$B$5,IF(ISNUMBER(SEARCH("jmdict_rare_or_dated",'제외 후보'!P581)),'선정 규칙'!$B$6,0))</x:f>
        <x:v>0</x:v>
      </x:c>
      <x:c r="D581" s="11" t="n">
        <x:f>IF(ISNUMBER(SEARCH("jmdict_exact_pair_not_found",'제외 후보'!P581)),'선정 규칙'!$B$7,0)</x:f>
        <x:v>0</x:v>
      </x:c>
      <x:c r="E581" s="11" t="n">
        <x:f>IF(OR('제외 후보'!L581="",'제외 후보'!L581&lt;=0),'선정 규칙'!$B$8,IF('제외 후보'!L581&lt;=1.5,'선정 규칙'!$B$9,IF('제외 후보'!L581&lt;=2,'선정 규칙'!$B$10,IF('제외 후보'!L581&lt;=2.5,'선정 규칙'!$B$11,IF('제외 후보'!L581&lt;=3,'선정 규칙'!$B$12,IF('제외 후보'!L581&lt;=3.5,'선정 규칙'!$B$13,IF('제외 후보'!L581&gt;=4.5,'선정 규칙'!$B$14,0)))))))</x:f>
        <x:v>32</x:v>
      </x:c>
      <x:c r="F581" s="11" t="n">
        <x:f>IF('제외 후보'!Y581=0,'선정 규칙'!$B$15,IF('제외 후보'!Y581&gt;=100,'선정 규칙'!$B$16,'선정 규칙'!$B$17))</x:f>
        <x:v>-25</x:v>
      </x:c>
      <x:c r="G581" s="11" t="n">
        <x:f>IF('제외 후보'!M581="있음",'선정 규칙'!$B$18,'선정 규칙'!$B$19)</x:f>
        <x:v>6</x:v>
      </x:c>
      <x:c r="H581" s="11" t="n">
        <x:f>IF(ISNUMBER(SEARCH("freq-core",'제외 후보'!AD581)),'선정 규칙'!$B$20,0)</x:f>
        <x:v>0</x:v>
      </x:c>
      <x:c r="I581" s="11" t="n">
        <x:f>IF(ISNUMBER(SEARCH("weak_legacy_content",'제외 후보'!P581)),'선정 규칙'!$B$21,0)</x:f>
        <x:v>0</x:v>
      </x:c>
      <x:c r="J581" s="11" t="n">
        <x:f>IF('제외 후보'!AC581&lt;&gt;"",'선정 규칙'!$B$22,0)</x:f>
        <x:v>0</x:v>
      </x:c>
      <x:c r="K581" s="11" t="n">
        <x:f>SUM(B581:J581)</x:f>
        <x:v>13</x:v>
      </x:c>
      <x:c r="L581" s="11" t="n">
        <x:f>'제외 후보'!N581</x:f>
        <x:v>13</x:v>
      </x:c>
      <x:c r="M581" s="2" t="str">
        <x:f>IF(K581=L581,"OK","MISMATCH")</x:f>
        <x:v>OK</x:v>
      </x:c>
    </x:row>
    <x:row r="582">
      <x:c r="A582" s="2" t="str">
        <x:f>'제외 후보'!G582</x:f>
        <x:v>w_0bf4a8af3babd67d</x:v>
      </x:c>
      <x:c r="B582" s="11" t="n">
        <x:f>IF('제외 후보'!Q582&lt;&gt;"",'선정 규칙'!$B$4,0)</x:f>
        <x:v>0</x:v>
      </x:c>
      <x:c r="C582" s="11" t="n">
        <x:f>IF(ISNUMBER(SEARCH("jmdict_uncommon_or_irregular",'제외 후보'!P582)),'선정 규칙'!$B$5,IF(ISNUMBER(SEARCH("jmdict_rare_or_dated",'제외 후보'!P582)),'선정 규칙'!$B$6,0))</x:f>
        <x:v>0</x:v>
      </x:c>
      <x:c r="D582" s="11" t="n">
        <x:f>IF(ISNUMBER(SEARCH("jmdict_exact_pair_not_found",'제외 후보'!P582)),'선정 규칙'!$B$7,0)</x:f>
        <x:v>0</x:v>
      </x:c>
      <x:c r="E582" s="11" t="n">
        <x:f>IF(OR('제외 후보'!L582="",'제외 후보'!L582&lt;=0),'선정 규칙'!$B$8,IF('제외 후보'!L582&lt;=1.5,'선정 규칙'!$B$9,IF('제외 후보'!L582&lt;=2,'선정 규칙'!$B$10,IF('제외 후보'!L582&lt;=2.5,'선정 규칙'!$B$11,IF('제외 후보'!L582&lt;=3,'선정 규칙'!$B$12,IF('제외 후보'!L582&lt;=3.5,'선정 규칙'!$B$13,IF('제외 후보'!L582&gt;=4.5,'선정 규칙'!$B$14,0)))))))</x:f>
        <x:v>32</x:v>
      </x:c>
      <x:c r="F582" s="11" t="n">
        <x:f>IF('제외 후보'!Y582=0,'선정 규칙'!$B$15,IF('제외 후보'!Y582&gt;=100,'선정 규칙'!$B$16,'선정 규칙'!$B$17))</x:f>
        <x:v>-25</x:v>
      </x:c>
      <x:c r="G582" s="11" t="n">
        <x:f>IF('제외 후보'!M582="있음",'선정 규칙'!$B$18,'선정 규칙'!$B$19)</x:f>
        <x:v>6</x:v>
      </x:c>
      <x:c r="H582" s="11" t="n">
        <x:f>IF(ISNUMBER(SEARCH("freq-core",'제외 후보'!AD582)),'선정 규칙'!$B$20,0)</x:f>
        <x:v>0</x:v>
      </x:c>
      <x:c r="I582" s="11" t="n">
        <x:f>IF(ISNUMBER(SEARCH("weak_legacy_content",'제외 후보'!P582)),'선정 규칙'!$B$21,0)</x:f>
        <x:v>0</x:v>
      </x:c>
      <x:c r="J582" s="11" t="n">
        <x:f>IF('제외 후보'!AC582&lt;&gt;"",'선정 규칙'!$B$22,0)</x:f>
        <x:v>0</x:v>
      </x:c>
      <x:c r="K582" s="11" t="n">
        <x:f>SUM(B582:J582)</x:f>
        <x:v>13</x:v>
      </x:c>
      <x:c r="L582" s="11" t="n">
        <x:f>'제외 후보'!N582</x:f>
        <x:v>13</x:v>
      </x:c>
      <x:c r="M582" s="2" t="str">
        <x:f>IF(K582=L582,"OK","MISMATCH")</x:f>
        <x:v>OK</x:v>
      </x:c>
    </x:row>
    <x:row r="583">
      <x:c r="A583" s="2" t="str">
        <x:f>'제외 후보'!G583</x:f>
        <x:v>w_9eca3f5e09ab7536</x:v>
      </x:c>
      <x:c r="B583" s="11" t="n">
        <x:f>IF('제외 후보'!Q583&lt;&gt;"",'선정 규칙'!$B$4,0)</x:f>
        <x:v>0</x:v>
      </x:c>
      <x:c r="C583" s="11" t="n">
        <x:f>IF(ISNUMBER(SEARCH("jmdict_uncommon_or_irregular",'제외 후보'!P583)),'선정 규칙'!$B$5,IF(ISNUMBER(SEARCH("jmdict_rare_or_dated",'제외 후보'!P583)),'선정 규칙'!$B$6,0))</x:f>
        <x:v>0</x:v>
      </x:c>
      <x:c r="D583" s="11" t="n">
        <x:f>IF(ISNUMBER(SEARCH("jmdict_exact_pair_not_found",'제외 후보'!P583)),'선정 규칙'!$B$7,0)</x:f>
        <x:v>0</x:v>
      </x:c>
      <x:c r="E583" s="11" t="n">
        <x:f>IF(OR('제외 후보'!L583="",'제외 후보'!L583&lt;=0),'선정 규칙'!$B$8,IF('제외 후보'!L583&lt;=1.5,'선정 규칙'!$B$9,IF('제외 후보'!L583&lt;=2,'선정 규칙'!$B$10,IF('제외 후보'!L583&lt;=2.5,'선정 규칙'!$B$11,IF('제외 후보'!L583&lt;=3,'선정 규칙'!$B$12,IF('제외 후보'!L583&lt;=3.5,'선정 규칙'!$B$13,IF('제외 후보'!L583&gt;=4.5,'선정 규칙'!$B$14,0)))))))</x:f>
        <x:v>32</x:v>
      </x:c>
      <x:c r="F583" s="11" t="n">
        <x:f>IF('제외 후보'!Y583=0,'선정 규칙'!$B$15,IF('제외 후보'!Y583&gt;=100,'선정 규칙'!$B$16,'선정 규칙'!$B$17))</x:f>
        <x:v>-25</x:v>
      </x:c>
      <x:c r="G583" s="11" t="n">
        <x:f>IF('제외 후보'!M583="있음",'선정 규칙'!$B$18,'선정 규칙'!$B$19)</x:f>
        <x:v>6</x:v>
      </x:c>
      <x:c r="H583" s="11" t="n">
        <x:f>IF(ISNUMBER(SEARCH("freq-core",'제외 후보'!AD583)),'선정 규칙'!$B$20,0)</x:f>
        <x:v>0</x:v>
      </x:c>
      <x:c r="I583" s="11" t="n">
        <x:f>IF(ISNUMBER(SEARCH("weak_legacy_content",'제외 후보'!P583)),'선정 규칙'!$B$21,0)</x:f>
        <x:v>0</x:v>
      </x:c>
      <x:c r="J583" s="11" t="n">
        <x:f>IF('제외 후보'!AC583&lt;&gt;"",'선정 규칙'!$B$22,0)</x:f>
        <x:v>0</x:v>
      </x:c>
      <x:c r="K583" s="11" t="n">
        <x:f>SUM(B583:J583)</x:f>
        <x:v>13</x:v>
      </x:c>
      <x:c r="L583" s="11" t="n">
        <x:f>'제외 후보'!N583</x:f>
        <x:v>13</x:v>
      </x:c>
      <x:c r="M583" s="2" t="str">
        <x:f>IF(K583=L583,"OK","MISMATCH")</x:f>
        <x:v>OK</x:v>
      </x:c>
    </x:row>
    <x:row r="584">
      <x:c r="A584" s="2" t="str">
        <x:f>'제외 후보'!G584</x:f>
        <x:v>w_d09018af99e4bb60</x:v>
      </x:c>
      <x:c r="B584" s="11" t="n">
        <x:f>IF('제외 후보'!Q584&lt;&gt;"",'선정 규칙'!$B$4,0)</x:f>
        <x:v>0</x:v>
      </x:c>
      <x:c r="C584" s="11" t="n">
        <x:f>IF(ISNUMBER(SEARCH("jmdict_uncommon_or_irregular",'제외 후보'!P584)),'선정 규칙'!$B$5,IF(ISNUMBER(SEARCH("jmdict_rare_or_dated",'제외 후보'!P584)),'선정 규칙'!$B$6,0))</x:f>
        <x:v>0</x:v>
      </x:c>
      <x:c r="D584" s="11" t="n">
        <x:f>IF(ISNUMBER(SEARCH("jmdict_exact_pair_not_found",'제외 후보'!P584)),'선정 규칙'!$B$7,0)</x:f>
        <x:v>0</x:v>
      </x:c>
      <x:c r="E584" s="11" t="n">
        <x:f>IF(OR('제외 후보'!L584="",'제외 후보'!L584&lt;=0),'선정 규칙'!$B$8,IF('제외 후보'!L584&lt;=1.5,'선정 규칙'!$B$9,IF('제외 후보'!L584&lt;=2,'선정 규칙'!$B$10,IF('제외 후보'!L584&lt;=2.5,'선정 규칙'!$B$11,IF('제외 후보'!L584&lt;=3,'선정 규칙'!$B$12,IF('제외 후보'!L584&lt;=3.5,'선정 규칙'!$B$13,IF('제외 후보'!L584&gt;=4.5,'선정 규칙'!$B$14,0)))))))</x:f>
        <x:v>26</x:v>
      </x:c>
      <x:c r="F584" s="11" t="n">
        <x:f>IF('제외 후보'!Y584=0,'선정 규칙'!$B$15,IF('제외 후보'!Y584&gt;=100,'선정 규칙'!$B$16,'선정 규칙'!$B$17))</x:f>
        <x:v>12</x:v>
      </x:c>
      <x:c r="G584" s="11" t="n">
        <x:f>IF('제외 후보'!M584="있음",'선정 규칙'!$B$18,'선정 규칙'!$B$19)</x:f>
        <x:v>-25</x:v>
      </x:c>
      <x:c r="H584" s="11" t="n">
        <x:f>IF(ISNUMBER(SEARCH("freq-core",'제외 후보'!AD584)),'선정 규칙'!$B$20,0)</x:f>
        <x:v>0</x:v>
      </x:c>
      <x:c r="I584" s="11" t="n">
        <x:f>IF(ISNUMBER(SEARCH("weak_legacy_content",'제외 후보'!P584)),'선정 규칙'!$B$21,0)</x:f>
        <x:v>0</x:v>
      </x:c>
      <x:c r="J584" s="11" t="n">
        <x:f>IF('제외 후보'!AC584&lt;&gt;"",'선정 규칙'!$B$22,0)</x:f>
        <x:v>0</x:v>
      </x:c>
      <x:c r="K584" s="11" t="n">
        <x:f>SUM(B584:J584)</x:f>
        <x:v>13</x:v>
      </x:c>
      <x:c r="L584" s="11" t="n">
        <x:f>'제외 후보'!N584</x:f>
        <x:v>13</x:v>
      </x:c>
      <x:c r="M584" s="2" t="str">
        <x:f>IF(K584=L584,"OK","MISMATCH")</x:f>
        <x:v>OK</x:v>
      </x:c>
    </x:row>
    <x:row r="585">
      <x:c r="A585" s="2" t="str">
        <x:f>'제외 후보'!G585</x:f>
        <x:v>w_9b601d59fbe8d65d</x:v>
      </x:c>
      <x:c r="B585" s="11" t="n">
        <x:f>IF('제외 후보'!Q585&lt;&gt;"",'선정 규칙'!$B$4,0)</x:f>
        <x:v>0</x:v>
      </x:c>
      <x:c r="C585" s="11" t="n">
        <x:f>IF(ISNUMBER(SEARCH("jmdict_uncommon_or_irregular",'제외 후보'!P585)),'선정 규칙'!$B$5,IF(ISNUMBER(SEARCH("jmdict_rare_or_dated",'제외 후보'!P585)),'선정 규칙'!$B$6,0))</x:f>
        <x:v>0</x:v>
      </x:c>
      <x:c r="D585" s="11" t="n">
        <x:f>IF(ISNUMBER(SEARCH("jmdict_exact_pair_not_found",'제외 후보'!P585)),'선정 규칙'!$B$7,0)</x:f>
        <x:v>0</x:v>
      </x:c>
      <x:c r="E585" s="11" t="n">
        <x:f>IF(OR('제외 후보'!L585="",'제외 후보'!L585&lt;=0),'선정 규칙'!$B$8,IF('제외 후보'!L585&lt;=1.5,'선정 규칙'!$B$9,IF('제외 후보'!L585&lt;=2,'선정 규칙'!$B$10,IF('제외 후보'!L585&lt;=2.5,'선정 규칙'!$B$11,IF('제외 후보'!L585&lt;=3,'선정 규칙'!$B$12,IF('제외 후보'!L585&lt;=3.5,'선정 규칙'!$B$13,IF('제외 후보'!L585&gt;=4.5,'선정 규칙'!$B$14,0)))))))</x:f>
        <x:v>26</x:v>
      </x:c>
      <x:c r="F585" s="11" t="n">
        <x:f>IF('제외 후보'!Y585=0,'선정 규칙'!$B$15,IF('제외 후보'!Y585&gt;=100,'선정 규칙'!$B$16,'선정 규칙'!$B$17))</x:f>
        <x:v>12</x:v>
      </x:c>
      <x:c r="G585" s="11" t="n">
        <x:f>IF('제외 후보'!M585="있음",'선정 규칙'!$B$18,'선정 규칙'!$B$19)</x:f>
        <x:v>-25</x:v>
      </x:c>
      <x:c r="H585" s="11" t="n">
        <x:f>IF(ISNUMBER(SEARCH("freq-core",'제외 후보'!AD585)),'선정 규칙'!$B$20,0)</x:f>
        <x:v>0</x:v>
      </x:c>
      <x:c r="I585" s="11" t="n">
        <x:f>IF(ISNUMBER(SEARCH("weak_legacy_content",'제외 후보'!P585)),'선정 규칙'!$B$21,0)</x:f>
        <x:v>0</x:v>
      </x:c>
      <x:c r="J585" s="11" t="n">
        <x:f>IF('제외 후보'!AC585&lt;&gt;"",'선정 규칙'!$B$22,0)</x:f>
        <x:v>0</x:v>
      </x:c>
      <x:c r="K585" s="11" t="n">
        <x:f>SUM(B585:J585)</x:f>
        <x:v>13</x:v>
      </x:c>
      <x:c r="L585" s="11" t="n">
        <x:f>'제외 후보'!N585</x:f>
        <x:v>13</x:v>
      </x:c>
      <x:c r="M585" s="2" t="str">
        <x:f>IF(K585=L585,"OK","MISMATCH")</x:f>
        <x:v>OK</x:v>
      </x:c>
    </x:row>
    <x:row r="586">
      <x:c r="A586" s="2" t="str">
        <x:f>'제외 후보'!G586</x:f>
        <x:v>w_30df0c1b9dff70f7</x:v>
      </x:c>
      <x:c r="B586" s="11" t="n">
        <x:f>IF('제외 후보'!Q586&lt;&gt;"",'선정 규칙'!$B$4,0)</x:f>
        <x:v>0</x:v>
      </x:c>
      <x:c r="C586" s="11" t="n">
        <x:f>IF(ISNUMBER(SEARCH("jmdict_uncommon_or_irregular",'제외 후보'!P586)),'선정 규칙'!$B$5,IF(ISNUMBER(SEARCH("jmdict_rare_or_dated",'제외 후보'!P586)),'선정 규칙'!$B$6,0))</x:f>
        <x:v>0</x:v>
      </x:c>
      <x:c r="D586" s="11" t="n">
        <x:f>IF(ISNUMBER(SEARCH("jmdict_exact_pair_not_found",'제외 후보'!P586)),'선정 규칙'!$B$7,0)</x:f>
        <x:v>0</x:v>
      </x:c>
      <x:c r="E586" s="11" t="n">
        <x:f>IF(OR('제외 후보'!L586="",'제외 후보'!L586&lt;=0),'선정 규칙'!$B$8,IF('제외 후보'!L586&lt;=1.5,'선정 규칙'!$B$9,IF('제외 후보'!L586&lt;=2,'선정 규칙'!$B$10,IF('제외 후보'!L586&lt;=2.5,'선정 규칙'!$B$11,IF('제외 후보'!L586&lt;=3,'선정 규칙'!$B$12,IF('제외 후보'!L586&lt;=3.5,'선정 규칙'!$B$13,IF('제외 후보'!L586&gt;=4.5,'선정 규칙'!$B$14,0)))))))</x:f>
        <x:v>26</x:v>
      </x:c>
      <x:c r="F586" s="11" t="n">
        <x:f>IF('제외 후보'!Y586=0,'선정 규칙'!$B$15,IF('제외 후보'!Y586&gt;=100,'선정 규칙'!$B$16,'선정 규칙'!$B$17))</x:f>
        <x:v>12</x:v>
      </x:c>
      <x:c r="G586" s="11" t="n">
        <x:f>IF('제외 후보'!M586="있음",'선정 규칙'!$B$18,'선정 규칙'!$B$19)</x:f>
        <x:v>-25</x:v>
      </x:c>
      <x:c r="H586" s="11" t="n">
        <x:f>IF(ISNUMBER(SEARCH("freq-core",'제외 후보'!AD586)),'선정 규칙'!$B$20,0)</x:f>
        <x:v>0</x:v>
      </x:c>
      <x:c r="I586" s="11" t="n">
        <x:f>IF(ISNUMBER(SEARCH("weak_legacy_content",'제외 후보'!P586)),'선정 규칙'!$B$21,0)</x:f>
        <x:v>0</x:v>
      </x:c>
      <x:c r="J586" s="11" t="n">
        <x:f>IF('제외 후보'!AC586&lt;&gt;"",'선정 규칙'!$B$22,0)</x:f>
        <x:v>0</x:v>
      </x:c>
      <x:c r="K586" s="11" t="n">
        <x:f>SUM(B586:J586)</x:f>
        <x:v>13</x:v>
      </x:c>
      <x:c r="L586" s="11" t="n">
        <x:f>'제외 후보'!N586</x:f>
        <x:v>13</x:v>
      </x:c>
      <x:c r="M586" s="2" t="str">
        <x:f>IF(K586=L586,"OK","MISMATCH")</x:f>
        <x:v>OK</x:v>
      </x:c>
    </x:row>
    <x:row r="587">
      <x:c r="A587" s="2" t="str">
        <x:f>'제외 후보'!G587</x:f>
        <x:v>w_8ed492347d7f1855</x:v>
      </x:c>
      <x:c r="B587" s="11" t="n">
        <x:f>IF('제외 후보'!Q587&lt;&gt;"",'선정 규칙'!$B$4,0)</x:f>
        <x:v>0</x:v>
      </x:c>
      <x:c r="C587" s="11" t="n">
        <x:f>IF(ISNUMBER(SEARCH("jmdict_uncommon_or_irregular",'제외 후보'!P587)),'선정 규칙'!$B$5,IF(ISNUMBER(SEARCH("jmdict_rare_or_dated",'제외 후보'!P587)),'선정 규칙'!$B$6,0))</x:f>
        <x:v>50</x:v>
      </x:c>
      <x:c r="D587" s="11" t="n">
        <x:f>IF(ISNUMBER(SEARCH("jmdict_exact_pair_not_found",'제외 후보'!P587)),'선정 규칙'!$B$7,0)</x:f>
        <x:v>0</x:v>
      </x:c>
      <x:c r="E587" s="11" t="n">
        <x:f>IF(OR('제외 후보'!L587="",'제외 후보'!L587&lt;=0),'선정 규칙'!$B$8,IF('제외 후보'!L587&lt;=1.5,'선정 규칙'!$B$9,IF('제외 후보'!L587&lt;=2,'선정 규칙'!$B$10,IF('제외 후보'!L587&lt;=2.5,'선정 규칙'!$B$11,IF('제외 후보'!L587&lt;=3,'선정 규칙'!$B$12,IF('제외 후보'!L587&lt;=3.5,'선정 규칙'!$B$13,IF('제외 후보'!L587&gt;=4.5,'선정 규칙'!$B$14,0)))))))</x:f>
        <x:v>12</x:v>
      </x:c>
      <x:c r="F587" s="11" t="n">
        <x:f>IF('제외 후보'!Y587=0,'선정 규칙'!$B$15,IF('제외 후보'!Y587&gt;=100,'선정 규칙'!$B$16,'선정 규칙'!$B$17))</x:f>
        <x:v>-25</x:v>
      </x:c>
      <x:c r="G587" s="11" t="n">
        <x:f>IF('제외 후보'!M587="있음",'선정 규칙'!$B$18,'선정 규칙'!$B$19)</x:f>
        <x:v>6</x:v>
      </x:c>
      <x:c r="H587" s="11" t="n">
        <x:f>IF(ISNUMBER(SEARCH("freq-core",'제외 후보'!AD587)),'선정 규칙'!$B$20,0)</x:f>
        <x:v>-30</x:v>
      </x:c>
      <x:c r="I587" s="11" t="n">
        <x:f>IF(ISNUMBER(SEARCH("weak_legacy_content",'제외 후보'!P587)),'선정 규칙'!$B$21,0)</x:f>
        <x:v>0</x:v>
      </x:c>
      <x:c r="J587" s="11" t="n">
        <x:f>IF('제외 후보'!AC587&lt;&gt;"",'선정 규칙'!$B$22,0)</x:f>
        <x:v>0</x:v>
      </x:c>
      <x:c r="K587" s="11" t="n">
        <x:f>SUM(B587:J587)</x:f>
        <x:v>13</x:v>
      </x:c>
      <x:c r="L587" s="11" t="n">
        <x:f>'제외 후보'!N587</x:f>
        <x:v>13</x:v>
      </x:c>
      <x:c r="M587" s="2" t="str">
        <x:f>IF(K587=L587,"OK","MISMATCH")</x:f>
        <x:v>OK</x:v>
      </x:c>
    </x:row>
    <x:row r="588">
      <x:c r="A588" s="2" t="str">
        <x:f>'제외 후보'!G588</x:f>
        <x:v>w_6b6e38dc50e40828</x:v>
      </x:c>
      <x:c r="B588" s="11" t="n">
        <x:f>IF('제외 후보'!Q588&lt;&gt;"",'선정 규칙'!$B$4,0)</x:f>
        <x:v>0</x:v>
      </x:c>
      <x:c r="C588" s="11" t="n">
        <x:f>IF(ISNUMBER(SEARCH("jmdict_uncommon_or_irregular",'제외 후보'!P588)),'선정 규칙'!$B$5,IF(ISNUMBER(SEARCH("jmdict_rare_or_dated",'제외 후보'!P588)),'선정 규칙'!$B$6,0))</x:f>
        <x:v>0</x:v>
      </x:c>
      <x:c r="D588" s="11" t="n">
        <x:f>IF(ISNUMBER(SEARCH("jmdict_exact_pair_not_found",'제외 후보'!P588)),'선정 규칙'!$B$7,0)</x:f>
        <x:v>0</x:v>
      </x:c>
      <x:c r="E588" s="11" t="n">
        <x:f>IF(OR('제외 후보'!L588="",'제외 후보'!L588&lt;=0),'선정 규칙'!$B$8,IF('제외 후보'!L588&lt;=1.5,'선정 규칙'!$B$9,IF('제외 후보'!L588&lt;=2,'선정 규칙'!$B$10,IF('제외 후보'!L588&lt;=2.5,'선정 규칙'!$B$11,IF('제외 후보'!L588&lt;=3,'선정 규칙'!$B$12,IF('제외 후보'!L588&lt;=3.5,'선정 규칙'!$B$13,IF('제외 후보'!L588&gt;=4.5,'선정 규칙'!$B$14,0)))))))</x:f>
        <x:v>26</x:v>
      </x:c>
      <x:c r="F588" s="11" t="n">
        <x:f>IF('제외 후보'!Y588=0,'선정 규칙'!$B$15,IF('제외 후보'!Y588&gt;=100,'선정 규칙'!$B$16,'선정 규칙'!$B$17))</x:f>
        <x:v>-25</x:v>
      </x:c>
      <x:c r="G588" s="11" t="n">
        <x:f>IF('제외 후보'!M588="있음",'선정 규칙'!$B$18,'선정 규칙'!$B$19)</x:f>
        <x:v>6</x:v>
      </x:c>
      <x:c r="H588" s="11" t="n">
        <x:f>IF(ISNUMBER(SEARCH("freq-core",'제외 후보'!AD588)),'선정 규칙'!$B$20,0)</x:f>
        <x:v>0</x:v>
      </x:c>
      <x:c r="I588" s="11" t="n">
        <x:f>IF(ISNUMBER(SEARCH("weak_legacy_content",'제외 후보'!P588)),'선정 규칙'!$B$21,0)</x:f>
        <x:v>5</x:v>
      </x:c>
      <x:c r="J588" s="11" t="n">
        <x:f>IF('제외 후보'!AC588&lt;&gt;"",'선정 규칙'!$B$22,0)</x:f>
        <x:v>0</x:v>
      </x:c>
      <x:c r="K588" s="11" t="n">
        <x:f>SUM(B588:J588)</x:f>
        <x:v>12</x:v>
      </x:c>
      <x:c r="L588" s="11" t="n">
        <x:f>'제외 후보'!N588</x:f>
        <x:v>12</x:v>
      </x:c>
      <x:c r="M588" s="2" t="str">
        <x:f>IF(K588=L588,"OK","MISMATCH")</x:f>
        <x:v>OK</x:v>
      </x:c>
    </x:row>
    <x:row r="589">
      <x:c r="A589" s="2" t="str">
        <x:f>'제외 후보'!G589</x:f>
        <x:v>w_5f0873d4fe568acf</x:v>
      </x:c>
      <x:c r="B589" s="11" t="n">
        <x:f>IF('제외 후보'!Q589&lt;&gt;"",'선정 규칙'!$B$4,0)</x:f>
        <x:v>0</x:v>
      </x:c>
      <x:c r="C589" s="11" t="n">
        <x:f>IF(ISNUMBER(SEARCH("jmdict_uncommon_or_irregular",'제외 후보'!P589)),'선정 규칙'!$B$5,IF(ISNUMBER(SEARCH("jmdict_rare_or_dated",'제외 후보'!P589)),'선정 규칙'!$B$6,0))</x:f>
        <x:v>0</x:v>
      </x:c>
      <x:c r="D589" s="11" t="n">
        <x:f>IF(ISNUMBER(SEARCH("jmdict_exact_pair_not_found",'제외 후보'!P589)),'선정 규칙'!$B$7,0)</x:f>
        <x:v>0</x:v>
      </x:c>
      <x:c r="E589" s="11" t="n">
        <x:f>IF(OR('제외 후보'!L589="",'제외 후보'!L589&lt;=0),'선정 규칙'!$B$8,IF('제외 후보'!L589&lt;=1.5,'선정 규칙'!$B$9,IF('제외 후보'!L589&lt;=2,'선정 규칙'!$B$10,IF('제외 후보'!L589&lt;=2.5,'선정 규칙'!$B$11,IF('제외 후보'!L589&lt;=3,'선정 규칙'!$B$12,IF('제외 후보'!L589&lt;=3.5,'선정 규칙'!$B$13,IF('제외 후보'!L589&gt;=4.5,'선정 규칙'!$B$14,0)))))))</x:f>
        <x:v>26</x:v>
      </x:c>
      <x:c r="F589" s="11" t="n">
        <x:f>IF('제외 후보'!Y589=0,'선정 규칙'!$B$15,IF('제외 후보'!Y589&gt;=100,'선정 규칙'!$B$16,'선정 규칙'!$B$17))</x:f>
        <x:v>-25</x:v>
      </x:c>
      <x:c r="G589" s="11" t="n">
        <x:f>IF('제외 후보'!M589="있음",'선정 규칙'!$B$18,'선정 규칙'!$B$19)</x:f>
        <x:v>6</x:v>
      </x:c>
      <x:c r="H589" s="11" t="n">
        <x:f>IF(ISNUMBER(SEARCH("freq-core",'제외 후보'!AD589)),'선정 규칙'!$B$20,0)</x:f>
        <x:v>0</x:v>
      </x:c>
      <x:c r="I589" s="11" t="n">
        <x:f>IF(ISNUMBER(SEARCH("weak_legacy_content",'제외 후보'!P589)),'선정 규칙'!$B$21,0)</x:f>
        <x:v>5</x:v>
      </x:c>
      <x:c r="J589" s="11" t="n">
        <x:f>IF('제외 후보'!AC589&lt;&gt;"",'선정 규칙'!$B$22,0)</x:f>
        <x:v>0</x:v>
      </x:c>
      <x:c r="K589" s="11" t="n">
        <x:f>SUM(B589:J589)</x:f>
        <x:v>12</x:v>
      </x:c>
      <x:c r="L589" s="11" t="n">
        <x:f>'제외 후보'!N589</x:f>
        <x:v>12</x:v>
      </x:c>
      <x:c r="M589" s="2" t="str">
        <x:f>IF(K589=L589,"OK","MISMATCH")</x:f>
        <x:v>OK</x:v>
      </x:c>
    </x:row>
    <x:row r="590">
      <x:c r="A590" s="2" t="str">
        <x:f>'제외 후보'!G590</x:f>
        <x:v>w_ce008e5c70d2e419</x:v>
      </x:c>
      <x:c r="B590" s="11" t="n">
        <x:f>IF('제외 후보'!Q590&lt;&gt;"",'선정 규칙'!$B$4,0)</x:f>
        <x:v>0</x:v>
      </x:c>
      <x:c r="C590" s="11" t="n">
        <x:f>IF(ISNUMBER(SEARCH("jmdict_uncommon_or_irregular",'제외 후보'!P590)),'선정 규칙'!$B$5,IF(ISNUMBER(SEARCH("jmdict_rare_or_dated",'제외 후보'!P590)),'선정 규칙'!$B$6,0))</x:f>
        <x:v>0</x:v>
      </x:c>
      <x:c r="D590" s="11" t="n">
        <x:f>IF(ISNUMBER(SEARCH("jmdict_exact_pair_not_found",'제외 후보'!P590)),'선정 규칙'!$B$7,0)</x:f>
        <x:v>0</x:v>
      </x:c>
      <x:c r="E590" s="11" t="n">
        <x:f>IF(OR('제외 후보'!L590="",'제외 후보'!L590&lt;=0),'선정 규칙'!$B$8,IF('제외 후보'!L590&lt;=1.5,'선정 규칙'!$B$9,IF('제외 후보'!L590&lt;=2,'선정 규칙'!$B$10,IF('제외 후보'!L590&lt;=2.5,'선정 규칙'!$B$11,IF('제외 후보'!L590&lt;=3,'선정 규칙'!$B$12,IF('제외 후보'!L590&lt;=3.5,'선정 규칙'!$B$13,IF('제외 후보'!L590&gt;=4.5,'선정 규칙'!$B$14,0)))))))</x:f>
        <x:v>26</x:v>
      </x:c>
      <x:c r="F590" s="11" t="n">
        <x:f>IF('제외 후보'!Y590=0,'선정 규칙'!$B$15,IF('제외 후보'!Y590&gt;=100,'선정 규칙'!$B$16,'선정 규칙'!$B$17))</x:f>
        <x:v>-25</x:v>
      </x:c>
      <x:c r="G590" s="11" t="n">
        <x:f>IF('제외 후보'!M590="있음",'선정 규칙'!$B$18,'선정 규칙'!$B$19)</x:f>
        <x:v>6</x:v>
      </x:c>
      <x:c r="H590" s="11" t="n">
        <x:f>IF(ISNUMBER(SEARCH("freq-core",'제외 후보'!AD590)),'선정 규칙'!$B$20,0)</x:f>
        <x:v>0</x:v>
      </x:c>
      <x:c r="I590" s="11" t="n">
        <x:f>IF(ISNUMBER(SEARCH("weak_legacy_content",'제외 후보'!P590)),'선정 규칙'!$B$21,0)</x:f>
        <x:v>5</x:v>
      </x:c>
      <x:c r="J590" s="11" t="n">
        <x:f>IF('제외 후보'!AC590&lt;&gt;"",'선정 규칙'!$B$22,0)</x:f>
        <x:v>0</x:v>
      </x:c>
      <x:c r="K590" s="11" t="n">
        <x:f>SUM(B590:J590)</x:f>
        <x:v>12</x:v>
      </x:c>
      <x:c r="L590" s="11" t="n">
        <x:f>'제외 후보'!N590</x:f>
        <x:v>12</x:v>
      </x:c>
      <x:c r="M590" s="2" t="str">
        <x:f>IF(K590=L590,"OK","MISMATCH")</x:f>
        <x:v>OK</x:v>
      </x:c>
    </x:row>
    <x:row r="591">
      <x:c r="A591" s="2" t="str">
        <x:f>'제외 후보'!G591</x:f>
        <x:v>w_f1cd7d6867f75acf</x:v>
      </x:c>
      <x:c r="B591" s="11" t="n">
        <x:f>IF('제외 후보'!Q591&lt;&gt;"",'선정 규칙'!$B$4,0)</x:f>
        <x:v>0</x:v>
      </x:c>
      <x:c r="C591" s="11" t="n">
        <x:f>IF(ISNUMBER(SEARCH("jmdict_uncommon_or_irregular",'제외 후보'!P591)),'선정 규칙'!$B$5,IF(ISNUMBER(SEARCH("jmdict_rare_or_dated",'제외 후보'!P591)),'선정 규칙'!$B$6,0))</x:f>
        <x:v>0</x:v>
      </x:c>
      <x:c r="D591" s="11" t="n">
        <x:f>IF(ISNUMBER(SEARCH("jmdict_exact_pair_not_found",'제외 후보'!P591)),'선정 규칙'!$B$7,0)</x:f>
        <x:v>0</x:v>
      </x:c>
      <x:c r="E591" s="11" t="n">
        <x:f>IF(OR('제외 후보'!L591="",'제외 후보'!L591&lt;=0),'선정 규칙'!$B$8,IF('제외 후보'!L591&lt;=1.5,'선정 규칙'!$B$9,IF('제외 후보'!L591&lt;=2,'선정 규칙'!$B$10,IF('제외 후보'!L591&lt;=2.5,'선정 규칙'!$B$11,IF('제외 후보'!L591&lt;=3,'선정 규칙'!$B$12,IF('제외 후보'!L591&lt;=3.5,'선정 규칙'!$B$13,IF('제외 후보'!L591&gt;=4.5,'선정 규칙'!$B$14,0)))))))</x:f>
        <x:v>26</x:v>
      </x:c>
      <x:c r="F591" s="11" t="n">
        <x:f>IF('제외 후보'!Y591=0,'선정 규칙'!$B$15,IF('제외 후보'!Y591&gt;=100,'선정 규칙'!$B$16,'선정 규칙'!$B$17))</x:f>
        <x:v>-25</x:v>
      </x:c>
      <x:c r="G591" s="11" t="n">
        <x:f>IF('제외 후보'!M591="있음",'선정 규칙'!$B$18,'선정 규칙'!$B$19)</x:f>
        <x:v>6</x:v>
      </x:c>
      <x:c r="H591" s="11" t="n">
        <x:f>IF(ISNUMBER(SEARCH("freq-core",'제외 후보'!AD591)),'선정 규칙'!$B$20,0)</x:f>
        <x:v>0</x:v>
      </x:c>
      <x:c r="I591" s="11" t="n">
        <x:f>IF(ISNUMBER(SEARCH("weak_legacy_content",'제외 후보'!P591)),'선정 규칙'!$B$21,0)</x:f>
        <x:v>5</x:v>
      </x:c>
      <x:c r="J591" s="11" t="n">
        <x:f>IF('제외 후보'!AC591&lt;&gt;"",'선정 규칙'!$B$22,0)</x:f>
        <x:v>0</x:v>
      </x:c>
      <x:c r="K591" s="11" t="n">
        <x:f>SUM(B591:J591)</x:f>
        <x:v>12</x:v>
      </x:c>
      <x:c r="L591" s="11" t="n">
        <x:f>'제외 후보'!N591</x:f>
        <x:v>12</x:v>
      </x:c>
      <x:c r="M591" s="2" t="str">
        <x:f>IF(K591=L591,"OK","MISMATCH")</x:f>
        <x:v>OK</x:v>
      </x:c>
    </x:row>
    <x:row r="592">
      <x:c r="A592" s="2" t="str">
        <x:f>'제외 후보'!G592</x:f>
        <x:v>w_c8f27e84ca3c585f</x:v>
      </x:c>
      <x:c r="B592" s="11" t="n">
        <x:f>IF('제외 후보'!Q592&lt;&gt;"",'선정 규칙'!$B$4,0)</x:f>
        <x:v>0</x:v>
      </x:c>
      <x:c r="C592" s="11" t="n">
        <x:f>IF(ISNUMBER(SEARCH("jmdict_uncommon_or_irregular",'제외 후보'!P592)),'선정 규칙'!$B$5,IF(ISNUMBER(SEARCH("jmdict_rare_or_dated",'제외 후보'!P592)),'선정 규칙'!$B$6,0))</x:f>
        <x:v>0</x:v>
      </x:c>
      <x:c r="D592" s="11" t="n">
        <x:f>IF(ISNUMBER(SEARCH("jmdict_exact_pair_not_found",'제외 후보'!P592)),'선정 규칙'!$B$7,0)</x:f>
        <x:v>0</x:v>
      </x:c>
      <x:c r="E592" s="11" t="n">
        <x:f>IF(OR('제외 후보'!L592="",'제외 후보'!L592&lt;=0),'선정 규칙'!$B$8,IF('제외 후보'!L592&lt;=1.5,'선정 규칙'!$B$9,IF('제외 후보'!L592&lt;=2,'선정 규칙'!$B$10,IF('제외 후보'!L592&lt;=2.5,'선정 규칙'!$B$11,IF('제외 후보'!L592&lt;=3,'선정 규칙'!$B$12,IF('제외 후보'!L592&lt;=3.5,'선정 규칙'!$B$13,IF('제외 후보'!L592&gt;=4.5,'선정 규칙'!$B$14,0)))))))</x:f>
        <x:v>26</x:v>
      </x:c>
      <x:c r="F592" s="11" t="n">
        <x:f>IF('제외 후보'!Y592=0,'선정 규칙'!$B$15,IF('제외 후보'!Y592&gt;=100,'선정 규칙'!$B$16,'선정 규칙'!$B$17))</x:f>
        <x:v>-25</x:v>
      </x:c>
      <x:c r="G592" s="11" t="n">
        <x:f>IF('제외 후보'!M592="있음",'선정 규칙'!$B$18,'선정 규칙'!$B$19)</x:f>
        <x:v>6</x:v>
      </x:c>
      <x:c r="H592" s="11" t="n">
        <x:f>IF(ISNUMBER(SEARCH("freq-core",'제외 후보'!AD592)),'선정 규칙'!$B$20,0)</x:f>
        <x:v>0</x:v>
      </x:c>
      <x:c r="I592" s="11" t="n">
        <x:f>IF(ISNUMBER(SEARCH("weak_legacy_content",'제외 후보'!P592)),'선정 규칙'!$B$21,0)</x:f>
        <x:v>5</x:v>
      </x:c>
      <x:c r="J592" s="11" t="n">
        <x:f>IF('제외 후보'!AC592&lt;&gt;"",'선정 규칙'!$B$22,0)</x:f>
        <x:v>0</x:v>
      </x:c>
      <x:c r="K592" s="11" t="n">
        <x:f>SUM(B592:J592)</x:f>
        <x:v>12</x:v>
      </x:c>
      <x:c r="L592" s="11" t="n">
        <x:f>'제외 후보'!N592</x:f>
        <x:v>12</x:v>
      </x:c>
      <x:c r="M592" s="2" t="str">
        <x:f>IF(K592=L592,"OK","MISMATCH")</x:f>
        <x:v>OK</x:v>
      </x:c>
    </x:row>
    <x:row r="593">
      <x:c r="A593" s="2" t="str">
        <x:f>'제외 후보'!G593</x:f>
        <x:v>w_8bdf86cab9ccf5a9</x:v>
      </x:c>
      <x:c r="B593" s="11" t="n">
        <x:f>IF('제외 후보'!Q593&lt;&gt;"",'선정 규칙'!$B$4,0)</x:f>
        <x:v>0</x:v>
      </x:c>
      <x:c r="C593" s="11" t="n">
        <x:f>IF(ISNUMBER(SEARCH("jmdict_uncommon_or_irregular",'제외 후보'!P593)),'선정 규칙'!$B$5,IF(ISNUMBER(SEARCH("jmdict_rare_or_dated",'제외 후보'!P593)),'선정 규칙'!$B$6,0))</x:f>
        <x:v>0</x:v>
      </x:c>
      <x:c r="D593" s="11" t="n">
        <x:f>IF(ISNUMBER(SEARCH("jmdict_exact_pair_not_found",'제외 후보'!P593)),'선정 규칙'!$B$7,0)</x:f>
        <x:v>0</x:v>
      </x:c>
      <x:c r="E593" s="11" t="n">
        <x:f>IF(OR('제외 후보'!L593="",'제외 후보'!L593&lt;=0),'선정 규칙'!$B$8,IF('제외 후보'!L593&lt;=1.5,'선정 규칙'!$B$9,IF('제외 후보'!L593&lt;=2,'선정 규칙'!$B$10,IF('제외 후보'!L593&lt;=2.5,'선정 규칙'!$B$11,IF('제외 후보'!L593&lt;=3,'선정 규칙'!$B$12,IF('제외 후보'!L593&lt;=3.5,'선정 규칙'!$B$13,IF('제외 후보'!L593&gt;=4.5,'선정 규칙'!$B$14,0)))))))</x:f>
        <x:v>26</x:v>
      </x:c>
      <x:c r="F593" s="11" t="n">
        <x:f>IF('제외 후보'!Y593=0,'선정 규칙'!$B$15,IF('제외 후보'!Y593&gt;=100,'선정 규칙'!$B$16,'선정 규칙'!$B$17))</x:f>
        <x:v>-25</x:v>
      </x:c>
      <x:c r="G593" s="11" t="n">
        <x:f>IF('제외 후보'!M593="있음",'선정 규칙'!$B$18,'선정 규칙'!$B$19)</x:f>
        <x:v>6</x:v>
      </x:c>
      <x:c r="H593" s="11" t="n">
        <x:f>IF(ISNUMBER(SEARCH("freq-core",'제외 후보'!AD593)),'선정 규칙'!$B$20,0)</x:f>
        <x:v>0</x:v>
      </x:c>
      <x:c r="I593" s="11" t="n">
        <x:f>IF(ISNUMBER(SEARCH("weak_legacy_content",'제외 후보'!P593)),'선정 규칙'!$B$21,0)</x:f>
        <x:v>5</x:v>
      </x:c>
      <x:c r="J593" s="11" t="n">
        <x:f>IF('제외 후보'!AC593&lt;&gt;"",'선정 규칙'!$B$22,0)</x:f>
        <x:v>0</x:v>
      </x:c>
      <x:c r="K593" s="11" t="n">
        <x:f>SUM(B593:J593)</x:f>
        <x:v>12</x:v>
      </x:c>
      <x:c r="L593" s="11" t="n">
        <x:f>'제외 후보'!N593</x:f>
        <x:v>12</x:v>
      </x:c>
      <x:c r="M593" s="2" t="str">
        <x:f>IF(K593=L593,"OK","MISMATCH")</x:f>
        <x:v>OK</x:v>
      </x:c>
    </x:row>
    <x:row r="594">
      <x:c r="A594" s="2" t="str">
        <x:f>'제외 후보'!G594</x:f>
        <x:v>w_d97eb09baa1ce331</x:v>
      </x:c>
      <x:c r="B594" s="11" t="n">
        <x:f>IF('제외 후보'!Q594&lt;&gt;"",'선정 규칙'!$B$4,0)</x:f>
        <x:v>0</x:v>
      </x:c>
      <x:c r="C594" s="11" t="n">
        <x:f>IF(ISNUMBER(SEARCH("jmdict_uncommon_or_irregular",'제외 후보'!P594)),'선정 규칙'!$B$5,IF(ISNUMBER(SEARCH("jmdict_rare_or_dated",'제외 후보'!P594)),'선정 규칙'!$B$6,0))</x:f>
        <x:v>0</x:v>
      </x:c>
      <x:c r="D594" s="11" t="n">
        <x:f>IF(ISNUMBER(SEARCH("jmdict_exact_pair_not_found",'제외 후보'!P594)),'선정 규칙'!$B$7,0)</x:f>
        <x:v>0</x:v>
      </x:c>
      <x:c r="E594" s="11" t="n">
        <x:f>IF(OR('제외 후보'!L594="",'제외 후보'!L594&lt;=0),'선정 규칙'!$B$8,IF('제외 후보'!L594&lt;=1.5,'선정 규칙'!$B$9,IF('제외 후보'!L594&lt;=2,'선정 규칙'!$B$10,IF('제외 후보'!L594&lt;=2.5,'선정 규칙'!$B$11,IF('제외 후보'!L594&lt;=3,'선정 규칙'!$B$12,IF('제외 후보'!L594&lt;=3.5,'선정 규칙'!$B$13,IF('제외 후보'!L594&gt;=4.5,'선정 규칙'!$B$14,0)))))))</x:f>
        <x:v>26</x:v>
      </x:c>
      <x:c r="F594" s="11" t="n">
        <x:f>IF('제외 후보'!Y594=0,'선정 규칙'!$B$15,IF('제외 후보'!Y594&gt;=100,'선정 규칙'!$B$16,'선정 규칙'!$B$17))</x:f>
        <x:v>-25</x:v>
      </x:c>
      <x:c r="G594" s="11" t="n">
        <x:f>IF('제외 후보'!M594="있음",'선정 규칙'!$B$18,'선정 규칙'!$B$19)</x:f>
        <x:v>6</x:v>
      </x:c>
      <x:c r="H594" s="11" t="n">
        <x:f>IF(ISNUMBER(SEARCH("freq-core",'제외 후보'!AD594)),'선정 규칙'!$B$20,0)</x:f>
        <x:v>0</x:v>
      </x:c>
      <x:c r="I594" s="11" t="n">
        <x:f>IF(ISNUMBER(SEARCH("weak_legacy_content",'제외 후보'!P594)),'선정 규칙'!$B$21,0)</x:f>
        <x:v>5</x:v>
      </x:c>
      <x:c r="J594" s="11" t="n">
        <x:f>IF('제외 후보'!AC594&lt;&gt;"",'선정 규칙'!$B$22,0)</x:f>
        <x:v>0</x:v>
      </x:c>
      <x:c r="K594" s="11" t="n">
        <x:f>SUM(B594:J594)</x:f>
        <x:v>12</x:v>
      </x:c>
      <x:c r="L594" s="11" t="n">
        <x:f>'제외 후보'!N594</x:f>
        <x:v>12</x:v>
      </x:c>
      <x:c r="M594" s="2" t="str">
        <x:f>IF(K594=L594,"OK","MISMATCH")</x:f>
        <x:v>OK</x:v>
      </x:c>
    </x:row>
    <x:row r="595">
      <x:c r="A595" s="2" t="str">
        <x:f>'제외 후보'!G595</x:f>
        <x:v>w_c4c752a802b1ca36</x:v>
      </x:c>
      <x:c r="B595" s="11" t="n">
        <x:f>IF('제외 후보'!Q595&lt;&gt;"",'선정 규칙'!$B$4,0)</x:f>
        <x:v>0</x:v>
      </x:c>
      <x:c r="C595" s="11" t="n">
        <x:f>IF(ISNUMBER(SEARCH("jmdict_uncommon_or_irregular",'제외 후보'!P595)),'선정 규칙'!$B$5,IF(ISNUMBER(SEARCH("jmdict_rare_or_dated",'제외 후보'!P595)),'선정 규칙'!$B$6,0))</x:f>
        <x:v>0</x:v>
      </x:c>
      <x:c r="D595" s="11" t="n">
        <x:f>IF(ISNUMBER(SEARCH("jmdict_exact_pair_not_found",'제외 후보'!P595)),'선정 규칙'!$B$7,0)</x:f>
        <x:v>0</x:v>
      </x:c>
      <x:c r="E595" s="11" t="n">
        <x:f>IF(OR('제외 후보'!L595="",'제외 후보'!L595&lt;=0),'선정 규칙'!$B$8,IF('제외 후보'!L595&lt;=1.5,'선정 규칙'!$B$9,IF('제외 후보'!L595&lt;=2,'선정 규칙'!$B$10,IF('제외 후보'!L595&lt;=2.5,'선정 규칙'!$B$11,IF('제외 후보'!L595&lt;=3,'선정 규칙'!$B$12,IF('제외 후보'!L595&lt;=3.5,'선정 규칙'!$B$13,IF('제외 후보'!L595&gt;=4.5,'선정 규칙'!$B$14,0)))))))</x:f>
        <x:v>26</x:v>
      </x:c>
      <x:c r="F595" s="11" t="n">
        <x:f>IF('제외 후보'!Y595=0,'선정 규칙'!$B$15,IF('제외 후보'!Y595&gt;=100,'선정 규칙'!$B$16,'선정 규칙'!$B$17))</x:f>
        <x:v>-25</x:v>
      </x:c>
      <x:c r="G595" s="11" t="n">
        <x:f>IF('제외 후보'!M595="있음",'선정 규칙'!$B$18,'선정 규칙'!$B$19)</x:f>
        <x:v>6</x:v>
      </x:c>
      <x:c r="H595" s="11" t="n">
        <x:f>IF(ISNUMBER(SEARCH("freq-core",'제외 후보'!AD595)),'선정 규칙'!$B$20,0)</x:f>
        <x:v>0</x:v>
      </x:c>
      <x:c r="I595" s="11" t="n">
        <x:f>IF(ISNUMBER(SEARCH("weak_legacy_content",'제외 후보'!P595)),'선정 규칙'!$B$21,0)</x:f>
        <x:v>5</x:v>
      </x:c>
      <x:c r="J595" s="11" t="n">
        <x:f>IF('제외 후보'!AC595&lt;&gt;"",'선정 규칙'!$B$22,0)</x:f>
        <x:v>0</x:v>
      </x:c>
      <x:c r="K595" s="11" t="n">
        <x:f>SUM(B595:J595)</x:f>
        <x:v>12</x:v>
      </x:c>
      <x:c r="L595" s="11" t="n">
        <x:f>'제외 후보'!N595</x:f>
        <x:v>12</x:v>
      </x:c>
      <x:c r="M595" s="2" t="str">
        <x:f>IF(K595=L595,"OK","MISMATCH")</x:f>
        <x:v>OK</x:v>
      </x:c>
    </x:row>
    <x:row r="596">
      <x:c r="A596" s="2" t="str">
        <x:f>'제외 후보'!G596</x:f>
        <x:v>w_382bcd8896d235e7</x:v>
      </x:c>
      <x:c r="B596" s="11" t="n">
        <x:f>IF('제외 후보'!Q596&lt;&gt;"",'선정 규칙'!$B$4,0)</x:f>
        <x:v>0</x:v>
      </x:c>
      <x:c r="C596" s="11" t="n">
        <x:f>IF(ISNUMBER(SEARCH("jmdict_uncommon_or_irregular",'제외 후보'!P596)),'선정 규칙'!$B$5,IF(ISNUMBER(SEARCH("jmdict_rare_or_dated",'제외 후보'!P596)),'선정 규칙'!$B$6,0))</x:f>
        <x:v>0</x:v>
      </x:c>
      <x:c r="D596" s="11" t="n">
        <x:f>IF(ISNUMBER(SEARCH("jmdict_exact_pair_not_found",'제외 후보'!P596)),'선정 규칙'!$B$7,0)</x:f>
        <x:v>0</x:v>
      </x:c>
      <x:c r="E596" s="11" t="n">
        <x:f>IF(OR('제외 후보'!L596="",'제외 후보'!L596&lt;=0),'선정 규칙'!$B$8,IF('제외 후보'!L596&lt;=1.5,'선정 규칙'!$B$9,IF('제외 후보'!L596&lt;=2,'선정 규칙'!$B$10,IF('제외 후보'!L596&lt;=2.5,'선정 규칙'!$B$11,IF('제외 후보'!L596&lt;=3,'선정 규칙'!$B$12,IF('제외 후보'!L596&lt;=3.5,'선정 규칙'!$B$13,IF('제외 후보'!L596&gt;=4.5,'선정 규칙'!$B$14,0)))))))</x:f>
        <x:v>26</x:v>
      </x:c>
      <x:c r="F596" s="11" t="n">
        <x:f>IF('제외 후보'!Y596=0,'선정 규칙'!$B$15,IF('제외 후보'!Y596&gt;=100,'선정 규칙'!$B$16,'선정 규칙'!$B$17))</x:f>
        <x:v>-25</x:v>
      </x:c>
      <x:c r="G596" s="11" t="n">
        <x:f>IF('제외 후보'!M596="있음",'선정 규칙'!$B$18,'선정 규칙'!$B$19)</x:f>
        <x:v>6</x:v>
      </x:c>
      <x:c r="H596" s="11" t="n">
        <x:f>IF(ISNUMBER(SEARCH("freq-core",'제외 후보'!AD596)),'선정 규칙'!$B$20,0)</x:f>
        <x:v>0</x:v>
      </x:c>
      <x:c r="I596" s="11" t="n">
        <x:f>IF(ISNUMBER(SEARCH("weak_legacy_content",'제외 후보'!P596)),'선정 규칙'!$B$21,0)</x:f>
        <x:v>5</x:v>
      </x:c>
      <x:c r="J596" s="11" t="n">
        <x:f>IF('제외 후보'!AC596&lt;&gt;"",'선정 규칙'!$B$22,0)</x:f>
        <x:v>0</x:v>
      </x:c>
      <x:c r="K596" s="11" t="n">
        <x:f>SUM(B596:J596)</x:f>
        <x:v>12</x:v>
      </x:c>
      <x:c r="L596" s="11" t="n">
        <x:f>'제외 후보'!N596</x:f>
        <x:v>12</x:v>
      </x:c>
      <x:c r="M596" s="2" t="str">
        <x:f>IF(K596=L596,"OK","MISMATCH")</x:f>
        <x:v>OK</x:v>
      </x:c>
    </x:row>
    <x:row r="597">
      <x:c r="A597" s="2" t="str">
        <x:f>'제외 후보'!G597</x:f>
        <x:v>w_fcd6a3d8a7cb0678</x:v>
      </x:c>
      <x:c r="B597" s="11" t="n">
        <x:f>IF('제외 후보'!Q597&lt;&gt;"",'선정 규칙'!$B$4,0)</x:f>
        <x:v>0</x:v>
      </x:c>
      <x:c r="C597" s="11" t="n">
        <x:f>IF(ISNUMBER(SEARCH("jmdict_uncommon_or_irregular",'제외 후보'!P597)),'선정 규칙'!$B$5,IF(ISNUMBER(SEARCH("jmdict_rare_or_dated",'제외 후보'!P597)),'선정 규칙'!$B$6,0))</x:f>
        <x:v>0</x:v>
      </x:c>
      <x:c r="D597" s="11" t="n">
        <x:f>IF(ISNUMBER(SEARCH("jmdict_exact_pair_not_found",'제외 후보'!P597)),'선정 규칙'!$B$7,0)</x:f>
        <x:v>0</x:v>
      </x:c>
      <x:c r="E597" s="11" t="n">
        <x:f>IF(OR('제외 후보'!L597="",'제외 후보'!L597&lt;=0),'선정 규칙'!$B$8,IF('제외 후보'!L597&lt;=1.5,'선정 규칙'!$B$9,IF('제외 후보'!L597&lt;=2,'선정 규칙'!$B$10,IF('제외 후보'!L597&lt;=2.5,'선정 규칙'!$B$11,IF('제외 후보'!L597&lt;=3,'선정 규칙'!$B$12,IF('제외 후보'!L597&lt;=3.5,'선정 규칙'!$B$13,IF('제외 후보'!L597&gt;=4.5,'선정 규칙'!$B$14,0)))))))</x:f>
        <x:v>26</x:v>
      </x:c>
      <x:c r="F597" s="11" t="n">
        <x:f>IF('제외 후보'!Y597=0,'선정 규칙'!$B$15,IF('제외 후보'!Y597&gt;=100,'선정 규칙'!$B$16,'선정 규칙'!$B$17))</x:f>
        <x:v>-25</x:v>
      </x:c>
      <x:c r="G597" s="11" t="n">
        <x:f>IF('제외 후보'!M597="있음",'선정 규칙'!$B$18,'선정 규칙'!$B$19)</x:f>
        <x:v>6</x:v>
      </x:c>
      <x:c r="H597" s="11" t="n">
        <x:f>IF(ISNUMBER(SEARCH("freq-core",'제외 후보'!AD597)),'선정 규칙'!$B$20,0)</x:f>
        <x:v>0</x:v>
      </x:c>
      <x:c r="I597" s="11" t="n">
        <x:f>IF(ISNUMBER(SEARCH("weak_legacy_content",'제외 후보'!P597)),'선정 규칙'!$B$21,0)</x:f>
        <x:v>5</x:v>
      </x:c>
      <x:c r="J597" s="11" t="n">
        <x:f>IF('제외 후보'!AC597&lt;&gt;"",'선정 규칙'!$B$22,0)</x:f>
        <x:v>0</x:v>
      </x:c>
      <x:c r="K597" s="11" t="n">
        <x:f>SUM(B597:J597)</x:f>
        <x:v>12</x:v>
      </x:c>
      <x:c r="L597" s="11" t="n">
        <x:f>'제외 후보'!N597</x:f>
        <x:v>12</x:v>
      </x:c>
      <x:c r="M597" s="2" t="str">
        <x:f>IF(K597=L597,"OK","MISMATCH")</x:f>
        <x:v>OK</x:v>
      </x:c>
    </x:row>
    <x:row r="598">
      <x:c r="A598" s="2" t="str">
        <x:f>'제외 후보'!G598</x:f>
        <x:v>w_8d731ab47eddea83</x:v>
      </x:c>
      <x:c r="B598" s="11" t="n">
        <x:f>IF('제외 후보'!Q598&lt;&gt;"",'선정 규칙'!$B$4,0)</x:f>
        <x:v>0</x:v>
      </x:c>
      <x:c r="C598" s="11" t="n">
        <x:f>IF(ISNUMBER(SEARCH("jmdict_uncommon_or_irregular",'제외 후보'!P598)),'선정 규칙'!$B$5,IF(ISNUMBER(SEARCH("jmdict_rare_or_dated",'제외 후보'!P598)),'선정 규칙'!$B$6,0))</x:f>
        <x:v>0</x:v>
      </x:c>
      <x:c r="D598" s="11" t="n">
        <x:f>IF(ISNUMBER(SEARCH("jmdict_exact_pair_not_found",'제외 후보'!P598)),'선정 규칙'!$B$7,0)</x:f>
        <x:v>0</x:v>
      </x:c>
      <x:c r="E598" s="11" t="n">
        <x:f>IF(OR('제외 후보'!L598="",'제외 후보'!L598&lt;=0),'선정 규칙'!$B$8,IF('제외 후보'!L598&lt;=1.5,'선정 규칙'!$B$9,IF('제외 후보'!L598&lt;=2,'선정 규칙'!$B$10,IF('제외 후보'!L598&lt;=2.5,'선정 규칙'!$B$11,IF('제외 후보'!L598&lt;=3,'선정 규칙'!$B$12,IF('제외 후보'!L598&lt;=3.5,'선정 규칙'!$B$13,IF('제외 후보'!L598&gt;=4.5,'선정 규칙'!$B$14,0)))))))</x:f>
        <x:v>26</x:v>
      </x:c>
      <x:c r="F598" s="11" t="n">
        <x:f>IF('제외 후보'!Y598=0,'선정 규칙'!$B$15,IF('제외 후보'!Y598&gt;=100,'선정 규칙'!$B$16,'선정 규칙'!$B$17))</x:f>
        <x:v>-25</x:v>
      </x:c>
      <x:c r="G598" s="11" t="n">
        <x:f>IF('제외 후보'!M598="있음",'선정 규칙'!$B$18,'선정 규칙'!$B$19)</x:f>
        <x:v>6</x:v>
      </x:c>
      <x:c r="H598" s="11" t="n">
        <x:f>IF(ISNUMBER(SEARCH("freq-core",'제외 후보'!AD598)),'선정 규칙'!$B$20,0)</x:f>
        <x:v>0</x:v>
      </x:c>
      <x:c r="I598" s="11" t="n">
        <x:f>IF(ISNUMBER(SEARCH("weak_legacy_content",'제외 후보'!P598)),'선정 규칙'!$B$21,0)</x:f>
        <x:v>5</x:v>
      </x:c>
      <x:c r="J598" s="11" t="n">
        <x:f>IF('제외 후보'!AC598&lt;&gt;"",'선정 규칙'!$B$22,0)</x:f>
        <x:v>0</x:v>
      </x:c>
      <x:c r="K598" s="11" t="n">
        <x:f>SUM(B598:J598)</x:f>
        <x:v>12</x:v>
      </x:c>
      <x:c r="L598" s="11" t="n">
        <x:f>'제외 후보'!N598</x:f>
        <x:v>12</x:v>
      </x:c>
      <x:c r="M598" s="2" t="str">
        <x:f>IF(K598=L598,"OK","MISMATCH")</x:f>
        <x:v>OK</x:v>
      </x:c>
    </x:row>
    <x:row r="599">
      <x:c r="A599" s="2" t="str">
        <x:f>'제외 후보'!G599</x:f>
        <x:v>w_1b39017b66933a35</x:v>
      </x:c>
      <x:c r="B599" s="11" t="n">
        <x:f>IF('제외 후보'!Q599&lt;&gt;"",'선정 규칙'!$B$4,0)</x:f>
        <x:v>0</x:v>
      </x:c>
      <x:c r="C599" s="11" t="n">
        <x:f>IF(ISNUMBER(SEARCH("jmdict_uncommon_or_irregular",'제외 후보'!P599)),'선정 규칙'!$B$5,IF(ISNUMBER(SEARCH("jmdict_rare_or_dated",'제외 후보'!P599)),'선정 규칙'!$B$6,0))</x:f>
        <x:v>0</x:v>
      </x:c>
      <x:c r="D599" s="11" t="n">
        <x:f>IF(ISNUMBER(SEARCH("jmdict_exact_pair_not_found",'제외 후보'!P599)),'선정 규칙'!$B$7,0)</x:f>
        <x:v>0</x:v>
      </x:c>
      <x:c r="E599" s="11" t="n">
        <x:f>IF(OR('제외 후보'!L599="",'제외 후보'!L599&lt;=0),'선정 규칙'!$B$8,IF('제외 후보'!L599&lt;=1.5,'선정 규칙'!$B$9,IF('제외 후보'!L599&lt;=2,'선정 규칙'!$B$10,IF('제외 후보'!L599&lt;=2.5,'선정 규칙'!$B$11,IF('제외 후보'!L599&lt;=3,'선정 규칙'!$B$12,IF('제외 후보'!L599&lt;=3.5,'선정 규칙'!$B$13,IF('제외 후보'!L599&gt;=4.5,'선정 규칙'!$B$14,0)))))))</x:f>
        <x:v>26</x:v>
      </x:c>
      <x:c r="F599" s="11" t="n">
        <x:f>IF('제외 후보'!Y599=0,'선정 규칙'!$B$15,IF('제외 후보'!Y599&gt;=100,'선정 규칙'!$B$16,'선정 규칙'!$B$17))</x:f>
        <x:v>-25</x:v>
      </x:c>
      <x:c r="G599" s="11" t="n">
        <x:f>IF('제외 후보'!M599="있음",'선정 규칙'!$B$18,'선정 규칙'!$B$19)</x:f>
        <x:v>6</x:v>
      </x:c>
      <x:c r="H599" s="11" t="n">
        <x:f>IF(ISNUMBER(SEARCH("freq-core",'제외 후보'!AD599)),'선정 규칙'!$B$20,0)</x:f>
        <x:v>0</x:v>
      </x:c>
      <x:c r="I599" s="11" t="n">
        <x:f>IF(ISNUMBER(SEARCH("weak_legacy_content",'제외 후보'!P599)),'선정 규칙'!$B$21,0)</x:f>
        <x:v>5</x:v>
      </x:c>
      <x:c r="J599" s="11" t="n">
        <x:f>IF('제외 후보'!AC599&lt;&gt;"",'선정 규칙'!$B$22,0)</x:f>
        <x:v>0</x:v>
      </x:c>
      <x:c r="K599" s="11" t="n">
        <x:f>SUM(B599:J599)</x:f>
        <x:v>12</x:v>
      </x:c>
      <x:c r="L599" s="11" t="n">
        <x:f>'제외 후보'!N599</x:f>
        <x:v>12</x:v>
      </x:c>
      <x:c r="M599" s="2" t="str">
        <x:f>IF(K599=L599,"OK","MISMATCH")</x:f>
        <x:v>OK</x:v>
      </x:c>
    </x:row>
    <x:row r="600">
      <x:c r="A600" s="2" t="str">
        <x:f>'제외 후보'!G600</x:f>
        <x:v>w_4546d54b9d70c4e0</x:v>
      </x:c>
      <x:c r="B600" s="11" t="n">
        <x:f>IF('제외 후보'!Q600&lt;&gt;"",'선정 규칙'!$B$4,0)</x:f>
        <x:v>0</x:v>
      </x:c>
      <x:c r="C600" s="11" t="n">
        <x:f>IF(ISNUMBER(SEARCH("jmdict_uncommon_or_irregular",'제외 후보'!P600)),'선정 규칙'!$B$5,IF(ISNUMBER(SEARCH("jmdict_rare_or_dated",'제외 후보'!P600)),'선정 규칙'!$B$6,0))</x:f>
        <x:v>0</x:v>
      </x:c>
      <x:c r="D600" s="11" t="n">
        <x:f>IF(ISNUMBER(SEARCH("jmdict_exact_pair_not_found",'제외 후보'!P600)),'선정 규칙'!$B$7,0)</x:f>
        <x:v>0</x:v>
      </x:c>
      <x:c r="E600" s="11" t="n">
        <x:f>IF(OR('제외 후보'!L600="",'제외 후보'!L600&lt;=0),'선정 규칙'!$B$8,IF('제외 후보'!L600&lt;=1.5,'선정 규칙'!$B$9,IF('제외 후보'!L600&lt;=2,'선정 규칙'!$B$10,IF('제외 후보'!L600&lt;=2.5,'선정 규칙'!$B$11,IF('제외 후보'!L600&lt;=3,'선정 규칙'!$B$12,IF('제외 후보'!L600&lt;=3.5,'선정 규칙'!$B$13,IF('제외 후보'!L600&gt;=4.5,'선정 규칙'!$B$14,0)))))))</x:f>
        <x:v>26</x:v>
      </x:c>
      <x:c r="F600" s="11" t="n">
        <x:f>IF('제외 후보'!Y600=0,'선정 규칙'!$B$15,IF('제외 후보'!Y600&gt;=100,'선정 규칙'!$B$16,'선정 규칙'!$B$17))</x:f>
        <x:v>-25</x:v>
      </x:c>
      <x:c r="G600" s="11" t="n">
        <x:f>IF('제외 후보'!M600="있음",'선정 규칙'!$B$18,'선정 규칙'!$B$19)</x:f>
        <x:v>6</x:v>
      </x:c>
      <x:c r="H600" s="11" t="n">
        <x:f>IF(ISNUMBER(SEARCH("freq-core",'제외 후보'!AD600)),'선정 규칙'!$B$20,0)</x:f>
        <x:v>0</x:v>
      </x:c>
      <x:c r="I600" s="11" t="n">
        <x:f>IF(ISNUMBER(SEARCH("weak_legacy_content",'제외 후보'!P600)),'선정 규칙'!$B$21,0)</x:f>
        <x:v>5</x:v>
      </x:c>
      <x:c r="J600" s="11" t="n">
        <x:f>IF('제외 후보'!AC600&lt;&gt;"",'선정 규칙'!$B$22,0)</x:f>
        <x:v>0</x:v>
      </x:c>
      <x:c r="K600" s="11" t="n">
        <x:f>SUM(B600:J600)</x:f>
        <x:v>12</x:v>
      </x:c>
      <x:c r="L600" s="11" t="n">
        <x:f>'제외 후보'!N600</x:f>
        <x:v>12</x:v>
      </x:c>
      <x:c r="M600" s="2" t="str">
        <x:f>IF(K600=L600,"OK","MISMATCH")</x:f>
        <x:v>OK</x:v>
      </x:c>
    </x:row>
    <x:row r="601">
      <x:c r="A601" s="2" t="str">
        <x:f>'제외 후보'!G601</x:f>
        <x:v>w_ad16bd2b6af409d5</x:v>
      </x:c>
      <x:c r="B601" s="11" t="n">
        <x:f>IF('제외 후보'!Q601&lt;&gt;"",'선정 규칙'!$B$4,0)</x:f>
        <x:v>0</x:v>
      </x:c>
      <x:c r="C601" s="11" t="n">
        <x:f>IF(ISNUMBER(SEARCH("jmdict_uncommon_or_irregular",'제외 후보'!P601)),'선정 규칙'!$B$5,IF(ISNUMBER(SEARCH("jmdict_rare_or_dated",'제외 후보'!P601)),'선정 규칙'!$B$6,0))</x:f>
        <x:v>0</x:v>
      </x:c>
      <x:c r="D601" s="11" t="n">
        <x:f>IF(ISNUMBER(SEARCH("jmdict_exact_pair_not_found",'제외 후보'!P601)),'선정 규칙'!$B$7,0)</x:f>
        <x:v>0</x:v>
      </x:c>
      <x:c r="E601" s="11" t="n">
        <x:f>IF(OR('제외 후보'!L601="",'제외 후보'!L601&lt;=0),'선정 규칙'!$B$8,IF('제외 후보'!L601&lt;=1.5,'선정 규칙'!$B$9,IF('제외 후보'!L601&lt;=2,'선정 규칙'!$B$10,IF('제외 후보'!L601&lt;=2.5,'선정 규칙'!$B$11,IF('제외 후보'!L601&lt;=3,'선정 규칙'!$B$12,IF('제외 후보'!L601&lt;=3.5,'선정 규칙'!$B$13,IF('제외 후보'!L601&gt;=4.5,'선정 규칙'!$B$14,0)))))))</x:f>
        <x:v>26</x:v>
      </x:c>
      <x:c r="F601" s="11" t="n">
        <x:f>IF('제외 후보'!Y601=0,'선정 규칙'!$B$15,IF('제외 후보'!Y601&gt;=100,'선정 규칙'!$B$16,'선정 규칙'!$B$17))</x:f>
        <x:v>-25</x:v>
      </x:c>
      <x:c r="G601" s="11" t="n">
        <x:f>IF('제외 후보'!M601="있음",'선정 규칙'!$B$18,'선정 규칙'!$B$19)</x:f>
        <x:v>6</x:v>
      </x:c>
      <x:c r="H601" s="11" t="n">
        <x:f>IF(ISNUMBER(SEARCH("freq-core",'제외 후보'!AD601)),'선정 규칙'!$B$20,0)</x:f>
        <x:v>0</x:v>
      </x:c>
      <x:c r="I601" s="11" t="n">
        <x:f>IF(ISNUMBER(SEARCH("weak_legacy_content",'제외 후보'!P601)),'선정 규칙'!$B$21,0)</x:f>
        <x:v>5</x:v>
      </x:c>
      <x:c r="J601" s="11" t="n">
        <x:f>IF('제외 후보'!AC601&lt;&gt;"",'선정 규칙'!$B$22,0)</x:f>
        <x:v>0</x:v>
      </x:c>
      <x:c r="K601" s="11" t="n">
        <x:f>SUM(B601:J601)</x:f>
        <x:v>12</x:v>
      </x:c>
      <x:c r="L601" s="11" t="n">
        <x:f>'제외 후보'!N601</x:f>
        <x:v>12</x:v>
      </x:c>
      <x:c r="M601" s="2" t="str">
        <x:f>IF(K601=L601,"OK","MISMATCH")</x:f>
        <x:v>OK</x:v>
      </x:c>
    </x:row>
    <x:row r="602">
      <x:c r="A602" s="2" t="str">
        <x:f>'제외 후보'!G602</x:f>
        <x:v>w_5135dd81e7fcc848</x:v>
      </x:c>
      <x:c r="B602" s="11" t="n">
        <x:f>IF('제외 후보'!Q602&lt;&gt;"",'선정 규칙'!$B$4,0)</x:f>
        <x:v>0</x:v>
      </x:c>
      <x:c r="C602" s="11" t="n">
        <x:f>IF(ISNUMBER(SEARCH("jmdict_uncommon_or_irregular",'제외 후보'!P602)),'선정 규칙'!$B$5,IF(ISNUMBER(SEARCH("jmdict_rare_or_dated",'제외 후보'!P602)),'선정 규칙'!$B$6,0))</x:f>
        <x:v>0</x:v>
      </x:c>
      <x:c r="D602" s="11" t="n">
        <x:f>IF(ISNUMBER(SEARCH("jmdict_exact_pair_not_found",'제외 후보'!P602)),'선정 규칙'!$B$7,0)</x:f>
        <x:v>0</x:v>
      </x:c>
      <x:c r="E602" s="11" t="n">
        <x:f>IF(OR('제외 후보'!L602="",'제외 후보'!L602&lt;=0),'선정 규칙'!$B$8,IF('제외 후보'!L602&lt;=1.5,'선정 규칙'!$B$9,IF('제외 후보'!L602&lt;=2,'선정 규칙'!$B$10,IF('제외 후보'!L602&lt;=2.5,'선정 규칙'!$B$11,IF('제외 후보'!L602&lt;=3,'선정 규칙'!$B$12,IF('제외 후보'!L602&lt;=3.5,'선정 규칙'!$B$13,IF('제외 후보'!L602&gt;=4.5,'선정 규칙'!$B$14,0)))))))</x:f>
        <x:v>26</x:v>
      </x:c>
      <x:c r="F602" s="11" t="n">
        <x:f>IF('제외 후보'!Y602=0,'선정 규칙'!$B$15,IF('제외 후보'!Y602&gt;=100,'선정 규칙'!$B$16,'선정 규칙'!$B$17))</x:f>
        <x:v>-25</x:v>
      </x:c>
      <x:c r="G602" s="11" t="n">
        <x:f>IF('제외 후보'!M602="있음",'선정 규칙'!$B$18,'선정 규칙'!$B$19)</x:f>
        <x:v>6</x:v>
      </x:c>
      <x:c r="H602" s="11" t="n">
        <x:f>IF(ISNUMBER(SEARCH("freq-core",'제외 후보'!AD602)),'선정 규칙'!$B$20,0)</x:f>
        <x:v>0</x:v>
      </x:c>
      <x:c r="I602" s="11" t="n">
        <x:f>IF(ISNUMBER(SEARCH("weak_legacy_content",'제외 후보'!P602)),'선정 규칙'!$B$21,0)</x:f>
        <x:v>5</x:v>
      </x:c>
      <x:c r="J602" s="11" t="n">
        <x:f>IF('제외 후보'!AC602&lt;&gt;"",'선정 규칙'!$B$22,0)</x:f>
        <x:v>0</x:v>
      </x:c>
      <x:c r="K602" s="11" t="n">
        <x:f>SUM(B602:J602)</x:f>
        <x:v>12</x:v>
      </x:c>
      <x:c r="L602" s="11" t="n">
        <x:f>'제외 후보'!N602</x:f>
        <x:v>12</x:v>
      </x:c>
      <x:c r="M602" s="2" t="str">
        <x:f>IF(K602=L602,"OK","MISMATCH")</x:f>
        <x:v>OK</x:v>
      </x:c>
    </x:row>
    <x:row r="603">
      <x:c r="A603" s="2" t="str">
        <x:f>'제외 후보'!G603</x:f>
        <x:v>w_423103b3cd4c8279</x:v>
      </x:c>
      <x:c r="B603" s="11" t="n">
        <x:f>IF('제외 후보'!Q603&lt;&gt;"",'선정 규칙'!$B$4,0)</x:f>
        <x:v>0</x:v>
      </x:c>
      <x:c r="C603" s="11" t="n">
        <x:f>IF(ISNUMBER(SEARCH("jmdict_uncommon_or_irregular",'제외 후보'!P603)),'선정 규칙'!$B$5,IF(ISNUMBER(SEARCH("jmdict_rare_or_dated",'제외 후보'!P603)),'선정 규칙'!$B$6,0))</x:f>
        <x:v>0</x:v>
      </x:c>
      <x:c r="D603" s="11" t="n">
        <x:f>IF(ISNUMBER(SEARCH("jmdict_exact_pair_not_found",'제외 후보'!P603)),'선정 규칙'!$B$7,0)</x:f>
        <x:v>0</x:v>
      </x:c>
      <x:c r="E603" s="11" t="n">
        <x:f>IF(OR('제외 후보'!L603="",'제외 후보'!L603&lt;=0),'선정 규칙'!$B$8,IF('제외 후보'!L603&lt;=1.5,'선정 규칙'!$B$9,IF('제외 후보'!L603&lt;=2,'선정 규칙'!$B$10,IF('제외 후보'!L603&lt;=2.5,'선정 규칙'!$B$11,IF('제외 후보'!L603&lt;=3,'선정 규칙'!$B$12,IF('제외 후보'!L603&lt;=3.5,'선정 규칙'!$B$13,IF('제외 후보'!L603&gt;=4.5,'선정 규칙'!$B$14,0)))))))</x:f>
        <x:v>20</x:v>
      </x:c>
      <x:c r="F603" s="11" t="n">
        <x:f>IF('제외 후보'!Y603=0,'선정 규칙'!$B$15,IF('제외 후보'!Y603&gt;=100,'선정 규칙'!$B$16,'선정 규칙'!$B$17))</x:f>
        <x:v>12</x:v>
      </x:c>
      <x:c r="G603" s="11" t="n">
        <x:f>IF('제외 후보'!M603="있음",'선정 규칙'!$B$18,'선정 규칙'!$B$19)</x:f>
        <x:v>-25</x:v>
      </x:c>
      <x:c r="H603" s="11" t="n">
        <x:f>IF(ISNUMBER(SEARCH("freq-core",'제외 후보'!AD603)),'선정 규칙'!$B$20,0)</x:f>
        <x:v>0</x:v>
      </x:c>
      <x:c r="I603" s="11" t="n">
        <x:f>IF(ISNUMBER(SEARCH("weak_legacy_content",'제외 후보'!P603)),'선정 규칙'!$B$21,0)</x:f>
        <x:v>5</x:v>
      </x:c>
      <x:c r="J603" s="11" t="n">
        <x:f>IF('제외 후보'!AC603&lt;&gt;"",'선정 규칙'!$B$22,0)</x:f>
        <x:v>0</x:v>
      </x:c>
      <x:c r="K603" s="11" t="n">
        <x:f>SUM(B603:J603)</x:f>
        <x:v>12</x:v>
      </x:c>
      <x:c r="L603" s="11" t="n">
        <x:f>'제외 후보'!N603</x:f>
        <x:v>12</x:v>
      </x:c>
      <x:c r="M603" s="2" t="str">
        <x:f>IF(K603=L603,"OK","MISMATCH")</x:f>
        <x:v>OK</x:v>
      </x:c>
    </x:row>
    <x:row r="604">
      <x:c r="A604" s="2" t="str">
        <x:f>'제외 후보'!G604</x:f>
        <x:v>w_50c79dbb941aed3a</x:v>
      </x:c>
      <x:c r="B604" s="11" t="n">
        <x:f>IF('제외 후보'!Q604&lt;&gt;"",'선정 규칙'!$B$4,0)</x:f>
        <x:v>0</x:v>
      </x:c>
      <x:c r="C604" s="11" t="n">
        <x:f>IF(ISNUMBER(SEARCH("jmdict_uncommon_or_irregular",'제외 후보'!P604)),'선정 규칙'!$B$5,IF(ISNUMBER(SEARCH("jmdict_rare_or_dated",'제외 후보'!P604)),'선정 규칙'!$B$6,0))</x:f>
        <x:v>0</x:v>
      </x:c>
      <x:c r="D604" s="11" t="n">
        <x:f>IF(ISNUMBER(SEARCH("jmdict_exact_pair_not_found",'제외 후보'!P604)),'선정 규칙'!$B$7,0)</x:f>
        <x:v>0</x:v>
      </x:c>
      <x:c r="E604" s="11" t="n">
        <x:f>IF(OR('제외 후보'!L604="",'제외 후보'!L604&lt;=0),'선정 규칙'!$B$8,IF('제외 후보'!L604&lt;=1.5,'선정 규칙'!$B$9,IF('제외 후보'!L604&lt;=2,'선정 규칙'!$B$10,IF('제외 후보'!L604&lt;=2.5,'선정 규칙'!$B$11,IF('제외 후보'!L604&lt;=3,'선정 규칙'!$B$12,IF('제외 후보'!L604&lt;=3.5,'선정 규칙'!$B$13,IF('제외 후보'!L604&gt;=4.5,'선정 규칙'!$B$14,0)))))))</x:f>
        <x:v>20</x:v>
      </x:c>
      <x:c r="F604" s="11" t="n">
        <x:f>IF('제외 후보'!Y604=0,'선정 규칙'!$B$15,IF('제외 후보'!Y604&gt;=100,'선정 규칙'!$B$16,'선정 규칙'!$B$17))</x:f>
        <x:v>12</x:v>
      </x:c>
      <x:c r="G604" s="11" t="n">
        <x:f>IF('제외 후보'!M604="있음",'선정 규칙'!$B$18,'선정 규칙'!$B$19)</x:f>
        <x:v>-25</x:v>
      </x:c>
      <x:c r="H604" s="11" t="n">
        <x:f>IF(ISNUMBER(SEARCH("freq-core",'제외 후보'!AD604)),'선정 규칙'!$B$20,0)</x:f>
        <x:v>0</x:v>
      </x:c>
      <x:c r="I604" s="11" t="n">
        <x:f>IF(ISNUMBER(SEARCH("weak_legacy_content",'제외 후보'!P604)),'선정 규칙'!$B$21,0)</x:f>
        <x:v>5</x:v>
      </x:c>
      <x:c r="J604" s="11" t="n">
        <x:f>IF('제외 후보'!AC604&lt;&gt;"",'선정 규칙'!$B$22,0)</x:f>
        <x:v>0</x:v>
      </x:c>
      <x:c r="K604" s="11" t="n">
        <x:f>SUM(B604:J604)</x:f>
        <x:v>12</x:v>
      </x:c>
      <x:c r="L604" s="11" t="n">
        <x:f>'제외 후보'!N604</x:f>
        <x:v>12</x:v>
      </x:c>
      <x:c r="M604" s="2" t="str">
        <x:f>IF(K604=L604,"OK","MISMATCH")</x:f>
        <x:v>OK</x:v>
      </x:c>
    </x:row>
    <x:row r="605">
      <x:c r="A605" s="2" t="str">
        <x:f>'제외 후보'!G605</x:f>
        <x:v>w_37c885dc3e5c332d</x:v>
      </x:c>
      <x:c r="B605" s="11" t="n">
        <x:f>IF('제외 후보'!Q605&lt;&gt;"",'선정 규칙'!$B$4,0)</x:f>
        <x:v>0</x:v>
      </x:c>
      <x:c r="C605" s="11" t="n">
        <x:f>IF(ISNUMBER(SEARCH("jmdict_uncommon_or_irregular",'제외 후보'!P605)),'선정 규칙'!$B$5,IF(ISNUMBER(SEARCH("jmdict_rare_or_dated",'제외 후보'!P605)),'선정 규칙'!$B$6,0))</x:f>
        <x:v>0</x:v>
      </x:c>
      <x:c r="D605" s="11" t="n">
        <x:f>IF(ISNUMBER(SEARCH("jmdict_exact_pair_not_found",'제외 후보'!P605)),'선정 규칙'!$B$7,0)</x:f>
        <x:v>0</x:v>
      </x:c>
      <x:c r="E605" s="11" t="n">
        <x:f>IF(OR('제외 후보'!L605="",'제외 후보'!L605&lt;=0),'선정 규칙'!$B$8,IF('제외 후보'!L605&lt;=1.5,'선정 규칙'!$B$9,IF('제외 후보'!L605&lt;=2,'선정 규칙'!$B$10,IF('제외 후보'!L605&lt;=2.5,'선정 규칙'!$B$11,IF('제외 후보'!L605&lt;=3,'선정 규칙'!$B$12,IF('제외 후보'!L605&lt;=3.5,'선정 규칙'!$B$13,IF('제외 후보'!L605&gt;=4.5,'선정 규칙'!$B$14,0)))))))</x:f>
        <x:v>20</x:v>
      </x:c>
      <x:c r="F605" s="11" t="n">
        <x:f>IF('제외 후보'!Y605=0,'선정 규칙'!$B$15,IF('제외 후보'!Y605&gt;=100,'선정 규칙'!$B$16,'선정 규칙'!$B$17))</x:f>
        <x:v>12</x:v>
      </x:c>
      <x:c r="G605" s="11" t="n">
        <x:f>IF('제외 후보'!M605="있음",'선정 규칙'!$B$18,'선정 규칙'!$B$19)</x:f>
        <x:v>-25</x:v>
      </x:c>
      <x:c r="H605" s="11" t="n">
        <x:f>IF(ISNUMBER(SEARCH("freq-core",'제외 후보'!AD605)),'선정 규칙'!$B$20,0)</x:f>
        <x:v>0</x:v>
      </x:c>
      <x:c r="I605" s="11" t="n">
        <x:f>IF(ISNUMBER(SEARCH("weak_legacy_content",'제외 후보'!P605)),'선정 규칙'!$B$21,0)</x:f>
        <x:v>5</x:v>
      </x:c>
      <x:c r="J605" s="11" t="n">
        <x:f>IF('제외 후보'!AC605&lt;&gt;"",'선정 규칙'!$B$22,0)</x:f>
        <x:v>0</x:v>
      </x:c>
      <x:c r="K605" s="11" t="n">
        <x:f>SUM(B605:J605)</x:f>
        <x:v>12</x:v>
      </x:c>
      <x:c r="L605" s="11" t="n">
        <x:f>'제외 후보'!N605</x:f>
        <x:v>12</x:v>
      </x:c>
      <x:c r="M605" s="2" t="str">
        <x:f>IF(K605=L605,"OK","MISMATCH")</x:f>
        <x:v>OK</x:v>
      </x:c>
    </x:row>
    <x:row r="606">
      <x:c r="A606" s="2" t="str">
        <x:f>'제외 후보'!G606</x:f>
        <x:v>w_3a5efdd6354ac516</x:v>
      </x:c>
      <x:c r="B606" s="11" t="n">
        <x:f>IF('제외 후보'!Q606&lt;&gt;"",'선정 규칙'!$B$4,0)</x:f>
        <x:v>0</x:v>
      </x:c>
      <x:c r="C606" s="11" t="n">
        <x:f>IF(ISNUMBER(SEARCH("jmdict_uncommon_or_irregular",'제외 후보'!P606)),'선정 규칙'!$B$5,IF(ISNUMBER(SEARCH("jmdict_rare_or_dated",'제외 후보'!P606)),'선정 규칙'!$B$6,0))</x:f>
        <x:v>0</x:v>
      </x:c>
      <x:c r="D606" s="11" t="n">
        <x:f>IF(ISNUMBER(SEARCH("jmdict_exact_pair_not_found",'제외 후보'!P606)),'선정 규칙'!$B$7,0)</x:f>
        <x:v>0</x:v>
      </x:c>
      <x:c r="E606" s="11" t="n">
        <x:f>IF(OR('제외 후보'!L606="",'제외 후보'!L606&lt;=0),'선정 규칙'!$B$8,IF('제외 후보'!L606&lt;=1.5,'선정 규칙'!$B$9,IF('제외 후보'!L606&lt;=2,'선정 규칙'!$B$10,IF('제외 후보'!L606&lt;=2.5,'선정 규칙'!$B$11,IF('제외 후보'!L606&lt;=3,'선정 규칙'!$B$12,IF('제외 후보'!L606&lt;=3.5,'선정 규칙'!$B$13,IF('제외 후보'!L606&gt;=4.5,'선정 규칙'!$B$14,0)))))))</x:f>
        <x:v>20</x:v>
      </x:c>
      <x:c r="F606" s="11" t="n">
        <x:f>IF('제외 후보'!Y606=0,'선정 규칙'!$B$15,IF('제외 후보'!Y606&gt;=100,'선정 규칙'!$B$16,'선정 규칙'!$B$17))</x:f>
        <x:v>12</x:v>
      </x:c>
      <x:c r="G606" s="11" t="n">
        <x:f>IF('제외 후보'!M606="있음",'선정 규칙'!$B$18,'선정 규칙'!$B$19)</x:f>
        <x:v>-25</x:v>
      </x:c>
      <x:c r="H606" s="11" t="n">
        <x:f>IF(ISNUMBER(SEARCH("freq-core",'제외 후보'!AD606)),'선정 규칙'!$B$20,0)</x:f>
        <x:v>0</x:v>
      </x:c>
      <x:c r="I606" s="11" t="n">
        <x:f>IF(ISNUMBER(SEARCH("weak_legacy_content",'제외 후보'!P606)),'선정 규칙'!$B$21,0)</x:f>
        <x:v>5</x:v>
      </x:c>
      <x:c r="J606" s="11" t="n">
        <x:f>IF('제외 후보'!AC606&lt;&gt;"",'선정 규칙'!$B$22,0)</x:f>
        <x:v>0</x:v>
      </x:c>
      <x:c r="K606" s="11" t="n">
        <x:f>SUM(B606:J606)</x:f>
        <x:v>12</x:v>
      </x:c>
      <x:c r="L606" s="11" t="n">
        <x:f>'제외 후보'!N606</x:f>
        <x:v>12</x:v>
      </x:c>
      <x:c r="M606" s="2" t="str">
        <x:f>IF(K606=L606,"OK","MISMATCH")</x:f>
        <x:v>OK</x:v>
      </x:c>
    </x:row>
    <x:row r="607">
      <x:c r="A607" s="2" t="str">
        <x:f>'제외 후보'!G607</x:f>
        <x:v>w_ca3426b5b798821a</x:v>
      </x:c>
      <x:c r="B607" s="11" t="n">
        <x:f>IF('제외 후보'!Q607&lt;&gt;"",'선정 규칙'!$B$4,0)</x:f>
        <x:v>0</x:v>
      </x:c>
      <x:c r="C607" s="11" t="n">
        <x:f>IF(ISNUMBER(SEARCH("jmdict_uncommon_or_irregular",'제외 후보'!P607)),'선정 규칙'!$B$5,IF(ISNUMBER(SEARCH("jmdict_rare_or_dated",'제외 후보'!P607)),'선정 규칙'!$B$6,0))</x:f>
        <x:v>0</x:v>
      </x:c>
      <x:c r="D607" s="11" t="n">
        <x:f>IF(ISNUMBER(SEARCH("jmdict_exact_pair_not_found",'제외 후보'!P607)),'선정 규칙'!$B$7,0)</x:f>
        <x:v>0</x:v>
      </x:c>
      <x:c r="E607" s="11" t="n">
        <x:f>IF(OR('제외 후보'!L607="",'제외 후보'!L607&lt;=0),'선정 규칙'!$B$8,IF('제외 후보'!L607&lt;=1.5,'선정 규칙'!$B$9,IF('제외 후보'!L607&lt;=2,'선정 규칙'!$B$10,IF('제외 후보'!L607&lt;=2.5,'선정 규칙'!$B$11,IF('제외 후보'!L607&lt;=3,'선정 규칙'!$B$12,IF('제외 후보'!L607&lt;=3.5,'선정 규칙'!$B$13,IF('제외 후보'!L607&gt;=4.5,'선정 규칙'!$B$14,0)))))))</x:f>
        <x:v>20</x:v>
      </x:c>
      <x:c r="F607" s="11" t="n">
        <x:f>IF('제외 후보'!Y607=0,'선정 규칙'!$B$15,IF('제외 후보'!Y607&gt;=100,'선정 규칙'!$B$16,'선정 규칙'!$B$17))</x:f>
        <x:v>12</x:v>
      </x:c>
      <x:c r="G607" s="11" t="n">
        <x:f>IF('제외 후보'!M607="있음",'선정 규칙'!$B$18,'선정 규칙'!$B$19)</x:f>
        <x:v>-25</x:v>
      </x:c>
      <x:c r="H607" s="11" t="n">
        <x:f>IF(ISNUMBER(SEARCH("freq-core",'제외 후보'!AD607)),'선정 규칙'!$B$20,0)</x:f>
        <x:v>0</x:v>
      </x:c>
      <x:c r="I607" s="11" t="n">
        <x:f>IF(ISNUMBER(SEARCH("weak_legacy_content",'제외 후보'!P607)),'선정 규칙'!$B$21,0)</x:f>
        <x:v>5</x:v>
      </x:c>
      <x:c r="J607" s="11" t="n">
        <x:f>IF('제외 후보'!AC607&lt;&gt;"",'선정 규칙'!$B$22,0)</x:f>
        <x:v>0</x:v>
      </x:c>
      <x:c r="K607" s="11" t="n">
        <x:f>SUM(B607:J607)</x:f>
        <x:v>12</x:v>
      </x:c>
      <x:c r="L607" s="11" t="n">
        <x:f>'제외 후보'!N607</x:f>
        <x:v>12</x:v>
      </x:c>
      <x:c r="M607" s="2" t="str">
        <x:f>IF(K607=L607,"OK","MISMATCH")</x:f>
        <x:v>OK</x:v>
      </x:c>
    </x:row>
    <x:row r="608">
      <x:c r="A608" s="2" t="str">
        <x:f>'제외 후보'!G608</x:f>
        <x:v>w_df6b76d34675cf03</x:v>
      </x:c>
      <x:c r="B608" s="11" t="n">
        <x:f>IF('제외 후보'!Q608&lt;&gt;"",'선정 규칙'!$B$4,0)</x:f>
        <x:v>0</x:v>
      </x:c>
      <x:c r="C608" s="11" t="n">
        <x:f>IF(ISNUMBER(SEARCH("jmdict_uncommon_or_irregular",'제외 후보'!P608)),'선정 규칙'!$B$5,IF(ISNUMBER(SEARCH("jmdict_rare_or_dated",'제외 후보'!P608)),'선정 규칙'!$B$6,0))</x:f>
        <x:v>0</x:v>
      </x:c>
      <x:c r="D608" s="11" t="n">
        <x:f>IF(ISNUMBER(SEARCH("jmdict_exact_pair_not_found",'제외 후보'!P608)),'선정 규칙'!$B$7,0)</x:f>
        <x:v>0</x:v>
      </x:c>
      <x:c r="E608" s="11" t="n">
        <x:f>IF(OR('제외 후보'!L608="",'제외 후보'!L608&lt;=0),'선정 규칙'!$B$8,IF('제외 후보'!L608&lt;=1.5,'선정 규칙'!$B$9,IF('제외 후보'!L608&lt;=2,'선정 규칙'!$B$10,IF('제외 후보'!L608&lt;=2.5,'선정 규칙'!$B$11,IF('제외 후보'!L608&lt;=3,'선정 규칙'!$B$12,IF('제외 후보'!L608&lt;=3.5,'선정 규칙'!$B$13,IF('제외 후보'!L608&gt;=4.5,'선정 규칙'!$B$14,0)))))))</x:f>
        <x:v>12</x:v>
      </x:c>
      <x:c r="F608" s="11" t="n">
        <x:f>IF('제외 후보'!Y608=0,'선정 규칙'!$B$15,IF('제외 후보'!Y608&gt;=100,'선정 규칙'!$B$16,'선정 규칙'!$B$17))</x:f>
        <x:v>-12</x:v>
      </x:c>
      <x:c r="G608" s="11" t="n">
        <x:f>IF('제외 후보'!M608="있음",'선정 규칙'!$B$18,'선정 규칙'!$B$19)</x:f>
        <x:v>6</x:v>
      </x:c>
      <x:c r="H608" s="11" t="n">
        <x:f>IF(ISNUMBER(SEARCH("freq-core",'제외 후보'!AD608)),'선정 규칙'!$B$20,0)</x:f>
        <x:v>0</x:v>
      </x:c>
      <x:c r="I608" s="11" t="n">
        <x:f>IF(ISNUMBER(SEARCH("weak_legacy_content",'제외 후보'!P608)),'선정 규칙'!$B$21,0)</x:f>
        <x:v>5</x:v>
      </x:c>
      <x:c r="J608" s="11" t="n">
        <x:f>IF('제외 후보'!AC608&lt;&gt;"",'선정 규칙'!$B$22,0)</x:f>
        <x:v>0</x:v>
      </x:c>
      <x:c r="K608" s="11" t="n">
        <x:f>SUM(B608:J608)</x:f>
        <x:v>11</x:v>
      </x:c>
      <x:c r="L608" s="11" t="n">
        <x:f>'제외 후보'!N608</x:f>
        <x:v>11</x:v>
      </x:c>
      <x:c r="M608" s="2" t="str">
        <x:f>IF(K608=L608,"OK","MISMATCH")</x:f>
        <x:v>OK</x:v>
      </x:c>
    </x:row>
    <x:row r="609">
      <x:c r="A609" s="2" t="str">
        <x:f>'제외 후보'!G609</x:f>
        <x:v>w_5d60277c77dcc5c2</x:v>
      </x:c>
      <x:c r="B609" s="11" t="n">
        <x:f>IF('제외 후보'!Q609&lt;&gt;"",'선정 규칙'!$B$4,0)</x:f>
        <x:v>0</x:v>
      </x:c>
      <x:c r="C609" s="11" t="n">
        <x:f>IF(ISNUMBER(SEARCH("jmdict_uncommon_or_irregular",'제외 후보'!P609)),'선정 규칙'!$B$5,IF(ISNUMBER(SEARCH("jmdict_rare_or_dated",'제외 후보'!P609)),'선정 규칙'!$B$6,0))</x:f>
        <x:v>0</x:v>
      </x:c>
      <x:c r="D609" s="11" t="n">
        <x:f>IF(ISNUMBER(SEARCH("jmdict_exact_pair_not_found",'제외 후보'!P609)),'선정 규칙'!$B$7,0)</x:f>
        <x:v>0</x:v>
      </x:c>
      <x:c r="E609" s="11" t="n">
        <x:f>IF(OR('제외 후보'!L609="",'제외 후보'!L609&lt;=0),'선정 규칙'!$B$8,IF('제외 후보'!L609&lt;=1.5,'선정 규칙'!$B$9,IF('제외 후보'!L609&lt;=2,'선정 규칙'!$B$10,IF('제외 후보'!L609&lt;=2.5,'선정 규칙'!$B$11,IF('제외 후보'!L609&lt;=3,'선정 규칙'!$B$12,IF('제외 후보'!L609&lt;=3.5,'선정 규칙'!$B$13,IF('제외 후보'!L609&gt;=4.5,'선정 규칙'!$B$14,0)))))))</x:f>
        <x:v>12</x:v>
      </x:c>
      <x:c r="F609" s="11" t="n">
        <x:f>IF('제외 후보'!Y609=0,'선정 규칙'!$B$15,IF('제외 후보'!Y609&gt;=100,'선정 규칙'!$B$16,'선정 규칙'!$B$17))</x:f>
        <x:v>-12</x:v>
      </x:c>
      <x:c r="G609" s="11" t="n">
        <x:f>IF('제외 후보'!M609="있음",'선정 규칙'!$B$18,'선정 규칙'!$B$19)</x:f>
        <x:v>6</x:v>
      </x:c>
      <x:c r="H609" s="11" t="n">
        <x:f>IF(ISNUMBER(SEARCH("freq-core",'제외 후보'!AD609)),'선정 규칙'!$B$20,0)</x:f>
        <x:v>0</x:v>
      </x:c>
      <x:c r="I609" s="11" t="n">
        <x:f>IF(ISNUMBER(SEARCH("weak_legacy_content",'제외 후보'!P609)),'선정 규칙'!$B$21,0)</x:f>
        <x:v>5</x:v>
      </x:c>
      <x:c r="J609" s="11" t="n">
        <x:f>IF('제외 후보'!AC609&lt;&gt;"",'선정 규칙'!$B$22,0)</x:f>
        <x:v>0</x:v>
      </x:c>
      <x:c r="K609" s="11" t="n">
        <x:f>SUM(B609:J609)</x:f>
        <x:v>11</x:v>
      </x:c>
      <x:c r="L609" s="11" t="n">
        <x:f>'제외 후보'!N609</x:f>
        <x:v>11</x:v>
      </x:c>
      <x:c r="M609" s="2" t="str">
        <x:f>IF(K609=L609,"OK","MISMATCH")</x:f>
        <x:v>OK</x:v>
      </x:c>
    </x:row>
    <x:row r="610">
      <x:c r="A610" s="2" t="str">
        <x:f>'제외 후보'!G610</x:f>
        <x:v>w_d21c3c66f9500c6e</x:v>
      </x:c>
      <x:c r="B610" s="11" t="n">
        <x:f>IF('제외 후보'!Q610&lt;&gt;"",'선정 규칙'!$B$4,0)</x:f>
        <x:v>0</x:v>
      </x:c>
      <x:c r="C610" s="11" t="n">
        <x:f>IF(ISNUMBER(SEARCH("jmdict_uncommon_or_irregular",'제외 후보'!P610)),'선정 규칙'!$B$5,IF(ISNUMBER(SEARCH("jmdict_rare_or_dated",'제외 후보'!P610)),'선정 규칙'!$B$6,0))</x:f>
        <x:v>0</x:v>
      </x:c>
      <x:c r="D610" s="11" t="n">
        <x:f>IF(ISNUMBER(SEARCH("jmdict_exact_pair_not_found",'제외 후보'!P610)),'선정 규칙'!$B$7,0)</x:f>
        <x:v>0</x:v>
      </x:c>
      <x:c r="E610" s="11" t="n">
        <x:f>IF(OR('제외 후보'!L610="",'제외 후보'!L610&lt;=0),'선정 규칙'!$B$8,IF('제외 후보'!L610&lt;=1.5,'선정 규칙'!$B$9,IF('제외 후보'!L610&lt;=2,'선정 규칙'!$B$10,IF('제외 후보'!L610&lt;=2.5,'선정 규칙'!$B$11,IF('제외 후보'!L610&lt;=3,'선정 규칙'!$B$12,IF('제외 후보'!L610&lt;=3.5,'선정 규칙'!$B$13,IF('제외 후보'!L610&gt;=4.5,'선정 규칙'!$B$14,0)))))))</x:f>
        <x:v>12</x:v>
      </x:c>
      <x:c r="F610" s="11" t="n">
        <x:f>IF('제외 후보'!Y610=0,'선정 규칙'!$B$15,IF('제외 후보'!Y610&gt;=100,'선정 규칙'!$B$16,'선정 규칙'!$B$17))</x:f>
        <x:v>-12</x:v>
      </x:c>
      <x:c r="G610" s="11" t="n">
        <x:f>IF('제외 후보'!M610="있음",'선정 규칙'!$B$18,'선정 규칙'!$B$19)</x:f>
        <x:v>6</x:v>
      </x:c>
      <x:c r="H610" s="11" t="n">
        <x:f>IF(ISNUMBER(SEARCH("freq-core",'제외 후보'!AD610)),'선정 규칙'!$B$20,0)</x:f>
        <x:v>0</x:v>
      </x:c>
      <x:c r="I610" s="11" t="n">
        <x:f>IF(ISNUMBER(SEARCH("weak_legacy_content",'제외 후보'!P610)),'선정 규칙'!$B$21,0)</x:f>
        <x:v>5</x:v>
      </x:c>
      <x:c r="J610" s="11" t="n">
        <x:f>IF('제외 후보'!AC610&lt;&gt;"",'선정 규칙'!$B$22,0)</x:f>
        <x:v>0</x:v>
      </x:c>
      <x:c r="K610" s="11" t="n">
        <x:f>SUM(B610:J610)</x:f>
        <x:v>11</x:v>
      </x:c>
      <x:c r="L610" s="11" t="n">
        <x:f>'제외 후보'!N610</x:f>
        <x:v>11</x:v>
      </x:c>
      <x:c r="M610" s="2" t="str">
        <x:f>IF(K610=L610,"OK","MISMATCH")</x:f>
        <x:v>OK</x:v>
      </x:c>
    </x:row>
    <x:row r="611">
      <x:c r="A611" s="2" t="str">
        <x:f>'제외 후보'!G611</x:f>
        <x:v>w_8e5fc40297a3d335</x:v>
      </x:c>
      <x:c r="B611" s="11" t="n">
        <x:f>IF('제외 후보'!Q611&lt;&gt;"",'선정 규칙'!$B$4,0)</x:f>
        <x:v>0</x:v>
      </x:c>
      <x:c r="C611" s="11" t="n">
        <x:f>IF(ISNUMBER(SEARCH("jmdict_uncommon_or_irregular",'제외 후보'!P611)),'선정 규칙'!$B$5,IF(ISNUMBER(SEARCH("jmdict_rare_or_dated",'제외 후보'!P611)),'선정 규칙'!$B$6,0))</x:f>
        <x:v>0</x:v>
      </x:c>
      <x:c r="D611" s="11" t="n">
        <x:f>IF(ISNUMBER(SEARCH("jmdict_exact_pair_not_found",'제외 후보'!P611)),'선정 규칙'!$B$7,0)</x:f>
        <x:v>0</x:v>
      </x:c>
      <x:c r="E611" s="11" t="n">
        <x:f>IF(OR('제외 후보'!L611="",'제외 후보'!L611&lt;=0),'선정 규칙'!$B$8,IF('제외 후보'!L611&lt;=1.5,'선정 규칙'!$B$9,IF('제외 후보'!L611&lt;=2,'선정 규칙'!$B$10,IF('제외 후보'!L611&lt;=2.5,'선정 규칙'!$B$11,IF('제외 후보'!L611&lt;=3,'선정 규칙'!$B$12,IF('제외 후보'!L611&lt;=3.5,'선정 규칙'!$B$13,IF('제외 후보'!L611&gt;=4.5,'선정 규칙'!$B$14,0)))))))</x:f>
        <x:v>12</x:v>
      </x:c>
      <x:c r="F611" s="11" t="n">
        <x:f>IF('제외 후보'!Y611=0,'선정 규칙'!$B$15,IF('제외 후보'!Y611&gt;=100,'선정 규칙'!$B$16,'선정 규칙'!$B$17))</x:f>
        <x:v>-12</x:v>
      </x:c>
      <x:c r="G611" s="11" t="n">
        <x:f>IF('제외 후보'!M611="있음",'선정 규칙'!$B$18,'선정 규칙'!$B$19)</x:f>
        <x:v>6</x:v>
      </x:c>
      <x:c r="H611" s="11" t="n">
        <x:f>IF(ISNUMBER(SEARCH("freq-core",'제외 후보'!AD611)),'선정 규칙'!$B$20,0)</x:f>
        <x:v>0</x:v>
      </x:c>
      <x:c r="I611" s="11" t="n">
        <x:f>IF(ISNUMBER(SEARCH("weak_legacy_content",'제외 후보'!P611)),'선정 규칙'!$B$21,0)</x:f>
        <x:v>5</x:v>
      </x:c>
      <x:c r="J611" s="11" t="n">
        <x:f>IF('제외 후보'!AC611&lt;&gt;"",'선정 규칙'!$B$22,0)</x:f>
        <x:v>0</x:v>
      </x:c>
      <x:c r="K611" s="11" t="n">
        <x:f>SUM(B611:J611)</x:f>
        <x:v>11</x:v>
      </x:c>
      <x:c r="L611" s="11" t="n">
        <x:f>'제외 후보'!N611</x:f>
        <x:v>11</x:v>
      </x:c>
      <x:c r="M611" s="2" t="str">
        <x:f>IF(K611=L611,"OK","MISMATCH")</x:f>
        <x:v>OK</x:v>
      </x:c>
    </x:row>
    <x:row r="612">
      <x:c r="A612" s="2" t="str">
        <x:f>'제외 후보'!G612</x:f>
        <x:v>w_8e3ac6755492afad</x:v>
      </x:c>
      <x:c r="B612" s="11" t="n">
        <x:f>IF('제외 후보'!Q612&lt;&gt;"",'선정 규칙'!$B$4,0)</x:f>
        <x:v>0</x:v>
      </x:c>
      <x:c r="C612" s="11" t="n">
        <x:f>IF(ISNUMBER(SEARCH("jmdict_uncommon_or_irregular",'제외 후보'!P612)),'선정 규칙'!$B$5,IF(ISNUMBER(SEARCH("jmdict_rare_or_dated",'제외 후보'!P612)),'선정 규칙'!$B$6,0))</x:f>
        <x:v>0</x:v>
      </x:c>
      <x:c r="D612" s="11" t="n">
        <x:f>IF(ISNUMBER(SEARCH("jmdict_exact_pair_not_found",'제외 후보'!P612)),'선정 규칙'!$B$7,0)</x:f>
        <x:v>0</x:v>
      </x:c>
      <x:c r="E612" s="11" t="n">
        <x:f>IF(OR('제외 후보'!L612="",'제외 후보'!L612&lt;=0),'선정 규칙'!$B$8,IF('제외 후보'!L612&lt;=1.5,'선정 규칙'!$B$9,IF('제외 후보'!L612&lt;=2,'선정 규칙'!$B$10,IF('제외 후보'!L612&lt;=2.5,'선정 규칙'!$B$11,IF('제외 후보'!L612&lt;=3,'선정 규칙'!$B$12,IF('제외 후보'!L612&lt;=3.5,'선정 규칙'!$B$13,IF('제외 후보'!L612&gt;=4.5,'선정 규칙'!$B$14,0)))))))</x:f>
        <x:v>12</x:v>
      </x:c>
      <x:c r="F612" s="11" t="n">
        <x:f>IF('제외 후보'!Y612=0,'선정 규칙'!$B$15,IF('제외 후보'!Y612&gt;=100,'선정 규칙'!$B$16,'선정 규칙'!$B$17))</x:f>
        <x:v>-12</x:v>
      </x:c>
      <x:c r="G612" s="11" t="n">
        <x:f>IF('제외 후보'!M612="있음",'선정 규칙'!$B$18,'선정 규칙'!$B$19)</x:f>
        <x:v>6</x:v>
      </x:c>
      <x:c r="H612" s="11" t="n">
        <x:f>IF(ISNUMBER(SEARCH("freq-core",'제외 후보'!AD612)),'선정 규칙'!$B$20,0)</x:f>
        <x:v>0</x:v>
      </x:c>
      <x:c r="I612" s="11" t="n">
        <x:f>IF(ISNUMBER(SEARCH("weak_legacy_content",'제외 후보'!P612)),'선정 규칙'!$B$21,0)</x:f>
        <x:v>5</x:v>
      </x:c>
      <x:c r="J612" s="11" t="n">
        <x:f>IF('제외 후보'!AC612&lt;&gt;"",'선정 규칙'!$B$22,0)</x:f>
        <x:v>0</x:v>
      </x:c>
      <x:c r="K612" s="11" t="n">
        <x:f>SUM(B612:J612)</x:f>
        <x:v>11</x:v>
      </x:c>
      <x:c r="L612" s="11" t="n">
        <x:f>'제외 후보'!N612</x:f>
        <x:v>11</x:v>
      </x:c>
      <x:c r="M612" s="2" t="str">
        <x:f>IF(K612=L612,"OK","MISMATCH")</x:f>
        <x:v>OK</x:v>
      </x:c>
    </x:row>
    <x:row r="613">
      <x:c r="A613" s="2" t="str">
        <x:f>'제외 후보'!G613</x:f>
        <x:v>w_db5972303b7da2bd</x:v>
      </x:c>
      <x:c r="B613" s="11" t="n">
        <x:f>IF('제외 후보'!Q613&lt;&gt;"",'선정 규칙'!$B$4,0)</x:f>
        <x:v>0</x:v>
      </x:c>
      <x:c r="C613" s="11" t="n">
        <x:f>IF(ISNUMBER(SEARCH("jmdict_uncommon_or_irregular",'제외 후보'!P613)),'선정 규칙'!$B$5,IF(ISNUMBER(SEARCH("jmdict_rare_or_dated",'제외 후보'!P613)),'선정 규칙'!$B$6,0))</x:f>
        <x:v>0</x:v>
      </x:c>
      <x:c r="D613" s="11" t="n">
        <x:f>IF(ISNUMBER(SEARCH("jmdict_exact_pair_not_found",'제외 후보'!P613)),'선정 규칙'!$B$7,0)</x:f>
        <x:v>0</x:v>
      </x:c>
      <x:c r="E613" s="11" t="n">
        <x:f>IF(OR('제외 후보'!L613="",'제외 후보'!L613&lt;=0),'선정 규칙'!$B$8,IF('제외 후보'!L613&lt;=1.5,'선정 규칙'!$B$9,IF('제외 후보'!L613&lt;=2,'선정 규칙'!$B$10,IF('제외 후보'!L613&lt;=2.5,'선정 규칙'!$B$11,IF('제외 후보'!L613&lt;=3,'선정 규칙'!$B$12,IF('제외 후보'!L613&lt;=3.5,'선정 규칙'!$B$13,IF('제외 후보'!L613&gt;=4.5,'선정 규칙'!$B$14,0)))))))</x:f>
        <x:v>12</x:v>
      </x:c>
      <x:c r="F613" s="11" t="n">
        <x:f>IF('제외 후보'!Y613=0,'선정 규칙'!$B$15,IF('제외 후보'!Y613&gt;=100,'선정 규칙'!$B$16,'선정 규칙'!$B$17))</x:f>
        <x:v>-12</x:v>
      </x:c>
      <x:c r="G613" s="11" t="n">
        <x:f>IF('제외 후보'!M613="있음",'선정 규칙'!$B$18,'선정 규칙'!$B$19)</x:f>
        <x:v>6</x:v>
      </x:c>
      <x:c r="H613" s="11" t="n">
        <x:f>IF(ISNUMBER(SEARCH("freq-core",'제외 후보'!AD613)),'선정 규칙'!$B$20,0)</x:f>
        <x:v>0</x:v>
      </x:c>
      <x:c r="I613" s="11" t="n">
        <x:f>IF(ISNUMBER(SEARCH("weak_legacy_content",'제외 후보'!P613)),'선정 규칙'!$B$21,0)</x:f>
        <x:v>5</x:v>
      </x:c>
      <x:c r="J613" s="11" t="n">
        <x:f>IF('제외 후보'!AC613&lt;&gt;"",'선정 규칙'!$B$22,0)</x:f>
        <x:v>0</x:v>
      </x:c>
      <x:c r="K613" s="11" t="n">
        <x:f>SUM(B613:J613)</x:f>
        <x:v>11</x:v>
      </x:c>
      <x:c r="L613" s="11" t="n">
        <x:f>'제외 후보'!N613</x:f>
        <x:v>11</x:v>
      </x:c>
      <x:c r="M613" s="2" t="str">
        <x:f>IF(K613=L613,"OK","MISMATCH")</x:f>
        <x:v>OK</x:v>
      </x:c>
    </x:row>
    <x:row r="614">
      <x:c r="A614" s="2" t="str">
        <x:f>'제외 후보'!G614</x:f>
        <x:v>w_994530fba1b60aad</x:v>
      </x:c>
      <x:c r="B614" s="11" t="n">
        <x:f>IF('제외 후보'!Q614&lt;&gt;"",'선정 규칙'!$B$4,0)</x:f>
        <x:v>0</x:v>
      </x:c>
      <x:c r="C614" s="11" t="n">
        <x:f>IF(ISNUMBER(SEARCH("jmdict_uncommon_or_irregular",'제외 후보'!P614)),'선정 규칙'!$B$5,IF(ISNUMBER(SEARCH("jmdict_rare_or_dated",'제외 후보'!P614)),'선정 규칙'!$B$6,0))</x:f>
        <x:v>0</x:v>
      </x:c>
      <x:c r="D614" s="11" t="n">
        <x:f>IF(ISNUMBER(SEARCH("jmdict_exact_pair_not_found",'제외 후보'!P614)),'선정 규칙'!$B$7,0)</x:f>
        <x:v>0</x:v>
      </x:c>
      <x:c r="E614" s="11" t="n">
        <x:f>IF(OR('제외 후보'!L614="",'제외 후보'!L614&lt;=0),'선정 규칙'!$B$8,IF('제외 후보'!L614&lt;=1.5,'선정 규칙'!$B$9,IF('제외 후보'!L614&lt;=2,'선정 규칙'!$B$10,IF('제외 후보'!L614&lt;=2.5,'선정 규칙'!$B$11,IF('제외 후보'!L614&lt;=3,'선정 규칙'!$B$12,IF('제외 후보'!L614&lt;=3.5,'선정 규칙'!$B$13,IF('제외 후보'!L614&gt;=4.5,'선정 규칙'!$B$14,0)))))))</x:f>
        <x:v>12</x:v>
      </x:c>
      <x:c r="F614" s="11" t="n">
        <x:f>IF('제외 후보'!Y614=0,'선정 규칙'!$B$15,IF('제외 후보'!Y614&gt;=100,'선정 규칙'!$B$16,'선정 규칙'!$B$17))</x:f>
        <x:v>-12</x:v>
      </x:c>
      <x:c r="G614" s="11" t="n">
        <x:f>IF('제외 후보'!M614="있음",'선정 규칙'!$B$18,'선정 규칙'!$B$19)</x:f>
        <x:v>6</x:v>
      </x:c>
      <x:c r="H614" s="11" t="n">
        <x:f>IF(ISNUMBER(SEARCH("freq-core",'제외 후보'!AD614)),'선정 규칙'!$B$20,0)</x:f>
        <x:v>0</x:v>
      </x:c>
      <x:c r="I614" s="11" t="n">
        <x:f>IF(ISNUMBER(SEARCH("weak_legacy_content",'제외 후보'!P614)),'선정 규칙'!$B$21,0)</x:f>
        <x:v>5</x:v>
      </x:c>
      <x:c r="J614" s="11" t="n">
        <x:f>IF('제외 후보'!AC614&lt;&gt;"",'선정 규칙'!$B$22,0)</x:f>
        <x:v>0</x:v>
      </x:c>
      <x:c r="K614" s="11" t="n">
        <x:f>SUM(B614:J614)</x:f>
        <x:v>11</x:v>
      </x:c>
      <x:c r="L614" s="11" t="n">
        <x:f>'제외 후보'!N614</x:f>
        <x:v>11</x:v>
      </x:c>
      <x:c r="M614" s="2" t="str">
        <x:f>IF(K614=L614,"OK","MISMATCH")</x:f>
        <x:v>OK</x:v>
      </x:c>
    </x:row>
    <x:row r="615">
      <x:c r="A615" s="2" t="str">
        <x:f>'제외 후보'!G615</x:f>
        <x:v>w_09eaba7cfec62d07</x:v>
      </x:c>
      <x:c r="B615" s="11" t="n">
        <x:f>IF('제외 후보'!Q615&lt;&gt;"",'선정 규칙'!$B$4,0)</x:f>
        <x:v>0</x:v>
      </x:c>
      <x:c r="C615" s="11" t="n">
        <x:f>IF(ISNUMBER(SEARCH("jmdict_uncommon_or_irregular",'제외 후보'!P615)),'선정 규칙'!$B$5,IF(ISNUMBER(SEARCH("jmdict_rare_or_dated",'제외 후보'!P615)),'선정 규칙'!$B$6,0))</x:f>
        <x:v>0</x:v>
      </x:c>
      <x:c r="D615" s="11" t="n">
        <x:f>IF(ISNUMBER(SEARCH("jmdict_exact_pair_not_found",'제외 후보'!P615)),'선정 규칙'!$B$7,0)</x:f>
        <x:v>0</x:v>
      </x:c>
      <x:c r="E615" s="11" t="n">
        <x:f>IF(OR('제외 후보'!L615="",'제외 후보'!L615&lt;=0),'선정 규칙'!$B$8,IF('제외 후보'!L615&lt;=1.5,'선정 규칙'!$B$9,IF('제외 후보'!L615&lt;=2,'선정 규칙'!$B$10,IF('제외 후보'!L615&lt;=2.5,'선정 규칙'!$B$11,IF('제외 후보'!L615&lt;=3,'선정 규칙'!$B$12,IF('제외 후보'!L615&lt;=3.5,'선정 규칙'!$B$13,IF('제외 후보'!L615&gt;=4.5,'선정 규칙'!$B$14,0)))))))</x:f>
        <x:v>12</x:v>
      </x:c>
      <x:c r="F615" s="11" t="n">
        <x:f>IF('제외 후보'!Y615=0,'선정 규칙'!$B$15,IF('제외 후보'!Y615&gt;=100,'선정 규칙'!$B$16,'선정 규칙'!$B$17))</x:f>
        <x:v>-12</x:v>
      </x:c>
      <x:c r="G615" s="11" t="n">
        <x:f>IF('제외 후보'!M615="있음",'선정 규칙'!$B$18,'선정 규칙'!$B$19)</x:f>
        <x:v>6</x:v>
      </x:c>
      <x:c r="H615" s="11" t="n">
        <x:f>IF(ISNUMBER(SEARCH("freq-core",'제외 후보'!AD615)),'선정 규칙'!$B$20,0)</x:f>
        <x:v>0</x:v>
      </x:c>
      <x:c r="I615" s="11" t="n">
        <x:f>IF(ISNUMBER(SEARCH("weak_legacy_content",'제외 후보'!P615)),'선정 규칙'!$B$21,0)</x:f>
        <x:v>5</x:v>
      </x:c>
      <x:c r="J615" s="11" t="n">
        <x:f>IF('제외 후보'!AC615&lt;&gt;"",'선정 규칙'!$B$22,0)</x:f>
        <x:v>0</x:v>
      </x:c>
      <x:c r="K615" s="11" t="n">
        <x:f>SUM(B615:J615)</x:f>
        <x:v>11</x:v>
      </x:c>
      <x:c r="L615" s="11" t="n">
        <x:f>'제외 후보'!N615</x:f>
        <x:v>11</x:v>
      </x:c>
      <x:c r="M615" s="2" t="str">
        <x:f>IF(K615=L615,"OK","MISMATCH")</x:f>
        <x:v>OK</x:v>
      </x:c>
    </x:row>
    <x:row r="616">
      <x:c r="A616" s="2" t="str">
        <x:f>'제외 후보'!G616</x:f>
        <x:v>w_c102821ca017163e</x:v>
      </x:c>
      <x:c r="B616" s="11" t="n">
        <x:f>IF('제외 후보'!Q616&lt;&gt;"",'선정 규칙'!$B$4,0)</x:f>
        <x:v>0</x:v>
      </x:c>
      <x:c r="C616" s="11" t="n">
        <x:f>IF(ISNUMBER(SEARCH("jmdict_uncommon_or_irregular",'제외 후보'!P616)),'선정 규칙'!$B$5,IF(ISNUMBER(SEARCH("jmdict_rare_or_dated",'제외 후보'!P616)),'선정 규칙'!$B$6,0))</x:f>
        <x:v>0</x:v>
      </x:c>
      <x:c r="D616" s="11" t="n">
        <x:f>IF(ISNUMBER(SEARCH("jmdict_exact_pair_not_found",'제외 후보'!P616)),'선정 규칙'!$B$7,0)</x:f>
        <x:v>0</x:v>
      </x:c>
      <x:c r="E616" s="11" t="n">
        <x:f>IF(OR('제외 후보'!L616="",'제외 후보'!L616&lt;=0),'선정 규칙'!$B$8,IF('제외 후보'!L616&lt;=1.5,'선정 규칙'!$B$9,IF('제외 후보'!L616&lt;=2,'선정 규칙'!$B$10,IF('제외 후보'!L616&lt;=2.5,'선정 규칙'!$B$11,IF('제외 후보'!L616&lt;=3,'선정 규칙'!$B$12,IF('제외 후보'!L616&lt;=3.5,'선정 규칙'!$B$13,IF('제외 후보'!L616&gt;=4.5,'선정 규칙'!$B$14,0)))))))</x:f>
        <x:v>12</x:v>
      </x:c>
      <x:c r="F616" s="11" t="n">
        <x:f>IF('제외 후보'!Y616=0,'선정 규칙'!$B$15,IF('제외 후보'!Y616&gt;=100,'선정 규칙'!$B$16,'선정 규칙'!$B$17))</x:f>
        <x:v>-12</x:v>
      </x:c>
      <x:c r="G616" s="11" t="n">
        <x:f>IF('제외 후보'!M616="있음",'선정 규칙'!$B$18,'선정 규칙'!$B$19)</x:f>
        <x:v>6</x:v>
      </x:c>
      <x:c r="H616" s="11" t="n">
        <x:f>IF(ISNUMBER(SEARCH("freq-core",'제외 후보'!AD616)),'선정 규칙'!$B$20,0)</x:f>
        <x:v>0</x:v>
      </x:c>
      <x:c r="I616" s="11" t="n">
        <x:f>IF(ISNUMBER(SEARCH("weak_legacy_content",'제외 후보'!P616)),'선정 규칙'!$B$21,0)</x:f>
        <x:v>5</x:v>
      </x:c>
      <x:c r="J616" s="11" t="n">
        <x:f>IF('제외 후보'!AC616&lt;&gt;"",'선정 규칙'!$B$22,0)</x:f>
        <x:v>0</x:v>
      </x:c>
      <x:c r="K616" s="11" t="n">
        <x:f>SUM(B616:J616)</x:f>
        <x:v>11</x:v>
      </x:c>
      <x:c r="L616" s="11" t="n">
        <x:f>'제외 후보'!N616</x:f>
        <x:v>11</x:v>
      </x:c>
      <x:c r="M616" s="2" t="str">
        <x:f>IF(K616=L616,"OK","MISMATCH")</x:f>
        <x:v>OK</x:v>
      </x:c>
    </x:row>
    <x:row r="617">
      <x:c r="A617" s="2" t="str">
        <x:f>'제외 후보'!G617</x:f>
        <x:v>w_7f92539bd4ac4cb1</x:v>
      </x:c>
      <x:c r="B617" s="11" t="n">
        <x:f>IF('제외 후보'!Q617&lt;&gt;"",'선정 규칙'!$B$4,0)</x:f>
        <x:v>0</x:v>
      </x:c>
      <x:c r="C617" s="11" t="n">
        <x:f>IF(ISNUMBER(SEARCH("jmdict_uncommon_or_irregular",'제외 후보'!P617)),'선정 규칙'!$B$5,IF(ISNUMBER(SEARCH("jmdict_rare_or_dated",'제외 후보'!P617)),'선정 규칙'!$B$6,0))</x:f>
        <x:v>0</x:v>
      </x:c>
      <x:c r="D617" s="11" t="n">
        <x:f>IF(ISNUMBER(SEARCH("jmdict_exact_pair_not_found",'제외 후보'!P617)),'선정 규칙'!$B$7,0)</x:f>
        <x:v>0</x:v>
      </x:c>
      <x:c r="E617" s="11" t="n">
        <x:f>IF(OR('제외 후보'!L617="",'제외 후보'!L617&lt;=0),'선정 규칙'!$B$8,IF('제외 후보'!L617&lt;=1.5,'선정 규칙'!$B$9,IF('제외 후보'!L617&lt;=2,'선정 규칙'!$B$10,IF('제외 후보'!L617&lt;=2.5,'선정 규칙'!$B$11,IF('제외 후보'!L617&lt;=3,'선정 규칙'!$B$12,IF('제외 후보'!L617&lt;=3.5,'선정 규칙'!$B$13,IF('제외 후보'!L617&gt;=4.5,'선정 규칙'!$B$14,0)))))))</x:f>
        <x:v>12</x:v>
      </x:c>
      <x:c r="F617" s="11" t="n">
        <x:f>IF('제외 후보'!Y617=0,'선정 규칙'!$B$15,IF('제외 후보'!Y617&gt;=100,'선정 규칙'!$B$16,'선정 규칙'!$B$17))</x:f>
        <x:v>-12</x:v>
      </x:c>
      <x:c r="G617" s="11" t="n">
        <x:f>IF('제외 후보'!M617="있음",'선정 규칙'!$B$18,'선정 규칙'!$B$19)</x:f>
        <x:v>6</x:v>
      </x:c>
      <x:c r="H617" s="11" t="n">
        <x:f>IF(ISNUMBER(SEARCH("freq-core",'제외 후보'!AD617)),'선정 규칙'!$B$20,0)</x:f>
        <x:v>0</x:v>
      </x:c>
      <x:c r="I617" s="11" t="n">
        <x:f>IF(ISNUMBER(SEARCH("weak_legacy_content",'제외 후보'!P617)),'선정 규칙'!$B$21,0)</x:f>
        <x:v>5</x:v>
      </x:c>
      <x:c r="J617" s="11" t="n">
        <x:f>IF('제외 후보'!AC617&lt;&gt;"",'선정 규칙'!$B$22,0)</x:f>
        <x:v>0</x:v>
      </x:c>
      <x:c r="K617" s="11" t="n">
        <x:f>SUM(B617:J617)</x:f>
        <x:v>11</x:v>
      </x:c>
      <x:c r="L617" s="11" t="n">
        <x:f>'제외 후보'!N617</x:f>
        <x:v>11</x:v>
      </x:c>
      <x:c r="M617" s="2" t="str">
        <x:f>IF(K617=L617,"OK","MISMATCH")</x:f>
        <x:v>OK</x:v>
      </x:c>
    </x:row>
    <x:row r="618">
      <x:c r="A618" s="2" t="str">
        <x:f>'제외 후보'!G618</x:f>
        <x:v>w_5890429d70d172b9</x:v>
      </x:c>
      <x:c r="B618" s="11" t="n">
        <x:f>IF('제외 후보'!Q618&lt;&gt;"",'선정 규칙'!$B$4,0)</x:f>
        <x:v>0</x:v>
      </x:c>
      <x:c r="C618" s="11" t="n">
        <x:f>IF(ISNUMBER(SEARCH("jmdict_uncommon_or_irregular",'제외 후보'!P618)),'선정 규칙'!$B$5,IF(ISNUMBER(SEARCH("jmdict_rare_or_dated",'제외 후보'!P618)),'선정 규칙'!$B$6,0))</x:f>
        <x:v>0</x:v>
      </x:c>
      <x:c r="D618" s="11" t="n">
        <x:f>IF(ISNUMBER(SEARCH("jmdict_exact_pair_not_found",'제외 후보'!P618)),'선정 규칙'!$B$7,0)</x:f>
        <x:v>0</x:v>
      </x:c>
      <x:c r="E618" s="11" t="n">
        <x:f>IF(OR('제외 후보'!L618="",'제외 후보'!L618&lt;=0),'선정 규칙'!$B$8,IF('제외 후보'!L618&lt;=1.5,'선정 규칙'!$B$9,IF('제외 후보'!L618&lt;=2,'선정 규칙'!$B$10,IF('제외 후보'!L618&lt;=2.5,'선정 규칙'!$B$11,IF('제외 후보'!L618&lt;=3,'선정 규칙'!$B$12,IF('제외 후보'!L618&lt;=3.5,'선정 규칙'!$B$13,IF('제외 후보'!L618&gt;=4.5,'선정 규칙'!$B$14,0)))))))</x:f>
        <x:v>12</x:v>
      </x:c>
      <x:c r="F618" s="11" t="n">
        <x:f>IF('제외 후보'!Y618=0,'선정 규칙'!$B$15,IF('제외 후보'!Y618&gt;=100,'선정 규칙'!$B$16,'선정 규칙'!$B$17))</x:f>
        <x:v>-12</x:v>
      </x:c>
      <x:c r="G618" s="11" t="n">
        <x:f>IF('제외 후보'!M618="있음",'선정 규칙'!$B$18,'선정 규칙'!$B$19)</x:f>
        <x:v>6</x:v>
      </x:c>
      <x:c r="H618" s="11" t="n">
        <x:f>IF(ISNUMBER(SEARCH("freq-core",'제외 후보'!AD618)),'선정 규칙'!$B$20,0)</x:f>
        <x:v>0</x:v>
      </x:c>
      <x:c r="I618" s="11" t="n">
        <x:f>IF(ISNUMBER(SEARCH("weak_legacy_content",'제외 후보'!P618)),'선정 규칙'!$B$21,0)</x:f>
        <x:v>5</x:v>
      </x:c>
      <x:c r="J618" s="11" t="n">
        <x:f>IF('제외 후보'!AC618&lt;&gt;"",'선정 규칙'!$B$22,0)</x:f>
        <x:v>0</x:v>
      </x:c>
      <x:c r="K618" s="11" t="n">
        <x:f>SUM(B618:J618)</x:f>
        <x:v>11</x:v>
      </x:c>
      <x:c r="L618" s="11" t="n">
        <x:f>'제외 후보'!N618</x:f>
        <x:v>11</x:v>
      </x:c>
      <x:c r="M618" s="2" t="str">
        <x:f>IF(K618=L618,"OK","MISMATCH")</x:f>
        <x:v>OK</x:v>
      </x:c>
    </x:row>
    <x:row r="619">
      <x:c r="A619" s="2" t="str">
        <x:f>'제외 후보'!G619</x:f>
        <x:v>w_aca96fcac371080d</x:v>
      </x:c>
      <x:c r="B619" s="11" t="n">
        <x:f>IF('제외 후보'!Q619&lt;&gt;"",'선정 규칙'!$B$4,0)</x:f>
        <x:v>0</x:v>
      </x:c>
      <x:c r="C619" s="11" t="n">
        <x:f>IF(ISNUMBER(SEARCH("jmdict_uncommon_or_irregular",'제외 후보'!P619)),'선정 규칙'!$B$5,IF(ISNUMBER(SEARCH("jmdict_rare_or_dated",'제외 후보'!P619)),'선정 규칙'!$B$6,0))</x:f>
        <x:v>0</x:v>
      </x:c>
      <x:c r="D619" s="11" t="n">
        <x:f>IF(ISNUMBER(SEARCH("jmdict_exact_pair_not_found",'제외 후보'!P619)),'선정 규칙'!$B$7,0)</x:f>
        <x:v>0</x:v>
      </x:c>
      <x:c r="E619" s="11" t="n">
        <x:f>IF(OR('제외 후보'!L619="",'제외 후보'!L619&lt;=0),'선정 규칙'!$B$8,IF('제외 후보'!L619&lt;=1.5,'선정 규칙'!$B$9,IF('제외 후보'!L619&lt;=2,'선정 규칙'!$B$10,IF('제외 후보'!L619&lt;=2.5,'선정 규칙'!$B$11,IF('제외 후보'!L619&lt;=3,'선정 규칙'!$B$12,IF('제외 후보'!L619&lt;=3.5,'선정 규칙'!$B$13,IF('제외 후보'!L619&gt;=4.5,'선정 규칙'!$B$14,0)))))))</x:f>
        <x:v>12</x:v>
      </x:c>
      <x:c r="F619" s="11" t="n">
        <x:f>IF('제외 후보'!Y619=0,'선정 규칙'!$B$15,IF('제외 후보'!Y619&gt;=100,'선정 규칙'!$B$16,'선정 규칙'!$B$17))</x:f>
        <x:v>-12</x:v>
      </x:c>
      <x:c r="G619" s="11" t="n">
        <x:f>IF('제외 후보'!M619="있음",'선정 규칙'!$B$18,'선정 규칙'!$B$19)</x:f>
        <x:v>6</x:v>
      </x:c>
      <x:c r="H619" s="11" t="n">
        <x:f>IF(ISNUMBER(SEARCH("freq-core",'제외 후보'!AD619)),'선정 규칙'!$B$20,0)</x:f>
        <x:v>0</x:v>
      </x:c>
      <x:c r="I619" s="11" t="n">
        <x:f>IF(ISNUMBER(SEARCH("weak_legacy_content",'제외 후보'!P619)),'선정 규칙'!$B$21,0)</x:f>
        <x:v>5</x:v>
      </x:c>
      <x:c r="J619" s="11" t="n">
        <x:f>IF('제외 후보'!AC619&lt;&gt;"",'선정 규칙'!$B$22,0)</x:f>
        <x:v>0</x:v>
      </x:c>
      <x:c r="K619" s="11" t="n">
        <x:f>SUM(B619:J619)</x:f>
        <x:v>11</x:v>
      </x:c>
      <x:c r="L619" s="11" t="n">
        <x:f>'제외 후보'!N619</x:f>
        <x:v>11</x:v>
      </x:c>
      <x:c r="M619" s="2" t="str">
        <x:f>IF(K619=L619,"OK","MISMATCH")</x:f>
        <x:v>OK</x:v>
      </x:c>
    </x:row>
    <x:row r="620">
      <x:c r="A620" s="2" t="str">
        <x:f>'제외 후보'!G620</x:f>
        <x:v>w_ff642a35307d1a54</x:v>
      </x:c>
      <x:c r="B620" s="11" t="n">
        <x:f>IF('제외 후보'!Q620&lt;&gt;"",'선정 규칙'!$B$4,0)</x:f>
        <x:v>0</x:v>
      </x:c>
      <x:c r="C620" s="11" t="n">
        <x:f>IF(ISNUMBER(SEARCH("jmdict_uncommon_or_irregular",'제외 후보'!P620)),'선정 규칙'!$B$5,IF(ISNUMBER(SEARCH("jmdict_rare_or_dated",'제외 후보'!P620)),'선정 규칙'!$B$6,0))</x:f>
        <x:v>0</x:v>
      </x:c>
      <x:c r="D620" s="11" t="n">
        <x:f>IF(ISNUMBER(SEARCH("jmdict_exact_pair_not_found",'제외 후보'!P620)),'선정 규칙'!$B$7,0)</x:f>
        <x:v>0</x:v>
      </x:c>
      <x:c r="E620" s="11" t="n">
        <x:f>IF(OR('제외 후보'!L620="",'제외 후보'!L620&lt;=0),'선정 규칙'!$B$8,IF('제외 후보'!L620&lt;=1.5,'선정 규칙'!$B$9,IF('제외 후보'!L620&lt;=2,'선정 규칙'!$B$10,IF('제외 후보'!L620&lt;=2.5,'선정 규칙'!$B$11,IF('제외 후보'!L620&lt;=3,'선정 규칙'!$B$12,IF('제외 후보'!L620&lt;=3.5,'선정 규칙'!$B$13,IF('제외 후보'!L620&gt;=4.5,'선정 규칙'!$B$14,0)))))))</x:f>
        <x:v>12</x:v>
      </x:c>
      <x:c r="F620" s="11" t="n">
        <x:f>IF('제외 후보'!Y620=0,'선정 규칙'!$B$15,IF('제외 후보'!Y620&gt;=100,'선정 규칙'!$B$16,'선정 규칙'!$B$17))</x:f>
        <x:v>-12</x:v>
      </x:c>
      <x:c r="G620" s="11" t="n">
        <x:f>IF('제외 후보'!M620="있음",'선정 규칙'!$B$18,'선정 규칙'!$B$19)</x:f>
        <x:v>6</x:v>
      </x:c>
      <x:c r="H620" s="11" t="n">
        <x:f>IF(ISNUMBER(SEARCH("freq-core",'제외 후보'!AD620)),'선정 규칙'!$B$20,0)</x:f>
        <x:v>0</x:v>
      </x:c>
      <x:c r="I620" s="11" t="n">
        <x:f>IF(ISNUMBER(SEARCH("weak_legacy_content",'제외 후보'!P620)),'선정 규칙'!$B$21,0)</x:f>
        <x:v>5</x:v>
      </x:c>
      <x:c r="J620" s="11" t="n">
        <x:f>IF('제외 후보'!AC620&lt;&gt;"",'선정 규칙'!$B$22,0)</x:f>
        <x:v>0</x:v>
      </x:c>
      <x:c r="K620" s="11" t="n">
        <x:f>SUM(B620:J620)</x:f>
        <x:v>11</x:v>
      </x:c>
      <x:c r="L620" s="11" t="n">
        <x:f>'제외 후보'!N620</x:f>
        <x:v>11</x:v>
      </x:c>
      <x:c r="M620" s="2" t="str">
        <x:f>IF(K620=L620,"OK","MISMATCH")</x:f>
        <x:v>OK</x:v>
      </x:c>
    </x:row>
    <x:row r="621">
      <x:c r="A621" s="2" t="str">
        <x:f>'제외 후보'!G621</x:f>
        <x:v>w_c15b02709e50ff06</x:v>
      </x:c>
      <x:c r="B621" s="11" t="n">
        <x:f>IF('제외 후보'!Q621&lt;&gt;"",'선정 규칙'!$B$4,0)</x:f>
        <x:v>0</x:v>
      </x:c>
      <x:c r="C621" s="11" t="n">
        <x:f>IF(ISNUMBER(SEARCH("jmdict_uncommon_or_irregular",'제외 후보'!P621)),'선정 규칙'!$B$5,IF(ISNUMBER(SEARCH("jmdict_rare_or_dated",'제외 후보'!P621)),'선정 규칙'!$B$6,0))</x:f>
        <x:v>0</x:v>
      </x:c>
      <x:c r="D621" s="11" t="n">
        <x:f>IF(ISNUMBER(SEARCH("jmdict_exact_pair_not_found",'제외 후보'!P621)),'선정 규칙'!$B$7,0)</x:f>
        <x:v>0</x:v>
      </x:c>
      <x:c r="E621" s="11" t="n">
        <x:f>IF(OR('제외 후보'!L621="",'제외 후보'!L621&lt;=0),'선정 규칙'!$B$8,IF('제외 후보'!L621&lt;=1.5,'선정 규칙'!$B$9,IF('제외 후보'!L621&lt;=2,'선정 규칙'!$B$10,IF('제외 후보'!L621&lt;=2.5,'선정 규칙'!$B$11,IF('제외 후보'!L621&lt;=3,'선정 규칙'!$B$12,IF('제외 후보'!L621&lt;=3.5,'선정 규칙'!$B$13,IF('제외 후보'!L621&gt;=4.5,'선정 규칙'!$B$14,0)))))))</x:f>
        <x:v>12</x:v>
      </x:c>
      <x:c r="F621" s="11" t="n">
        <x:f>IF('제외 후보'!Y621=0,'선정 규칙'!$B$15,IF('제외 후보'!Y621&gt;=100,'선정 규칙'!$B$16,'선정 규칙'!$B$17))</x:f>
        <x:v>-12</x:v>
      </x:c>
      <x:c r="G621" s="11" t="n">
        <x:f>IF('제외 후보'!M621="있음",'선정 규칙'!$B$18,'선정 규칙'!$B$19)</x:f>
        <x:v>6</x:v>
      </x:c>
      <x:c r="H621" s="11" t="n">
        <x:f>IF(ISNUMBER(SEARCH("freq-core",'제외 후보'!AD621)),'선정 규칙'!$B$20,0)</x:f>
        <x:v>0</x:v>
      </x:c>
      <x:c r="I621" s="11" t="n">
        <x:f>IF(ISNUMBER(SEARCH("weak_legacy_content",'제외 후보'!P621)),'선정 규칙'!$B$21,0)</x:f>
        <x:v>5</x:v>
      </x:c>
      <x:c r="J621" s="11" t="n">
        <x:f>IF('제외 후보'!AC621&lt;&gt;"",'선정 규칙'!$B$22,0)</x:f>
        <x:v>0</x:v>
      </x:c>
      <x:c r="K621" s="11" t="n">
        <x:f>SUM(B621:J621)</x:f>
        <x:v>11</x:v>
      </x:c>
      <x:c r="L621" s="11" t="n">
        <x:f>'제외 후보'!N621</x:f>
        <x:v>11</x:v>
      </x:c>
      <x:c r="M621" s="2" t="str">
        <x:f>IF(K621=L621,"OK","MISMATCH")</x:f>
        <x:v>OK</x:v>
      </x:c>
    </x:row>
    <x:row r="622">
      <x:c r="A622" s="2" t="str">
        <x:f>'제외 후보'!G622</x:f>
        <x:v>w_87bf4d3c0e62351e</x:v>
      </x:c>
      <x:c r="B622" s="11" t="n">
        <x:f>IF('제외 후보'!Q622&lt;&gt;"",'선정 규칙'!$B$4,0)</x:f>
        <x:v>0</x:v>
      </x:c>
      <x:c r="C622" s="11" t="n">
        <x:f>IF(ISNUMBER(SEARCH("jmdict_uncommon_or_irregular",'제외 후보'!P622)),'선정 규칙'!$B$5,IF(ISNUMBER(SEARCH("jmdict_rare_or_dated",'제외 후보'!P622)),'선정 규칙'!$B$6,0))</x:f>
        <x:v>0</x:v>
      </x:c>
      <x:c r="D622" s="11" t="n">
        <x:f>IF(ISNUMBER(SEARCH("jmdict_exact_pair_not_found",'제외 후보'!P622)),'선정 규칙'!$B$7,0)</x:f>
        <x:v>0</x:v>
      </x:c>
      <x:c r="E622" s="11" t="n">
        <x:f>IF(OR('제외 후보'!L622="",'제외 후보'!L622&lt;=0),'선정 규칙'!$B$8,IF('제외 후보'!L622&lt;=1.5,'선정 규칙'!$B$9,IF('제외 후보'!L622&lt;=2,'선정 규칙'!$B$10,IF('제외 후보'!L622&lt;=2.5,'선정 규칙'!$B$11,IF('제외 후보'!L622&lt;=3,'선정 규칙'!$B$12,IF('제외 후보'!L622&lt;=3.5,'선정 규칙'!$B$13,IF('제외 후보'!L622&gt;=4.5,'선정 규칙'!$B$14,0)))))))</x:f>
        <x:v>12</x:v>
      </x:c>
      <x:c r="F622" s="11" t="n">
        <x:f>IF('제외 후보'!Y622=0,'선정 규칙'!$B$15,IF('제외 후보'!Y622&gt;=100,'선정 규칙'!$B$16,'선정 규칙'!$B$17))</x:f>
        <x:v>-12</x:v>
      </x:c>
      <x:c r="G622" s="11" t="n">
        <x:f>IF('제외 후보'!M622="있음",'선정 규칙'!$B$18,'선정 규칙'!$B$19)</x:f>
        <x:v>6</x:v>
      </x:c>
      <x:c r="H622" s="11" t="n">
        <x:f>IF(ISNUMBER(SEARCH("freq-core",'제외 후보'!AD622)),'선정 규칙'!$B$20,0)</x:f>
        <x:v>0</x:v>
      </x:c>
      <x:c r="I622" s="11" t="n">
        <x:f>IF(ISNUMBER(SEARCH("weak_legacy_content",'제외 후보'!P622)),'선정 규칙'!$B$21,0)</x:f>
        <x:v>5</x:v>
      </x:c>
      <x:c r="J622" s="11" t="n">
        <x:f>IF('제외 후보'!AC622&lt;&gt;"",'선정 규칙'!$B$22,0)</x:f>
        <x:v>0</x:v>
      </x:c>
      <x:c r="K622" s="11" t="n">
        <x:f>SUM(B622:J622)</x:f>
        <x:v>11</x:v>
      </x:c>
      <x:c r="L622" s="11" t="n">
        <x:f>'제외 후보'!N622</x:f>
        <x:v>11</x:v>
      </x:c>
      <x:c r="M622" s="2" t="str">
        <x:f>IF(K622=L622,"OK","MISMATCH")</x:f>
        <x:v>OK</x:v>
      </x:c>
    </x:row>
    <x:row r="623">
      <x:c r="A623" s="2" t="str">
        <x:f>'제외 후보'!G623</x:f>
        <x:v>w_ee78b7873bbf1ed3</x:v>
      </x:c>
      <x:c r="B623" s="11" t="n">
        <x:f>IF('제외 후보'!Q623&lt;&gt;"",'선정 규칙'!$B$4,0)</x:f>
        <x:v>0</x:v>
      </x:c>
      <x:c r="C623" s="11" t="n">
        <x:f>IF(ISNUMBER(SEARCH("jmdict_uncommon_or_irregular",'제외 후보'!P623)),'선정 규칙'!$B$5,IF(ISNUMBER(SEARCH("jmdict_rare_or_dated",'제외 후보'!P623)),'선정 규칙'!$B$6,0))</x:f>
        <x:v>0</x:v>
      </x:c>
      <x:c r="D623" s="11" t="n">
        <x:f>IF(ISNUMBER(SEARCH("jmdict_exact_pair_not_found",'제외 후보'!P623)),'선정 규칙'!$B$7,0)</x:f>
        <x:v>0</x:v>
      </x:c>
      <x:c r="E623" s="11" t="n">
        <x:f>IF(OR('제외 후보'!L623="",'제외 후보'!L623&lt;=0),'선정 규칙'!$B$8,IF('제외 후보'!L623&lt;=1.5,'선정 규칙'!$B$9,IF('제외 후보'!L623&lt;=2,'선정 규칙'!$B$10,IF('제외 후보'!L623&lt;=2.5,'선정 규칙'!$B$11,IF('제외 후보'!L623&lt;=3,'선정 규칙'!$B$12,IF('제외 후보'!L623&lt;=3.5,'선정 규칙'!$B$13,IF('제외 후보'!L623&gt;=4.5,'선정 규칙'!$B$14,0)))))))</x:f>
        <x:v>12</x:v>
      </x:c>
      <x:c r="F623" s="11" t="n">
        <x:f>IF('제외 후보'!Y623=0,'선정 규칙'!$B$15,IF('제외 후보'!Y623&gt;=100,'선정 규칙'!$B$16,'선정 규칙'!$B$17))</x:f>
        <x:v>-12</x:v>
      </x:c>
      <x:c r="G623" s="11" t="n">
        <x:f>IF('제외 후보'!M623="있음",'선정 규칙'!$B$18,'선정 규칙'!$B$19)</x:f>
        <x:v>6</x:v>
      </x:c>
      <x:c r="H623" s="11" t="n">
        <x:f>IF(ISNUMBER(SEARCH("freq-core",'제외 후보'!AD623)),'선정 규칙'!$B$20,0)</x:f>
        <x:v>0</x:v>
      </x:c>
      <x:c r="I623" s="11" t="n">
        <x:f>IF(ISNUMBER(SEARCH("weak_legacy_content",'제외 후보'!P623)),'선정 규칙'!$B$21,0)</x:f>
        <x:v>5</x:v>
      </x:c>
      <x:c r="J623" s="11" t="n">
        <x:f>IF('제외 후보'!AC623&lt;&gt;"",'선정 규칙'!$B$22,0)</x:f>
        <x:v>0</x:v>
      </x:c>
      <x:c r="K623" s="11" t="n">
        <x:f>SUM(B623:J623)</x:f>
        <x:v>11</x:v>
      </x:c>
      <x:c r="L623" s="11" t="n">
        <x:f>'제외 후보'!N623</x:f>
        <x:v>11</x:v>
      </x:c>
      <x:c r="M623" s="2" t="str">
        <x:f>IF(K623=L623,"OK","MISMATCH")</x:f>
        <x:v>OK</x:v>
      </x:c>
    </x:row>
    <x:row r="624">
      <x:c r="A624" s="2" t="str">
        <x:f>'제외 후보'!G624</x:f>
        <x:v>w_efaff398cfcba882</x:v>
      </x:c>
      <x:c r="B624" s="11" t="n">
        <x:f>IF('제외 후보'!Q624&lt;&gt;"",'선정 규칙'!$B$4,0)</x:f>
        <x:v>0</x:v>
      </x:c>
      <x:c r="C624" s="11" t="n">
        <x:f>IF(ISNUMBER(SEARCH("jmdict_uncommon_or_irregular",'제외 후보'!P624)),'선정 규칙'!$B$5,IF(ISNUMBER(SEARCH("jmdict_rare_or_dated",'제외 후보'!P624)),'선정 규칙'!$B$6,0))</x:f>
        <x:v>0</x:v>
      </x:c>
      <x:c r="D624" s="11" t="n">
        <x:f>IF(ISNUMBER(SEARCH("jmdict_exact_pair_not_found",'제외 후보'!P624)),'선정 규칙'!$B$7,0)</x:f>
        <x:v>0</x:v>
      </x:c>
      <x:c r="E624" s="11" t="n">
        <x:f>IF(OR('제외 후보'!L624="",'제외 후보'!L624&lt;=0),'선정 규칙'!$B$8,IF('제외 후보'!L624&lt;=1.5,'선정 규칙'!$B$9,IF('제외 후보'!L624&lt;=2,'선정 규칙'!$B$10,IF('제외 후보'!L624&lt;=2.5,'선정 규칙'!$B$11,IF('제외 후보'!L624&lt;=3,'선정 규칙'!$B$12,IF('제외 후보'!L624&lt;=3.5,'선정 규칙'!$B$13,IF('제외 후보'!L624&gt;=4.5,'선정 규칙'!$B$14,0)))))))</x:f>
        <x:v>12</x:v>
      </x:c>
      <x:c r="F624" s="11" t="n">
        <x:f>IF('제외 후보'!Y624=0,'선정 규칙'!$B$15,IF('제외 후보'!Y624&gt;=100,'선정 규칙'!$B$16,'선정 규칙'!$B$17))</x:f>
        <x:v>-12</x:v>
      </x:c>
      <x:c r="G624" s="11" t="n">
        <x:f>IF('제외 후보'!M624="있음",'선정 규칙'!$B$18,'선정 규칙'!$B$19)</x:f>
        <x:v>6</x:v>
      </x:c>
      <x:c r="H624" s="11" t="n">
        <x:f>IF(ISNUMBER(SEARCH("freq-core",'제외 후보'!AD624)),'선정 규칙'!$B$20,0)</x:f>
        <x:v>0</x:v>
      </x:c>
      <x:c r="I624" s="11" t="n">
        <x:f>IF(ISNUMBER(SEARCH("weak_legacy_content",'제외 후보'!P624)),'선정 규칙'!$B$21,0)</x:f>
        <x:v>5</x:v>
      </x:c>
      <x:c r="J624" s="11" t="n">
        <x:f>IF('제외 후보'!AC624&lt;&gt;"",'선정 규칙'!$B$22,0)</x:f>
        <x:v>0</x:v>
      </x:c>
      <x:c r="K624" s="11" t="n">
        <x:f>SUM(B624:J624)</x:f>
        <x:v>11</x:v>
      </x:c>
      <x:c r="L624" s="11" t="n">
        <x:f>'제외 후보'!N624</x:f>
        <x:v>11</x:v>
      </x:c>
      <x:c r="M624" s="2" t="str">
        <x:f>IF(K624=L624,"OK","MISMATCH")</x:f>
        <x:v>OK</x:v>
      </x:c>
    </x:row>
    <x:row r="625">
      <x:c r="A625" s="2" t="str">
        <x:f>'제외 후보'!G625</x:f>
        <x:v>w_78e4b196c8530725</x:v>
      </x:c>
      <x:c r="B625" s="11" t="n">
        <x:f>IF('제외 후보'!Q625&lt;&gt;"",'선정 규칙'!$B$4,0)</x:f>
        <x:v>0</x:v>
      </x:c>
      <x:c r="C625" s="11" t="n">
        <x:f>IF(ISNUMBER(SEARCH("jmdict_uncommon_or_irregular",'제외 후보'!P625)),'선정 규칙'!$B$5,IF(ISNUMBER(SEARCH("jmdict_rare_or_dated",'제외 후보'!P625)),'선정 규칙'!$B$6,0))</x:f>
        <x:v>0</x:v>
      </x:c>
      <x:c r="D625" s="11" t="n">
        <x:f>IF(ISNUMBER(SEARCH("jmdict_exact_pair_not_found",'제외 후보'!P625)),'선정 규칙'!$B$7,0)</x:f>
        <x:v>0</x:v>
      </x:c>
      <x:c r="E625" s="11" t="n">
        <x:f>IF(OR('제외 후보'!L625="",'제외 후보'!L625&lt;=0),'선정 규칙'!$B$8,IF('제외 후보'!L625&lt;=1.5,'선정 규칙'!$B$9,IF('제외 후보'!L625&lt;=2,'선정 규칙'!$B$10,IF('제외 후보'!L625&lt;=2.5,'선정 규칙'!$B$11,IF('제외 후보'!L625&lt;=3,'선정 규칙'!$B$12,IF('제외 후보'!L625&lt;=3.5,'선정 규칙'!$B$13,IF('제외 후보'!L625&gt;=4.5,'선정 규칙'!$B$14,0)))))))</x:f>
        <x:v>12</x:v>
      </x:c>
      <x:c r="F625" s="11" t="n">
        <x:f>IF('제외 후보'!Y625=0,'선정 규칙'!$B$15,IF('제외 후보'!Y625&gt;=100,'선정 규칙'!$B$16,'선정 규칙'!$B$17))</x:f>
        <x:v>-12</x:v>
      </x:c>
      <x:c r="G625" s="11" t="n">
        <x:f>IF('제외 후보'!M625="있음",'선정 규칙'!$B$18,'선정 규칙'!$B$19)</x:f>
        <x:v>6</x:v>
      </x:c>
      <x:c r="H625" s="11" t="n">
        <x:f>IF(ISNUMBER(SEARCH("freq-core",'제외 후보'!AD625)),'선정 규칙'!$B$20,0)</x:f>
        <x:v>0</x:v>
      </x:c>
      <x:c r="I625" s="11" t="n">
        <x:f>IF(ISNUMBER(SEARCH("weak_legacy_content",'제외 후보'!P625)),'선정 규칙'!$B$21,0)</x:f>
        <x:v>5</x:v>
      </x:c>
      <x:c r="J625" s="11" t="n">
        <x:f>IF('제외 후보'!AC625&lt;&gt;"",'선정 규칙'!$B$22,0)</x:f>
        <x:v>0</x:v>
      </x:c>
      <x:c r="K625" s="11" t="n">
        <x:f>SUM(B625:J625)</x:f>
        <x:v>11</x:v>
      </x:c>
      <x:c r="L625" s="11" t="n">
        <x:f>'제외 후보'!N625</x:f>
        <x:v>11</x:v>
      </x:c>
      <x:c r="M625" s="2" t="str">
        <x:f>IF(K625=L625,"OK","MISMATCH")</x:f>
        <x:v>OK</x:v>
      </x:c>
    </x:row>
    <x:row r="626">
      <x:c r="A626" s="2" t="str">
        <x:f>'제외 후보'!G626</x:f>
        <x:v>w_14794bcf602cb516</x:v>
      </x:c>
      <x:c r="B626" s="11" t="n">
        <x:f>IF('제외 후보'!Q626&lt;&gt;"",'선정 규칙'!$B$4,0)</x:f>
        <x:v>0</x:v>
      </x:c>
      <x:c r="C626" s="11" t="n">
        <x:f>IF(ISNUMBER(SEARCH("jmdict_uncommon_or_irregular",'제외 후보'!P626)),'선정 규칙'!$B$5,IF(ISNUMBER(SEARCH("jmdict_rare_or_dated",'제외 후보'!P626)),'선정 규칙'!$B$6,0))</x:f>
        <x:v>0</x:v>
      </x:c>
      <x:c r="D626" s="11" t="n">
        <x:f>IF(ISNUMBER(SEARCH("jmdict_exact_pair_not_found",'제외 후보'!P626)),'선정 규칙'!$B$7,0)</x:f>
        <x:v>0</x:v>
      </x:c>
      <x:c r="E626" s="11" t="n">
        <x:f>IF(OR('제외 후보'!L626="",'제외 후보'!L626&lt;=0),'선정 규칙'!$B$8,IF('제외 후보'!L626&lt;=1.5,'선정 규칙'!$B$9,IF('제외 후보'!L626&lt;=2,'선정 규칙'!$B$10,IF('제외 후보'!L626&lt;=2.5,'선정 규칙'!$B$11,IF('제외 후보'!L626&lt;=3,'선정 규칙'!$B$12,IF('제외 후보'!L626&lt;=3.5,'선정 규칙'!$B$13,IF('제외 후보'!L626&gt;=4.5,'선정 규칙'!$B$14,0)))))))</x:f>
        <x:v>12</x:v>
      </x:c>
      <x:c r="F626" s="11" t="n">
        <x:f>IF('제외 후보'!Y626=0,'선정 규칙'!$B$15,IF('제외 후보'!Y626&gt;=100,'선정 규칙'!$B$16,'선정 규칙'!$B$17))</x:f>
        <x:v>-12</x:v>
      </x:c>
      <x:c r="G626" s="11" t="n">
        <x:f>IF('제외 후보'!M626="있음",'선정 규칙'!$B$18,'선정 규칙'!$B$19)</x:f>
        <x:v>6</x:v>
      </x:c>
      <x:c r="H626" s="11" t="n">
        <x:f>IF(ISNUMBER(SEARCH("freq-core",'제외 후보'!AD626)),'선정 규칙'!$B$20,0)</x:f>
        <x:v>0</x:v>
      </x:c>
      <x:c r="I626" s="11" t="n">
        <x:f>IF(ISNUMBER(SEARCH("weak_legacy_content",'제외 후보'!P626)),'선정 규칙'!$B$21,0)</x:f>
        <x:v>5</x:v>
      </x:c>
      <x:c r="J626" s="11" t="n">
        <x:f>IF('제외 후보'!AC626&lt;&gt;"",'선정 규칙'!$B$22,0)</x:f>
        <x:v>0</x:v>
      </x:c>
      <x:c r="K626" s="11" t="n">
        <x:f>SUM(B626:J626)</x:f>
        <x:v>11</x:v>
      </x:c>
      <x:c r="L626" s="11" t="n">
        <x:f>'제외 후보'!N626</x:f>
        <x:v>11</x:v>
      </x:c>
      <x:c r="M626" s="2" t="str">
        <x:f>IF(K626=L626,"OK","MISMATCH")</x:f>
        <x:v>OK</x:v>
      </x:c>
    </x:row>
    <x:row r="627">
      <x:c r="A627" s="2" t="str">
        <x:f>'제외 후보'!G627</x:f>
        <x:v>w_501b59962555b9f7</x:v>
      </x:c>
      <x:c r="B627" s="11" t="n">
        <x:f>IF('제외 후보'!Q627&lt;&gt;"",'선정 규칙'!$B$4,0)</x:f>
        <x:v>0</x:v>
      </x:c>
      <x:c r="C627" s="11" t="n">
        <x:f>IF(ISNUMBER(SEARCH("jmdict_uncommon_or_irregular",'제외 후보'!P627)),'선정 규칙'!$B$5,IF(ISNUMBER(SEARCH("jmdict_rare_or_dated",'제외 후보'!P627)),'선정 규칙'!$B$6,0))</x:f>
        <x:v>0</x:v>
      </x:c>
      <x:c r="D627" s="11" t="n">
        <x:f>IF(ISNUMBER(SEARCH("jmdict_exact_pair_not_found",'제외 후보'!P627)),'선정 규칙'!$B$7,0)</x:f>
        <x:v>0</x:v>
      </x:c>
      <x:c r="E627" s="11" t="n">
        <x:f>IF(OR('제외 후보'!L627="",'제외 후보'!L627&lt;=0),'선정 규칙'!$B$8,IF('제외 후보'!L627&lt;=1.5,'선정 규칙'!$B$9,IF('제외 후보'!L627&lt;=2,'선정 규칙'!$B$10,IF('제외 후보'!L627&lt;=2.5,'선정 규칙'!$B$11,IF('제외 후보'!L627&lt;=3,'선정 규칙'!$B$12,IF('제외 후보'!L627&lt;=3.5,'선정 규칙'!$B$13,IF('제외 후보'!L627&gt;=4.5,'선정 규칙'!$B$14,0)))))))</x:f>
        <x:v>12</x:v>
      </x:c>
      <x:c r="F627" s="11" t="n">
        <x:f>IF('제외 후보'!Y627=0,'선정 규칙'!$B$15,IF('제외 후보'!Y627&gt;=100,'선정 규칙'!$B$16,'선정 규칙'!$B$17))</x:f>
        <x:v>-12</x:v>
      </x:c>
      <x:c r="G627" s="11" t="n">
        <x:f>IF('제외 후보'!M627="있음",'선정 규칙'!$B$18,'선정 규칙'!$B$19)</x:f>
        <x:v>6</x:v>
      </x:c>
      <x:c r="H627" s="11" t="n">
        <x:f>IF(ISNUMBER(SEARCH("freq-core",'제외 후보'!AD627)),'선정 규칙'!$B$20,0)</x:f>
        <x:v>0</x:v>
      </x:c>
      <x:c r="I627" s="11" t="n">
        <x:f>IF(ISNUMBER(SEARCH("weak_legacy_content",'제외 후보'!P627)),'선정 규칙'!$B$21,0)</x:f>
        <x:v>5</x:v>
      </x:c>
      <x:c r="J627" s="11" t="n">
        <x:f>IF('제외 후보'!AC627&lt;&gt;"",'선정 규칙'!$B$22,0)</x:f>
        <x:v>0</x:v>
      </x:c>
      <x:c r="K627" s="11" t="n">
        <x:f>SUM(B627:J627)</x:f>
        <x:v>11</x:v>
      </x:c>
      <x:c r="L627" s="11" t="n">
        <x:f>'제외 후보'!N627</x:f>
        <x:v>11</x:v>
      </x:c>
      <x:c r="M627" s="2" t="str">
        <x:f>IF(K627=L627,"OK","MISMATCH")</x:f>
        <x:v>OK</x:v>
      </x:c>
    </x:row>
    <x:row r="628">
      <x:c r="A628" s="2" t="str">
        <x:f>'제외 후보'!G628</x:f>
        <x:v>w_ea1fe9d8bd4bfedb</x:v>
      </x:c>
      <x:c r="B628" s="11" t="n">
        <x:f>IF('제외 후보'!Q628&lt;&gt;"",'선정 규칙'!$B$4,0)</x:f>
        <x:v>0</x:v>
      </x:c>
      <x:c r="C628" s="11" t="n">
        <x:f>IF(ISNUMBER(SEARCH("jmdict_uncommon_or_irregular",'제외 후보'!P628)),'선정 규칙'!$B$5,IF(ISNUMBER(SEARCH("jmdict_rare_or_dated",'제외 후보'!P628)),'선정 규칙'!$B$6,0))</x:f>
        <x:v>0</x:v>
      </x:c>
      <x:c r="D628" s="11" t="n">
        <x:f>IF(ISNUMBER(SEARCH("jmdict_exact_pair_not_found",'제외 후보'!P628)),'선정 규칙'!$B$7,0)</x:f>
        <x:v>0</x:v>
      </x:c>
      <x:c r="E628" s="11" t="n">
        <x:f>IF(OR('제외 후보'!L628="",'제외 후보'!L628&lt;=0),'선정 규칙'!$B$8,IF('제외 후보'!L628&lt;=1.5,'선정 규칙'!$B$9,IF('제외 후보'!L628&lt;=2,'선정 규칙'!$B$10,IF('제외 후보'!L628&lt;=2.5,'선정 규칙'!$B$11,IF('제외 후보'!L628&lt;=3,'선정 규칙'!$B$12,IF('제외 후보'!L628&lt;=3.5,'선정 규칙'!$B$13,IF('제외 후보'!L628&gt;=4.5,'선정 규칙'!$B$14,0)))))))</x:f>
        <x:v>12</x:v>
      </x:c>
      <x:c r="F628" s="11" t="n">
        <x:f>IF('제외 후보'!Y628=0,'선정 규칙'!$B$15,IF('제외 후보'!Y628&gt;=100,'선정 규칙'!$B$16,'선정 규칙'!$B$17))</x:f>
        <x:v>-12</x:v>
      </x:c>
      <x:c r="G628" s="11" t="n">
        <x:f>IF('제외 후보'!M628="있음",'선정 규칙'!$B$18,'선정 규칙'!$B$19)</x:f>
        <x:v>6</x:v>
      </x:c>
      <x:c r="H628" s="11" t="n">
        <x:f>IF(ISNUMBER(SEARCH("freq-core",'제외 후보'!AD628)),'선정 규칙'!$B$20,0)</x:f>
        <x:v>0</x:v>
      </x:c>
      <x:c r="I628" s="11" t="n">
        <x:f>IF(ISNUMBER(SEARCH("weak_legacy_content",'제외 후보'!P628)),'선정 규칙'!$B$21,0)</x:f>
        <x:v>5</x:v>
      </x:c>
      <x:c r="J628" s="11" t="n">
        <x:f>IF('제외 후보'!AC628&lt;&gt;"",'선정 규칙'!$B$22,0)</x:f>
        <x:v>0</x:v>
      </x:c>
      <x:c r="K628" s="11" t="n">
        <x:f>SUM(B628:J628)</x:f>
        <x:v>11</x:v>
      </x:c>
      <x:c r="L628" s="11" t="n">
        <x:f>'제외 후보'!N628</x:f>
        <x:v>11</x:v>
      </x:c>
      <x:c r="M628" s="2" t="str">
        <x:f>IF(K628=L628,"OK","MISMATCH")</x:f>
        <x:v>OK</x:v>
      </x:c>
    </x:row>
    <x:row r="629">
      <x:c r="A629" s="2" t="str">
        <x:f>'제외 후보'!G629</x:f>
        <x:v>w_0d59c9eb63d42ae8</x:v>
      </x:c>
      <x:c r="B629" s="11" t="n">
        <x:f>IF('제외 후보'!Q629&lt;&gt;"",'선정 규칙'!$B$4,0)</x:f>
        <x:v>0</x:v>
      </x:c>
      <x:c r="C629" s="11" t="n">
        <x:f>IF(ISNUMBER(SEARCH("jmdict_uncommon_or_irregular",'제외 후보'!P629)),'선정 규칙'!$B$5,IF(ISNUMBER(SEARCH("jmdict_rare_or_dated",'제외 후보'!P629)),'선정 규칙'!$B$6,0))</x:f>
        <x:v>50</x:v>
      </x:c>
      <x:c r="D629" s="11" t="n">
        <x:f>IF(ISNUMBER(SEARCH("jmdict_exact_pair_not_found",'제외 후보'!P629)),'선정 규칙'!$B$7,0)</x:f>
        <x:v>0</x:v>
      </x:c>
      <x:c r="E629" s="11" t="n">
        <x:f>IF(OR('제외 후보'!L629="",'제외 후보'!L629&lt;=0),'선정 규칙'!$B$8,IF('제외 후보'!L629&lt;=1.5,'선정 규칙'!$B$9,IF('제외 후보'!L629&lt;=2,'선정 규칙'!$B$10,IF('제외 후보'!L629&lt;=2.5,'선정 규칙'!$B$11,IF('제외 후보'!L629&lt;=3,'선정 규칙'!$B$12,IF('제외 후보'!L629&lt;=3.5,'선정 규칙'!$B$13,IF('제외 후보'!L629&gt;=4.5,'선정 규칙'!$B$14,0)))))))</x:f>
        <x:v>6</x:v>
      </x:c>
      <x:c r="F629" s="11" t="n">
        <x:f>IF('제외 후보'!Y629=0,'선정 규칙'!$B$15,IF('제외 후보'!Y629&gt;=100,'선정 규칙'!$B$16,'선정 규칙'!$B$17))</x:f>
        <x:v>-25</x:v>
      </x:c>
      <x:c r="G629" s="11" t="n">
        <x:f>IF('제외 후보'!M629="있음",'선정 규칙'!$B$18,'선정 규칙'!$B$19)</x:f>
        <x:v>-25</x:v>
      </x:c>
      <x:c r="H629" s="11" t="n">
        <x:f>IF(ISNUMBER(SEARCH("freq-core",'제외 후보'!AD629)),'선정 규칙'!$B$20,0)</x:f>
        <x:v>0</x:v>
      </x:c>
      <x:c r="I629" s="11" t="n">
        <x:f>IF(ISNUMBER(SEARCH("weak_legacy_content",'제외 후보'!P629)),'선정 규칙'!$B$21,0)</x:f>
        <x:v>5</x:v>
      </x:c>
      <x:c r="J629" s="11" t="n">
        <x:f>IF('제외 후보'!AC629&lt;&gt;"",'선정 규칙'!$B$22,0)</x:f>
        <x:v>0</x:v>
      </x:c>
      <x:c r="K629" s="11" t="n">
        <x:f>SUM(B629:J629)</x:f>
        <x:v>11</x:v>
      </x:c>
      <x:c r="L629" s="11" t="n">
        <x:f>'제외 후보'!N629</x:f>
        <x:v>11</x:v>
      </x:c>
      <x:c r="M629" s="2" t="str">
        <x:f>IF(K629=L629,"OK","MISMATCH")</x:f>
        <x:v>OK</x:v>
      </x:c>
    </x:row>
    <x:row r="630">
      <x:c r="A630" s="2" t="str">
        <x:f>'제외 후보'!G630</x:f>
        <x:v>w_2b4e1d8e18afc8e6</x:v>
      </x:c>
      <x:c r="B630" s="11" t="n">
        <x:f>IF('제외 후보'!Q630&lt;&gt;"",'선정 규칙'!$B$4,0)</x:f>
        <x:v>60</x:v>
      </x:c>
      <x:c r="C630" s="11" t="n">
        <x:f>IF(ISNUMBER(SEARCH("jmdict_uncommon_or_irregular",'제외 후보'!P630)),'선정 규칙'!$B$5,IF(ISNUMBER(SEARCH("jmdict_rare_or_dated",'제외 후보'!P630)),'선정 규칙'!$B$6,0))</x:f>
        <x:v>0</x:v>
      </x:c>
      <x:c r="D630" s="11" t="n">
        <x:f>IF(ISNUMBER(SEARCH("jmdict_exact_pair_not_found",'제외 후보'!P630)),'선정 규칙'!$B$7,0)</x:f>
        <x:v>0</x:v>
      </x:c>
      <x:c r="E630" s="11" t="n">
        <x:f>IF(OR('제외 후보'!L630="",'제외 후보'!L630&lt;=0),'선정 규칙'!$B$8,IF('제외 후보'!L630&lt;=1.5,'선정 규칙'!$B$9,IF('제외 후보'!L630&lt;=2,'선정 규칙'!$B$10,IF('제외 후보'!L630&lt;=2.5,'선정 규칙'!$B$11,IF('제외 후보'!L630&lt;=3,'선정 규칙'!$B$12,IF('제외 후보'!L630&lt;=3.5,'선정 규칙'!$B$13,IF('제외 후보'!L630&gt;=4.5,'선정 규칙'!$B$14,0)))))))</x:f>
        <x:v>0</x:v>
      </x:c>
      <x:c r="F630" s="11" t="n">
        <x:f>IF('제외 후보'!Y630=0,'선정 규칙'!$B$15,IF('제외 후보'!Y630&gt;=100,'선정 규칙'!$B$16,'선정 규칙'!$B$17))</x:f>
        <x:v>-25</x:v>
      </x:c>
      <x:c r="G630" s="11" t="n">
        <x:f>IF('제외 후보'!M630="있음",'선정 규칙'!$B$18,'선정 규칙'!$B$19)</x:f>
        <x:v>6</x:v>
      </x:c>
      <x:c r="H630" s="11" t="n">
        <x:f>IF(ISNUMBER(SEARCH("freq-core",'제외 후보'!AD630)),'선정 규칙'!$B$20,0)</x:f>
        <x:v>-30</x:v>
      </x:c>
      <x:c r="I630" s="11" t="n">
        <x:f>IF(ISNUMBER(SEARCH("weak_legacy_content",'제외 후보'!P630)),'선정 규칙'!$B$21,0)</x:f>
        <x:v>0</x:v>
      </x:c>
      <x:c r="J630" s="11" t="n">
        <x:f>IF('제외 후보'!AC630&lt;&gt;"",'선정 규칙'!$B$22,0)</x:f>
        <x:v>0</x:v>
      </x:c>
      <x:c r="K630" s="11" t="n">
        <x:f>SUM(B630:J630)</x:f>
        <x:v>11</x:v>
      </x:c>
      <x:c r="L630" s="11" t="n">
        <x:f>'제외 후보'!N630</x:f>
        <x:v>11</x:v>
      </x:c>
      <x:c r="M630" s="2" t="str">
        <x:f>IF(K630=L630,"OK","MISMATCH")</x:f>
        <x:v>OK</x:v>
      </x:c>
    </x:row>
    <x:row r="631">
      <x:c r="A631" s="2" t="str">
        <x:f>'제외 후보'!G631</x:f>
        <x:v>w_42ef48e9bc695e3d</x:v>
      </x:c>
      <x:c r="B631" s="11" t="n">
        <x:f>IF('제외 후보'!Q631&lt;&gt;"",'선정 규칙'!$B$4,0)</x:f>
        <x:v>0</x:v>
      </x:c>
      <x:c r="C631" s="11" t="n">
        <x:f>IF(ISNUMBER(SEARCH("jmdict_uncommon_or_irregular",'제외 후보'!P631)),'선정 규칙'!$B$5,IF(ISNUMBER(SEARCH("jmdict_rare_or_dated",'제외 후보'!P631)),'선정 규칙'!$B$6,0))</x:f>
        <x:v>0</x:v>
      </x:c>
      <x:c r="D631" s="11" t="n">
        <x:f>IF(ISNUMBER(SEARCH("jmdict_exact_pair_not_found",'제외 후보'!P631)),'선정 규칙'!$B$7,0)</x:f>
        <x:v>0</x:v>
      </x:c>
      <x:c r="E631" s="11" t="n">
        <x:f>IF(OR('제외 후보'!L631="",'제외 후보'!L631&lt;=0),'선정 규칙'!$B$8,IF('제외 후보'!L631&lt;=1.5,'선정 규칙'!$B$9,IF('제외 후보'!L631&lt;=2,'선정 규칙'!$B$10,IF('제외 후보'!L631&lt;=2.5,'선정 규칙'!$B$11,IF('제외 후보'!L631&lt;=3,'선정 규칙'!$B$12,IF('제외 후보'!L631&lt;=3.5,'선정 규칙'!$B$13,IF('제외 후보'!L631&gt;=4.5,'선정 규칙'!$B$14,0)))))))</x:f>
        <x:v>0</x:v>
      </x:c>
      <x:c r="F631" s="11" t="n">
        <x:f>IF('제외 후보'!Y631=0,'선정 규칙'!$B$15,IF('제외 후보'!Y631&gt;=100,'선정 규칙'!$B$16,'선정 규칙'!$B$17))</x:f>
        <x:v>-12</x:v>
      </x:c>
      <x:c r="G631" s="11" t="n">
        <x:f>IF('제외 후보'!M631="있음",'선정 규칙'!$B$18,'선정 규칙'!$B$19)</x:f>
        <x:v>6</x:v>
      </x:c>
      <x:c r="H631" s="11" t="n">
        <x:f>IF(ISNUMBER(SEARCH("freq-core",'제외 후보'!AD631)),'선정 규칙'!$B$20,0)</x:f>
        <x:v>0</x:v>
      </x:c>
      <x:c r="I631" s="11" t="n">
        <x:f>IF(ISNUMBER(SEARCH("weak_legacy_content",'제외 후보'!P631)),'선정 규칙'!$B$21,0)</x:f>
        <x:v>5</x:v>
      </x:c>
      <x:c r="J631" s="11" t="n">
        <x:f>IF('제외 후보'!AC631&lt;&gt;"",'선정 규칙'!$B$22,0)</x:f>
        <x:v>10</x:v>
      </x:c>
      <x:c r="K631" s="11" t="n">
        <x:f>SUM(B631:J631)</x:f>
        <x:v>9</x:v>
      </x:c>
      <x:c r="L631" s="11" t="n">
        <x:f>'제외 후보'!N631</x:f>
        <x:v>9</x:v>
      </x:c>
      <x:c r="M631" s="2" t="str">
        <x:f>IF(K631=L631,"OK","MISMATCH")</x:f>
        <x:v>OK</x:v>
      </x:c>
    </x:row>
    <x:row r="632">
      <x:c r="A632" s="2" t="str">
        <x:f>'제외 후보'!G632</x:f>
        <x:v>w_69111766bd64e6eb</x:v>
      </x:c>
      <x:c r="B632" s="11" t="n">
        <x:f>IF('제외 후보'!Q632&lt;&gt;"",'선정 규칙'!$B$4,0)</x:f>
        <x:v>0</x:v>
      </x:c>
      <x:c r="C632" s="11" t="n">
        <x:f>IF(ISNUMBER(SEARCH("jmdict_uncommon_or_irregular",'제외 후보'!P632)),'선정 규칙'!$B$5,IF(ISNUMBER(SEARCH("jmdict_rare_or_dated",'제외 후보'!P632)),'선정 규칙'!$B$6,0))</x:f>
        <x:v>0</x:v>
      </x:c>
      <x:c r="D632" s="11" t="n">
        <x:f>IF(ISNUMBER(SEARCH("jmdict_exact_pair_not_found",'제외 후보'!P632)),'선정 규칙'!$B$7,0)</x:f>
        <x:v>0</x:v>
      </x:c>
      <x:c r="E632" s="11" t="n">
        <x:f>IF(OR('제외 후보'!L632="",'제외 후보'!L632&lt;=0),'선정 규칙'!$B$8,IF('제외 후보'!L632&lt;=1.5,'선정 규칙'!$B$9,IF('제외 후보'!L632&lt;=2,'선정 규칙'!$B$10,IF('제외 후보'!L632&lt;=2.5,'선정 규칙'!$B$11,IF('제외 후보'!L632&lt;=3,'선정 규칙'!$B$12,IF('제외 후보'!L632&lt;=3.5,'선정 규칙'!$B$13,IF('제외 후보'!L632&gt;=4.5,'선정 규칙'!$B$14,0)))))))</x:f>
        <x:v>12</x:v>
      </x:c>
      <x:c r="F632" s="11" t="n">
        <x:f>IF('제외 후보'!Y632=0,'선정 규칙'!$B$15,IF('제외 후보'!Y632&gt;=100,'선정 규칙'!$B$16,'선정 규칙'!$B$17))</x:f>
        <x:v>-25</x:v>
      </x:c>
      <x:c r="G632" s="11" t="n">
        <x:f>IF('제외 후보'!M632="있음",'선정 규칙'!$B$18,'선정 규칙'!$B$19)</x:f>
        <x:v>6</x:v>
      </x:c>
      <x:c r="H632" s="11" t="n">
        <x:f>IF(ISNUMBER(SEARCH("freq-core",'제외 후보'!AD632)),'선정 규칙'!$B$20,0)</x:f>
        <x:v>0</x:v>
      </x:c>
      <x:c r="I632" s="11" t="n">
        <x:f>IF(ISNUMBER(SEARCH("weak_legacy_content",'제외 후보'!P632)),'선정 규칙'!$B$21,0)</x:f>
        <x:v>5</x:v>
      </x:c>
      <x:c r="J632" s="11" t="n">
        <x:f>IF('제외 후보'!AC632&lt;&gt;"",'선정 규칙'!$B$22,0)</x:f>
        <x:v>10</x:v>
      </x:c>
      <x:c r="K632" s="11" t="n">
        <x:f>SUM(B632:J632)</x:f>
        <x:v>8</x:v>
      </x:c>
      <x:c r="L632" s="11" t="n">
        <x:f>'제외 후보'!N632</x:f>
        <x:v>8</x:v>
      </x:c>
      <x:c r="M632" s="2" t="str">
        <x:f>IF(K632=L632,"OK","MISMATCH")</x:f>
        <x:v>OK</x:v>
      </x:c>
    </x:row>
    <x:row r="633">
      <x:c r="A633" s="2" t="str">
        <x:f>'제외 후보'!G633</x:f>
        <x:v>w_32b2e11832352440</x:v>
      </x:c>
      <x:c r="B633" s="11" t="n">
        <x:f>IF('제외 후보'!Q633&lt;&gt;"",'선정 규칙'!$B$4,0)</x:f>
        <x:v>0</x:v>
      </x:c>
      <x:c r="C633" s="11" t="n">
        <x:f>IF(ISNUMBER(SEARCH("jmdict_uncommon_or_irregular",'제외 후보'!P633)),'선정 규칙'!$B$5,IF(ISNUMBER(SEARCH("jmdict_rare_or_dated",'제외 후보'!P633)),'선정 규칙'!$B$6,0))</x:f>
        <x:v>0</x:v>
      </x:c>
      <x:c r="D633" s="11" t="n">
        <x:f>IF(ISNUMBER(SEARCH("jmdict_exact_pair_not_found",'제외 후보'!P633)),'선정 규칙'!$B$7,0)</x:f>
        <x:v>0</x:v>
      </x:c>
      <x:c r="E633" s="11" t="n">
        <x:f>IF(OR('제외 후보'!L633="",'제외 후보'!L633&lt;=0),'선정 규칙'!$B$8,IF('제외 후보'!L633&lt;=1.5,'선정 규칙'!$B$9,IF('제외 후보'!L633&lt;=2,'선정 규칙'!$B$10,IF('제외 후보'!L633&lt;=2.5,'선정 규칙'!$B$11,IF('제외 후보'!L633&lt;=3,'선정 규칙'!$B$12,IF('제외 후보'!L633&lt;=3.5,'선정 규칙'!$B$13,IF('제외 후보'!L633&gt;=4.5,'선정 규칙'!$B$14,0)))))))</x:f>
        <x:v>12</x:v>
      </x:c>
      <x:c r="F633" s="11" t="n">
        <x:f>IF('제외 후보'!Y633=0,'선정 규칙'!$B$15,IF('제외 후보'!Y633&gt;=100,'선정 규칙'!$B$16,'선정 규칙'!$B$17))</x:f>
        <x:v>-25</x:v>
      </x:c>
      <x:c r="G633" s="11" t="n">
        <x:f>IF('제외 후보'!M633="있음",'선정 규칙'!$B$18,'선정 규칙'!$B$19)</x:f>
        <x:v>6</x:v>
      </x:c>
      <x:c r="H633" s="11" t="n">
        <x:f>IF(ISNUMBER(SEARCH("freq-core",'제외 후보'!AD633)),'선정 규칙'!$B$20,0)</x:f>
        <x:v>0</x:v>
      </x:c>
      <x:c r="I633" s="11" t="n">
        <x:f>IF(ISNUMBER(SEARCH("weak_legacy_content",'제외 후보'!P633)),'선정 규칙'!$B$21,0)</x:f>
        <x:v>5</x:v>
      </x:c>
      <x:c r="J633" s="11" t="n">
        <x:f>IF('제외 후보'!AC633&lt;&gt;"",'선정 규칙'!$B$22,0)</x:f>
        <x:v>10</x:v>
      </x:c>
      <x:c r="K633" s="11" t="n">
        <x:f>SUM(B633:J633)</x:f>
        <x:v>8</x:v>
      </x:c>
      <x:c r="L633" s="11" t="n">
        <x:f>'제외 후보'!N633</x:f>
        <x:v>8</x:v>
      </x:c>
      <x:c r="M633" s="2" t="str">
        <x:f>IF(K633=L633,"OK","MISMATCH")</x:f>
        <x:v>OK</x:v>
      </x:c>
    </x:row>
    <x:row r="634">
      <x:c r="A634" s="2" t="str">
        <x:f>'제외 후보'!G634</x:f>
        <x:v>w_6ba0372f290b6408</x:v>
      </x:c>
      <x:c r="B634" s="11" t="n">
        <x:f>IF('제외 후보'!Q634&lt;&gt;"",'선정 규칙'!$B$4,0)</x:f>
        <x:v>0</x:v>
      </x:c>
      <x:c r="C634" s="11" t="n">
        <x:f>IF(ISNUMBER(SEARCH("jmdict_uncommon_or_irregular",'제외 후보'!P634)),'선정 규칙'!$B$5,IF(ISNUMBER(SEARCH("jmdict_rare_or_dated",'제외 후보'!P634)),'선정 규칙'!$B$6,0))</x:f>
        <x:v>0</x:v>
      </x:c>
      <x:c r="D634" s="11" t="n">
        <x:f>IF(ISNUMBER(SEARCH("jmdict_exact_pair_not_found",'제외 후보'!P634)),'선정 규칙'!$B$7,0)</x:f>
        <x:v>0</x:v>
      </x:c>
      <x:c r="E634" s="11" t="n">
        <x:f>IF(OR('제외 후보'!L634="",'제외 후보'!L634&lt;=0),'선정 규칙'!$B$8,IF('제외 후보'!L634&lt;=1.5,'선정 규칙'!$B$9,IF('제외 후보'!L634&lt;=2,'선정 규칙'!$B$10,IF('제외 후보'!L634&lt;=2.5,'선정 규칙'!$B$11,IF('제외 후보'!L634&lt;=3,'선정 규칙'!$B$12,IF('제외 후보'!L634&lt;=3.5,'선정 규칙'!$B$13,IF('제외 후보'!L634&gt;=4.5,'선정 규칙'!$B$14,0)))))))</x:f>
        <x:v>12</x:v>
      </x:c>
      <x:c r="F634" s="11" t="n">
        <x:f>IF('제외 후보'!Y634=0,'선정 규칙'!$B$15,IF('제외 후보'!Y634&gt;=100,'선정 규칙'!$B$16,'선정 규칙'!$B$17))</x:f>
        <x:v>-25</x:v>
      </x:c>
      <x:c r="G634" s="11" t="n">
        <x:f>IF('제외 후보'!M634="있음",'선정 규칙'!$B$18,'선정 규칙'!$B$19)</x:f>
        <x:v>6</x:v>
      </x:c>
      <x:c r="H634" s="11" t="n">
        <x:f>IF(ISNUMBER(SEARCH("freq-core",'제외 후보'!AD634)),'선정 규칙'!$B$20,0)</x:f>
        <x:v>0</x:v>
      </x:c>
      <x:c r="I634" s="11" t="n">
        <x:f>IF(ISNUMBER(SEARCH("weak_legacy_content",'제외 후보'!P634)),'선정 규칙'!$B$21,0)</x:f>
        <x:v>5</x:v>
      </x:c>
      <x:c r="J634" s="11" t="n">
        <x:f>IF('제외 후보'!AC634&lt;&gt;"",'선정 규칙'!$B$22,0)</x:f>
        <x:v>10</x:v>
      </x:c>
      <x:c r="K634" s="11" t="n">
        <x:f>SUM(B634:J634)</x:f>
        <x:v>8</x:v>
      </x:c>
      <x:c r="L634" s="11" t="n">
        <x:f>'제외 후보'!N634</x:f>
        <x:v>8</x:v>
      </x:c>
      <x:c r="M634" s="2" t="str">
        <x:f>IF(K634=L634,"OK","MISMATCH")</x:f>
        <x:v>OK</x:v>
      </x:c>
    </x:row>
    <x:row r="635">
      <x:c r="A635" s="2" t="str">
        <x:f>'제외 후보'!G635</x:f>
        <x:v>w_12d8e2784b92bb21</x:v>
      </x:c>
      <x:c r="B635" s="11" t="n">
        <x:f>IF('제외 후보'!Q635&lt;&gt;"",'선정 규칙'!$B$4,0)</x:f>
        <x:v>0</x:v>
      </x:c>
      <x:c r="C635" s="11" t="n">
        <x:f>IF(ISNUMBER(SEARCH("jmdict_uncommon_or_irregular",'제외 후보'!P635)),'선정 규칙'!$B$5,IF(ISNUMBER(SEARCH("jmdict_rare_or_dated",'제외 후보'!P635)),'선정 규칙'!$B$6,0))</x:f>
        <x:v>0</x:v>
      </x:c>
      <x:c r="D635" s="11" t="n">
        <x:f>IF(ISNUMBER(SEARCH("jmdict_exact_pair_not_found",'제외 후보'!P635)),'선정 규칙'!$B$7,0)</x:f>
        <x:v>0</x:v>
      </x:c>
      <x:c r="E635" s="11" t="n">
        <x:f>IF(OR('제외 후보'!L635="",'제외 후보'!L635&lt;=0),'선정 규칙'!$B$8,IF('제외 후보'!L635&lt;=1.5,'선정 규칙'!$B$9,IF('제외 후보'!L635&lt;=2,'선정 규칙'!$B$10,IF('제외 후보'!L635&lt;=2.5,'선정 규칙'!$B$11,IF('제외 후보'!L635&lt;=3,'선정 규칙'!$B$12,IF('제외 후보'!L635&lt;=3.5,'선정 규칙'!$B$13,IF('제외 후보'!L635&gt;=4.5,'선정 규칙'!$B$14,0)))))))</x:f>
        <x:v>12</x:v>
      </x:c>
      <x:c r="F635" s="11" t="n">
        <x:f>IF('제외 후보'!Y635=0,'선정 규칙'!$B$15,IF('제외 후보'!Y635&gt;=100,'선정 규칙'!$B$16,'선정 규칙'!$B$17))</x:f>
        <x:v>-25</x:v>
      </x:c>
      <x:c r="G635" s="11" t="n">
        <x:f>IF('제외 후보'!M635="있음",'선정 규칙'!$B$18,'선정 규칙'!$B$19)</x:f>
        <x:v>6</x:v>
      </x:c>
      <x:c r="H635" s="11" t="n">
        <x:f>IF(ISNUMBER(SEARCH("freq-core",'제외 후보'!AD635)),'선정 규칙'!$B$20,0)</x:f>
        <x:v>0</x:v>
      </x:c>
      <x:c r="I635" s="11" t="n">
        <x:f>IF(ISNUMBER(SEARCH("weak_legacy_content",'제외 후보'!P635)),'선정 규칙'!$B$21,0)</x:f>
        <x:v>5</x:v>
      </x:c>
      <x:c r="J635" s="11" t="n">
        <x:f>IF('제외 후보'!AC635&lt;&gt;"",'선정 규칙'!$B$22,0)</x:f>
        <x:v>10</x:v>
      </x:c>
      <x:c r="K635" s="11" t="n">
        <x:f>SUM(B635:J635)</x:f>
        <x:v>8</x:v>
      </x:c>
      <x:c r="L635" s="11" t="n">
        <x:f>'제외 후보'!N635</x:f>
        <x:v>8</x:v>
      </x:c>
      <x:c r="M635" s="2" t="str">
        <x:f>IF(K635=L635,"OK","MISMATCH")</x:f>
        <x:v>OK</x:v>
      </x:c>
    </x:row>
    <x:row r="636">
      <x:c r="A636" s="2" t="str">
        <x:f>'제외 후보'!G636</x:f>
        <x:v>w_e9a855075a7c1d56</x:v>
      </x:c>
      <x:c r="B636" s="11" t="n">
        <x:f>IF('제외 후보'!Q636&lt;&gt;"",'선정 규칙'!$B$4,0)</x:f>
        <x:v>0</x:v>
      </x:c>
      <x:c r="C636" s="11" t="n">
        <x:f>IF(ISNUMBER(SEARCH("jmdict_uncommon_or_irregular",'제외 후보'!P636)),'선정 규칙'!$B$5,IF(ISNUMBER(SEARCH("jmdict_rare_or_dated",'제외 후보'!P636)),'선정 규칙'!$B$6,0))</x:f>
        <x:v>0</x:v>
      </x:c>
      <x:c r="D636" s="11" t="n">
        <x:f>IF(ISNUMBER(SEARCH("jmdict_exact_pair_not_found",'제외 후보'!P636)),'선정 규칙'!$B$7,0)</x:f>
        <x:v>0</x:v>
      </x:c>
      <x:c r="E636" s="11" t="n">
        <x:f>IF(OR('제외 후보'!L636="",'제외 후보'!L636&lt;=0),'선정 규칙'!$B$8,IF('제외 후보'!L636&lt;=1.5,'선정 규칙'!$B$9,IF('제외 후보'!L636&lt;=2,'선정 규칙'!$B$10,IF('제외 후보'!L636&lt;=2.5,'선정 규칙'!$B$11,IF('제외 후보'!L636&lt;=3,'선정 규칙'!$B$12,IF('제외 후보'!L636&lt;=3.5,'선정 규칙'!$B$13,IF('제외 후보'!L636&gt;=4.5,'선정 규칙'!$B$14,0)))))))</x:f>
        <x:v>12</x:v>
      </x:c>
      <x:c r="F636" s="11" t="n">
        <x:f>IF('제외 후보'!Y636=0,'선정 규칙'!$B$15,IF('제외 후보'!Y636&gt;=100,'선정 규칙'!$B$16,'선정 규칙'!$B$17))</x:f>
        <x:v>-25</x:v>
      </x:c>
      <x:c r="G636" s="11" t="n">
        <x:f>IF('제외 후보'!M636="있음",'선정 규칙'!$B$18,'선정 규칙'!$B$19)</x:f>
        <x:v>6</x:v>
      </x:c>
      <x:c r="H636" s="11" t="n">
        <x:f>IF(ISNUMBER(SEARCH("freq-core",'제외 후보'!AD636)),'선정 규칙'!$B$20,0)</x:f>
        <x:v>0</x:v>
      </x:c>
      <x:c r="I636" s="11" t="n">
        <x:f>IF(ISNUMBER(SEARCH("weak_legacy_content",'제외 후보'!P636)),'선정 규칙'!$B$21,0)</x:f>
        <x:v>5</x:v>
      </x:c>
      <x:c r="J636" s="11" t="n">
        <x:f>IF('제외 후보'!AC636&lt;&gt;"",'선정 규칙'!$B$22,0)</x:f>
        <x:v>10</x:v>
      </x:c>
      <x:c r="K636" s="11" t="n">
        <x:f>SUM(B636:J636)</x:f>
        <x:v>8</x:v>
      </x:c>
      <x:c r="L636" s="11" t="n">
        <x:f>'제외 후보'!N636</x:f>
        <x:v>8</x:v>
      </x:c>
      <x:c r="M636" s="2" t="str">
        <x:f>IF(K636=L636,"OK","MISMATCH")</x:f>
        <x:v>OK</x:v>
      </x:c>
    </x:row>
    <x:row r="637">
      <x:c r="A637" s="2" t="str">
        <x:f>'제외 후보'!G637</x:f>
        <x:v>w_20867064fc1514cf</x:v>
      </x:c>
      <x:c r="B637" s="11" t="n">
        <x:f>IF('제외 후보'!Q637&lt;&gt;"",'선정 규칙'!$B$4,0)</x:f>
        <x:v>0</x:v>
      </x:c>
      <x:c r="C637" s="11" t="n">
        <x:f>IF(ISNUMBER(SEARCH("jmdict_uncommon_or_irregular",'제외 후보'!P637)),'선정 규칙'!$B$5,IF(ISNUMBER(SEARCH("jmdict_rare_or_dated",'제외 후보'!P637)),'선정 규칙'!$B$6,0))</x:f>
        <x:v>0</x:v>
      </x:c>
      <x:c r="D637" s="11" t="n">
        <x:f>IF(ISNUMBER(SEARCH("jmdict_exact_pair_not_found",'제외 후보'!P637)),'선정 규칙'!$B$7,0)</x:f>
        <x:v>0</x:v>
      </x:c>
      <x:c r="E637" s="11" t="n">
        <x:f>IF(OR('제외 후보'!L637="",'제외 후보'!L637&lt;=0),'선정 규칙'!$B$8,IF('제외 후보'!L637&lt;=1.5,'선정 규칙'!$B$9,IF('제외 후보'!L637&lt;=2,'선정 규칙'!$B$10,IF('제외 후보'!L637&lt;=2.5,'선정 규칙'!$B$11,IF('제외 후보'!L637&lt;=3,'선정 규칙'!$B$12,IF('제외 후보'!L637&lt;=3.5,'선정 규칙'!$B$13,IF('제외 후보'!L637&gt;=4.5,'선정 규칙'!$B$14,0)))))))</x:f>
        <x:v>12</x:v>
      </x:c>
      <x:c r="F637" s="11" t="n">
        <x:f>IF('제외 후보'!Y637=0,'선정 규칙'!$B$15,IF('제외 후보'!Y637&gt;=100,'선정 규칙'!$B$16,'선정 규칙'!$B$17))</x:f>
        <x:v>-25</x:v>
      </x:c>
      <x:c r="G637" s="11" t="n">
        <x:f>IF('제외 후보'!M637="있음",'선정 규칙'!$B$18,'선정 규칙'!$B$19)</x:f>
        <x:v>6</x:v>
      </x:c>
      <x:c r="H637" s="11" t="n">
        <x:f>IF(ISNUMBER(SEARCH("freq-core",'제외 후보'!AD637)),'선정 규칙'!$B$20,0)</x:f>
        <x:v>0</x:v>
      </x:c>
      <x:c r="I637" s="11" t="n">
        <x:f>IF(ISNUMBER(SEARCH("weak_legacy_content",'제외 후보'!P637)),'선정 규칙'!$B$21,0)</x:f>
        <x:v>5</x:v>
      </x:c>
      <x:c r="J637" s="11" t="n">
        <x:f>IF('제외 후보'!AC637&lt;&gt;"",'선정 규칙'!$B$22,0)</x:f>
        <x:v>10</x:v>
      </x:c>
      <x:c r="K637" s="11" t="n">
        <x:f>SUM(B637:J637)</x:f>
        <x:v>8</x:v>
      </x:c>
      <x:c r="L637" s="11" t="n">
        <x:f>'제외 후보'!N637</x:f>
        <x:v>8</x:v>
      </x:c>
      <x:c r="M637" s="2" t="str">
        <x:f>IF(K637=L637,"OK","MISMATCH")</x:f>
        <x:v>OK</x:v>
      </x:c>
    </x:row>
    <x:row r="638">
      <x:c r="A638" s="2" t="str">
        <x:f>'제외 후보'!G638</x:f>
        <x:v>w_e69af88fb6e6c9dc</x:v>
      </x:c>
      <x:c r="B638" s="11" t="n">
        <x:f>IF('제외 후보'!Q638&lt;&gt;"",'선정 규칙'!$B$4,0)</x:f>
        <x:v>0</x:v>
      </x:c>
      <x:c r="C638" s="11" t="n">
        <x:f>IF(ISNUMBER(SEARCH("jmdict_uncommon_or_irregular",'제외 후보'!P638)),'선정 규칙'!$B$5,IF(ISNUMBER(SEARCH("jmdict_rare_or_dated",'제외 후보'!P638)),'선정 규칙'!$B$6,0))</x:f>
        <x:v>0</x:v>
      </x:c>
      <x:c r="D638" s="11" t="n">
        <x:f>IF(ISNUMBER(SEARCH("jmdict_exact_pair_not_found",'제외 후보'!P638)),'선정 규칙'!$B$7,0)</x:f>
        <x:v>0</x:v>
      </x:c>
      <x:c r="E638" s="11" t="n">
        <x:f>IF(OR('제외 후보'!L638="",'제외 후보'!L638&lt;=0),'선정 규칙'!$B$8,IF('제외 후보'!L638&lt;=1.5,'선정 규칙'!$B$9,IF('제외 후보'!L638&lt;=2,'선정 규칙'!$B$10,IF('제외 후보'!L638&lt;=2.5,'선정 규칙'!$B$11,IF('제외 후보'!L638&lt;=3,'선정 규칙'!$B$12,IF('제외 후보'!L638&lt;=3.5,'선정 규칙'!$B$13,IF('제외 후보'!L638&gt;=4.5,'선정 규칙'!$B$14,0)))))))</x:f>
        <x:v>12</x:v>
      </x:c>
      <x:c r="F638" s="11" t="n">
        <x:f>IF('제외 후보'!Y638=0,'선정 규칙'!$B$15,IF('제외 후보'!Y638&gt;=100,'선정 규칙'!$B$16,'선정 규칙'!$B$17))</x:f>
        <x:v>-25</x:v>
      </x:c>
      <x:c r="G638" s="11" t="n">
        <x:f>IF('제외 후보'!M638="있음",'선정 규칙'!$B$18,'선정 규칙'!$B$19)</x:f>
        <x:v>6</x:v>
      </x:c>
      <x:c r="H638" s="11" t="n">
        <x:f>IF(ISNUMBER(SEARCH("freq-core",'제외 후보'!AD638)),'선정 규칙'!$B$20,0)</x:f>
        <x:v>0</x:v>
      </x:c>
      <x:c r="I638" s="11" t="n">
        <x:f>IF(ISNUMBER(SEARCH("weak_legacy_content",'제외 후보'!P638)),'선정 규칙'!$B$21,0)</x:f>
        <x:v>5</x:v>
      </x:c>
      <x:c r="J638" s="11" t="n">
        <x:f>IF('제외 후보'!AC638&lt;&gt;"",'선정 규칙'!$B$22,0)</x:f>
        <x:v>10</x:v>
      </x:c>
      <x:c r="K638" s="11" t="n">
        <x:f>SUM(B638:J638)</x:f>
        <x:v>8</x:v>
      </x:c>
      <x:c r="L638" s="11" t="n">
        <x:f>'제외 후보'!N638</x:f>
        <x:v>8</x:v>
      </x:c>
      <x:c r="M638" s="2" t="str">
        <x:f>IF(K638=L638,"OK","MISMATCH")</x:f>
        <x:v>OK</x:v>
      </x:c>
    </x:row>
    <x:row r="639">
      <x:c r="A639" s="2" t="str">
        <x:f>'제외 후보'!G639</x:f>
        <x:v>w_d2505f7e95557e03</x:v>
      </x:c>
      <x:c r="B639" s="11" t="n">
        <x:f>IF('제외 후보'!Q639&lt;&gt;"",'선정 규칙'!$B$4,0)</x:f>
        <x:v>0</x:v>
      </x:c>
      <x:c r="C639" s="11" t="n">
        <x:f>IF(ISNUMBER(SEARCH("jmdict_uncommon_or_irregular",'제외 후보'!P639)),'선정 규칙'!$B$5,IF(ISNUMBER(SEARCH("jmdict_rare_or_dated",'제외 후보'!P639)),'선정 규칙'!$B$6,0))</x:f>
        <x:v>0</x:v>
      </x:c>
      <x:c r="D639" s="11" t="n">
        <x:f>IF(ISNUMBER(SEARCH("jmdict_exact_pair_not_found",'제외 후보'!P639)),'선정 규칙'!$B$7,0)</x:f>
        <x:v>0</x:v>
      </x:c>
      <x:c r="E639" s="11" t="n">
        <x:f>IF(OR('제외 후보'!L639="",'제외 후보'!L639&lt;=0),'선정 규칙'!$B$8,IF('제외 후보'!L639&lt;=1.5,'선정 규칙'!$B$9,IF('제외 후보'!L639&lt;=2,'선정 규칙'!$B$10,IF('제외 후보'!L639&lt;=2.5,'선정 규칙'!$B$11,IF('제외 후보'!L639&lt;=3,'선정 규칙'!$B$12,IF('제외 후보'!L639&lt;=3.5,'선정 규칙'!$B$13,IF('제외 후보'!L639&gt;=4.5,'선정 규칙'!$B$14,0)))))))</x:f>
        <x:v>12</x:v>
      </x:c>
      <x:c r="F639" s="11" t="n">
        <x:f>IF('제외 후보'!Y639=0,'선정 규칙'!$B$15,IF('제외 후보'!Y639&gt;=100,'선정 규칙'!$B$16,'선정 규칙'!$B$17))</x:f>
        <x:v>-25</x:v>
      </x:c>
      <x:c r="G639" s="11" t="n">
        <x:f>IF('제외 후보'!M639="있음",'선정 규칙'!$B$18,'선정 규칙'!$B$19)</x:f>
        <x:v>6</x:v>
      </x:c>
      <x:c r="H639" s="11" t="n">
        <x:f>IF(ISNUMBER(SEARCH("freq-core",'제외 후보'!AD639)),'선정 규칙'!$B$20,0)</x:f>
        <x:v>0</x:v>
      </x:c>
      <x:c r="I639" s="11" t="n">
        <x:f>IF(ISNUMBER(SEARCH("weak_legacy_content",'제외 후보'!P639)),'선정 규칙'!$B$21,0)</x:f>
        <x:v>5</x:v>
      </x:c>
      <x:c r="J639" s="11" t="n">
        <x:f>IF('제외 후보'!AC639&lt;&gt;"",'선정 규칙'!$B$22,0)</x:f>
        <x:v>10</x:v>
      </x:c>
      <x:c r="K639" s="11" t="n">
        <x:f>SUM(B639:J639)</x:f>
        <x:v>8</x:v>
      </x:c>
      <x:c r="L639" s="11" t="n">
        <x:f>'제외 후보'!N639</x:f>
        <x:v>8</x:v>
      </x:c>
      <x:c r="M639" s="2" t="str">
        <x:f>IF(K639=L639,"OK","MISMATCH")</x:f>
        <x:v>OK</x:v>
      </x:c>
    </x:row>
    <x:row r="640">
      <x:c r="A640" s="2" t="str">
        <x:f>'제외 후보'!G640</x:f>
        <x:v>w_4adc7e948c22cd66</x:v>
      </x:c>
      <x:c r="B640" s="11" t="n">
        <x:f>IF('제외 후보'!Q640&lt;&gt;"",'선정 규칙'!$B$4,0)</x:f>
        <x:v>0</x:v>
      </x:c>
      <x:c r="C640" s="11" t="n">
        <x:f>IF(ISNUMBER(SEARCH("jmdict_uncommon_or_irregular",'제외 후보'!P640)),'선정 규칙'!$B$5,IF(ISNUMBER(SEARCH("jmdict_rare_or_dated",'제외 후보'!P640)),'선정 규칙'!$B$6,0))</x:f>
        <x:v>0</x:v>
      </x:c>
      <x:c r="D640" s="11" t="n">
        <x:f>IF(ISNUMBER(SEARCH("jmdict_exact_pair_not_found",'제외 후보'!P640)),'선정 규칙'!$B$7,0)</x:f>
        <x:v>0</x:v>
      </x:c>
      <x:c r="E640" s="11" t="n">
        <x:f>IF(OR('제외 후보'!L640="",'제외 후보'!L640&lt;=0),'선정 규칙'!$B$8,IF('제외 후보'!L640&lt;=1.5,'선정 규칙'!$B$9,IF('제외 후보'!L640&lt;=2,'선정 규칙'!$B$10,IF('제외 후보'!L640&lt;=2.5,'선정 규칙'!$B$11,IF('제외 후보'!L640&lt;=3,'선정 규칙'!$B$12,IF('제외 후보'!L640&lt;=3.5,'선정 규칙'!$B$13,IF('제외 후보'!L640&gt;=4.5,'선정 규칙'!$B$14,0)))))))</x:f>
        <x:v>12</x:v>
      </x:c>
      <x:c r="F640" s="11" t="n">
        <x:f>IF('제외 후보'!Y640=0,'선정 규칙'!$B$15,IF('제외 후보'!Y640&gt;=100,'선정 규칙'!$B$16,'선정 규칙'!$B$17))</x:f>
        <x:v>-25</x:v>
      </x:c>
      <x:c r="G640" s="11" t="n">
        <x:f>IF('제외 후보'!M640="있음",'선정 규칙'!$B$18,'선정 규칙'!$B$19)</x:f>
        <x:v>6</x:v>
      </x:c>
      <x:c r="H640" s="11" t="n">
        <x:f>IF(ISNUMBER(SEARCH("freq-core",'제외 후보'!AD640)),'선정 규칙'!$B$20,0)</x:f>
        <x:v>0</x:v>
      </x:c>
      <x:c r="I640" s="11" t="n">
        <x:f>IF(ISNUMBER(SEARCH("weak_legacy_content",'제외 후보'!P640)),'선정 규칙'!$B$21,0)</x:f>
        <x:v>5</x:v>
      </x:c>
      <x:c r="J640" s="11" t="n">
        <x:f>IF('제외 후보'!AC640&lt;&gt;"",'선정 규칙'!$B$22,0)</x:f>
        <x:v>10</x:v>
      </x:c>
      <x:c r="K640" s="11" t="n">
        <x:f>SUM(B640:J640)</x:f>
        <x:v>8</x:v>
      </x:c>
      <x:c r="L640" s="11" t="n">
        <x:f>'제외 후보'!N640</x:f>
        <x:v>8</x:v>
      </x:c>
      <x:c r="M640" s="2" t="str">
        <x:f>IF(K640=L640,"OK","MISMATCH")</x:f>
        <x:v>OK</x:v>
      </x:c>
    </x:row>
    <x:row r="641">
      <x:c r="A641" s="2" t="str">
        <x:f>'제외 후보'!G641</x:f>
        <x:v>w_9b7bb3a4b2773419</x:v>
      </x:c>
      <x:c r="B641" s="11" t="n">
        <x:f>IF('제외 후보'!Q641&lt;&gt;"",'선정 규칙'!$B$4,0)</x:f>
        <x:v>0</x:v>
      </x:c>
      <x:c r="C641" s="11" t="n">
        <x:f>IF(ISNUMBER(SEARCH("jmdict_uncommon_or_irregular",'제외 후보'!P641)),'선정 규칙'!$B$5,IF(ISNUMBER(SEARCH("jmdict_rare_or_dated",'제외 후보'!P641)),'선정 규칙'!$B$6,0))</x:f>
        <x:v>0</x:v>
      </x:c>
      <x:c r="D641" s="11" t="n">
        <x:f>IF(ISNUMBER(SEARCH("jmdict_exact_pair_not_found",'제외 후보'!P641)),'선정 규칙'!$B$7,0)</x:f>
        <x:v>0</x:v>
      </x:c>
      <x:c r="E641" s="11" t="n">
        <x:f>IF(OR('제외 후보'!L641="",'제외 후보'!L641&lt;=0),'선정 규칙'!$B$8,IF('제외 후보'!L641&lt;=1.5,'선정 규칙'!$B$9,IF('제외 후보'!L641&lt;=2,'선정 규칙'!$B$10,IF('제외 후보'!L641&lt;=2.5,'선정 규칙'!$B$11,IF('제외 후보'!L641&lt;=3,'선정 규칙'!$B$12,IF('제외 후보'!L641&lt;=3.5,'선정 규칙'!$B$13,IF('제외 후보'!L641&gt;=4.5,'선정 규칙'!$B$14,0)))))))</x:f>
        <x:v>26</x:v>
      </x:c>
      <x:c r="F641" s="11" t="n">
        <x:f>IF('제외 후보'!Y641=0,'선정 규칙'!$B$15,IF('제외 후보'!Y641&gt;=100,'선정 규칙'!$B$16,'선정 규칙'!$B$17))</x:f>
        <x:v>-25</x:v>
      </x:c>
      <x:c r="G641" s="11" t="n">
        <x:f>IF('제외 후보'!M641="있음",'선정 규칙'!$B$18,'선정 규칙'!$B$19)</x:f>
        <x:v>6</x:v>
      </x:c>
      <x:c r="H641" s="11" t="n">
        <x:f>IF(ISNUMBER(SEARCH("freq-core",'제외 후보'!AD641)),'선정 규칙'!$B$20,0)</x:f>
        <x:v>0</x:v>
      </x:c>
      <x:c r="I641" s="11" t="n">
        <x:f>IF(ISNUMBER(SEARCH("weak_legacy_content",'제외 후보'!P641)),'선정 규칙'!$B$21,0)</x:f>
        <x:v>0</x:v>
      </x:c>
      <x:c r="J641" s="11" t="n">
        <x:f>IF('제외 후보'!AC641&lt;&gt;"",'선정 규칙'!$B$22,0)</x:f>
        <x:v>0</x:v>
      </x:c>
      <x:c r="K641" s="11" t="n">
        <x:f>SUM(B641:J641)</x:f>
        <x:v>7</x:v>
      </x:c>
      <x:c r="L641" s="11" t="n">
        <x:f>'제외 후보'!N641</x:f>
        <x:v>7</x:v>
      </x:c>
      <x:c r="M641" s="2" t="str">
        <x:f>IF(K641=L641,"OK","MISMATCH")</x:f>
        <x:v>OK</x:v>
      </x:c>
    </x:row>
    <x:row r="642">
      <x:c r="A642" s="2" t="str">
        <x:f>'제외 후보'!G642</x:f>
        <x:v>w_26e555c5d4a1d9f8</x:v>
      </x:c>
      <x:c r="B642" s="11" t="n">
        <x:f>IF('제외 후보'!Q642&lt;&gt;"",'선정 규칙'!$B$4,0)</x:f>
        <x:v>0</x:v>
      </x:c>
      <x:c r="C642" s="11" t="n">
        <x:f>IF(ISNUMBER(SEARCH("jmdict_uncommon_or_irregular",'제외 후보'!P642)),'선정 규칙'!$B$5,IF(ISNUMBER(SEARCH("jmdict_rare_or_dated",'제외 후보'!P642)),'선정 규칙'!$B$6,0))</x:f>
        <x:v>0</x:v>
      </x:c>
      <x:c r="D642" s="11" t="n">
        <x:f>IF(ISNUMBER(SEARCH("jmdict_exact_pair_not_found",'제외 후보'!P642)),'선정 규칙'!$B$7,0)</x:f>
        <x:v>0</x:v>
      </x:c>
      <x:c r="E642" s="11" t="n">
        <x:f>IF(OR('제외 후보'!L642="",'제외 후보'!L642&lt;=0),'선정 규칙'!$B$8,IF('제외 후보'!L642&lt;=1.5,'선정 규칙'!$B$9,IF('제외 후보'!L642&lt;=2,'선정 규칙'!$B$10,IF('제외 후보'!L642&lt;=2.5,'선정 규칙'!$B$11,IF('제외 후보'!L642&lt;=3,'선정 규칙'!$B$12,IF('제외 후보'!L642&lt;=3.5,'선정 규칙'!$B$13,IF('제외 후보'!L642&gt;=4.5,'선정 규칙'!$B$14,0)))))))</x:f>
        <x:v>26</x:v>
      </x:c>
      <x:c r="F642" s="11" t="n">
        <x:f>IF('제외 후보'!Y642=0,'선정 규칙'!$B$15,IF('제외 후보'!Y642&gt;=100,'선정 규칙'!$B$16,'선정 규칙'!$B$17))</x:f>
        <x:v>-25</x:v>
      </x:c>
      <x:c r="G642" s="11" t="n">
        <x:f>IF('제외 후보'!M642="있음",'선정 규칙'!$B$18,'선정 규칙'!$B$19)</x:f>
        <x:v>6</x:v>
      </x:c>
      <x:c r="H642" s="11" t="n">
        <x:f>IF(ISNUMBER(SEARCH("freq-core",'제외 후보'!AD642)),'선정 규칙'!$B$20,0)</x:f>
        <x:v>0</x:v>
      </x:c>
      <x:c r="I642" s="11" t="n">
        <x:f>IF(ISNUMBER(SEARCH("weak_legacy_content",'제외 후보'!P642)),'선정 규칙'!$B$21,0)</x:f>
        <x:v>0</x:v>
      </x:c>
      <x:c r="J642" s="11" t="n">
        <x:f>IF('제외 후보'!AC642&lt;&gt;"",'선정 규칙'!$B$22,0)</x:f>
        <x:v>0</x:v>
      </x:c>
      <x:c r="K642" s="11" t="n">
        <x:f>SUM(B642:J642)</x:f>
        <x:v>7</x:v>
      </x:c>
      <x:c r="L642" s="11" t="n">
        <x:f>'제외 후보'!N642</x:f>
        <x:v>7</x:v>
      </x:c>
      <x:c r="M642" s="2" t="str">
        <x:f>IF(K642=L642,"OK","MISMATCH")</x:f>
        <x:v>OK</x:v>
      </x:c>
    </x:row>
    <x:row r="643">
      <x:c r="A643" s="2" t="str">
        <x:f>'제외 후보'!G643</x:f>
        <x:v>w_e4c9461baa503259</x:v>
      </x:c>
      <x:c r="B643" s="11" t="n">
        <x:f>IF('제외 후보'!Q643&lt;&gt;"",'선정 규칙'!$B$4,0)</x:f>
        <x:v>0</x:v>
      </x:c>
      <x:c r="C643" s="11" t="n">
        <x:f>IF(ISNUMBER(SEARCH("jmdict_uncommon_or_irregular",'제외 후보'!P643)),'선정 규칙'!$B$5,IF(ISNUMBER(SEARCH("jmdict_rare_or_dated",'제외 후보'!P643)),'선정 규칙'!$B$6,0))</x:f>
        <x:v>0</x:v>
      </x:c>
      <x:c r="D643" s="11" t="n">
        <x:f>IF(ISNUMBER(SEARCH("jmdict_exact_pair_not_found",'제외 후보'!P643)),'선정 규칙'!$B$7,0)</x:f>
        <x:v>0</x:v>
      </x:c>
      <x:c r="E643" s="11" t="n">
        <x:f>IF(OR('제외 후보'!L643="",'제외 후보'!L643&lt;=0),'선정 규칙'!$B$8,IF('제외 후보'!L643&lt;=1.5,'선정 규칙'!$B$9,IF('제외 후보'!L643&lt;=2,'선정 규칙'!$B$10,IF('제외 후보'!L643&lt;=2.5,'선정 규칙'!$B$11,IF('제외 후보'!L643&lt;=3,'선정 규칙'!$B$12,IF('제외 후보'!L643&lt;=3.5,'선정 규칙'!$B$13,IF('제외 후보'!L643&gt;=4.5,'선정 규칙'!$B$14,0)))))))</x:f>
        <x:v>26</x:v>
      </x:c>
      <x:c r="F643" s="11" t="n">
        <x:f>IF('제외 후보'!Y643=0,'선정 규칙'!$B$15,IF('제외 후보'!Y643&gt;=100,'선정 규칙'!$B$16,'선정 규칙'!$B$17))</x:f>
        <x:v>-25</x:v>
      </x:c>
      <x:c r="G643" s="11" t="n">
        <x:f>IF('제외 후보'!M643="있음",'선정 규칙'!$B$18,'선정 규칙'!$B$19)</x:f>
        <x:v>6</x:v>
      </x:c>
      <x:c r="H643" s="11" t="n">
        <x:f>IF(ISNUMBER(SEARCH("freq-core",'제외 후보'!AD643)),'선정 규칙'!$B$20,0)</x:f>
        <x:v>0</x:v>
      </x:c>
      <x:c r="I643" s="11" t="n">
        <x:f>IF(ISNUMBER(SEARCH("weak_legacy_content",'제외 후보'!P643)),'선정 규칙'!$B$21,0)</x:f>
        <x:v>0</x:v>
      </x:c>
      <x:c r="J643" s="11" t="n">
        <x:f>IF('제외 후보'!AC643&lt;&gt;"",'선정 규칙'!$B$22,0)</x:f>
        <x:v>0</x:v>
      </x:c>
      <x:c r="K643" s="11" t="n">
        <x:f>SUM(B643:J643)</x:f>
        <x:v>7</x:v>
      </x:c>
      <x:c r="L643" s="11" t="n">
        <x:f>'제외 후보'!N643</x:f>
        <x:v>7</x:v>
      </x:c>
      <x:c r="M643" s="2" t="str">
        <x:f>IF(K643=L643,"OK","MISMATCH")</x:f>
        <x:v>OK</x:v>
      </x:c>
    </x:row>
    <x:row r="644">
      <x:c r="A644" s="2" t="str">
        <x:f>'제외 후보'!G644</x:f>
        <x:v>w_e40ede65cbe56330</x:v>
      </x:c>
      <x:c r="B644" s="11" t="n">
        <x:f>IF('제외 후보'!Q644&lt;&gt;"",'선정 규칙'!$B$4,0)</x:f>
        <x:v>0</x:v>
      </x:c>
      <x:c r="C644" s="11" t="n">
        <x:f>IF(ISNUMBER(SEARCH("jmdict_uncommon_or_irregular",'제외 후보'!P644)),'선정 규칙'!$B$5,IF(ISNUMBER(SEARCH("jmdict_rare_or_dated",'제외 후보'!P644)),'선정 규칙'!$B$6,0))</x:f>
        <x:v>0</x:v>
      </x:c>
      <x:c r="D644" s="11" t="n">
        <x:f>IF(ISNUMBER(SEARCH("jmdict_exact_pair_not_found",'제외 후보'!P644)),'선정 규칙'!$B$7,0)</x:f>
        <x:v>0</x:v>
      </x:c>
      <x:c r="E644" s="11" t="n">
        <x:f>IF(OR('제외 후보'!L644="",'제외 후보'!L644&lt;=0),'선정 규칙'!$B$8,IF('제외 후보'!L644&lt;=1.5,'선정 규칙'!$B$9,IF('제외 후보'!L644&lt;=2,'선정 규칙'!$B$10,IF('제외 후보'!L644&lt;=2.5,'선정 규칙'!$B$11,IF('제외 후보'!L644&lt;=3,'선정 규칙'!$B$12,IF('제외 후보'!L644&lt;=3.5,'선정 규칙'!$B$13,IF('제외 후보'!L644&gt;=4.5,'선정 규칙'!$B$14,0)))))))</x:f>
        <x:v>26</x:v>
      </x:c>
      <x:c r="F644" s="11" t="n">
        <x:f>IF('제외 후보'!Y644=0,'선정 규칙'!$B$15,IF('제외 후보'!Y644&gt;=100,'선정 규칙'!$B$16,'선정 규칙'!$B$17))</x:f>
        <x:v>-25</x:v>
      </x:c>
      <x:c r="G644" s="11" t="n">
        <x:f>IF('제외 후보'!M644="있음",'선정 규칙'!$B$18,'선정 규칙'!$B$19)</x:f>
        <x:v>6</x:v>
      </x:c>
      <x:c r="H644" s="11" t="n">
        <x:f>IF(ISNUMBER(SEARCH("freq-core",'제외 후보'!AD644)),'선정 규칙'!$B$20,0)</x:f>
        <x:v>0</x:v>
      </x:c>
      <x:c r="I644" s="11" t="n">
        <x:f>IF(ISNUMBER(SEARCH("weak_legacy_content",'제외 후보'!P644)),'선정 규칙'!$B$21,0)</x:f>
        <x:v>0</x:v>
      </x:c>
      <x:c r="J644" s="11" t="n">
        <x:f>IF('제외 후보'!AC644&lt;&gt;"",'선정 규칙'!$B$22,0)</x:f>
        <x:v>0</x:v>
      </x:c>
      <x:c r="K644" s="11" t="n">
        <x:f>SUM(B644:J644)</x:f>
        <x:v>7</x:v>
      </x:c>
      <x:c r="L644" s="11" t="n">
        <x:f>'제외 후보'!N644</x:f>
        <x:v>7</x:v>
      </x:c>
      <x:c r="M644" s="2" t="str">
        <x:f>IF(K644=L644,"OK","MISMATCH")</x:f>
        <x:v>OK</x:v>
      </x:c>
    </x:row>
    <x:row r="645">
      <x:c r="A645" s="2" t="str">
        <x:f>'제외 후보'!G645</x:f>
        <x:v>w_17f948120f29942a</x:v>
      </x:c>
      <x:c r="B645" s="11" t="n">
        <x:f>IF('제외 후보'!Q645&lt;&gt;"",'선정 규칙'!$B$4,0)</x:f>
        <x:v>0</x:v>
      </x:c>
      <x:c r="C645" s="11" t="n">
        <x:f>IF(ISNUMBER(SEARCH("jmdict_uncommon_or_irregular",'제외 후보'!P645)),'선정 규칙'!$B$5,IF(ISNUMBER(SEARCH("jmdict_rare_or_dated",'제외 후보'!P645)),'선정 규칙'!$B$6,0))</x:f>
        <x:v>0</x:v>
      </x:c>
      <x:c r="D645" s="11" t="n">
        <x:f>IF(ISNUMBER(SEARCH("jmdict_exact_pair_not_found",'제외 후보'!P645)),'선정 규칙'!$B$7,0)</x:f>
        <x:v>0</x:v>
      </x:c>
      <x:c r="E645" s="11" t="n">
        <x:f>IF(OR('제외 후보'!L645="",'제외 후보'!L645&lt;=0),'선정 규칙'!$B$8,IF('제외 후보'!L645&lt;=1.5,'선정 규칙'!$B$9,IF('제외 후보'!L645&lt;=2,'선정 규칙'!$B$10,IF('제외 후보'!L645&lt;=2.5,'선정 규칙'!$B$11,IF('제외 후보'!L645&lt;=3,'선정 규칙'!$B$12,IF('제외 후보'!L645&lt;=3.5,'선정 규칙'!$B$13,IF('제외 후보'!L645&gt;=4.5,'선정 규칙'!$B$14,0)))))))</x:f>
        <x:v>26</x:v>
      </x:c>
      <x:c r="F645" s="11" t="n">
        <x:f>IF('제외 후보'!Y645=0,'선정 규칙'!$B$15,IF('제외 후보'!Y645&gt;=100,'선정 규칙'!$B$16,'선정 규칙'!$B$17))</x:f>
        <x:v>-25</x:v>
      </x:c>
      <x:c r="G645" s="11" t="n">
        <x:f>IF('제외 후보'!M645="있음",'선정 규칙'!$B$18,'선정 규칙'!$B$19)</x:f>
        <x:v>6</x:v>
      </x:c>
      <x:c r="H645" s="11" t="n">
        <x:f>IF(ISNUMBER(SEARCH("freq-core",'제외 후보'!AD645)),'선정 규칙'!$B$20,0)</x:f>
        <x:v>0</x:v>
      </x:c>
      <x:c r="I645" s="11" t="n">
        <x:f>IF(ISNUMBER(SEARCH("weak_legacy_content",'제외 후보'!P645)),'선정 규칙'!$B$21,0)</x:f>
        <x:v>0</x:v>
      </x:c>
      <x:c r="J645" s="11" t="n">
        <x:f>IF('제외 후보'!AC645&lt;&gt;"",'선정 규칙'!$B$22,0)</x:f>
        <x:v>0</x:v>
      </x:c>
      <x:c r="K645" s="11" t="n">
        <x:f>SUM(B645:J645)</x:f>
        <x:v>7</x:v>
      </x:c>
      <x:c r="L645" s="11" t="n">
        <x:f>'제외 후보'!N645</x:f>
        <x:v>7</x:v>
      </x:c>
      <x:c r="M645" s="2" t="str">
        <x:f>IF(K645=L645,"OK","MISMATCH")</x:f>
        <x:v>OK</x:v>
      </x:c>
    </x:row>
    <x:row r="646">
      <x:c r="A646" s="2" t="str">
        <x:f>'제외 후보'!G646</x:f>
        <x:v>w_96da3acd016b2532</x:v>
      </x:c>
      <x:c r="B646" s="11" t="n">
        <x:f>IF('제외 후보'!Q646&lt;&gt;"",'선정 규칙'!$B$4,0)</x:f>
        <x:v>0</x:v>
      </x:c>
      <x:c r="C646" s="11" t="n">
        <x:f>IF(ISNUMBER(SEARCH("jmdict_uncommon_or_irregular",'제외 후보'!P646)),'선정 규칙'!$B$5,IF(ISNUMBER(SEARCH("jmdict_rare_or_dated",'제외 후보'!P646)),'선정 규칙'!$B$6,0))</x:f>
        <x:v>0</x:v>
      </x:c>
      <x:c r="D646" s="11" t="n">
        <x:f>IF(ISNUMBER(SEARCH("jmdict_exact_pair_not_found",'제외 후보'!P646)),'선정 규칙'!$B$7,0)</x:f>
        <x:v>0</x:v>
      </x:c>
      <x:c r="E646" s="11" t="n">
        <x:f>IF(OR('제외 후보'!L646="",'제외 후보'!L646&lt;=0),'선정 규칙'!$B$8,IF('제외 후보'!L646&lt;=1.5,'선정 규칙'!$B$9,IF('제외 후보'!L646&lt;=2,'선정 규칙'!$B$10,IF('제외 후보'!L646&lt;=2.5,'선정 규칙'!$B$11,IF('제외 후보'!L646&lt;=3,'선정 규칙'!$B$12,IF('제외 후보'!L646&lt;=3.5,'선정 규칙'!$B$13,IF('제외 후보'!L646&gt;=4.5,'선정 규칙'!$B$14,0)))))))</x:f>
        <x:v>26</x:v>
      </x:c>
      <x:c r="F646" s="11" t="n">
        <x:f>IF('제외 후보'!Y646=0,'선정 규칙'!$B$15,IF('제외 후보'!Y646&gt;=100,'선정 규칙'!$B$16,'선정 규칙'!$B$17))</x:f>
        <x:v>-25</x:v>
      </x:c>
      <x:c r="G646" s="11" t="n">
        <x:f>IF('제외 후보'!M646="있음",'선정 규칙'!$B$18,'선정 규칙'!$B$19)</x:f>
        <x:v>6</x:v>
      </x:c>
      <x:c r="H646" s="11" t="n">
        <x:f>IF(ISNUMBER(SEARCH("freq-core",'제외 후보'!AD646)),'선정 규칙'!$B$20,0)</x:f>
        <x:v>0</x:v>
      </x:c>
      <x:c r="I646" s="11" t="n">
        <x:f>IF(ISNUMBER(SEARCH("weak_legacy_content",'제외 후보'!P646)),'선정 규칙'!$B$21,0)</x:f>
        <x:v>0</x:v>
      </x:c>
      <x:c r="J646" s="11" t="n">
        <x:f>IF('제외 후보'!AC646&lt;&gt;"",'선정 규칙'!$B$22,0)</x:f>
        <x:v>0</x:v>
      </x:c>
      <x:c r="K646" s="11" t="n">
        <x:f>SUM(B646:J646)</x:f>
        <x:v>7</x:v>
      </x:c>
      <x:c r="L646" s="11" t="n">
        <x:f>'제외 후보'!N646</x:f>
        <x:v>7</x:v>
      </x:c>
      <x:c r="M646" s="2" t="str">
        <x:f>IF(K646=L646,"OK","MISMATCH")</x:f>
        <x:v>OK</x:v>
      </x:c>
    </x:row>
    <x:row r="647">
      <x:c r="A647" s="2" t="str">
        <x:f>'제외 후보'!G647</x:f>
        <x:v>w_32e23fe00fd876ff</x:v>
      </x:c>
      <x:c r="B647" s="11" t="n">
        <x:f>IF('제외 후보'!Q647&lt;&gt;"",'선정 규칙'!$B$4,0)</x:f>
        <x:v>0</x:v>
      </x:c>
      <x:c r="C647" s="11" t="n">
        <x:f>IF(ISNUMBER(SEARCH("jmdict_uncommon_or_irregular",'제외 후보'!P647)),'선정 규칙'!$B$5,IF(ISNUMBER(SEARCH("jmdict_rare_or_dated",'제외 후보'!P647)),'선정 규칙'!$B$6,0))</x:f>
        <x:v>0</x:v>
      </x:c>
      <x:c r="D647" s="11" t="n">
        <x:f>IF(ISNUMBER(SEARCH("jmdict_exact_pair_not_found",'제외 후보'!P647)),'선정 규칙'!$B$7,0)</x:f>
        <x:v>0</x:v>
      </x:c>
      <x:c r="E647" s="11" t="n">
        <x:f>IF(OR('제외 후보'!L647="",'제외 후보'!L647&lt;=0),'선정 규칙'!$B$8,IF('제외 후보'!L647&lt;=1.5,'선정 규칙'!$B$9,IF('제외 후보'!L647&lt;=2,'선정 규칙'!$B$10,IF('제외 후보'!L647&lt;=2.5,'선정 규칙'!$B$11,IF('제외 후보'!L647&lt;=3,'선정 규칙'!$B$12,IF('제외 후보'!L647&lt;=3.5,'선정 규칙'!$B$13,IF('제외 후보'!L647&gt;=4.5,'선정 규칙'!$B$14,0)))))))</x:f>
        <x:v>26</x:v>
      </x:c>
      <x:c r="F647" s="11" t="n">
        <x:f>IF('제외 후보'!Y647=0,'선정 규칙'!$B$15,IF('제외 후보'!Y647&gt;=100,'선정 규칙'!$B$16,'선정 규칙'!$B$17))</x:f>
        <x:v>-25</x:v>
      </x:c>
      <x:c r="G647" s="11" t="n">
        <x:f>IF('제외 후보'!M647="있음",'선정 규칙'!$B$18,'선정 규칙'!$B$19)</x:f>
        <x:v>6</x:v>
      </x:c>
      <x:c r="H647" s="11" t="n">
        <x:f>IF(ISNUMBER(SEARCH("freq-core",'제외 후보'!AD647)),'선정 규칙'!$B$20,0)</x:f>
        <x:v>0</x:v>
      </x:c>
      <x:c r="I647" s="11" t="n">
        <x:f>IF(ISNUMBER(SEARCH("weak_legacy_content",'제외 후보'!P647)),'선정 규칙'!$B$21,0)</x:f>
        <x:v>0</x:v>
      </x:c>
      <x:c r="J647" s="11" t="n">
        <x:f>IF('제외 후보'!AC647&lt;&gt;"",'선정 규칙'!$B$22,0)</x:f>
        <x:v>0</x:v>
      </x:c>
      <x:c r="K647" s="11" t="n">
        <x:f>SUM(B647:J647)</x:f>
        <x:v>7</x:v>
      </x:c>
      <x:c r="L647" s="11" t="n">
        <x:f>'제외 후보'!N647</x:f>
        <x:v>7</x:v>
      </x:c>
      <x:c r="M647" s="2" t="str">
        <x:f>IF(K647=L647,"OK","MISMATCH")</x:f>
        <x:v>OK</x:v>
      </x:c>
    </x:row>
    <x:row r="648">
      <x:c r="A648" s="2" t="str">
        <x:f>'제외 후보'!G648</x:f>
        <x:v>w_a478234dcb47d0fe</x:v>
      </x:c>
      <x:c r="B648" s="11" t="n">
        <x:f>IF('제외 후보'!Q648&lt;&gt;"",'선정 규칙'!$B$4,0)</x:f>
        <x:v>0</x:v>
      </x:c>
      <x:c r="C648" s="11" t="n">
        <x:f>IF(ISNUMBER(SEARCH("jmdict_uncommon_or_irregular",'제외 후보'!P648)),'선정 규칙'!$B$5,IF(ISNUMBER(SEARCH("jmdict_rare_or_dated",'제외 후보'!P648)),'선정 규칙'!$B$6,0))</x:f>
        <x:v>0</x:v>
      </x:c>
      <x:c r="D648" s="11" t="n">
        <x:f>IF(ISNUMBER(SEARCH("jmdict_exact_pair_not_found",'제외 후보'!P648)),'선정 규칙'!$B$7,0)</x:f>
        <x:v>0</x:v>
      </x:c>
      <x:c r="E648" s="11" t="n">
        <x:f>IF(OR('제외 후보'!L648="",'제외 후보'!L648&lt;=0),'선정 규칙'!$B$8,IF('제외 후보'!L648&lt;=1.5,'선정 규칙'!$B$9,IF('제외 후보'!L648&lt;=2,'선정 규칙'!$B$10,IF('제외 후보'!L648&lt;=2.5,'선정 규칙'!$B$11,IF('제외 후보'!L648&lt;=3,'선정 규칙'!$B$12,IF('제외 후보'!L648&lt;=3.5,'선정 규칙'!$B$13,IF('제외 후보'!L648&gt;=4.5,'선정 규칙'!$B$14,0)))))))</x:f>
        <x:v>26</x:v>
      </x:c>
      <x:c r="F648" s="11" t="n">
        <x:f>IF('제외 후보'!Y648=0,'선정 규칙'!$B$15,IF('제외 후보'!Y648&gt;=100,'선정 규칙'!$B$16,'선정 규칙'!$B$17))</x:f>
        <x:v>-25</x:v>
      </x:c>
      <x:c r="G648" s="11" t="n">
        <x:f>IF('제외 후보'!M648="있음",'선정 규칙'!$B$18,'선정 규칙'!$B$19)</x:f>
        <x:v>6</x:v>
      </x:c>
      <x:c r="H648" s="11" t="n">
        <x:f>IF(ISNUMBER(SEARCH("freq-core",'제외 후보'!AD648)),'선정 규칙'!$B$20,0)</x:f>
        <x:v>0</x:v>
      </x:c>
      <x:c r="I648" s="11" t="n">
        <x:f>IF(ISNUMBER(SEARCH("weak_legacy_content",'제외 후보'!P648)),'선정 규칙'!$B$21,0)</x:f>
        <x:v>0</x:v>
      </x:c>
      <x:c r="J648" s="11" t="n">
        <x:f>IF('제외 후보'!AC648&lt;&gt;"",'선정 규칙'!$B$22,0)</x:f>
        <x:v>0</x:v>
      </x:c>
      <x:c r="K648" s="11" t="n">
        <x:f>SUM(B648:J648)</x:f>
        <x:v>7</x:v>
      </x:c>
      <x:c r="L648" s="11" t="n">
        <x:f>'제외 후보'!N648</x:f>
        <x:v>7</x:v>
      </x:c>
      <x:c r="M648" s="2" t="str">
        <x:f>IF(K648=L648,"OK","MISMATCH")</x:f>
        <x:v>OK</x:v>
      </x:c>
    </x:row>
    <x:row r="649">
      <x:c r="A649" s="2" t="str">
        <x:f>'제외 후보'!G649</x:f>
        <x:v>w_5f6fbfd5ac4919e5</x:v>
      </x:c>
      <x:c r="B649" s="11" t="n">
        <x:f>IF('제외 후보'!Q649&lt;&gt;"",'선정 규칙'!$B$4,0)</x:f>
        <x:v>0</x:v>
      </x:c>
      <x:c r="C649" s="11" t="n">
        <x:f>IF(ISNUMBER(SEARCH("jmdict_uncommon_or_irregular",'제외 후보'!P649)),'선정 규칙'!$B$5,IF(ISNUMBER(SEARCH("jmdict_rare_or_dated",'제외 후보'!P649)),'선정 규칙'!$B$6,0))</x:f>
        <x:v>0</x:v>
      </x:c>
      <x:c r="D649" s="11" t="n">
        <x:f>IF(ISNUMBER(SEARCH("jmdict_exact_pair_not_found",'제외 후보'!P649)),'선정 규칙'!$B$7,0)</x:f>
        <x:v>0</x:v>
      </x:c>
      <x:c r="E649" s="11" t="n">
        <x:f>IF(OR('제외 후보'!L649="",'제외 후보'!L649&lt;=0),'선정 규칙'!$B$8,IF('제외 후보'!L649&lt;=1.5,'선정 규칙'!$B$9,IF('제외 후보'!L649&lt;=2,'선정 규칙'!$B$10,IF('제외 후보'!L649&lt;=2.5,'선정 규칙'!$B$11,IF('제외 후보'!L649&lt;=3,'선정 규칙'!$B$12,IF('제외 후보'!L649&lt;=3.5,'선정 규칙'!$B$13,IF('제외 후보'!L649&gt;=4.5,'선정 규칙'!$B$14,0)))))))</x:f>
        <x:v>26</x:v>
      </x:c>
      <x:c r="F649" s="11" t="n">
        <x:f>IF('제외 후보'!Y649=0,'선정 규칙'!$B$15,IF('제외 후보'!Y649&gt;=100,'선정 규칙'!$B$16,'선정 규칙'!$B$17))</x:f>
        <x:v>-25</x:v>
      </x:c>
      <x:c r="G649" s="11" t="n">
        <x:f>IF('제외 후보'!M649="있음",'선정 규칙'!$B$18,'선정 규칙'!$B$19)</x:f>
        <x:v>6</x:v>
      </x:c>
      <x:c r="H649" s="11" t="n">
        <x:f>IF(ISNUMBER(SEARCH("freq-core",'제외 후보'!AD649)),'선정 규칙'!$B$20,0)</x:f>
        <x:v>0</x:v>
      </x:c>
      <x:c r="I649" s="11" t="n">
        <x:f>IF(ISNUMBER(SEARCH("weak_legacy_content",'제외 후보'!P649)),'선정 규칙'!$B$21,0)</x:f>
        <x:v>0</x:v>
      </x:c>
      <x:c r="J649" s="11" t="n">
        <x:f>IF('제외 후보'!AC649&lt;&gt;"",'선정 규칙'!$B$22,0)</x:f>
        <x:v>0</x:v>
      </x:c>
      <x:c r="K649" s="11" t="n">
        <x:f>SUM(B649:J649)</x:f>
        <x:v>7</x:v>
      </x:c>
      <x:c r="L649" s="11" t="n">
        <x:f>'제외 후보'!N649</x:f>
        <x:v>7</x:v>
      </x:c>
      <x:c r="M649" s="2" t="str">
        <x:f>IF(K649=L649,"OK","MISMATCH")</x:f>
        <x:v>OK</x:v>
      </x:c>
    </x:row>
    <x:row r="650">
      <x:c r="A650" s="2" t="str">
        <x:f>'제외 후보'!G650</x:f>
        <x:v>w_590bf31068aa32f3</x:v>
      </x:c>
      <x:c r="B650" s="11" t="n">
        <x:f>IF('제외 후보'!Q650&lt;&gt;"",'선정 규칙'!$B$4,0)</x:f>
        <x:v>0</x:v>
      </x:c>
      <x:c r="C650" s="11" t="n">
        <x:f>IF(ISNUMBER(SEARCH("jmdict_uncommon_or_irregular",'제외 후보'!P650)),'선정 규칙'!$B$5,IF(ISNUMBER(SEARCH("jmdict_rare_or_dated",'제외 후보'!P650)),'선정 규칙'!$B$6,0))</x:f>
        <x:v>0</x:v>
      </x:c>
      <x:c r="D650" s="11" t="n">
        <x:f>IF(ISNUMBER(SEARCH("jmdict_exact_pair_not_found",'제외 후보'!P650)),'선정 규칙'!$B$7,0)</x:f>
        <x:v>0</x:v>
      </x:c>
      <x:c r="E650" s="11" t="n">
        <x:f>IF(OR('제외 후보'!L650="",'제외 후보'!L650&lt;=0),'선정 규칙'!$B$8,IF('제외 후보'!L650&lt;=1.5,'선정 규칙'!$B$9,IF('제외 후보'!L650&lt;=2,'선정 규칙'!$B$10,IF('제외 후보'!L650&lt;=2.5,'선정 규칙'!$B$11,IF('제외 후보'!L650&lt;=3,'선정 규칙'!$B$12,IF('제외 후보'!L650&lt;=3.5,'선정 규칙'!$B$13,IF('제외 후보'!L650&gt;=4.5,'선정 규칙'!$B$14,0)))))))</x:f>
        <x:v>26</x:v>
      </x:c>
      <x:c r="F650" s="11" t="n">
        <x:f>IF('제외 후보'!Y650=0,'선정 규칙'!$B$15,IF('제외 후보'!Y650&gt;=100,'선정 규칙'!$B$16,'선정 규칙'!$B$17))</x:f>
        <x:v>-25</x:v>
      </x:c>
      <x:c r="G650" s="11" t="n">
        <x:f>IF('제외 후보'!M650="있음",'선정 규칙'!$B$18,'선정 규칙'!$B$19)</x:f>
        <x:v>6</x:v>
      </x:c>
      <x:c r="H650" s="11" t="n">
        <x:f>IF(ISNUMBER(SEARCH("freq-core",'제외 후보'!AD650)),'선정 규칙'!$B$20,0)</x:f>
        <x:v>0</x:v>
      </x:c>
      <x:c r="I650" s="11" t="n">
        <x:f>IF(ISNUMBER(SEARCH("weak_legacy_content",'제외 후보'!P650)),'선정 규칙'!$B$21,0)</x:f>
        <x:v>0</x:v>
      </x:c>
      <x:c r="J650" s="11" t="n">
        <x:f>IF('제외 후보'!AC650&lt;&gt;"",'선정 규칙'!$B$22,0)</x:f>
        <x:v>0</x:v>
      </x:c>
      <x:c r="K650" s="11" t="n">
        <x:f>SUM(B650:J650)</x:f>
        <x:v>7</x:v>
      </x:c>
      <x:c r="L650" s="11" t="n">
        <x:f>'제외 후보'!N650</x:f>
        <x:v>7</x:v>
      </x:c>
      <x:c r="M650" s="2" t="str">
        <x:f>IF(K650=L650,"OK","MISMATCH")</x:f>
        <x:v>OK</x:v>
      </x:c>
    </x:row>
    <x:row r="651">
      <x:c r="A651" s="2" t="str">
        <x:f>'제외 후보'!G651</x:f>
        <x:v>w_6503280a9c535d09</x:v>
      </x:c>
      <x:c r="B651" s="11" t="n">
        <x:f>IF('제외 후보'!Q651&lt;&gt;"",'선정 규칙'!$B$4,0)</x:f>
        <x:v>0</x:v>
      </x:c>
      <x:c r="C651" s="11" t="n">
        <x:f>IF(ISNUMBER(SEARCH("jmdict_uncommon_or_irregular",'제외 후보'!P651)),'선정 규칙'!$B$5,IF(ISNUMBER(SEARCH("jmdict_rare_or_dated",'제외 후보'!P651)),'선정 규칙'!$B$6,0))</x:f>
        <x:v>0</x:v>
      </x:c>
      <x:c r="D651" s="11" t="n">
        <x:f>IF(ISNUMBER(SEARCH("jmdict_exact_pair_not_found",'제외 후보'!P651)),'선정 규칙'!$B$7,0)</x:f>
        <x:v>0</x:v>
      </x:c>
      <x:c r="E651" s="11" t="n">
        <x:f>IF(OR('제외 후보'!L651="",'제외 후보'!L651&lt;=0),'선정 규칙'!$B$8,IF('제외 후보'!L651&lt;=1.5,'선정 규칙'!$B$9,IF('제외 후보'!L651&lt;=2,'선정 규칙'!$B$10,IF('제외 후보'!L651&lt;=2.5,'선정 규칙'!$B$11,IF('제외 후보'!L651&lt;=3,'선정 규칙'!$B$12,IF('제외 후보'!L651&lt;=3.5,'선정 규칙'!$B$13,IF('제외 후보'!L651&gt;=4.5,'선정 규칙'!$B$14,0)))))))</x:f>
        <x:v>26</x:v>
      </x:c>
      <x:c r="F651" s="11" t="n">
        <x:f>IF('제외 후보'!Y651=0,'선정 규칙'!$B$15,IF('제외 후보'!Y651&gt;=100,'선정 규칙'!$B$16,'선정 규칙'!$B$17))</x:f>
        <x:v>-25</x:v>
      </x:c>
      <x:c r="G651" s="11" t="n">
        <x:f>IF('제외 후보'!M651="있음",'선정 규칙'!$B$18,'선정 규칙'!$B$19)</x:f>
        <x:v>6</x:v>
      </x:c>
      <x:c r="H651" s="11" t="n">
        <x:f>IF(ISNUMBER(SEARCH("freq-core",'제외 후보'!AD651)),'선정 규칙'!$B$20,0)</x:f>
        <x:v>0</x:v>
      </x:c>
      <x:c r="I651" s="11" t="n">
        <x:f>IF(ISNUMBER(SEARCH("weak_legacy_content",'제외 후보'!P651)),'선정 규칙'!$B$21,0)</x:f>
        <x:v>0</x:v>
      </x:c>
      <x:c r="J651" s="11" t="n">
        <x:f>IF('제외 후보'!AC651&lt;&gt;"",'선정 규칙'!$B$22,0)</x:f>
        <x:v>0</x:v>
      </x:c>
      <x:c r="K651" s="11" t="n">
        <x:f>SUM(B651:J651)</x:f>
        <x:v>7</x:v>
      </x:c>
      <x:c r="L651" s="11" t="n">
        <x:f>'제외 후보'!N651</x:f>
        <x:v>7</x:v>
      </x:c>
      <x:c r="M651" s="2" t="str">
        <x:f>IF(K651=L651,"OK","MISMATCH")</x:f>
        <x:v>OK</x:v>
      </x:c>
    </x:row>
    <x:row r="652">
      <x:c r="A652" s="2" t="str">
        <x:f>'제외 후보'!G652</x:f>
        <x:v>w_7dbaaf931093de54</x:v>
      </x:c>
      <x:c r="B652" s="11" t="n">
        <x:f>IF('제외 후보'!Q652&lt;&gt;"",'선정 규칙'!$B$4,0)</x:f>
        <x:v>0</x:v>
      </x:c>
      <x:c r="C652" s="11" t="n">
        <x:f>IF(ISNUMBER(SEARCH("jmdict_uncommon_or_irregular",'제외 후보'!P652)),'선정 규칙'!$B$5,IF(ISNUMBER(SEARCH("jmdict_rare_or_dated",'제외 후보'!P652)),'선정 규칙'!$B$6,0))</x:f>
        <x:v>0</x:v>
      </x:c>
      <x:c r="D652" s="11" t="n">
        <x:f>IF(ISNUMBER(SEARCH("jmdict_exact_pair_not_found",'제외 후보'!P652)),'선정 규칙'!$B$7,0)</x:f>
        <x:v>0</x:v>
      </x:c>
      <x:c r="E652" s="11" t="n">
        <x:f>IF(OR('제외 후보'!L652="",'제외 후보'!L652&lt;=0),'선정 규칙'!$B$8,IF('제외 후보'!L652&lt;=1.5,'선정 규칙'!$B$9,IF('제외 후보'!L652&lt;=2,'선정 규칙'!$B$10,IF('제외 후보'!L652&lt;=2.5,'선정 규칙'!$B$11,IF('제외 후보'!L652&lt;=3,'선정 규칙'!$B$12,IF('제외 후보'!L652&lt;=3.5,'선정 규칙'!$B$13,IF('제외 후보'!L652&gt;=4.5,'선정 규칙'!$B$14,0)))))))</x:f>
        <x:v>26</x:v>
      </x:c>
      <x:c r="F652" s="11" t="n">
        <x:f>IF('제외 후보'!Y652=0,'선정 규칙'!$B$15,IF('제외 후보'!Y652&gt;=100,'선정 규칙'!$B$16,'선정 규칙'!$B$17))</x:f>
        <x:v>-25</x:v>
      </x:c>
      <x:c r="G652" s="11" t="n">
        <x:f>IF('제외 후보'!M652="있음",'선정 규칙'!$B$18,'선정 규칙'!$B$19)</x:f>
        <x:v>6</x:v>
      </x:c>
      <x:c r="H652" s="11" t="n">
        <x:f>IF(ISNUMBER(SEARCH("freq-core",'제외 후보'!AD652)),'선정 규칙'!$B$20,0)</x:f>
        <x:v>0</x:v>
      </x:c>
      <x:c r="I652" s="11" t="n">
        <x:f>IF(ISNUMBER(SEARCH("weak_legacy_content",'제외 후보'!P652)),'선정 규칙'!$B$21,0)</x:f>
        <x:v>0</x:v>
      </x:c>
      <x:c r="J652" s="11" t="n">
        <x:f>IF('제외 후보'!AC652&lt;&gt;"",'선정 규칙'!$B$22,0)</x:f>
        <x:v>0</x:v>
      </x:c>
      <x:c r="K652" s="11" t="n">
        <x:f>SUM(B652:J652)</x:f>
        <x:v>7</x:v>
      </x:c>
      <x:c r="L652" s="11" t="n">
        <x:f>'제외 후보'!N652</x:f>
        <x:v>7</x:v>
      </x:c>
      <x:c r="M652" s="2" t="str">
        <x:f>IF(K652=L652,"OK","MISMATCH")</x:f>
        <x:v>OK</x:v>
      </x:c>
    </x:row>
    <x:row r="653">
      <x:c r="A653" s="2" t="str">
        <x:f>'제외 후보'!G653</x:f>
        <x:v>w_ca9b5a8932d7de1c</x:v>
      </x:c>
      <x:c r="B653" s="11" t="n">
        <x:f>IF('제외 후보'!Q653&lt;&gt;"",'선정 규칙'!$B$4,0)</x:f>
        <x:v>0</x:v>
      </x:c>
      <x:c r="C653" s="11" t="n">
        <x:f>IF(ISNUMBER(SEARCH("jmdict_uncommon_or_irregular",'제외 후보'!P653)),'선정 규칙'!$B$5,IF(ISNUMBER(SEARCH("jmdict_rare_or_dated",'제외 후보'!P653)),'선정 규칙'!$B$6,0))</x:f>
        <x:v>0</x:v>
      </x:c>
      <x:c r="D653" s="11" t="n">
        <x:f>IF(ISNUMBER(SEARCH("jmdict_exact_pair_not_found",'제외 후보'!P653)),'선정 규칙'!$B$7,0)</x:f>
        <x:v>0</x:v>
      </x:c>
      <x:c r="E653" s="11" t="n">
        <x:f>IF(OR('제외 후보'!L653="",'제외 후보'!L653&lt;=0),'선정 규칙'!$B$8,IF('제외 후보'!L653&lt;=1.5,'선정 규칙'!$B$9,IF('제외 후보'!L653&lt;=2,'선정 규칙'!$B$10,IF('제외 후보'!L653&lt;=2.5,'선정 규칙'!$B$11,IF('제외 후보'!L653&lt;=3,'선정 규칙'!$B$12,IF('제외 후보'!L653&lt;=3.5,'선정 규칙'!$B$13,IF('제외 후보'!L653&gt;=4.5,'선정 규칙'!$B$14,0)))))))</x:f>
        <x:v>26</x:v>
      </x:c>
      <x:c r="F653" s="11" t="n">
        <x:f>IF('제외 후보'!Y653=0,'선정 규칙'!$B$15,IF('제외 후보'!Y653&gt;=100,'선정 규칙'!$B$16,'선정 규칙'!$B$17))</x:f>
        <x:v>-25</x:v>
      </x:c>
      <x:c r="G653" s="11" t="n">
        <x:f>IF('제외 후보'!M653="있음",'선정 규칙'!$B$18,'선정 규칙'!$B$19)</x:f>
        <x:v>6</x:v>
      </x:c>
      <x:c r="H653" s="11" t="n">
        <x:f>IF(ISNUMBER(SEARCH("freq-core",'제외 후보'!AD653)),'선정 규칙'!$B$20,0)</x:f>
        <x:v>0</x:v>
      </x:c>
      <x:c r="I653" s="11" t="n">
        <x:f>IF(ISNUMBER(SEARCH("weak_legacy_content",'제외 후보'!P653)),'선정 규칙'!$B$21,0)</x:f>
        <x:v>0</x:v>
      </x:c>
      <x:c r="J653" s="11" t="n">
        <x:f>IF('제외 후보'!AC653&lt;&gt;"",'선정 규칙'!$B$22,0)</x:f>
        <x:v>0</x:v>
      </x:c>
      <x:c r="K653" s="11" t="n">
        <x:f>SUM(B653:J653)</x:f>
        <x:v>7</x:v>
      </x:c>
      <x:c r="L653" s="11" t="n">
        <x:f>'제외 후보'!N653</x:f>
        <x:v>7</x:v>
      </x:c>
      <x:c r="M653" s="2" t="str">
        <x:f>IF(K653=L653,"OK","MISMATCH")</x:f>
        <x:v>OK</x:v>
      </x:c>
    </x:row>
    <x:row r="654">
      <x:c r="A654" s="2" t="str">
        <x:f>'제외 후보'!G654</x:f>
        <x:v>w_315abdbe142aee28</x:v>
      </x:c>
      <x:c r="B654" s="11" t="n">
        <x:f>IF('제외 후보'!Q654&lt;&gt;"",'선정 규칙'!$B$4,0)</x:f>
        <x:v>0</x:v>
      </x:c>
      <x:c r="C654" s="11" t="n">
        <x:f>IF(ISNUMBER(SEARCH("jmdict_uncommon_or_irregular",'제외 후보'!P654)),'선정 규칙'!$B$5,IF(ISNUMBER(SEARCH("jmdict_rare_or_dated",'제외 후보'!P654)),'선정 규칙'!$B$6,0))</x:f>
        <x:v>0</x:v>
      </x:c>
      <x:c r="D654" s="11" t="n">
        <x:f>IF(ISNUMBER(SEARCH("jmdict_exact_pair_not_found",'제외 후보'!P654)),'선정 규칙'!$B$7,0)</x:f>
        <x:v>0</x:v>
      </x:c>
      <x:c r="E654" s="11" t="n">
        <x:f>IF(OR('제외 후보'!L654="",'제외 후보'!L654&lt;=0),'선정 규칙'!$B$8,IF('제외 후보'!L654&lt;=1.5,'선정 규칙'!$B$9,IF('제외 후보'!L654&lt;=2,'선정 규칙'!$B$10,IF('제외 후보'!L654&lt;=2.5,'선정 규칙'!$B$11,IF('제외 후보'!L654&lt;=3,'선정 규칙'!$B$12,IF('제외 후보'!L654&lt;=3.5,'선정 규칙'!$B$13,IF('제외 후보'!L654&gt;=4.5,'선정 규칙'!$B$14,0)))))))</x:f>
        <x:v>26</x:v>
      </x:c>
      <x:c r="F654" s="11" t="n">
        <x:f>IF('제외 후보'!Y654=0,'선정 규칙'!$B$15,IF('제외 후보'!Y654&gt;=100,'선정 규칙'!$B$16,'선정 규칙'!$B$17))</x:f>
        <x:v>-25</x:v>
      </x:c>
      <x:c r="G654" s="11" t="n">
        <x:f>IF('제외 후보'!M654="있음",'선정 규칙'!$B$18,'선정 규칙'!$B$19)</x:f>
        <x:v>6</x:v>
      </x:c>
      <x:c r="H654" s="11" t="n">
        <x:f>IF(ISNUMBER(SEARCH("freq-core",'제외 후보'!AD654)),'선정 규칙'!$B$20,0)</x:f>
        <x:v>0</x:v>
      </x:c>
      <x:c r="I654" s="11" t="n">
        <x:f>IF(ISNUMBER(SEARCH("weak_legacy_content",'제외 후보'!P654)),'선정 규칙'!$B$21,0)</x:f>
        <x:v>0</x:v>
      </x:c>
      <x:c r="J654" s="11" t="n">
        <x:f>IF('제외 후보'!AC654&lt;&gt;"",'선정 규칙'!$B$22,0)</x:f>
        <x:v>0</x:v>
      </x:c>
      <x:c r="K654" s="11" t="n">
        <x:f>SUM(B654:J654)</x:f>
        <x:v>7</x:v>
      </x:c>
      <x:c r="L654" s="11" t="n">
        <x:f>'제외 후보'!N654</x:f>
        <x:v>7</x:v>
      </x:c>
      <x:c r="M654" s="2" t="str">
        <x:f>IF(K654=L654,"OK","MISMATCH")</x:f>
        <x:v>OK</x:v>
      </x:c>
    </x:row>
    <x:row r="655">
      <x:c r="A655" s="2" t="str">
        <x:f>'제외 후보'!G655</x:f>
        <x:v>w_40a6caa2efc2a517</x:v>
      </x:c>
      <x:c r="B655" s="11" t="n">
        <x:f>IF('제외 후보'!Q655&lt;&gt;"",'선정 규칙'!$B$4,0)</x:f>
        <x:v>0</x:v>
      </x:c>
      <x:c r="C655" s="11" t="n">
        <x:f>IF(ISNUMBER(SEARCH("jmdict_uncommon_or_irregular",'제외 후보'!P655)),'선정 규칙'!$B$5,IF(ISNUMBER(SEARCH("jmdict_rare_or_dated",'제외 후보'!P655)),'선정 규칙'!$B$6,0))</x:f>
        <x:v>0</x:v>
      </x:c>
      <x:c r="D655" s="11" t="n">
        <x:f>IF(ISNUMBER(SEARCH("jmdict_exact_pair_not_found",'제외 후보'!P655)),'선정 규칙'!$B$7,0)</x:f>
        <x:v>0</x:v>
      </x:c>
      <x:c r="E655" s="11" t="n">
        <x:f>IF(OR('제외 후보'!L655="",'제외 후보'!L655&lt;=0),'선정 규칙'!$B$8,IF('제외 후보'!L655&lt;=1.5,'선정 규칙'!$B$9,IF('제외 후보'!L655&lt;=2,'선정 규칙'!$B$10,IF('제외 후보'!L655&lt;=2.5,'선정 규칙'!$B$11,IF('제외 후보'!L655&lt;=3,'선정 규칙'!$B$12,IF('제외 후보'!L655&lt;=3.5,'선정 규칙'!$B$13,IF('제외 후보'!L655&gt;=4.5,'선정 규칙'!$B$14,0)))))))</x:f>
        <x:v>26</x:v>
      </x:c>
      <x:c r="F655" s="11" t="n">
        <x:f>IF('제외 후보'!Y655=0,'선정 규칙'!$B$15,IF('제외 후보'!Y655&gt;=100,'선정 규칙'!$B$16,'선정 규칙'!$B$17))</x:f>
        <x:v>-25</x:v>
      </x:c>
      <x:c r="G655" s="11" t="n">
        <x:f>IF('제외 후보'!M655="있음",'선정 규칙'!$B$18,'선정 규칙'!$B$19)</x:f>
        <x:v>6</x:v>
      </x:c>
      <x:c r="H655" s="11" t="n">
        <x:f>IF(ISNUMBER(SEARCH("freq-core",'제외 후보'!AD655)),'선정 규칙'!$B$20,0)</x:f>
        <x:v>0</x:v>
      </x:c>
      <x:c r="I655" s="11" t="n">
        <x:f>IF(ISNUMBER(SEARCH("weak_legacy_content",'제외 후보'!P655)),'선정 규칙'!$B$21,0)</x:f>
        <x:v>0</x:v>
      </x:c>
      <x:c r="J655" s="11" t="n">
        <x:f>IF('제외 후보'!AC655&lt;&gt;"",'선정 규칙'!$B$22,0)</x:f>
        <x:v>0</x:v>
      </x:c>
      <x:c r="K655" s="11" t="n">
        <x:f>SUM(B655:J655)</x:f>
        <x:v>7</x:v>
      </x:c>
      <x:c r="L655" s="11" t="n">
        <x:f>'제외 후보'!N655</x:f>
        <x:v>7</x:v>
      </x:c>
      <x:c r="M655" s="2" t="str">
        <x:f>IF(K655=L655,"OK","MISMATCH")</x:f>
        <x:v>OK</x:v>
      </x:c>
    </x:row>
    <x:row r="656">
      <x:c r="A656" s="2" t="str">
        <x:f>'제외 후보'!G656</x:f>
        <x:v>w_d0c435d3cd403082</x:v>
      </x:c>
      <x:c r="B656" s="11" t="n">
        <x:f>IF('제외 후보'!Q656&lt;&gt;"",'선정 규칙'!$B$4,0)</x:f>
        <x:v>0</x:v>
      </x:c>
      <x:c r="C656" s="11" t="n">
        <x:f>IF(ISNUMBER(SEARCH("jmdict_uncommon_or_irregular",'제외 후보'!P656)),'선정 규칙'!$B$5,IF(ISNUMBER(SEARCH("jmdict_rare_or_dated",'제외 후보'!P656)),'선정 규칙'!$B$6,0))</x:f>
        <x:v>0</x:v>
      </x:c>
      <x:c r="D656" s="11" t="n">
        <x:f>IF(ISNUMBER(SEARCH("jmdict_exact_pair_not_found",'제외 후보'!P656)),'선정 규칙'!$B$7,0)</x:f>
        <x:v>0</x:v>
      </x:c>
      <x:c r="E656" s="11" t="n">
        <x:f>IF(OR('제외 후보'!L656="",'제외 후보'!L656&lt;=0),'선정 규칙'!$B$8,IF('제외 후보'!L656&lt;=1.5,'선정 규칙'!$B$9,IF('제외 후보'!L656&lt;=2,'선정 규칙'!$B$10,IF('제외 후보'!L656&lt;=2.5,'선정 규칙'!$B$11,IF('제외 후보'!L656&lt;=3,'선정 규칙'!$B$12,IF('제외 후보'!L656&lt;=3.5,'선정 규칙'!$B$13,IF('제외 후보'!L656&gt;=4.5,'선정 규칙'!$B$14,0)))))))</x:f>
        <x:v>26</x:v>
      </x:c>
      <x:c r="F656" s="11" t="n">
        <x:f>IF('제외 후보'!Y656=0,'선정 규칙'!$B$15,IF('제외 후보'!Y656&gt;=100,'선정 규칙'!$B$16,'선정 규칙'!$B$17))</x:f>
        <x:v>-25</x:v>
      </x:c>
      <x:c r="G656" s="11" t="n">
        <x:f>IF('제외 후보'!M656="있음",'선정 규칙'!$B$18,'선정 규칙'!$B$19)</x:f>
        <x:v>6</x:v>
      </x:c>
      <x:c r="H656" s="11" t="n">
        <x:f>IF(ISNUMBER(SEARCH("freq-core",'제외 후보'!AD656)),'선정 규칙'!$B$20,0)</x:f>
        <x:v>0</x:v>
      </x:c>
      <x:c r="I656" s="11" t="n">
        <x:f>IF(ISNUMBER(SEARCH("weak_legacy_content",'제외 후보'!P656)),'선정 규칙'!$B$21,0)</x:f>
        <x:v>0</x:v>
      </x:c>
      <x:c r="J656" s="11" t="n">
        <x:f>IF('제외 후보'!AC656&lt;&gt;"",'선정 규칙'!$B$22,0)</x:f>
        <x:v>0</x:v>
      </x:c>
      <x:c r="K656" s="11" t="n">
        <x:f>SUM(B656:J656)</x:f>
        <x:v>7</x:v>
      </x:c>
      <x:c r="L656" s="11" t="n">
        <x:f>'제외 후보'!N656</x:f>
        <x:v>7</x:v>
      </x:c>
      <x:c r="M656" s="2" t="str">
        <x:f>IF(K656=L656,"OK","MISMATCH")</x:f>
        <x:v>OK</x:v>
      </x:c>
    </x:row>
    <x:row r="657">
      <x:c r="A657" s="2" t="str">
        <x:f>'제외 후보'!G657</x:f>
        <x:v>w_72b3908f46cdf2c4</x:v>
      </x:c>
      <x:c r="B657" s="11" t="n">
        <x:f>IF('제외 후보'!Q657&lt;&gt;"",'선정 규칙'!$B$4,0)</x:f>
        <x:v>0</x:v>
      </x:c>
      <x:c r="C657" s="11" t="n">
        <x:f>IF(ISNUMBER(SEARCH("jmdict_uncommon_or_irregular",'제외 후보'!P657)),'선정 규칙'!$B$5,IF(ISNUMBER(SEARCH("jmdict_rare_or_dated",'제외 후보'!P657)),'선정 규칙'!$B$6,0))</x:f>
        <x:v>0</x:v>
      </x:c>
      <x:c r="D657" s="11" t="n">
        <x:f>IF(ISNUMBER(SEARCH("jmdict_exact_pair_not_found",'제외 후보'!P657)),'선정 규칙'!$B$7,0)</x:f>
        <x:v>0</x:v>
      </x:c>
      <x:c r="E657" s="11" t="n">
        <x:f>IF(OR('제외 후보'!L657="",'제외 후보'!L657&lt;=0),'선정 규칙'!$B$8,IF('제외 후보'!L657&lt;=1.5,'선정 규칙'!$B$9,IF('제외 후보'!L657&lt;=2,'선정 규칙'!$B$10,IF('제외 후보'!L657&lt;=2.5,'선정 규칙'!$B$11,IF('제외 후보'!L657&lt;=3,'선정 규칙'!$B$12,IF('제외 후보'!L657&lt;=3.5,'선정 규칙'!$B$13,IF('제외 후보'!L657&gt;=4.5,'선정 규칙'!$B$14,0)))))))</x:f>
        <x:v>20</x:v>
      </x:c>
      <x:c r="F657" s="11" t="n">
        <x:f>IF('제외 후보'!Y657=0,'선정 규칙'!$B$15,IF('제외 후보'!Y657&gt;=100,'선정 규칙'!$B$16,'선정 규칙'!$B$17))</x:f>
        <x:v>12</x:v>
      </x:c>
      <x:c r="G657" s="11" t="n">
        <x:f>IF('제외 후보'!M657="있음",'선정 규칙'!$B$18,'선정 규칙'!$B$19)</x:f>
        <x:v>-25</x:v>
      </x:c>
      <x:c r="H657" s="11" t="n">
        <x:f>IF(ISNUMBER(SEARCH("freq-core",'제외 후보'!AD657)),'선정 규칙'!$B$20,0)</x:f>
        <x:v>0</x:v>
      </x:c>
      <x:c r="I657" s="11" t="n">
        <x:f>IF(ISNUMBER(SEARCH("weak_legacy_content",'제외 후보'!P657)),'선정 규칙'!$B$21,0)</x:f>
        <x:v>0</x:v>
      </x:c>
      <x:c r="J657" s="11" t="n">
        <x:f>IF('제외 후보'!AC657&lt;&gt;"",'선정 규칙'!$B$22,0)</x:f>
        <x:v>0</x:v>
      </x:c>
      <x:c r="K657" s="11" t="n">
        <x:f>SUM(B657:J657)</x:f>
        <x:v>7</x:v>
      </x:c>
      <x:c r="L657" s="11" t="n">
        <x:f>'제외 후보'!N657</x:f>
        <x:v>7</x:v>
      </x:c>
      <x:c r="M657" s="2" t="str">
        <x:f>IF(K657=L657,"OK","MISMATCH")</x:f>
        <x:v>OK</x:v>
      </x:c>
    </x:row>
    <x:row r="658">
      <x:c r="A658" s="2" t="str">
        <x:f>'제외 후보'!G658</x:f>
        <x:v>w_dadb6a6af0c8c1e7</x:v>
      </x:c>
      <x:c r="B658" s="11" t="n">
        <x:f>IF('제외 후보'!Q658&lt;&gt;"",'선정 규칙'!$B$4,0)</x:f>
        <x:v>0</x:v>
      </x:c>
      <x:c r="C658" s="11" t="n">
        <x:f>IF(ISNUMBER(SEARCH("jmdict_uncommon_or_irregular",'제외 후보'!P658)),'선정 규칙'!$B$5,IF(ISNUMBER(SEARCH("jmdict_rare_or_dated",'제외 후보'!P658)),'선정 규칙'!$B$6,0))</x:f>
        <x:v>0</x:v>
      </x:c>
      <x:c r="D658" s="11" t="n">
        <x:f>IF(ISNUMBER(SEARCH("jmdict_exact_pair_not_found",'제외 후보'!P658)),'선정 규칙'!$B$7,0)</x:f>
        <x:v>0</x:v>
      </x:c>
      <x:c r="E658" s="11" t="n">
        <x:f>IF(OR('제외 후보'!L658="",'제외 후보'!L658&lt;=0),'선정 규칙'!$B$8,IF('제외 후보'!L658&lt;=1.5,'선정 규칙'!$B$9,IF('제외 후보'!L658&lt;=2,'선정 규칙'!$B$10,IF('제외 후보'!L658&lt;=2.5,'선정 규칙'!$B$11,IF('제외 후보'!L658&lt;=3,'선정 규칙'!$B$12,IF('제외 후보'!L658&lt;=3.5,'선정 규칙'!$B$13,IF('제외 후보'!L658&gt;=4.5,'선정 규칙'!$B$14,0)))))))</x:f>
        <x:v>20</x:v>
      </x:c>
      <x:c r="F658" s="11" t="n">
        <x:f>IF('제외 후보'!Y658=0,'선정 규칙'!$B$15,IF('제외 후보'!Y658&gt;=100,'선정 규칙'!$B$16,'선정 규칙'!$B$17))</x:f>
        <x:v>12</x:v>
      </x:c>
      <x:c r="G658" s="11" t="n">
        <x:f>IF('제외 후보'!M658="있음",'선정 규칙'!$B$18,'선정 규칙'!$B$19)</x:f>
        <x:v>-25</x:v>
      </x:c>
      <x:c r="H658" s="11" t="n">
        <x:f>IF(ISNUMBER(SEARCH("freq-core",'제외 후보'!AD658)),'선정 규칙'!$B$20,0)</x:f>
        <x:v>0</x:v>
      </x:c>
      <x:c r="I658" s="11" t="n">
        <x:f>IF(ISNUMBER(SEARCH("weak_legacy_content",'제외 후보'!P658)),'선정 규칙'!$B$21,0)</x:f>
        <x:v>0</x:v>
      </x:c>
      <x:c r="J658" s="11" t="n">
        <x:f>IF('제외 후보'!AC658&lt;&gt;"",'선정 규칙'!$B$22,0)</x:f>
        <x:v>0</x:v>
      </x:c>
      <x:c r="K658" s="11" t="n">
        <x:f>SUM(B658:J658)</x:f>
        <x:v>7</x:v>
      </x:c>
      <x:c r="L658" s="11" t="n">
        <x:f>'제외 후보'!N658</x:f>
        <x:v>7</x:v>
      </x:c>
      <x:c r="M658" s="2" t="str">
        <x:f>IF(K658=L658,"OK","MISMATCH")</x:f>
        <x:v>OK</x:v>
      </x:c>
    </x:row>
    <x:row r="659">
      <x:c r="A659" s="2" t="str">
        <x:f>'제외 후보'!G659</x:f>
        <x:v>w_6c770dd24e26620c</x:v>
      </x:c>
      <x:c r="B659" s="11" t="n">
        <x:f>IF('제외 후보'!Q659&lt;&gt;"",'선정 규칙'!$B$4,0)</x:f>
        <x:v>0</x:v>
      </x:c>
      <x:c r="C659" s="11" t="n">
        <x:f>IF(ISNUMBER(SEARCH("jmdict_uncommon_or_irregular",'제외 후보'!P659)),'선정 규칙'!$B$5,IF(ISNUMBER(SEARCH("jmdict_rare_or_dated",'제외 후보'!P659)),'선정 규칙'!$B$6,0))</x:f>
        <x:v>0</x:v>
      </x:c>
      <x:c r="D659" s="11" t="n">
        <x:f>IF(ISNUMBER(SEARCH("jmdict_exact_pair_not_found",'제외 후보'!P659)),'선정 규칙'!$B$7,0)</x:f>
        <x:v>0</x:v>
      </x:c>
      <x:c r="E659" s="11" t="n">
        <x:f>IF(OR('제외 후보'!L659="",'제외 후보'!L659&lt;=0),'선정 규칙'!$B$8,IF('제외 후보'!L659&lt;=1.5,'선정 규칙'!$B$9,IF('제외 후보'!L659&lt;=2,'선정 규칙'!$B$10,IF('제외 후보'!L659&lt;=2.5,'선정 규칙'!$B$11,IF('제외 후보'!L659&lt;=3,'선정 규칙'!$B$12,IF('제외 후보'!L659&lt;=3.5,'선정 규칙'!$B$13,IF('제외 후보'!L659&gt;=4.5,'선정 규칙'!$B$14,0)))))))</x:f>
        <x:v>20</x:v>
      </x:c>
      <x:c r="F659" s="11" t="n">
        <x:f>IF('제외 후보'!Y659=0,'선정 규칙'!$B$15,IF('제외 후보'!Y659&gt;=100,'선정 규칙'!$B$16,'선정 규칙'!$B$17))</x:f>
        <x:v>12</x:v>
      </x:c>
      <x:c r="G659" s="11" t="n">
        <x:f>IF('제외 후보'!M659="있음",'선정 규칙'!$B$18,'선정 규칙'!$B$19)</x:f>
        <x:v>-25</x:v>
      </x:c>
      <x:c r="H659" s="11" t="n">
        <x:f>IF(ISNUMBER(SEARCH("freq-core",'제외 후보'!AD659)),'선정 규칙'!$B$20,0)</x:f>
        <x:v>0</x:v>
      </x:c>
      <x:c r="I659" s="11" t="n">
        <x:f>IF(ISNUMBER(SEARCH("weak_legacy_content",'제외 후보'!P659)),'선정 규칙'!$B$21,0)</x:f>
        <x:v>0</x:v>
      </x:c>
      <x:c r="J659" s="11" t="n">
        <x:f>IF('제외 후보'!AC659&lt;&gt;"",'선정 규칙'!$B$22,0)</x:f>
        <x:v>0</x:v>
      </x:c>
      <x:c r="K659" s="11" t="n">
        <x:f>SUM(B659:J659)</x:f>
        <x:v>7</x:v>
      </x:c>
      <x:c r="L659" s="11" t="n">
        <x:f>'제외 후보'!N659</x:f>
        <x:v>7</x:v>
      </x:c>
      <x:c r="M659" s="2" t="str">
        <x:f>IF(K659=L659,"OK","MISMATCH")</x:f>
        <x:v>OK</x:v>
      </x:c>
    </x:row>
    <x:row r="660">
      <x:c r="A660" s="2" t="str">
        <x:f>'제외 후보'!G660</x:f>
        <x:v>w_451bf26dd3bcf2e0</x:v>
      </x:c>
      <x:c r="B660" s="11" t="n">
        <x:f>IF('제외 후보'!Q660&lt;&gt;"",'선정 규칙'!$B$4,0)</x:f>
        <x:v>0</x:v>
      </x:c>
      <x:c r="C660" s="11" t="n">
        <x:f>IF(ISNUMBER(SEARCH("jmdict_uncommon_or_irregular",'제외 후보'!P660)),'선정 규칙'!$B$5,IF(ISNUMBER(SEARCH("jmdict_rare_or_dated",'제외 후보'!P660)),'선정 규칙'!$B$6,0))</x:f>
        <x:v>0</x:v>
      </x:c>
      <x:c r="D660" s="11" t="n">
        <x:f>IF(ISNUMBER(SEARCH("jmdict_exact_pair_not_found",'제외 후보'!P660)),'선정 규칙'!$B$7,0)</x:f>
        <x:v>0</x:v>
      </x:c>
      <x:c r="E660" s="11" t="n">
        <x:f>IF(OR('제외 후보'!L660="",'제외 후보'!L660&lt;=0),'선정 규칙'!$B$8,IF('제외 후보'!L660&lt;=1.5,'선정 규칙'!$B$9,IF('제외 후보'!L660&lt;=2,'선정 규칙'!$B$10,IF('제외 후보'!L660&lt;=2.5,'선정 규칙'!$B$11,IF('제외 후보'!L660&lt;=3,'선정 규칙'!$B$12,IF('제외 후보'!L660&lt;=3.5,'선정 규칙'!$B$13,IF('제외 후보'!L660&gt;=4.5,'선정 규칙'!$B$14,0)))))))</x:f>
        <x:v>20</x:v>
      </x:c>
      <x:c r="F660" s="11" t="n">
        <x:f>IF('제외 후보'!Y660=0,'선정 규칙'!$B$15,IF('제외 후보'!Y660&gt;=100,'선정 규칙'!$B$16,'선정 규칙'!$B$17))</x:f>
        <x:v>12</x:v>
      </x:c>
      <x:c r="G660" s="11" t="n">
        <x:f>IF('제외 후보'!M660="있음",'선정 규칙'!$B$18,'선정 규칙'!$B$19)</x:f>
        <x:v>-25</x:v>
      </x:c>
      <x:c r="H660" s="11" t="n">
        <x:f>IF(ISNUMBER(SEARCH("freq-core",'제외 후보'!AD660)),'선정 규칙'!$B$20,0)</x:f>
        <x:v>0</x:v>
      </x:c>
      <x:c r="I660" s="11" t="n">
        <x:f>IF(ISNUMBER(SEARCH("weak_legacy_content",'제외 후보'!P660)),'선정 규칙'!$B$21,0)</x:f>
        <x:v>0</x:v>
      </x:c>
      <x:c r="J660" s="11" t="n">
        <x:f>IF('제외 후보'!AC660&lt;&gt;"",'선정 규칙'!$B$22,0)</x:f>
        <x:v>0</x:v>
      </x:c>
      <x:c r="K660" s="11" t="n">
        <x:f>SUM(B660:J660)</x:f>
        <x:v>7</x:v>
      </x:c>
      <x:c r="L660" s="11" t="n">
        <x:f>'제외 후보'!N660</x:f>
        <x:v>7</x:v>
      </x:c>
      <x:c r="M660" s="2" t="str">
        <x:f>IF(K660=L660,"OK","MISMATCH")</x:f>
        <x:v>OK</x:v>
      </x:c>
    </x:row>
    <x:row r="661">
      <x:c r="A661" s="2" t="str">
        <x:f>'제외 후보'!G661</x:f>
        <x:v>w_76936c9c142f0a2c</x:v>
      </x:c>
      <x:c r="B661" s="11" t="n">
        <x:f>IF('제외 후보'!Q661&lt;&gt;"",'선정 규칙'!$B$4,0)</x:f>
        <x:v>0</x:v>
      </x:c>
      <x:c r="C661" s="11" t="n">
        <x:f>IF(ISNUMBER(SEARCH("jmdict_uncommon_or_irregular",'제외 후보'!P661)),'선정 규칙'!$B$5,IF(ISNUMBER(SEARCH("jmdict_rare_or_dated",'제외 후보'!P661)),'선정 규칙'!$B$6,0))</x:f>
        <x:v>0</x:v>
      </x:c>
      <x:c r="D661" s="11" t="n">
        <x:f>IF(ISNUMBER(SEARCH("jmdict_exact_pair_not_found",'제외 후보'!P661)),'선정 규칙'!$B$7,0)</x:f>
        <x:v>0</x:v>
      </x:c>
      <x:c r="E661" s="11" t="n">
        <x:f>IF(OR('제외 후보'!L661="",'제외 후보'!L661&lt;=0),'선정 규칙'!$B$8,IF('제외 후보'!L661&lt;=1.5,'선정 규칙'!$B$9,IF('제외 후보'!L661&lt;=2,'선정 규칙'!$B$10,IF('제외 후보'!L661&lt;=2.5,'선정 규칙'!$B$11,IF('제외 후보'!L661&lt;=3,'선정 규칙'!$B$12,IF('제외 후보'!L661&lt;=3.5,'선정 규칙'!$B$13,IF('제외 후보'!L661&gt;=4.5,'선정 규칙'!$B$14,0)))))))</x:f>
        <x:v>20</x:v>
      </x:c>
      <x:c r="F661" s="11" t="n">
        <x:f>IF('제외 후보'!Y661=0,'선정 규칙'!$B$15,IF('제외 후보'!Y661&gt;=100,'선정 규칙'!$B$16,'선정 규칙'!$B$17))</x:f>
        <x:v>12</x:v>
      </x:c>
      <x:c r="G661" s="11" t="n">
        <x:f>IF('제외 후보'!M661="있음",'선정 규칙'!$B$18,'선정 규칙'!$B$19)</x:f>
        <x:v>-25</x:v>
      </x:c>
      <x:c r="H661" s="11" t="n">
        <x:f>IF(ISNUMBER(SEARCH("freq-core",'제외 후보'!AD661)),'선정 규칙'!$B$20,0)</x:f>
        <x:v>0</x:v>
      </x:c>
      <x:c r="I661" s="11" t="n">
        <x:f>IF(ISNUMBER(SEARCH("weak_legacy_content",'제외 후보'!P661)),'선정 규칙'!$B$21,0)</x:f>
        <x:v>0</x:v>
      </x:c>
      <x:c r="J661" s="11" t="n">
        <x:f>IF('제외 후보'!AC661&lt;&gt;"",'선정 규칙'!$B$22,0)</x:f>
        <x:v>0</x:v>
      </x:c>
      <x:c r="K661" s="11" t="n">
        <x:f>SUM(B661:J661)</x:f>
        <x:v>7</x:v>
      </x:c>
      <x:c r="L661" s="11" t="n">
        <x:f>'제외 후보'!N661</x:f>
        <x:v>7</x:v>
      </x:c>
      <x:c r="M661" s="2" t="str">
        <x:f>IF(K661=L661,"OK","MISMATCH")</x:f>
        <x:v>OK</x:v>
      </x:c>
    </x:row>
    <x:row r="662">
      <x:c r="A662" s="2" t="str">
        <x:f>'제외 후보'!G662</x:f>
        <x:v>w_854e32c64d79b629</x:v>
      </x:c>
      <x:c r="B662" s="11" t="n">
        <x:f>IF('제외 후보'!Q662&lt;&gt;"",'선정 규칙'!$B$4,0)</x:f>
        <x:v>0</x:v>
      </x:c>
      <x:c r="C662" s="11" t="n">
        <x:f>IF(ISNUMBER(SEARCH("jmdict_uncommon_or_irregular",'제외 후보'!P662)),'선정 규칙'!$B$5,IF(ISNUMBER(SEARCH("jmdict_rare_or_dated",'제외 후보'!P662)),'선정 규칙'!$B$6,0))</x:f>
        <x:v>0</x:v>
      </x:c>
      <x:c r="D662" s="11" t="n">
        <x:f>IF(ISNUMBER(SEARCH("jmdict_exact_pair_not_found",'제외 후보'!P662)),'선정 규칙'!$B$7,0)</x:f>
        <x:v>0</x:v>
      </x:c>
      <x:c r="E662" s="11" t="n">
        <x:f>IF(OR('제외 후보'!L662="",'제외 후보'!L662&lt;=0),'선정 규칙'!$B$8,IF('제외 후보'!L662&lt;=1.5,'선정 규칙'!$B$9,IF('제외 후보'!L662&lt;=2,'선정 규칙'!$B$10,IF('제외 후보'!L662&lt;=2.5,'선정 규칙'!$B$11,IF('제외 후보'!L662&lt;=3,'선정 규칙'!$B$12,IF('제외 후보'!L662&lt;=3.5,'선정 규칙'!$B$13,IF('제외 후보'!L662&gt;=4.5,'선정 규칙'!$B$14,0)))))))</x:f>
        <x:v>20</x:v>
      </x:c>
      <x:c r="F662" s="11" t="n">
        <x:f>IF('제외 후보'!Y662=0,'선정 규칙'!$B$15,IF('제외 후보'!Y662&gt;=100,'선정 규칙'!$B$16,'선정 규칙'!$B$17))</x:f>
        <x:v>12</x:v>
      </x:c>
      <x:c r="G662" s="11" t="n">
        <x:f>IF('제외 후보'!M662="있음",'선정 규칙'!$B$18,'선정 규칙'!$B$19)</x:f>
        <x:v>-25</x:v>
      </x:c>
      <x:c r="H662" s="11" t="n">
        <x:f>IF(ISNUMBER(SEARCH("freq-core",'제외 후보'!AD662)),'선정 규칙'!$B$20,0)</x:f>
        <x:v>0</x:v>
      </x:c>
      <x:c r="I662" s="11" t="n">
        <x:f>IF(ISNUMBER(SEARCH("weak_legacy_content",'제외 후보'!P662)),'선정 규칙'!$B$21,0)</x:f>
        <x:v>0</x:v>
      </x:c>
      <x:c r="J662" s="11" t="n">
        <x:f>IF('제외 후보'!AC662&lt;&gt;"",'선정 규칙'!$B$22,0)</x:f>
        <x:v>0</x:v>
      </x:c>
      <x:c r="K662" s="11" t="n">
        <x:f>SUM(B662:J662)</x:f>
        <x:v>7</x:v>
      </x:c>
      <x:c r="L662" s="11" t="n">
        <x:f>'제외 후보'!N662</x:f>
        <x:v>7</x:v>
      </x:c>
      <x:c r="M662" s="2" t="str">
        <x:f>IF(K662=L662,"OK","MISMATCH")</x:f>
        <x:v>OK</x:v>
      </x:c>
    </x:row>
    <x:row r="663">
      <x:c r="A663" s="2" t="str">
        <x:f>'제외 후보'!G663</x:f>
        <x:v>w_a1dfd00d0d68c478</x:v>
      </x:c>
      <x:c r="B663" s="11" t="n">
        <x:f>IF('제외 후보'!Q663&lt;&gt;"",'선정 규칙'!$B$4,0)</x:f>
        <x:v>0</x:v>
      </x:c>
      <x:c r="C663" s="11" t="n">
        <x:f>IF(ISNUMBER(SEARCH("jmdict_uncommon_or_irregular",'제외 후보'!P663)),'선정 규칙'!$B$5,IF(ISNUMBER(SEARCH("jmdict_rare_or_dated",'제외 후보'!P663)),'선정 규칙'!$B$6,0))</x:f>
        <x:v>0</x:v>
      </x:c>
      <x:c r="D663" s="11" t="n">
        <x:f>IF(ISNUMBER(SEARCH("jmdict_exact_pair_not_found",'제외 후보'!P663)),'선정 규칙'!$B$7,0)</x:f>
        <x:v>0</x:v>
      </x:c>
      <x:c r="E663" s="11" t="n">
        <x:f>IF(OR('제외 후보'!L663="",'제외 후보'!L663&lt;=0),'선정 규칙'!$B$8,IF('제외 후보'!L663&lt;=1.5,'선정 규칙'!$B$9,IF('제외 후보'!L663&lt;=2,'선정 규칙'!$B$10,IF('제외 후보'!L663&lt;=2.5,'선정 규칙'!$B$11,IF('제외 후보'!L663&lt;=3,'선정 규칙'!$B$12,IF('제외 후보'!L663&lt;=3.5,'선정 규칙'!$B$13,IF('제외 후보'!L663&gt;=4.5,'선정 규칙'!$B$14,0)))))))</x:f>
        <x:v>20</x:v>
      </x:c>
      <x:c r="F663" s="11" t="n">
        <x:f>IF('제외 후보'!Y663=0,'선정 규칙'!$B$15,IF('제외 후보'!Y663&gt;=100,'선정 규칙'!$B$16,'선정 규칙'!$B$17))</x:f>
        <x:v>12</x:v>
      </x:c>
      <x:c r="G663" s="11" t="n">
        <x:f>IF('제외 후보'!M663="있음",'선정 규칙'!$B$18,'선정 규칙'!$B$19)</x:f>
        <x:v>-25</x:v>
      </x:c>
      <x:c r="H663" s="11" t="n">
        <x:f>IF(ISNUMBER(SEARCH("freq-core",'제외 후보'!AD663)),'선정 규칙'!$B$20,0)</x:f>
        <x:v>0</x:v>
      </x:c>
      <x:c r="I663" s="11" t="n">
        <x:f>IF(ISNUMBER(SEARCH("weak_legacy_content",'제외 후보'!P663)),'선정 규칙'!$B$21,0)</x:f>
        <x:v>0</x:v>
      </x:c>
      <x:c r="J663" s="11" t="n">
        <x:f>IF('제외 후보'!AC663&lt;&gt;"",'선정 규칙'!$B$22,0)</x:f>
        <x:v>0</x:v>
      </x:c>
      <x:c r="K663" s="11" t="n">
        <x:f>SUM(B663:J663)</x:f>
        <x:v>7</x:v>
      </x:c>
      <x:c r="L663" s="11" t="n">
        <x:f>'제외 후보'!N663</x:f>
        <x:v>7</x:v>
      </x:c>
      <x:c r="M663" s="2" t="str">
        <x:f>IF(K663=L663,"OK","MISMATCH")</x:f>
        <x:v>OK</x:v>
      </x:c>
    </x:row>
    <x:row r="664">
      <x:c r="A664" s="2" t="str">
        <x:f>'제외 후보'!G664</x:f>
        <x:v>w_6bd4411a881b3eb1</x:v>
      </x:c>
      <x:c r="B664" s="11" t="n">
        <x:f>IF('제외 후보'!Q664&lt;&gt;"",'선정 규칙'!$B$4,0)</x:f>
        <x:v>0</x:v>
      </x:c>
      <x:c r="C664" s="11" t="n">
        <x:f>IF(ISNUMBER(SEARCH("jmdict_uncommon_or_irregular",'제외 후보'!P664)),'선정 규칙'!$B$5,IF(ISNUMBER(SEARCH("jmdict_rare_or_dated",'제외 후보'!P664)),'선정 규칙'!$B$6,0))</x:f>
        <x:v>0</x:v>
      </x:c>
      <x:c r="D664" s="11" t="n">
        <x:f>IF(ISNUMBER(SEARCH("jmdict_exact_pair_not_found",'제외 후보'!P664)),'선정 규칙'!$B$7,0)</x:f>
        <x:v>0</x:v>
      </x:c>
      <x:c r="E664" s="11" t="n">
        <x:f>IF(OR('제외 후보'!L664="",'제외 후보'!L664&lt;=0),'선정 규칙'!$B$8,IF('제외 후보'!L664&lt;=1.5,'선정 규칙'!$B$9,IF('제외 후보'!L664&lt;=2,'선정 규칙'!$B$10,IF('제외 후보'!L664&lt;=2.5,'선정 규칙'!$B$11,IF('제외 후보'!L664&lt;=3,'선정 규칙'!$B$12,IF('제외 후보'!L664&lt;=3.5,'선정 규칙'!$B$13,IF('제외 후보'!L664&gt;=4.5,'선정 규칙'!$B$14,0)))))))</x:f>
        <x:v>20</x:v>
      </x:c>
      <x:c r="F664" s="11" t="n">
        <x:f>IF('제외 후보'!Y664=0,'선정 규칙'!$B$15,IF('제외 후보'!Y664&gt;=100,'선정 규칙'!$B$16,'선정 규칙'!$B$17))</x:f>
        <x:v>12</x:v>
      </x:c>
      <x:c r="G664" s="11" t="n">
        <x:f>IF('제외 후보'!M664="있음",'선정 규칙'!$B$18,'선정 규칙'!$B$19)</x:f>
        <x:v>-25</x:v>
      </x:c>
      <x:c r="H664" s="11" t="n">
        <x:f>IF(ISNUMBER(SEARCH("freq-core",'제외 후보'!AD664)),'선정 규칙'!$B$20,0)</x:f>
        <x:v>0</x:v>
      </x:c>
      <x:c r="I664" s="11" t="n">
        <x:f>IF(ISNUMBER(SEARCH("weak_legacy_content",'제외 후보'!P664)),'선정 규칙'!$B$21,0)</x:f>
        <x:v>0</x:v>
      </x:c>
      <x:c r="J664" s="11" t="n">
        <x:f>IF('제외 후보'!AC664&lt;&gt;"",'선정 규칙'!$B$22,0)</x:f>
        <x:v>0</x:v>
      </x:c>
      <x:c r="K664" s="11" t="n">
        <x:f>SUM(B664:J664)</x:f>
        <x:v>7</x:v>
      </x:c>
      <x:c r="L664" s="11" t="n">
        <x:f>'제외 후보'!N664</x:f>
        <x:v>7</x:v>
      </x:c>
      <x:c r="M664" s="2" t="str">
        <x:f>IF(K664=L664,"OK","MISMATCH")</x:f>
        <x:v>OK</x:v>
      </x:c>
    </x:row>
    <x:row r="665">
      <x:c r="A665" s="2" t="str">
        <x:f>'제외 후보'!G665</x:f>
        <x:v>w_ed3b692c35933354</x:v>
      </x:c>
      <x:c r="B665" s="11" t="n">
        <x:f>IF('제외 후보'!Q665&lt;&gt;"",'선정 규칙'!$B$4,0)</x:f>
        <x:v>0</x:v>
      </x:c>
      <x:c r="C665" s="11" t="n">
        <x:f>IF(ISNUMBER(SEARCH("jmdict_uncommon_or_irregular",'제외 후보'!P665)),'선정 규칙'!$B$5,IF(ISNUMBER(SEARCH("jmdict_rare_or_dated",'제외 후보'!P665)),'선정 규칙'!$B$6,0))</x:f>
        <x:v>0</x:v>
      </x:c>
      <x:c r="D665" s="11" t="n">
        <x:f>IF(ISNUMBER(SEARCH("jmdict_exact_pair_not_found",'제외 후보'!P665)),'선정 규칙'!$B$7,0)</x:f>
        <x:v>0</x:v>
      </x:c>
      <x:c r="E665" s="11" t="n">
        <x:f>IF(OR('제외 후보'!L665="",'제외 후보'!L665&lt;=0),'선정 규칙'!$B$8,IF('제외 후보'!L665&lt;=1.5,'선정 규칙'!$B$9,IF('제외 후보'!L665&lt;=2,'선정 규칙'!$B$10,IF('제외 후보'!L665&lt;=2.5,'선정 규칙'!$B$11,IF('제외 후보'!L665&lt;=3,'선정 규칙'!$B$12,IF('제외 후보'!L665&lt;=3.5,'선정 규칙'!$B$13,IF('제외 후보'!L665&gt;=4.5,'선정 규칙'!$B$14,0)))))))</x:f>
        <x:v>20</x:v>
      </x:c>
      <x:c r="F665" s="11" t="n">
        <x:f>IF('제외 후보'!Y665=0,'선정 규칙'!$B$15,IF('제외 후보'!Y665&gt;=100,'선정 규칙'!$B$16,'선정 규칙'!$B$17))</x:f>
        <x:v>12</x:v>
      </x:c>
      <x:c r="G665" s="11" t="n">
        <x:f>IF('제외 후보'!M665="있음",'선정 규칙'!$B$18,'선정 규칙'!$B$19)</x:f>
        <x:v>-25</x:v>
      </x:c>
      <x:c r="H665" s="11" t="n">
        <x:f>IF(ISNUMBER(SEARCH("freq-core",'제외 후보'!AD665)),'선정 규칙'!$B$20,0)</x:f>
        <x:v>0</x:v>
      </x:c>
      <x:c r="I665" s="11" t="n">
        <x:f>IF(ISNUMBER(SEARCH("weak_legacy_content",'제외 후보'!P665)),'선정 규칙'!$B$21,0)</x:f>
        <x:v>0</x:v>
      </x:c>
      <x:c r="J665" s="11" t="n">
        <x:f>IF('제외 후보'!AC665&lt;&gt;"",'선정 규칙'!$B$22,0)</x:f>
        <x:v>0</x:v>
      </x:c>
      <x:c r="K665" s="11" t="n">
        <x:f>SUM(B665:J665)</x:f>
        <x:v>7</x:v>
      </x:c>
      <x:c r="L665" s="11" t="n">
        <x:f>'제외 후보'!N665</x:f>
        <x:v>7</x:v>
      </x:c>
      <x:c r="M665" s="2" t="str">
        <x:f>IF(K665=L665,"OK","MISMATCH")</x:f>
        <x:v>OK</x:v>
      </x:c>
    </x:row>
    <x:row r="666">
      <x:c r="A666" s="2" t="str">
        <x:f>'제외 후보'!G666</x:f>
        <x:v>w_691808e19c0dab9b</x:v>
      </x:c>
      <x:c r="B666" s="11" t="n">
        <x:f>IF('제외 후보'!Q666&lt;&gt;"",'선정 규칙'!$B$4,0)</x:f>
        <x:v>0</x:v>
      </x:c>
      <x:c r="C666" s="11" t="n">
        <x:f>IF(ISNUMBER(SEARCH("jmdict_uncommon_or_irregular",'제외 후보'!P666)),'선정 규칙'!$B$5,IF(ISNUMBER(SEARCH("jmdict_rare_or_dated",'제외 후보'!P666)),'선정 규칙'!$B$6,0))</x:f>
        <x:v>0</x:v>
      </x:c>
      <x:c r="D666" s="11" t="n">
        <x:f>IF(ISNUMBER(SEARCH("jmdict_exact_pair_not_found",'제외 후보'!P666)),'선정 규칙'!$B$7,0)</x:f>
        <x:v>0</x:v>
      </x:c>
      <x:c r="E666" s="11" t="n">
        <x:f>IF(OR('제외 후보'!L666="",'제외 후보'!L666&lt;=0),'선정 규칙'!$B$8,IF('제외 후보'!L666&lt;=1.5,'선정 규칙'!$B$9,IF('제외 후보'!L666&lt;=2,'선정 규칙'!$B$10,IF('제외 후보'!L666&lt;=2.5,'선정 규칙'!$B$11,IF('제외 후보'!L666&lt;=3,'선정 규칙'!$B$12,IF('제외 후보'!L666&lt;=3.5,'선정 규칙'!$B$13,IF('제외 후보'!L666&gt;=4.5,'선정 규칙'!$B$14,0)))))))</x:f>
        <x:v>20</x:v>
      </x:c>
      <x:c r="F666" s="11" t="n">
        <x:f>IF('제외 후보'!Y666=0,'선정 규칙'!$B$15,IF('제외 후보'!Y666&gt;=100,'선정 규칙'!$B$16,'선정 규칙'!$B$17))</x:f>
        <x:v>12</x:v>
      </x:c>
      <x:c r="G666" s="11" t="n">
        <x:f>IF('제외 후보'!M666="있음",'선정 규칙'!$B$18,'선정 규칙'!$B$19)</x:f>
        <x:v>-25</x:v>
      </x:c>
      <x:c r="H666" s="11" t="n">
        <x:f>IF(ISNUMBER(SEARCH("freq-core",'제외 후보'!AD666)),'선정 규칙'!$B$20,0)</x:f>
        <x:v>0</x:v>
      </x:c>
      <x:c r="I666" s="11" t="n">
        <x:f>IF(ISNUMBER(SEARCH("weak_legacy_content",'제외 후보'!P666)),'선정 규칙'!$B$21,0)</x:f>
        <x:v>0</x:v>
      </x:c>
      <x:c r="J666" s="11" t="n">
        <x:f>IF('제외 후보'!AC666&lt;&gt;"",'선정 규칙'!$B$22,0)</x:f>
        <x:v>0</x:v>
      </x:c>
      <x:c r="K666" s="11" t="n">
        <x:f>SUM(B666:J666)</x:f>
        <x:v>7</x:v>
      </x:c>
      <x:c r="L666" s="11" t="n">
        <x:f>'제외 후보'!N666</x:f>
        <x:v>7</x:v>
      </x:c>
      <x:c r="M666" s="2" t="str">
        <x:f>IF(K666=L666,"OK","MISMATCH")</x:f>
        <x:v>OK</x:v>
      </x:c>
    </x:row>
    <x:row r="667">
      <x:c r="A667" s="2" t="str">
        <x:f>'제외 후보'!G667</x:f>
        <x:v>w_5cb28e413943d38b</x:v>
      </x:c>
      <x:c r="B667" s="11" t="n">
        <x:f>IF('제외 후보'!Q667&lt;&gt;"",'선정 규칙'!$B$4,0)</x:f>
        <x:v>0</x:v>
      </x:c>
      <x:c r="C667" s="11" t="n">
        <x:f>IF(ISNUMBER(SEARCH("jmdict_uncommon_or_irregular",'제외 후보'!P667)),'선정 규칙'!$B$5,IF(ISNUMBER(SEARCH("jmdict_rare_or_dated",'제외 후보'!P667)),'선정 규칙'!$B$6,0))</x:f>
        <x:v>50</x:v>
      </x:c>
      <x:c r="D667" s="11" t="n">
        <x:f>IF(ISNUMBER(SEARCH("jmdict_exact_pair_not_found",'제외 후보'!P667)),'선정 규칙'!$B$7,0)</x:f>
        <x:v>0</x:v>
      </x:c>
      <x:c r="E667" s="11" t="n">
        <x:f>IF(OR('제외 후보'!L667="",'제외 후보'!L667&lt;=0),'선정 규칙'!$B$8,IF('제외 후보'!L667&lt;=1.5,'선정 규칙'!$B$9,IF('제외 후보'!L667&lt;=2,'선정 규칙'!$B$10,IF('제외 후보'!L667&lt;=2.5,'선정 규칙'!$B$11,IF('제외 후보'!L667&lt;=3,'선정 규칙'!$B$12,IF('제외 후보'!L667&lt;=3.5,'선정 규칙'!$B$13,IF('제외 후보'!L667&gt;=4.5,'선정 규칙'!$B$14,0)))))))</x:f>
        <x:v>6</x:v>
      </x:c>
      <x:c r="F667" s="11" t="n">
        <x:f>IF('제외 후보'!Y667=0,'선정 규칙'!$B$15,IF('제외 후보'!Y667&gt;=100,'선정 규칙'!$B$16,'선정 규칙'!$B$17))</x:f>
        <x:v>-25</x:v>
      </x:c>
      <x:c r="G667" s="11" t="n">
        <x:f>IF('제외 후보'!M667="있음",'선정 규칙'!$B$18,'선정 규칙'!$B$19)</x:f>
        <x:v>6</x:v>
      </x:c>
      <x:c r="H667" s="11" t="n">
        <x:f>IF(ISNUMBER(SEARCH("freq-core",'제외 후보'!AD667)),'선정 규칙'!$B$20,0)</x:f>
        <x:v>-30</x:v>
      </x:c>
      <x:c r="I667" s="11" t="n">
        <x:f>IF(ISNUMBER(SEARCH("weak_legacy_content",'제외 후보'!P667)),'선정 규칙'!$B$21,0)</x:f>
        <x:v>0</x:v>
      </x:c>
      <x:c r="J667" s="11" t="n">
        <x:f>IF('제외 후보'!AC667&lt;&gt;"",'선정 규칙'!$B$22,0)</x:f>
        <x:v>0</x:v>
      </x:c>
      <x:c r="K667" s="11" t="n">
        <x:f>SUM(B667:J667)</x:f>
        <x:v>7</x:v>
      </x:c>
      <x:c r="L667" s="11" t="n">
        <x:f>'제외 후보'!N667</x:f>
        <x:v>7</x:v>
      </x:c>
      <x:c r="M667" s="2" t="str">
        <x:f>IF(K667=L667,"OK","MISMATCH")</x:f>
        <x:v>OK</x:v>
      </x:c>
    </x:row>
    <x:row r="668">
      <x:c r="A668" s="2" t="str">
        <x:f>'제외 후보'!G668</x:f>
        <x:v>w_e6f86464c0b05783</x:v>
      </x:c>
      <x:c r="B668" s="11" t="n">
        <x:f>IF('제외 후보'!Q668&lt;&gt;"",'선정 규칙'!$B$4,0)</x:f>
        <x:v>0</x:v>
      </x:c>
      <x:c r="C668" s="11" t="n">
        <x:f>IF(ISNUMBER(SEARCH("jmdict_uncommon_or_irregular",'제외 후보'!P668)),'선정 규칙'!$B$5,IF(ISNUMBER(SEARCH("jmdict_rare_or_dated",'제외 후보'!P668)),'선정 규칙'!$B$6,0))</x:f>
        <x:v>0</x:v>
      </x:c>
      <x:c r="D668" s="11" t="n">
        <x:f>IF(ISNUMBER(SEARCH("jmdict_exact_pair_not_found",'제외 후보'!P668)),'선정 규칙'!$B$7,0)</x:f>
        <x:v>35</x:v>
      </x:c>
      <x:c r="E668" s="11" t="n">
        <x:f>IF(OR('제외 후보'!L668="",'제외 후보'!L668&lt;=0),'선정 규칙'!$B$8,IF('제외 후보'!L668&lt;=1.5,'선정 규칙'!$B$9,IF('제외 후보'!L668&lt;=2,'선정 규칙'!$B$10,IF('제외 후보'!L668&lt;=2.5,'선정 규칙'!$B$11,IF('제외 후보'!L668&lt;=3,'선정 규칙'!$B$12,IF('제외 후보'!L668&lt;=3.5,'선정 규칙'!$B$13,IF('제외 후보'!L668&gt;=4.5,'선정 규칙'!$B$14,0)))))))</x:f>
        <x:v>-20</x:v>
      </x:c>
      <x:c r="F668" s="11" t="n">
        <x:f>IF('제외 후보'!Y668=0,'선정 규칙'!$B$15,IF('제외 후보'!Y668&gt;=100,'선정 규칙'!$B$16,'선정 규칙'!$B$17))</x:f>
        <x:v>12</x:v>
      </x:c>
      <x:c r="G668" s="11" t="n">
        <x:f>IF('제외 후보'!M668="있음",'선정 규칙'!$B$18,'선정 규칙'!$B$19)</x:f>
        <x:v>-25</x:v>
      </x:c>
      <x:c r="H668" s="11" t="n">
        <x:f>IF(ISNUMBER(SEARCH("freq-core",'제외 후보'!AD668)),'선정 규칙'!$B$20,0)</x:f>
        <x:v>0</x:v>
      </x:c>
      <x:c r="I668" s="11" t="n">
        <x:f>IF(ISNUMBER(SEARCH("weak_legacy_content",'제외 후보'!P668)),'선정 규칙'!$B$21,0)</x:f>
        <x:v>5</x:v>
      </x:c>
      <x:c r="J668" s="11" t="n">
        <x:f>IF('제외 후보'!AC668&lt;&gt;"",'선정 규칙'!$B$22,0)</x:f>
        <x:v>0</x:v>
      </x:c>
      <x:c r="K668" s="11" t="n">
        <x:f>SUM(B668:J668)</x:f>
        <x:v>7</x:v>
      </x:c>
      <x:c r="L668" s="11" t="n">
        <x:f>'제외 후보'!N668</x:f>
        <x:v>7</x:v>
      </x:c>
      <x:c r="M668" s="2" t="str">
        <x:f>IF(K668=L668,"OK","MISMATCH")</x:f>
        <x:v>OK</x:v>
      </x:c>
    </x:row>
    <x:row r="669">
      <x:c r="A669" s="2" t="str">
        <x:f>'제외 후보'!G669</x:f>
        <x:v>w_75d8c2a5f7f024b5</x:v>
      </x:c>
      <x:c r="B669" s="11" t="n">
        <x:f>IF('제외 후보'!Q669&lt;&gt;"",'선정 규칙'!$B$4,0)</x:f>
        <x:v>0</x:v>
      </x:c>
      <x:c r="C669" s="11" t="n">
        <x:f>IF(ISNUMBER(SEARCH("jmdict_uncommon_or_irregular",'제외 후보'!P669)),'선정 규칙'!$B$5,IF(ISNUMBER(SEARCH("jmdict_rare_or_dated",'제외 후보'!P669)),'선정 규칙'!$B$6,0))</x:f>
        <x:v>0</x:v>
      </x:c>
      <x:c r="D669" s="11" t="n">
        <x:f>IF(ISNUMBER(SEARCH("jmdict_exact_pair_not_found",'제외 후보'!P669)),'선정 규칙'!$B$7,0)</x:f>
        <x:v>35</x:v>
      </x:c>
      <x:c r="E669" s="11" t="n">
        <x:f>IF(OR('제외 후보'!L669="",'제외 후보'!L669&lt;=0),'선정 규칙'!$B$8,IF('제외 후보'!L669&lt;=1.5,'선정 규칙'!$B$9,IF('제외 후보'!L669&lt;=2,'선정 규칙'!$B$10,IF('제외 후보'!L669&lt;=2.5,'선정 규칙'!$B$11,IF('제외 후보'!L669&lt;=3,'선정 규칙'!$B$12,IF('제외 후보'!L669&lt;=3.5,'선정 규칙'!$B$13,IF('제외 후보'!L669&gt;=4.5,'선정 규칙'!$B$14,0)))))))</x:f>
        <x:v>-20</x:v>
      </x:c>
      <x:c r="F669" s="11" t="n">
        <x:f>IF('제외 후보'!Y669=0,'선정 규칙'!$B$15,IF('제외 후보'!Y669&gt;=100,'선정 규칙'!$B$16,'선정 규칙'!$B$17))</x:f>
        <x:v>12</x:v>
      </x:c>
      <x:c r="G669" s="11" t="n">
        <x:f>IF('제외 후보'!M669="있음",'선정 규칙'!$B$18,'선정 규칙'!$B$19)</x:f>
        <x:v>-25</x:v>
      </x:c>
      <x:c r="H669" s="11" t="n">
        <x:f>IF(ISNUMBER(SEARCH("freq-core",'제외 후보'!AD669)),'선정 규칙'!$B$20,0)</x:f>
        <x:v>0</x:v>
      </x:c>
      <x:c r="I669" s="11" t="n">
        <x:f>IF(ISNUMBER(SEARCH("weak_legacy_content",'제외 후보'!P669)),'선정 규칙'!$B$21,0)</x:f>
        <x:v>5</x:v>
      </x:c>
      <x:c r="J669" s="11" t="n">
        <x:f>IF('제외 후보'!AC669&lt;&gt;"",'선정 규칙'!$B$22,0)</x:f>
        <x:v>0</x:v>
      </x:c>
      <x:c r="K669" s="11" t="n">
        <x:f>SUM(B669:J669)</x:f>
        <x:v>7</x:v>
      </x:c>
      <x:c r="L669" s="11" t="n">
        <x:f>'제외 후보'!N669</x:f>
        <x:v>7</x:v>
      </x:c>
      <x:c r="M669" s="2" t="str">
        <x:f>IF(K669=L669,"OK","MISMATCH")</x:f>
        <x:v>OK</x:v>
      </x:c>
    </x:row>
    <x:row r="670">
      <x:c r="A670" s="2" t="str">
        <x:f>'제외 후보'!G670</x:f>
        <x:v>w_6d79a3fe603a27ca</x:v>
      </x:c>
      <x:c r="B670" s="11" t="n">
        <x:f>IF('제외 후보'!Q670&lt;&gt;"",'선정 규칙'!$B$4,0)</x:f>
        <x:v>0</x:v>
      </x:c>
      <x:c r="C670" s="11" t="n">
        <x:f>IF(ISNUMBER(SEARCH("jmdict_uncommon_or_irregular",'제외 후보'!P670)),'선정 규칙'!$B$5,IF(ISNUMBER(SEARCH("jmdict_rare_or_dated",'제외 후보'!P670)),'선정 규칙'!$B$6,0))</x:f>
        <x:v>0</x:v>
      </x:c>
      <x:c r="D670" s="11" t="n">
        <x:f>IF(ISNUMBER(SEARCH("jmdict_exact_pair_not_found",'제외 후보'!P670)),'선정 규칙'!$B$7,0)</x:f>
        <x:v>35</x:v>
      </x:c>
      <x:c r="E670" s="11" t="n">
        <x:f>IF(OR('제외 후보'!L670="",'제외 후보'!L670&lt;=0),'선정 규칙'!$B$8,IF('제외 후보'!L670&lt;=1.5,'선정 규칙'!$B$9,IF('제외 후보'!L670&lt;=2,'선정 규칙'!$B$10,IF('제외 후보'!L670&lt;=2.5,'선정 규칙'!$B$11,IF('제외 후보'!L670&lt;=3,'선정 규칙'!$B$12,IF('제외 후보'!L670&lt;=3.5,'선정 규칙'!$B$13,IF('제외 후보'!L670&gt;=4.5,'선정 규칙'!$B$14,0)))))))</x:f>
        <x:v>-20</x:v>
      </x:c>
      <x:c r="F670" s="11" t="n">
        <x:f>IF('제외 후보'!Y670=0,'선정 규칙'!$B$15,IF('제외 후보'!Y670&gt;=100,'선정 규칙'!$B$16,'선정 규칙'!$B$17))</x:f>
        <x:v>12</x:v>
      </x:c>
      <x:c r="G670" s="11" t="n">
        <x:f>IF('제외 후보'!M670="있음",'선정 규칙'!$B$18,'선정 규칙'!$B$19)</x:f>
        <x:v>-25</x:v>
      </x:c>
      <x:c r="H670" s="11" t="n">
        <x:f>IF(ISNUMBER(SEARCH("freq-core",'제외 후보'!AD670)),'선정 규칙'!$B$20,0)</x:f>
        <x:v>0</x:v>
      </x:c>
      <x:c r="I670" s="11" t="n">
        <x:f>IF(ISNUMBER(SEARCH("weak_legacy_content",'제외 후보'!P670)),'선정 규칙'!$B$21,0)</x:f>
        <x:v>5</x:v>
      </x:c>
      <x:c r="J670" s="11" t="n">
        <x:f>IF('제외 후보'!AC670&lt;&gt;"",'선정 규칙'!$B$22,0)</x:f>
        <x:v>0</x:v>
      </x:c>
      <x:c r="K670" s="11" t="n">
        <x:f>SUM(B670:J670)</x:f>
        <x:v>7</x:v>
      </x:c>
      <x:c r="L670" s="11" t="n">
        <x:f>'제외 후보'!N670</x:f>
        <x:v>7</x:v>
      </x:c>
      <x:c r="M670" s="2" t="str">
        <x:f>IF(K670=L670,"OK","MISMATCH")</x:f>
        <x:v>OK</x:v>
      </x:c>
    </x:row>
    <x:row r="671">
      <x:c r="A671" s="2" t="str">
        <x:f>'제외 후보'!G671</x:f>
        <x:v>w_d9fc6247617c192a</x:v>
      </x:c>
      <x:c r="B671" s="11" t="n">
        <x:f>IF('제외 후보'!Q671&lt;&gt;"",'선정 규칙'!$B$4,0)</x:f>
        <x:v>0</x:v>
      </x:c>
      <x:c r="C671" s="11" t="n">
        <x:f>IF(ISNUMBER(SEARCH("jmdict_uncommon_or_irregular",'제외 후보'!P671)),'선정 규칙'!$B$5,IF(ISNUMBER(SEARCH("jmdict_rare_or_dated",'제외 후보'!P671)),'선정 규칙'!$B$6,0))</x:f>
        <x:v>0</x:v>
      </x:c>
      <x:c r="D671" s="11" t="n">
        <x:f>IF(ISNUMBER(SEARCH("jmdict_exact_pair_not_found",'제외 후보'!P671)),'선정 규칙'!$B$7,0)</x:f>
        <x:v>35</x:v>
      </x:c>
      <x:c r="E671" s="11" t="n">
        <x:f>IF(OR('제외 후보'!L671="",'제외 후보'!L671&lt;=0),'선정 규칙'!$B$8,IF('제외 후보'!L671&lt;=1.5,'선정 규칙'!$B$9,IF('제외 후보'!L671&lt;=2,'선정 규칙'!$B$10,IF('제외 후보'!L671&lt;=2.5,'선정 규칙'!$B$11,IF('제외 후보'!L671&lt;=3,'선정 규칙'!$B$12,IF('제외 후보'!L671&lt;=3.5,'선정 규칙'!$B$13,IF('제외 후보'!L671&gt;=4.5,'선정 규칙'!$B$14,0)))))))</x:f>
        <x:v>-20</x:v>
      </x:c>
      <x:c r="F671" s="11" t="n">
        <x:f>IF('제외 후보'!Y671=0,'선정 규칙'!$B$15,IF('제외 후보'!Y671&gt;=100,'선정 규칙'!$B$16,'선정 규칙'!$B$17))</x:f>
        <x:v>12</x:v>
      </x:c>
      <x:c r="G671" s="11" t="n">
        <x:f>IF('제외 후보'!M671="있음",'선정 규칙'!$B$18,'선정 규칙'!$B$19)</x:f>
        <x:v>-25</x:v>
      </x:c>
      <x:c r="H671" s="11" t="n">
        <x:f>IF(ISNUMBER(SEARCH("freq-core",'제외 후보'!AD671)),'선정 규칙'!$B$20,0)</x:f>
        <x:v>0</x:v>
      </x:c>
      <x:c r="I671" s="11" t="n">
        <x:f>IF(ISNUMBER(SEARCH("weak_legacy_content",'제외 후보'!P671)),'선정 규칙'!$B$21,0)</x:f>
        <x:v>5</x:v>
      </x:c>
      <x:c r="J671" s="11" t="n">
        <x:f>IF('제외 후보'!AC671&lt;&gt;"",'선정 규칙'!$B$22,0)</x:f>
        <x:v>0</x:v>
      </x:c>
      <x:c r="K671" s="11" t="n">
        <x:f>SUM(B671:J671)</x:f>
        <x:v>7</x:v>
      </x:c>
      <x:c r="L671" s="11" t="n">
        <x:f>'제외 후보'!N671</x:f>
        <x:v>7</x:v>
      </x:c>
      <x:c r="M671" s="2" t="str">
        <x:f>IF(K671=L671,"OK","MISMATCH")</x:f>
        <x:v>OK</x:v>
      </x:c>
    </x:row>
    <x:row r="672">
      <x:c r="A672" s="2" t="str">
        <x:f>'제외 후보'!G672</x:f>
        <x:v>w_613ffb99d747e5d1</x:v>
      </x:c>
      <x:c r="B672" s="11" t="n">
        <x:f>IF('제외 후보'!Q672&lt;&gt;"",'선정 규칙'!$B$4,0)</x:f>
        <x:v>0</x:v>
      </x:c>
      <x:c r="C672" s="11" t="n">
        <x:f>IF(ISNUMBER(SEARCH("jmdict_uncommon_or_irregular",'제외 후보'!P672)),'선정 규칙'!$B$5,IF(ISNUMBER(SEARCH("jmdict_rare_or_dated",'제외 후보'!P672)),'선정 규칙'!$B$6,0))</x:f>
        <x:v>0</x:v>
      </x:c>
      <x:c r="D672" s="11" t="n">
        <x:f>IF(ISNUMBER(SEARCH("jmdict_exact_pair_not_found",'제외 후보'!P672)),'선정 규칙'!$B$7,0)</x:f>
        <x:v>35</x:v>
      </x:c>
      <x:c r="E672" s="11" t="n">
        <x:f>IF(OR('제외 후보'!L672="",'제외 후보'!L672&lt;=0),'선정 규칙'!$B$8,IF('제외 후보'!L672&lt;=1.5,'선정 규칙'!$B$9,IF('제외 후보'!L672&lt;=2,'선정 규칙'!$B$10,IF('제외 후보'!L672&lt;=2.5,'선정 규칙'!$B$11,IF('제외 후보'!L672&lt;=3,'선정 규칙'!$B$12,IF('제외 후보'!L672&lt;=3.5,'선정 규칙'!$B$13,IF('제외 후보'!L672&gt;=4.5,'선정 규칙'!$B$14,0)))))))</x:f>
        <x:v>-20</x:v>
      </x:c>
      <x:c r="F672" s="11" t="n">
        <x:f>IF('제외 후보'!Y672=0,'선정 규칙'!$B$15,IF('제외 후보'!Y672&gt;=100,'선정 규칙'!$B$16,'선정 규칙'!$B$17))</x:f>
        <x:v>12</x:v>
      </x:c>
      <x:c r="G672" s="11" t="n">
        <x:f>IF('제외 후보'!M672="있음",'선정 규칙'!$B$18,'선정 규칙'!$B$19)</x:f>
        <x:v>-25</x:v>
      </x:c>
      <x:c r="H672" s="11" t="n">
        <x:f>IF(ISNUMBER(SEARCH("freq-core",'제외 후보'!AD672)),'선정 규칙'!$B$20,0)</x:f>
        <x:v>0</x:v>
      </x:c>
      <x:c r="I672" s="11" t="n">
        <x:f>IF(ISNUMBER(SEARCH("weak_legacy_content",'제외 후보'!P672)),'선정 규칙'!$B$21,0)</x:f>
        <x:v>5</x:v>
      </x:c>
      <x:c r="J672" s="11" t="n">
        <x:f>IF('제외 후보'!AC672&lt;&gt;"",'선정 규칙'!$B$22,0)</x:f>
        <x:v>0</x:v>
      </x:c>
      <x:c r="K672" s="11" t="n">
        <x:f>SUM(B672:J672)</x:f>
        <x:v>7</x:v>
      </x:c>
      <x:c r="L672" s="11" t="n">
        <x:f>'제외 후보'!N672</x:f>
        <x:v>7</x:v>
      </x:c>
      <x:c r="M672" s="2" t="str">
        <x:f>IF(K672=L672,"OK","MISMATCH")</x:f>
        <x:v>OK</x:v>
      </x:c>
    </x:row>
    <x:row r="673">
      <x:c r="A673" s="2" t="str">
        <x:f>'제외 후보'!G673</x:f>
        <x:v>w_0d75d10f210602c1</x:v>
      </x:c>
      <x:c r="B673" s="11" t="n">
        <x:f>IF('제외 후보'!Q673&lt;&gt;"",'선정 규칙'!$B$4,0)</x:f>
        <x:v>0</x:v>
      </x:c>
      <x:c r="C673" s="11" t="n">
        <x:f>IF(ISNUMBER(SEARCH("jmdict_uncommon_or_irregular",'제외 후보'!P673)),'선정 규칙'!$B$5,IF(ISNUMBER(SEARCH("jmdict_rare_or_dated",'제외 후보'!P673)),'선정 규칙'!$B$6,0))</x:f>
        <x:v>0</x:v>
      </x:c>
      <x:c r="D673" s="11" t="n">
        <x:f>IF(ISNUMBER(SEARCH("jmdict_exact_pair_not_found",'제외 후보'!P673)),'선정 규칙'!$B$7,0)</x:f>
        <x:v>35</x:v>
      </x:c>
      <x:c r="E673" s="11" t="n">
        <x:f>IF(OR('제외 후보'!L673="",'제외 후보'!L673&lt;=0),'선정 규칙'!$B$8,IF('제외 후보'!L673&lt;=1.5,'선정 규칙'!$B$9,IF('제외 후보'!L673&lt;=2,'선정 규칙'!$B$10,IF('제외 후보'!L673&lt;=2.5,'선정 규칙'!$B$11,IF('제외 후보'!L673&lt;=3,'선정 규칙'!$B$12,IF('제외 후보'!L673&lt;=3.5,'선정 규칙'!$B$13,IF('제외 후보'!L673&gt;=4.5,'선정 규칙'!$B$14,0)))))))</x:f>
        <x:v>-20</x:v>
      </x:c>
      <x:c r="F673" s="11" t="n">
        <x:f>IF('제외 후보'!Y673=0,'선정 규칙'!$B$15,IF('제외 후보'!Y673&gt;=100,'선정 규칙'!$B$16,'선정 규칙'!$B$17))</x:f>
        <x:v>12</x:v>
      </x:c>
      <x:c r="G673" s="11" t="n">
        <x:f>IF('제외 후보'!M673="있음",'선정 규칙'!$B$18,'선정 규칙'!$B$19)</x:f>
        <x:v>-25</x:v>
      </x:c>
      <x:c r="H673" s="11" t="n">
        <x:f>IF(ISNUMBER(SEARCH("freq-core",'제외 후보'!AD673)),'선정 규칙'!$B$20,0)</x:f>
        <x:v>0</x:v>
      </x:c>
      <x:c r="I673" s="11" t="n">
        <x:f>IF(ISNUMBER(SEARCH("weak_legacy_content",'제외 후보'!P673)),'선정 규칙'!$B$21,0)</x:f>
        <x:v>5</x:v>
      </x:c>
      <x:c r="J673" s="11" t="n">
        <x:f>IF('제외 후보'!AC673&lt;&gt;"",'선정 규칙'!$B$22,0)</x:f>
        <x:v>0</x:v>
      </x:c>
      <x:c r="K673" s="11" t="n">
        <x:f>SUM(B673:J673)</x:f>
        <x:v>7</x:v>
      </x:c>
      <x:c r="L673" s="11" t="n">
        <x:f>'제외 후보'!N673</x:f>
        <x:v>7</x:v>
      </x:c>
      <x:c r="M673" s="2" t="str">
        <x:f>IF(K673=L673,"OK","MISMATCH")</x:f>
        <x:v>OK</x:v>
      </x:c>
    </x:row>
    <x:row r="674">
      <x:c r="A674" s="2" t="str">
        <x:f>'제외 후보'!G674</x:f>
        <x:v>w_4ccc7707eb41bcc5</x:v>
      </x:c>
      <x:c r="B674" s="11" t="n">
        <x:f>IF('제외 후보'!Q674&lt;&gt;"",'선정 규칙'!$B$4,0)</x:f>
        <x:v>0</x:v>
      </x:c>
      <x:c r="C674" s="11" t="n">
        <x:f>IF(ISNUMBER(SEARCH("jmdict_uncommon_or_irregular",'제외 후보'!P674)),'선정 규칙'!$B$5,IF(ISNUMBER(SEARCH("jmdict_rare_or_dated",'제외 후보'!P674)),'선정 규칙'!$B$6,0))</x:f>
        <x:v>0</x:v>
      </x:c>
      <x:c r="D674" s="11" t="n">
        <x:f>IF(ISNUMBER(SEARCH("jmdict_exact_pair_not_found",'제외 후보'!P674)),'선정 규칙'!$B$7,0)</x:f>
        <x:v>0</x:v>
      </x:c>
      <x:c r="E674" s="11" t="n">
        <x:f>IF(OR('제외 후보'!L674="",'제외 후보'!L674&lt;=0),'선정 규칙'!$B$8,IF('제외 후보'!L674&lt;=1.5,'선정 규칙'!$B$9,IF('제외 후보'!L674&lt;=2,'선정 규칙'!$B$10,IF('제외 후보'!L674&lt;=2.5,'선정 규칙'!$B$11,IF('제외 후보'!L674&lt;=3,'선정 규칙'!$B$12,IF('제외 후보'!L674&lt;=3.5,'선정 규칙'!$B$13,IF('제외 후보'!L674&gt;=4.5,'선정 규칙'!$B$14,0)))))))</x:f>
        <x:v>20</x:v>
      </x:c>
      <x:c r="F674" s="11" t="n">
        <x:f>IF('제외 후보'!Y674=0,'선정 규칙'!$B$15,IF('제외 후보'!Y674&gt;=100,'선정 규칙'!$B$16,'선정 규칙'!$B$17))</x:f>
        <x:v>-25</x:v>
      </x:c>
      <x:c r="G674" s="11" t="n">
        <x:f>IF('제외 후보'!M674="있음",'선정 규칙'!$B$18,'선정 규칙'!$B$19)</x:f>
        <x:v>6</x:v>
      </x:c>
      <x:c r="H674" s="11" t="n">
        <x:f>IF(ISNUMBER(SEARCH("freq-core",'제외 후보'!AD674)),'선정 규칙'!$B$20,0)</x:f>
        <x:v>0</x:v>
      </x:c>
      <x:c r="I674" s="11" t="n">
        <x:f>IF(ISNUMBER(SEARCH("weak_legacy_content",'제외 후보'!P674)),'선정 규칙'!$B$21,0)</x:f>
        <x:v>5</x:v>
      </x:c>
      <x:c r="J674" s="11" t="n">
        <x:f>IF('제외 후보'!AC674&lt;&gt;"",'선정 규칙'!$B$22,0)</x:f>
        <x:v>0</x:v>
      </x:c>
      <x:c r="K674" s="11" t="n">
        <x:f>SUM(B674:J674)</x:f>
        <x:v>6</x:v>
      </x:c>
      <x:c r="L674" s="11" t="n">
        <x:f>'제외 후보'!N674</x:f>
        <x:v>6</x:v>
      </x:c>
      <x:c r="M674" s="2" t="str">
        <x:f>IF(K674=L674,"OK","MISMATCH")</x:f>
        <x:v>OK</x:v>
      </x:c>
    </x:row>
    <x:row r="675">
      <x:c r="A675" s="2" t="str">
        <x:f>'제외 후보'!G675</x:f>
        <x:v>w_4860fcbefdb2220f</x:v>
      </x:c>
      <x:c r="B675" s="11" t="n">
        <x:f>IF('제외 후보'!Q675&lt;&gt;"",'선정 규칙'!$B$4,0)</x:f>
        <x:v>0</x:v>
      </x:c>
      <x:c r="C675" s="11" t="n">
        <x:f>IF(ISNUMBER(SEARCH("jmdict_uncommon_or_irregular",'제외 후보'!P675)),'선정 규칙'!$B$5,IF(ISNUMBER(SEARCH("jmdict_rare_or_dated",'제외 후보'!P675)),'선정 규칙'!$B$6,0))</x:f>
        <x:v>0</x:v>
      </x:c>
      <x:c r="D675" s="11" t="n">
        <x:f>IF(ISNUMBER(SEARCH("jmdict_exact_pair_not_found",'제외 후보'!P675)),'선정 규칙'!$B$7,0)</x:f>
        <x:v>0</x:v>
      </x:c>
      <x:c r="E675" s="11" t="n">
        <x:f>IF(OR('제외 후보'!L675="",'제외 후보'!L675&lt;=0),'선정 규칙'!$B$8,IF('제외 후보'!L675&lt;=1.5,'선정 규칙'!$B$9,IF('제외 후보'!L675&lt;=2,'선정 규칙'!$B$10,IF('제외 후보'!L675&lt;=2.5,'선정 규칙'!$B$11,IF('제외 후보'!L675&lt;=3,'선정 규칙'!$B$12,IF('제외 후보'!L675&lt;=3.5,'선정 규칙'!$B$13,IF('제외 후보'!L675&gt;=4.5,'선정 규칙'!$B$14,0)))))))</x:f>
        <x:v>20</x:v>
      </x:c>
      <x:c r="F675" s="11" t="n">
        <x:f>IF('제외 후보'!Y675=0,'선정 규칙'!$B$15,IF('제외 후보'!Y675&gt;=100,'선정 규칙'!$B$16,'선정 규칙'!$B$17))</x:f>
        <x:v>-25</x:v>
      </x:c>
      <x:c r="G675" s="11" t="n">
        <x:f>IF('제외 후보'!M675="있음",'선정 규칙'!$B$18,'선정 규칙'!$B$19)</x:f>
        <x:v>6</x:v>
      </x:c>
      <x:c r="H675" s="11" t="n">
        <x:f>IF(ISNUMBER(SEARCH("freq-core",'제외 후보'!AD675)),'선정 규칙'!$B$20,0)</x:f>
        <x:v>0</x:v>
      </x:c>
      <x:c r="I675" s="11" t="n">
        <x:f>IF(ISNUMBER(SEARCH("weak_legacy_content",'제외 후보'!P675)),'선정 규칙'!$B$21,0)</x:f>
        <x:v>5</x:v>
      </x:c>
      <x:c r="J675" s="11" t="n">
        <x:f>IF('제외 후보'!AC675&lt;&gt;"",'선정 규칙'!$B$22,0)</x:f>
        <x:v>0</x:v>
      </x:c>
      <x:c r="K675" s="11" t="n">
        <x:f>SUM(B675:J675)</x:f>
        <x:v>6</x:v>
      </x:c>
      <x:c r="L675" s="11" t="n">
        <x:f>'제외 후보'!N675</x:f>
        <x:v>6</x:v>
      </x:c>
      <x:c r="M675" s="2" t="str">
        <x:f>IF(K675=L675,"OK","MISMATCH")</x:f>
        <x:v>OK</x:v>
      </x:c>
    </x:row>
    <x:row r="676">
      <x:c r="A676" s="2" t="str">
        <x:f>'제외 후보'!G676</x:f>
        <x:v>w_91b3f082c72d47e0</x:v>
      </x:c>
      <x:c r="B676" s="11" t="n">
        <x:f>IF('제외 후보'!Q676&lt;&gt;"",'선정 규칙'!$B$4,0)</x:f>
        <x:v>0</x:v>
      </x:c>
      <x:c r="C676" s="11" t="n">
        <x:f>IF(ISNUMBER(SEARCH("jmdict_uncommon_or_irregular",'제외 후보'!P676)),'선정 규칙'!$B$5,IF(ISNUMBER(SEARCH("jmdict_rare_or_dated",'제외 후보'!P676)),'선정 규칙'!$B$6,0))</x:f>
        <x:v>0</x:v>
      </x:c>
      <x:c r="D676" s="11" t="n">
        <x:f>IF(ISNUMBER(SEARCH("jmdict_exact_pair_not_found",'제외 후보'!P676)),'선정 규칙'!$B$7,0)</x:f>
        <x:v>0</x:v>
      </x:c>
      <x:c r="E676" s="11" t="n">
        <x:f>IF(OR('제외 후보'!L676="",'제외 후보'!L676&lt;=0),'선정 규칙'!$B$8,IF('제외 후보'!L676&lt;=1.5,'선정 규칙'!$B$9,IF('제외 후보'!L676&lt;=2,'선정 규칙'!$B$10,IF('제외 후보'!L676&lt;=2.5,'선정 규칙'!$B$11,IF('제외 후보'!L676&lt;=3,'선정 규칙'!$B$12,IF('제외 후보'!L676&lt;=3.5,'선정 규칙'!$B$13,IF('제외 후보'!L676&gt;=4.5,'선정 규칙'!$B$14,0)))))))</x:f>
        <x:v>20</x:v>
      </x:c>
      <x:c r="F676" s="11" t="n">
        <x:f>IF('제외 후보'!Y676=0,'선정 규칙'!$B$15,IF('제외 후보'!Y676&gt;=100,'선정 규칙'!$B$16,'선정 규칙'!$B$17))</x:f>
        <x:v>-25</x:v>
      </x:c>
      <x:c r="G676" s="11" t="n">
        <x:f>IF('제외 후보'!M676="있음",'선정 규칙'!$B$18,'선정 규칙'!$B$19)</x:f>
        <x:v>6</x:v>
      </x:c>
      <x:c r="H676" s="11" t="n">
        <x:f>IF(ISNUMBER(SEARCH("freq-core",'제외 후보'!AD676)),'선정 규칙'!$B$20,0)</x:f>
        <x:v>0</x:v>
      </x:c>
      <x:c r="I676" s="11" t="n">
        <x:f>IF(ISNUMBER(SEARCH("weak_legacy_content",'제외 후보'!P676)),'선정 규칙'!$B$21,0)</x:f>
        <x:v>5</x:v>
      </x:c>
      <x:c r="J676" s="11" t="n">
        <x:f>IF('제외 후보'!AC676&lt;&gt;"",'선정 규칙'!$B$22,0)</x:f>
        <x:v>0</x:v>
      </x:c>
      <x:c r="K676" s="11" t="n">
        <x:f>SUM(B676:J676)</x:f>
        <x:v>6</x:v>
      </x:c>
      <x:c r="L676" s="11" t="n">
        <x:f>'제외 후보'!N676</x:f>
        <x:v>6</x:v>
      </x:c>
      <x:c r="M676" s="2" t="str">
        <x:f>IF(K676=L676,"OK","MISMATCH")</x:f>
        <x:v>OK</x:v>
      </x:c>
    </x:row>
    <x:row r="677">
      <x:c r="A677" s="2" t="str">
        <x:f>'제외 후보'!G677</x:f>
        <x:v>w_2385034ec0aae4d5</x:v>
      </x:c>
      <x:c r="B677" s="11" t="n">
        <x:f>IF('제외 후보'!Q677&lt;&gt;"",'선정 규칙'!$B$4,0)</x:f>
        <x:v>0</x:v>
      </x:c>
      <x:c r="C677" s="11" t="n">
        <x:f>IF(ISNUMBER(SEARCH("jmdict_uncommon_or_irregular",'제외 후보'!P677)),'선정 규칙'!$B$5,IF(ISNUMBER(SEARCH("jmdict_rare_or_dated",'제외 후보'!P677)),'선정 규칙'!$B$6,0))</x:f>
        <x:v>0</x:v>
      </x:c>
      <x:c r="D677" s="11" t="n">
        <x:f>IF(ISNUMBER(SEARCH("jmdict_exact_pair_not_found",'제외 후보'!P677)),'선정 규칙'!$B$7,0)</x:f>
        <x:v>0</x:v>
      </x:c>
      <x:c r="E677" s="11" t="n">
        <x:f>IF(OR('제외 후보'!L677="",'제외 후보'!L677&lt;=0),'선정 규칙'!$B$8,IF('제외 후보'!L677&lt;=1.5,'선정 규칙'!$B$9,IF('제외 후보'!L677&lt;=2,'선정 규칙'!$B$10,IF('제외 후보'!L677&lt;=2.5,'선정 규칙'!$B$11,IF('제외 후보'!L677&lt;=3,'선정 규칙'!$B$12,IF('제외 후보'!L677&lt;=3.5,'선정 규칙'!$B$13,IF('제외 후보'!L677&gt;=4.5,'선정 규칙'!$B$14,0)))))))</x:f>
        <x:v>20</x:v>
      </x:c>
      <x:c r="F677" s="11" t="n">
        <x:f>IF('제외 후보'!Y677=0,'선정 규칙'!$B$15,IF('제외 후보'!Y677&gt;=100,'선정 규칙'!$B$16,'선정 규칙'!$B$17))</x:f>
        <x:v>-25</x:v>
      </x:c>
      <x:c r="G677" s="11" t="n">
        <x:f>IF('제외 후보'!M677="있음",'선정 규칙'!$B$18,'선정 규칙'!$B$19)</x:f>
        <x:v>6</x:v>
      </x:c>
      <x:c r="H677" s="11" t="n">
        <x:f>IF(ISNUMBER(SEARCH("freq-core",'제외 후보'!AD677)),'선정 규칙'!$B$20,0)</x:f>
        <x:v>0</x:v>
      </x:c>
      <x:c r="I677" s="11" t="n">
        <x:f>IF(ISNUMBER(SEARCH("weak_legacy_content",'제외 후보'!P677)),'선정 규칙'!$B$21,0)</x:f>
        <x:v>5</x:v>
      </x:c>
      <x:c r="J677" s="11" t="n">
        <x:f>IF('제외 후보'!AC677&lt;&gt;"",'선정 규칙'!$B$22,0)</x:f>
        <x:v>0</x:v>
      </x:c>
      <x:c r="K677" s="11" t="n">
        <x:f>SUM(B677:J677)</x:f>
        <x:v>6</x:v>
      </x:c>
      <x:c r="L677" s="11" t="n">
        <x:f>'제외 후보'!N677</x:f>
        <x:v>6</x:v>
      </x:c>
      <x:c r="M677" s="2" t="str">
        <x:f>IF(K677=L677,"OK","MISMATCH")</x:f>
        <x:v>OK</x:v>
      </x:c>
    </x:row>
    <x:row r="678">
      <x:c r="A678" s="2" t="str">
        <x:f>'제외 후보'!G678</x:f>
        <x:v>w_4b5b41f98cad6c22</x:v>
      </x:c>
      <x:c r="B678" s="11" t="n">
        <x:f>IF('제외 후보'!Q678&lt;&gt;"",'선정 규칙'!$B$4,0)</x:f>
        <x:v>0</x:v>
      </x:c>
      <x:c r="C678" s="11" t="n">
        <x:f>IF(ISNUMBER(SEARCH("jmdict_uncommon_or_irregular",'제외 후보'!P678)),'선정 규칙'!$B$5,IF(ISNUMBER(SEARCH("jmdict_rare_or_dated",'제외 후보'!P678)),'선정 규칙'!$B$6,0))</x:f>
        <x:v>0</x:v>
      </x:c>
      <x:c r="D678" s="11" t="n">
        <x:f>IF(ISNUMBER(SEARCH("jmdict_exact_pair_not_found",'제외 후보'!P678)),'선정 규칙'!$B$7,0)</x:f>
        <x:v>0</x:v>
      </x:c>
      <x:c r="E678" s="11" t="n">
        <x:f>IF(OR('제외 후보'!L678="",'제외 후보'!L678&lt;=0),'선정 규칙'!$B$8,IF('제외 후보'!L678&lt;=1.5,'선정 규칙'!$B$9,IF('제외 후보'!L678&lt;=2,'선정 규칙'!$B$10,IF('제외 후보'!L678&lt;=2.5,'선정 규칙'!$B$11,IF('제외 후보'!L678&lt;=3,'선정 규칙'!$B$12,IF('제외 후보'!L678&lt;=3.5,'선정 규칙'!$B$13,IF('제외 후보'!L678&gt;=4.5,'선정 규칙'!$B$14,0)))))))</x:f>
        <x:v>20</x:v>
      </x:c>
      <x:c r="F678" s="11" t="n">
        <x:f>IF('제외 후보'!Y678=0,'선정 규칙'!$B$15,IF('제외 후보'!Y678&gt;=100,'선정 규칙'!$B$16,'선정 규칙'!$B$17))</x:f>
        <x:v>-25</x:v>
      </x:c>
      <x:c r="G678" s="11" t="n">
        <x:f>IF('제외 후보'!M678="있음",'선정 규칙'!$B$18,'선정 규칙'!$B$19)</x:f>
        <x:v>6</x:v>
      </x:c>
      <x:c r="H678" s="11" t="n">
        <x:f>IF(ISNUMBER(SEARCH("freq-core",'제외 후보'!AD678)),'선정 규칙'!$B$20,0)</x:f>
        <x:v>0</x:v>
      </x:c>
      <x:c r="I678" s="11" t="n">
        <x:f>IF(ISNUMBER(SEARCH("weak_legacy_content",'제외 후보'!P678)),'선정 규칙'!$B$21,0)</x:f>
        <x:v>5</x:v>
      </x:c>
      <x:c r="J678" s="11" t="n">
        <x:f>IF('제외 후보'!AC678&lt;&gt;"",'선정 규칙'!$B$22,0)</x:f>
        <x:v>0</x:v>
      </x:c>
      <x:c r="K678" s="11" t="n">
        <x:f>SUM(B678:J678)</x:f>
        <x:v>6</x:v>
      </x:c>
      <x:c r="L678" s="11" t="n">
        <x:f>'제외 후보'!N678</x:f>
        <x:v>6</x:v>
      </x:c>
      <x:c r="M678" s="2" t="str">
        <x:f>IF(K678=L678,"OK","MISMATCH")</x:f>
        <x:v>OK</x:v>
      </x:c>
    </x:row>
    <x:row r="679">
      <x:c r="A679" s="2" t="str">
        <x:f>'제외 후보'!G679</x:f>
        <x:v>w_d6d0a00e3b26c383</x:v>
      </x:c>
      <x:c r="B679" s="11" t="n">
        <x:f>IF('제외 후보'!Q679&lt;&gt;"",'선정 규칙'!$B$4,0)</x:f>
        <x:v>0</x:v>
      </x:c>
      <x:c r="C679" s="11" t="n">
        <x:f>IF(ISNUMBER(SEARCH("jmdict_uncommon_or_irregular",'제외 후보'!P679)),'선정 규칙'!$B$5,IF(ISNUMBER(SEARCH("jmdict_rare_or_dated",'제외 후보'!P679)),'선정 규칙'!$B$6,0))</x:f>
        <x:v>0</x:v>
      </x:c>
      <x:c r="D679" s="11" t="n">
        <x:f>IF(ISNUMBER(SEARCH("jmdict_exact_pair_not_found",'제외 후보'!P679)),'선정 규칙'!$B$7,0)</x:f>
        <x:v>0</x:v>
      </x:c>
      <x:c r="E679" s="11" t="n">
        <x:f>IF(OR('제외 후보'!L679="",'제외 후보'!L679&lt;=0),'선정 규칙'!$B$8,IF('제외 후보'!L679&lt;=1.5,'선정 규칙'!$B$9,IF('제외 후보'!L679&lt;=2,'선정 규칙'!$B$10,IF('제외 후보'!L679&lt;=2.5,'선정 규칙'!$B$11,IF('제외 후보'!L679&lt;=3,'선정 규칙'!$B$12,IF('제외 후보'!L679&lt;=3.5,'선정 규칙'!$B$13,IF('제외 후보'!L679&gt;=4.5,'선정 규칙'!$B$14,0)))))))</x:f>
        <x:v>20</x:v>
      </x:c>
      <x:c r="F679" s="11" t="n">
        <x:f>IF('제외 후보'!Y679=0,'선정 규칙'!$B$15,IF('제외 후보'!Y679&gt;=100,'선정 규칙'!$B$16,'선정 규칙'!$B$17))</x:f>
        <x:v>-25</x:v>
      </x:c>
      <x:c r="G679" s="11" t="n">
        <x:f>IF('제외 후보'!M679="있음",'선정 규칙'!$B$18,'선정 규칙'!$B$19)</x:f>
        <x:v>6</x:v>
      </x:c>
      <x:c r="H679" s="11" t="n">
        <x:f>IF(ISNUMBER(SEARCH("freq-core",'제외 후보'!AD679)),'선정 규칙'!$B$20,0)</x:f>
        <x:v>0</x:v>
      </x:c>
      <x:c r="I679" s="11" t="n">
        <x:f>IF(ISNUMBER(SEARCH("weak_legacy_content",'제외 후보'!P679)),'선정 규칙'!$B$21,0)</x:f>
        <x:v>5</x:v>
      </x:c>
      <x:c r="J679" s="11" t="n">
        <x:f>IF('제외 후보'!AC679&lt;&gt;"",'선정 규칙'!$B$22,0)</x:f>
        <x:v>0</x:v>
      </x:c>
      <x:c r="K679" s="11" t="n">
        <x:f>SUM(B679:J679)</x:f>
        <x:v>6</x:v>
      </x:c>
      <x:c r="L679" s="11" t="n">
        <x:f>'제외 후보'!N679</x:f>
        <x:v>6</x:v>
      </x:c>
      <x:c r="M679" s="2" t="str">
        <x:f>IF(K679=L679,"OK","MISMATCH")</x:f>
        <x:v>OK</x:v>
      </x:c>
    </x:row>
    <x:row r="680">
      <x:c r="A680" s="2" t="str">
        <x:f>'제외 후보'!G680</x:f>
        <x:v>w_440e556ac9a1c6e4</x:v>
      </x:c>
      <x:c r="B680" s="11" t="n">
        <x:f>IF('제외 후보'!Q680&lt;&gt;"",'선정 규칙'!$B$4,0)</x:f>
        <x:v>0</x:v>
      </x:c>
      <x:c r="C680" s="11" t="n">
        <x:f>IF(ISNUMBER(SEARCH("jmdict_uncommon_or_irregular",'제외 후보'!P680)),'선정 규칙'!$B$5,IF(ISNUMBER(SEARCH("jmdict_rare_or_dated",'제외 후보'!P680)),'선정 규칙'!$B$6,0))</x:f>
        <x:v>0</x:v>
      </x:c>
      <x:c r="D680" s="11" t="n">
        <x:f>IF(ISNUMBER(SEARCH("jmdict_exact_pair_not_found",'제외 후보'!P680)),'선정 규칙'!$B$7,0)</x:f>
        <x:v>0</x:v>
      </x:c>
      <x:c r="E680" s="11" t="n">
        <x:f>IF(OR('제외 후보'!L680="",'제외 후보'!L680&lt;=0),'선정 규칙'!$B$8,IF('제외 후보'!L680&lt;=1.5,'선정 규칙'!$B$9,IF('제외 후보'!L680&lt;=2,'선정 규칙'!$B$10,IF('제외 후보'!L680&lt;=2.5,'선정 규칙'!$B$11,IF('제외 후보'!L680&lt;=3,'선정 규칙'!$B$12,IF('제외 후보'!L680&lt;=3.5,'선정 규칙'!$B$13,IF('제외 후보'!L680&gt;=4.5,'선정 규칙'!$B$14,0)))))))</x:f>
        <x:v>20</x:v>
      </x:c>
      <x:c r="F680" s="11" t="n">
        <x:f>IF('제외 후보'!Y680=0,'선정 규칙'!$B$15,IF('제외 후보'!Y680&gt;=100,'선정 규칙'!$B$16,'선정 규칙'!$B$17))</x:f>
        <x:v>-25</x:v>
      </x:c>
      <x:c r="G680" s="11" t="n">
        <x:f>IF('제외 후보'!M680="있음",'선정 규칙'!$B$18,'선정 규칙'!$B$19)</x:f>
        <x:v>6</x:v>
      </x:c>
      <x:c r="H680" s="11" t="n">
        <x:f>IF(ISNUMBER(SEARCH("freq-core",'제외 후보'!AD680)),'선정 규칙'!$B$20,0)</x:f>
        <x:v>0</x:v>
      </x:c>
      <x:c r="I680" s="11" t="n">
        <x:f>IF(ISNUMBER(SEARCH("weak_legacy_content",'제외 후보'!P680)),'선정 규칙'!$B$21,0)</x:f>
        <x:v>5</x:v>
      </x:c>
      <x:c r="J680" s="11" t="n">
        <x:f>IF('제외 후보'!AC680&lt;&gt;"",'선정 규칙'!$B$22,0)</x:f>
        <x:v>0</x:v>
      </x:c>
      <x:c r="K680" s="11" t="n">
        <x:f>SUM(B680:J680)</x:f>
        <x:v>6</x:v>
      </x:c>
      <x:c r="L680" s="11" t="n">
        <x:f>'제외 후보'!N680</x:f>
        <x:v>6</x:v>
      </x:c>
      <x:c r="M680" s="2" t="str">
        <x:f>IF(K680=L680,"OK","MISMATCH")</x:f>
        <x:v>OK</x:v>
      </x:c>
    </x:row>
    <x:row r="681">
      <x:c r="A681" s="2" t="str">
        <x:f>'제외 후보'!G681</x:f>
        <x:v>w_6675bb365919e175</x:v>
      </x:c>
      <x:c r="B681" s="11" t="n">
        <x:f>IF('제외 후보'!Q681&lt;&gt;"",'선정 규칙'!$B$4,0)</x:f>
        <x:v>0</x:v>
      </x:c>
      <x:c r="C681" s="11" t="n">
        <x:f>IF(ISNUMBER(SEARCH("jmdict_uncommon_or_irregular",'제외 후보'!P681)),'선정 규칙'!$B$5,IF(ISNUMBER(SEARCH("jmdict_rare_or_dated",'제외 후보'!P681)),'선정 규칙'!$B$6,0))</x:f>
        <x:v>0</x:v>
      </x:c>
      <x:c r="D681" s="11" t="n">
        <x:f>IF(ISNUMBER(SEARCH("jmdict_exact_pair_not_found",'제외 후보'!P681)),'선정 규칙'!$B$7,0)</x:f>
        <x:v>0</x:v>
      </x:c>
      <x:c r="E681" s="11" t="n">
        <x:f>IF(OR('제외 후보'!L681="",'제외 후보'!L681&lt;=0),'선정 규칙'!$B$8,IF('제외 후보'!L681&lt;=1.5,'선정 규칙'!$B$9,IF('제외 후보'!L681&lt;=2,'선정 규칙'!$B$10,IF('제외 후보'!L681&lt;=2.5,'선정 규칙'!$B$11,IF('제외 후보'!L681&lt;=3,'선정 규칙'!$B$12,IF('제외 후보'!L681&lt;=3.5,'선정 규칙'!$B$13,IF('제외 후보'!L681&gt;=4.5,'선정 규칙'!$B$14,0)))))))</x:f>
        <x:v>20</x:v>
      </x:c>
      <x:c r="F681" s="11" t="n">
        <x:f>IF('제외 후보'!Y681=0,'선정 규칙'!$B$15,IF('제외 후보'!Y681&gt;=100,'선정 규칙'!$B$16,'선정 규칙'!$B$17))</x:f>
        <x:v>-25</x:v>
      </x:c>
      <x:c r="G681" s="11" t="n">
        <x:f>IF('제외 후보'!M681="있음",'선정 규칙'!$B$18,'선정 규칙'!$B$19)</x:f>
        <x:v>6</x:v>
      </x:c>
      <x:c r="H681" s="11" t="n">
        <x:f>IF(ISNUMBER(SEARCH("freq-core",'제외 후보'!AD681)),'선정 규칙'!$B$20,0)</x:f>
        <x:v>0</x:v>
      </x:c>
      <x:c r="I681" s="11" t="n">
        <x:f>IF(ISNUMBER(SEARCH("weak_legacy_content",'제외 후보'!P681)),'선정 규칙'!$B$21,0)</x:f>
        <x:v>5</x:v>
      </x:c>
      <x:c r="J681" s="11" t="n">
        <x:f>IF('제외 후보'!AC681&lt;&gt;"",'선정 규칙'!$B$22,0)</x:f>
        <x:v>0</x:v>
      </x:c>
      <x:c r="K681" s="11" t="n">
        <x:f>SUM(B681:J681)</x:f>
        <x:v>6</x:v>
      </x:c>
      <x:c r="L681" s="11" t="n">
        <x:f>'제외 후보'!N681</x:f>
        <x:v>6</x:v>
      </x:c>
      <x:c r="M681" s="2" t="str">
        <x:f>IF(K681=L681,"OK","MISMATCH")</x:f>
        <x:v>OK</x:v>
      </x:c>
    </x:row>
    <x:row r="682">
      <x:c r="A682" s="2" t="str">
        <x:f>'제외 후보'!G682</x:f>
        <x:v>w_c381716d72503345</x:v>
      </x:c>
      <x:c r="B682" s="11" t="n">
        <x:f>IF('제외 후보'!Q682&lt;&gt;"",'선정 규칙'!$B$4,0)</x:f>
        <x:v>0</x:v>
      </x:c>
      <x:c r="C682" s="11" t="n">
        <x:f>IF(ISNUMBER(SEARCH("jmdict_uncommon_or_irregular",'제외 후보'!P682)),'선정 규칙'!$B$5,IF(ISNUMBER(SEARCH("jmdict_rare_or_dated",'제외 후보'!P682)),'선정 규칙'!$B$6,0))</x:f>
        <x:v>0</x:v>
      </x:c>
      <x:c r="D682" s="11" t="n">
        <x:f>IF(ISNUMBER(SEARCH("jmdict_exact_pair_not_found",'제외 후보'!P682)),'선정 규칙'!$B$7,0)</x:f>
        <x:v>0</x:v>
      </x:c>
      <x:c r="E682" s="11" t="n">
        <x:f>IF(OR('제외 후보'!L682="",'제외 후보'!L682&lt;=0),'선정 규칙'!$B$8,IF('제외 후보'!L682&lt;=1.5,'선정 규칙'!$B$9,IF('제외 후보'!L682&lt;=2,'선정 규칙'!$B$10,IF('제외 후보'!L682&lt;=2.5,'선정 규칙'!$B$11,IF('제외 후보'!L682&lt;=3,'선정 규칙'!$B$12,IF('제외 후보'!L682&lt;=3.5,'선정 규칙'!$B$13,IF('제외 후보'!L682&gt;=4.5,'선정 규칙'!$B$14,0)))))))</x:f>
        <x:v>20</x:v>
      </x:c>
      <x:c r="F682" s="11" t="n">
        <x:f>IF('제외 후보'!Y682=0,'선정 규칙'!$B$15,IF('제외 후보'!Y682&gt;=100,'선정 규칙'!$B$16,'선정 규칙'!$B$17))</x:f>
        <x:v>-25</x:v>
      </x:c>
      <x:c r="G682" s="11" t="n">
        <x:f>IF('제외 후보'!M682="있음",'선정 규칙'!$B$18,'선정 규칙'!$B$19)</x:f>
        <x:v>6</x:v>
      </x:c>
      <x:c r="H682" s="11" t="n">
        <x:f>IF(ISNUMBER(SEARCH("freq-core",'제외 후보'!AD682)),'선정 규칙'!$B$20,0)</x:f>
        <x:v>0</x:v>
      </x:c>
      <x:c r="I682" s="11" t="n">
        <x:f>IF(ISNUMBER(SEARCH("weak_legacy_content",'제외 후보'!P682)),'선정 규칙'!$B$21,0)</x:f>
        <x:v>5</x:v>
      </x:c>
      <x:c r="J682" s="11" t="n">
        <x:f>IF('제외 후보'!AC682&lt;&gt;"",'선정 규칙'!$B$22,0)</x:f>
        <x:v>0</x:v>
      </x:c>
      <x:c r="K682" s="11" t="n">
        <x:f>SUM(B682:J682)</x:f>
        <x:v>6</x:v>
      </x:c>
      <x:c r="L682" s="11" t="n">
        <x:f>'제외 후보'!N682</x:f>
        <x:v>6</x:v>
      </x:c>
      <x:c r="M682" s="2" t="str">
        <x:f>IF(K682=L682,"OK","MISMATCH")</x:f>
        <x:v>OK</x:v>
      </x:c>
    </x:row>
    <x:row r="683">
      <x:c r="A683" s="2" t="str">
        <x:f>'제외 후보'!G683</x:f>
        <x:v>w_36777d1c0b4ca241</x:v>
      </x:c>
      <x:c r="B683" s="11" t="n">
        <x:f>IF('제외 후보'!Q683&lt;&gt;"",'선정 규칙'!$B$4,0)</x:f>
        <x:v>0</x:v>
      </x:c>
      <x:c r="C683" s="11" t="n">
        <x:f>IF(ISNUMBER(SEARCH("jmdict_uncommon_or_irregular",'제외 후보'!P683)),'선정 규칙'!$B$5,IF(ISNUMBER(SEARCH("jmdict_rare_or_dated",'제외 후보'!P683)),'선정 규칙'!$B$6,0))</x:f>
        <x:v>0</x:v>
      </x:c>
      <x:c r="D683" s="11" t="n">
        <x:f>IF(ISNUMBER(SEARCH("jmdict_exact_pair_not_found",'제외 후보'!P683)),'선정 규칙'!$B$7,0)</x:f>
        <x:v>0</x:v>
      </x:c>
      <x:c r="E683" s="11" t="n">
        <x:f>IF(OR('제외 후보'!L683="",'제외 후보'!L683&lt;=0),'선정 규칙'!$B$8,IF('제외 후보'!L683&lt;=1.5,'선정 규칙'!$B$9,IF('제외 후보'!L683&lt;=2,'선정 규칙'!$B$10,IF('제외 후보'!L683&lt;=2.5,'선정 규칙'!$B$11,IF('제외 후보'!L683&lt;=3,'선정 규칙'!$B$12,IF('제외 후보'!L683&lt;=3.5,'선정 규칙'!$B$13,IF('제외 후보'!L683&gt;=4.5,'선정 규칙'!$B$14,0)))))))</x:f>
        <x:v>20</x:v>
      </x:c>
      <x:c r="F683" s="11" t="n">
        <x:f>IF('제외 후보'!Y683=0,'선정 규칙'!$B$15,IF('제외 후보'!Y683&gt;=100,'선정 규칙'!$B$16,'선정 규칙'!$B$17))</x:f>
        <x:v>-25</x:v>
      </x:c>
      <x:c r="G683" s="11" t="n">
        <x:f>IF('제외 후보'!M683="있음",'선정 규칙'!$B$18,'선정 규칙'!$B$19)</x:f>
        <x:v>6</x:v>
      </x:c>
      <x:c r="H683" s="11" t="n">
        <x:f>IF(ISNUMBER(SEARCH("freq-core",'제외 후보'!AD683)),'선정 규칙'!$B$20,0)</x:f>
        <x:v>0</x:v>
      </x:c>
      <x:c r="I683" s="11" t="n">
        <x:f>IF(ISNUMBER(SEARCH("weak_legacy_content",'제외 후보'!P683)),'선정 규칙'!$B$21,0)</x:f>
        <x:v>5</x:v>
      </x:c>
      <x:c r="J683" s="11" t="n">
        <x:f>IF('제외 후보'!AC683&lt;&gt;"",'선정 규칙'!$B$22,0)</x:f>
        <x:v>0</x:v>
      </x:c>
      <x:c r="K683" s="11" t="n">
        <x:f>SUM(B683:J683)</x:f>
        <x:v>6</x:v>
      </x:c>
      <x:c r="L683" s="11" t="n">
        <x:f>'제외 후보'!N683</x:f>
        <x:v>6</x:v>
      </x:c>
      <x:c r="M683" s="2" t="str">
        <x:f>IF(K683=L683,"OK","MISMATCH")</x:f>
        <x:v>OK</x:v>
      </x:c>
    </x:row>
    <x:row r="684">
      <x:c r="A684" s="2" t="str">
        <x:f>'제외 후보'!G684</x:f>
        <x:v>w_74ae6b79324143f2</x:v>
      </x:c>
      <x:c r="B684" s="11" t="n">
        <x:f>IF('제외 후보'!Q684&lt;&gt;"",'선정 규칙'!$B$4,0)</x:f>
        <x:v>0</x:v>
      </x:c>
      <x:c r="C684" s="11" t="n">
        <x:f>IF(ISNUMBER(SEARCH("jmdict_uncommon_or_irregular",'제외 후보'!P684)),'선정 규칙'!$B$5,IF(ISNUMBER(SEARCH("jmdict_rare_or_dated",'제외 후보'!P684)),'선정 규칙'!$B$6,0))</x:f>
        <x:v>0</x:v>
      </x:c>
      <x:c r="D684" s="11" t="n">
        <x:f>IF(ISNUMBER(SEARCH("jmdict_exact_pair_not_found",'제외 후보'!P684)),'선정 규칙'!$B$7,0)</x:f>
        <x:v>0</x:v>
      </x:c>
      <x:c r="E684" s="11" t="n">
        <x:f>IF(OR('제외 후보'!L684="",'제외 후보'!L684&lt;=0),'선정 규칙'!$B$8,IF('제외 후보'!L684&lt;=1.5,'선정 규칙'!$B$9,IF('제외 후보'!L684&lt;=2,'선정 규칙'!$B$10,IF('제외 후보'!L684&lt;=2.5,'선정 규칙'!$B$11,IF('제외 후보'!L684&lt;=3,'선정 규칙'!$B$12,IF('제외 후보'!L684&lt;=3.5,'선정 규칙'!$B$13,IF('제외 후보'!L684&gt;=4.5,'선정 규칙'!$B$14,0)))))))</x:f>
        <x:v>20</x:v>
      </x:c>
      <x:c r="F684" s="11" t="n">
        <x:f>IF('제외 후보'!Y684=0,'선정 규칙'!$B$15,IF('제외 후보'!Y684&gt;=100,'선정 규칙'!$B$16,'선정 규칙'!$B$17))</x:f>
        <x:v>-25</x:v>
      </x:c>
      <x:c r="G684" s="11" t="n">
        <x:f>IF('제외 후보'!M684="있음",'선정 규칙'!$B$18,'선정 규칙'!$B$19)</x:f>
        <x:v>6</x:v>
      </x:c>
      <x:c r="H684" s="11" t="n">
        <x:f>IF(ISNUMBER(SEARCH("freq-core",'제외 후보'!AD684)),'선정 규칙'!$B$20,0)</x:f>
        <x:v>0</x:v>
      </x:c>
      <x:c r="I684" s="11" t="n">
        <x:f>IF(ISNUMBER(SEARCH("weak_legacy_content",'제외 후보'!P684)),'선정 규칙'!$B$21,0)</x:f>
        <x:v>5</x:v>
      </x:c>
      <x:c r="J684" s="11" t="n">
        <x:f>IF('제외 후보'!AC684&lt;&gt;"",'선정 규칙'!$B$22,0)</x:f>
        <x:v>0</x:v>
      </x:c>
      <x:c r="K684" s="11" t="n">
        <x:f>SUM(B684:J684)</x:f>
        <x:v>6</x:v>
      </x:c>
      <x:c r="L684" s="11" t="n">
        <x:f>'제외 후보'!N684</x:f>
        <x:v>6</x:v>
      </x:c>
      <x:c r="M684" s="2" t="str">
        <x:f>IF(K684=L684,"OK","MISMATCH")</x:f>
        <x:v>OK</x:v>
      </x:c>
    </x:row>
    <x:row r="685">
      <x:c r="A685" s="2" t="str">
        <x:f>'제외 후보'!G685</x:f>
        <x:v>w_a2798dd73f43f67a</x:v>
      </x:c>
      <x:c r="B685" s="11" t="n">
        <x:f>IF('제외 후보'!Q685&lt;&gt;"",'선정 규칙'!$B$4,0)</x:f>
        <x:v>0</x:v>
      </x:c>
      <x:c r="C685" s="11" t="n">
        <x:f>IF(ISNUMBER(SEARCH("jmdict_uncommon_or_irregular",'제외 후보'!P685)),'선정 규칙'!$B$5,IF(ISNUMBER(SEARCH("jmdict_rare_or_dated",'제외 후보'!P685)),'선정 규칙'!$B$6,0))</x:f>
        <x:v>0</x:v>
      </x:c>
      <x:c r="D685" s="11" t="n">
        <x:f>IF(ISNUMBER(SEARCH("jmdict_exact_pair_not_found",'제외 후보'!P685)),'선정 규칙'!$B$7,0)</x:f>
        <x:v>0</x:v>
      </x:c>
      <x:c r="E685" s="11" t="n">
        <x:f>IF(OR('제외 후보'!L685="",'제외 후보'!L685&lt;=0),'선정 규칙'!$B$8,IF('제외 후보'!L685&lt;=1.5,'선정 규칙'!$B$9,IF('제외 후보'!L685&lt;=2,'선정 규칙'!$B$10,IF('제외 후보'!L685&lt;=2.5,'선정 규칙'!$B$11,IF('제외 후보'!L685&lt;=3,'선정 규칙'!$B$12,IF('제외 후보'!L685&lt;=3.5,'선정 규칙'!$B$13,IF('제외 후보'!L685&gt;=4.5,'선정 규칙'!$B$14,0)))))))</x:f>
        <x:v>20</x:v>
      </x:c>
      <x:c r="F685" s="11" t="n">
        <x:f>IF('제외 후보'!Y685=0,'선정 규칙'!$B$15,IF('제외 후보'!Y685&gt;=100,'선정 규칙'!$B$16,'선정 규칙'!$B$17))</x:f>
        <x:v>-25</x:v>
      </x:c>
      <x:c r="G685" s="11" t="n">
        <x:f>IF('제외 후보'!M685="있음",'선정 규칙'!$B$18,'선정 규칙'!$B$19)</x:f>
        <x:v>6</x:v>
      </x:c>
      <x:c r="H685" s="11" t="n">
        <x:f>IF(ISNUMBER(SEARCH("freq-core",'제외 후보'!AD685)),'선정 규칙'!$B$20,0)</x:f>
        <x:v>0</x:v>
      </x:c>
      <x:c r="I685" s="11" t="n">
        <x:f>IF(ISNUMBER(SEARCH("weak_legacy_content",'제외 후보'!P685)),'선정 규칙'!$B$21,0)</x:f>
        <x:v>5</x:v>
      </x:c>
      <x:c r="J685" s="11" t="n">
        <x:f>IF('제외 후보'!AC685&lt;&gt;"",'선정 규칙'!$B$22,0)</x:f>
        <x:v>0</x:v>
      </x:c>
      <x:c r="K685" s="11" t="n">
        <x:f>SUM(B685:J685)</x:f>
        <x:v>6</x:v>
      </x:c>
      <x:c r="L685" s="11" t="n">
        <x:f>'제외 후보'!N685</x:f>
        <x:v>6</x:v>
      </x:c>
      <x:c r="M685" s="2" t="str">
        <x:f>IF(K685=L685,"OK","MISMATCH")</x:f>
        <x:v>OK</x:v>
      </x:c>
    </x:row>
    <x:row r="686">
      <x:c r="A686" s="2" t="str">
        <x:f>'제외 후보'!G686</x:f>
        <x:v>w_f0ba80580232c3f8</x:v>
      </x:c>
      <x:c r="B686" s="11" t="n">
        <x:f>IF('제외 후보'!Q686&lt;&gt;"",'선정 규칙'!$B$4,0)</x:f>
        <x:v>0</x:v>
      </x:c>
      <x:c r="C686" s="11" t="n">
        <x:f>IF(ISNUMBER(SEARCH("jmdict_uncommon_or_irregular",'제외 후보'!P686)),'선정 규칙'!$B$5,IF(ISNUMBER(SEARCH("jmdict_rare_or_dated",'제외 후보'!P686)),'선정 규칙'!$B$6,0))</x:f>
        <x:v>0</x:v>
      </x:c>
      <x:c r="D686" s="11" t="n">
        <x:f>IF(ISNUMBER(SEARCH("jmdict_exact_pair_not_found",'제외 후보'!P686)),'선정 규칙'!$B$7,0)</x:f>
        <x:v>0</x:v>
      </x:c>
      <x:c r="E686" s="11" t="n">
        <x:f>IF(OR('제외 후보'!L686="",'제외 후보'!L686&lt;=0),'선정 규칙'!$B$8,IF('제외 후보'!L686&lt;=1.5,'선정 규칙'!$B$9,IF('제외 후보'!L686&lt;=2,'선정 규칙'!$B$10,IF('제외 후보'!L686&lt;=2.5,'선정 규칙'!$B$11,IF('제외 후보'!L686&lt;=3,'선정 규칙'!$B$12,IF('제외 후보'!L686&lt;=3.5,'선정 규칙'!$B$13,IF('제외 후보'!L686&gt;=4.5,'선정 규칙'!$B$14,0)))))))</x:f>
        <x:v>20</x:v>
      </x:c>
      <x:c r="F686" s="11" t="n">
        <x:f>IF('제외 후보'!Y686=0,'선정 규칙'!$B$15,IF('제외 후보'!Y686&gt;=100,'선정 규칙'!$B$16,'선정 규칙'!$B$17))</x:f>
        <x:v>-25</x:v>
      </x:c>
      <x:c r="G686" s="11" t="n">
        <x:f>IF('제외 후보'!M686="있음",'선정 규칙'!$B$18,'선정 규칙'!$B$19)</x:f>
        <x:v>6</x:v>
      </x:c>
      <x:c r="H686" s="11" t="n">
        <x:f>IF(ISNUMBER(SEARCH("freq-core",'제외 후보'!AD686)),'선정 규칙'!$B$20,0)</x:f>
        <x:v>0</x:v>
      </x:c>
      <x:c r="I686" s="11" t="n">
        <x:f>IF(ISNUMBER(SEARCH("weak_legacy_content",'제외 후보'!P686)),'선정 규칙'!$B$21,0)</x:f>
        <x:v>5</x:v>
      </x:c>
      <x:c r="J686" s="11" t="n">
        <x:f>IF('제외 후보'!AC686&lt;&gt;"",'선정 규칙'!$B$22,0)</x:f>
        <x:v>0</x:v>
      </x:c>
      <x:c r="K686" s="11" t="n">
        <x:f>SUM(B686:J686)</x:f>
        <x:v>6</x:v>
      </x:c>
      <x:c r="L686" s="11" t="n">
        <x:f>'제외 후보'!N686</x:f>
        <x:v>6</x:v>
      </x:c>
      <x:c r="M686" s="2" t="str">
        <x:f>IF(K686=L686,"OK","MISMATCH")</x:f>
        <x:v>OK</x:v>
      </x:c>
    </x:row>
    <x:row r="687">
      <x:c r="A687" s="2" t="str">
        <x:f>'제외 후보'!G687</x:f>
        <x:v>w_eed997671fe9f498</x:v>
      </x:c>
      <x:c r="B687" s="11" t="n">
        <x:f>IF('제외 후보'!Q687&lt;&gt;"",'선정 규칙'!$B$4,0)</x:f>
        <x:v>0</x:v>
      </x:c>
      <x:c r="C687" s="11" t="n">
        <x:f>IF(ISNUMBER(SEARCH("jmdict_uncommon_or_irregular",'제외 후보'!P687)),'선정 규칙'!$B$5,IF(ISNUMBER(SEARCH("jmdict_rare_or_dated",'제외 후보'!P687)),'선정 규칙'!$B$6,0))</x:f>
        <x:v>0</x:v>
      </x:c>
      <x:c r="D687" s="11" t="n">
        <x:f>IF(ISNUMBER(SEARCH("jmdict_exact_pair_not_found",'제외 후보'!P687)),'선정 규칙'!$B$7,0)</x:f>
        <x:v>0</x:v>
      </x:c>
      <x:c r="E687" s="11" t="n">
        <x:f>IF(OR('제외 후보'!L687="",'제외 후보'!L687&lt;=0),'선정 규칙'!$B$8,IF('제외 후보'!L687&lt;=1.5,'선정 규칙'!$B$9,IF('제외 후보'!L687&lt;=2,'선정 규칙'!$B$10,IF('제외 후보'!L687&lt;=2.5,'선정 규칙'!$B$11,IF('제외 후보'!L687&lt;=3,'선정 규칙'!$B$12,IF('제외 후보'!L687&lt;=3.5,'선정 규칙'!$B$13,IF('제외 후보'!L687&gt;=4.5,'선정 규칙'!$B$14,0)))))))</x:f>
        <x:v>20</x:v>
      </x:c>
      <x:c r="F687" s="11" t="n">
        <x:f>IF('제외 후보'!Y687=0,'선정 규칙'!$B$15,IF('제외 후보'!Y687&gt;=100,'선정 규칙'!$B$16,'선정 규칙'!$B$17))</x:f>
        <x:v>-25</x:v>
      </x:c>
      <x:c r="G687" s="11" t="n">
        <x:f>IF('제외 후보'!M687="있음",'선정 규칙'!$B$18,'선정 규칙'!$B$19)</x:f>
        <x:v>6</x:v>
      </x:c>
      <x:c r="H687" s="11" t="n">
        <x:f>IF(ISNUMBER(SEARCH("freq-core",'제외 후보'!AD687)),'선정 규칙'!$B$20,0)</x:f>
        <x:v>0</x:v>
      </x:c>
      <x:c r="I687" s="11" t="n">
        <x:f>IF(ISNUMBER(SEARCH("weak_legacy_content",'제외 후보'!P687)),'선정 규칙'!$B$21,0)</x:f>
        <x:v>5</x:v>
      </x:c>
      <x:c r="J687" s="11" t="n">
        <x:f>IF('제외 후보'!AC687&lt;&gt;"",'선정 규칙'!$B$22,0)</x:f>
        <x:v>0</x:v>
      </x:c>
      <x:c r="K687" s="11" t="n">
        <x:f>SUM(B687:J687)</x:f>
        <x:v>6</x:v>
      </x:c>
      <x:c r="L687" s="11" t="n">
        <x:f>'제외 후보'!N687</x:f>
        <x:v>6</x:v>
      </x:c>
      <x:c r="M687" s="2" t="str">
        <x:f>IF(K687=L687,"OK","MISMATCH")</x:f>
        <x:v>OK</x:v>
      </x:c>
    </x:row>
    <x:row r="688">
      <x:c r="A688" s="2" t="str">
        <x:f>'제외 후보'!G688</x:f>
        <x:v>w_f63439d78b1f0ae2</x:v>
      </x:c>
      <x:c r="B688" s="11" t="n">
        <x:f>IF('제외 후보'!Q688&lt;&gt;"",'선정 규칙'!$B$4,0)</x:f>
        <x:v>0</x:v>
      </x:c>
      <x:c r="C688" s="11" t="n">
        <x:f>IF(ISNUMBER(SEARCH("jmdict_uncommon_or_irregular",'제외 후보'!P688)),'선정 규칙'!$B$5,IF(ISNUMBER(SEARCH("jmdict_rare_or_dated",'제외 후보'!P688)),'선정 규칙'!$B$6,0))</x:f>
        <x:v>0</x:v>
      </x:c>
      <x:c r="D688" s="11" t="n">
        <x:f>IF(ISNUMBER(SEARCH("jmdict_exact_pair_not_found",'제외 후보'!P688)),'선정 규칙'!$B$7,0)</x:f>
        <x:v>0</x:v>
      </x:c>
      <x:c r="E688" s="11" t="n">
        <x:f>IF(OR('제외 후보'!L688="",'제외 후보'!L688&lt;=0),'선정 규칙'!$B$8,IF('제외 후보'!L688&lt;=1.5,'선정 규칙'!$B$9,IF('제외 후보'!L688&lt;=2,'선정 규칙'!$B$10,IF('제외 후보'!L688&lt;=2.5,'선정 규칙'!$B$11,IF('제외 후보'!L688&lt;=3,'선정 규칙'!$B$12,IF('제외 후보'!L688&lt;=3.5,'선정 규칙'!$B$13,IF('제외 후보'!L688&gt;=4.5,'선정 규칙'!$B$14,0)))))))</x:f>
        <x:v>20</x:v>
      </x:c>
      <x:c r="F688" s="11" t="n">
        <x:f>IF('제외 후보'!Y688=0,'선정 규칙'!$B$15,IF('제외 후보'!Y688&gt;=100,'선정 규칙'!$B$16,'선정 규칙'!$B$17))</x:f>
        <x:v>-25</x:v>
      </x:c>
      <x:c r="G688" s="11" t="n">
        <x:f>IF('제외 후보'!M688="있음",'선정 규칙'!$B$18,'선정 규칙'!$B$19)</x:f>
        <x:v>6</x:v>
      </x:c>
      <x:c r="H688" s="11" t="n">
        <x:f>IF(ISNUMBER(SEARCH("freq-core",'제외 후보'!AD688)),'선정 규칙'!$B$20,0)</x:f>
        <x:v>0</x:v>
      </x:c>
      <x:c r="I688" s="11" t="n">
        <x:f>IF(ISNUMBER(SEARCH("weak_legacy_content",'제외 후보'!P688)),'선정 규칙'!$B$21,0)</x:f>
        <x:v>5</x:v>
      </x:c>
      <x:c r="J688" s="11" t="n">
        <x:f>IF('제외 후보'!AC688&lt;&gt;"",'선정 규칙'!$B$22,0)</x:f>
        <x:v>0</x:v>
      </x:c>
      <x:c r="K688" s="11" t="n">
        <x:f>SUM(B688:J688)</x:f>
        <x:v>6</x:v>
      </x:c>
      <x:c r="L688" s="11" t="n">
        <x:f>'제외 후보'!N688</x:f>
        <x:v>6</x:v>
      </x:c>
      <x:c r="M688" s="2" t="str">
        <x:f>IF(K688=L688,"OK","MISMATCH")</x:f>
        <x:v>OK</x:v>
      </x:c>
    </x:row>
    <x:row r="689">
      <x:c r="A689" s="2" t="str">
        <x:f>'제외 후보'!G689</x:f>
        <x:v>w_5b502aa2b626af63</x:v>
      </x:c>
      <x:c r="B689" s="11" t="n">
        <x:f>IF('제외 후보'!Q689&lt;&gt;"",'선정 규칙'!$B$4,0)</x:f>
        <x:v>0</x:v>
      </x:c>
      <x:c r="C689" s="11" t="n">
        <x:f>IF(ISNUMBER(SEARCH("jmdict_uncommon_or_irregular",'제외 후보'!P689)),'선정 규칙'!$B$5,IF(ISNUMBER(SEARCH("jmdict_rare_or_dated",'제외 후보'!P689)),'선정 규칙'!$B$6,0))</x:f>
        <x:v>0</x:v>
      </x:c>
      <x:c r="D689" s="11" t="n">
        <x:f>IF(ISNUMBER(SEARCH("jmdict_exact_pair_not_found",'제외 후보'!P689)),'선정 규칙'!$B$7,0)</x:f>
        <x:v>0</x:v>
      </x:c>
      <x:c r="E689" s="11" t="n">
        <x:f>IF(OR('제외 후보'!L689="",'제외 후보'!L689&lt;=0),'선정 규칙'!$B$8,IF('제외 후보'!L689&lt;=1.5,'선정 규칙'!$B$9,IF('제외 후보'!L689&lt;=2,'선정 규칙'!$B$10,IF('제외 후보'!L689&lt;=2.5,'선정 규칙'!$B$11,IF('제외 후보'!L689&lt;=3,'선정 규칙'!$B$12,IF('제외 후보'!L689&lt;=3.5,'선정 규칙'!$B$13,IF('제외 후보'!L689&gt;=4.5,'선정 규칙'!$B$14,0)))))))</x:f>
        <x:v>20</x:v>
      </x:c>
      <x:c r="F689" s="11" t="n">
        <x:f>IF('제외 후보'!Y689=0,'선정 규칙'!$B$15,IF('제외 후보'!Y689&gt;=100,'선정 규칙'!$B$16,'선정 규칙'!$B$17))</x:f>
        <x:v>-25</x:v>
      </x:c>
      <x:c r="G689" s="11" t="n">
        <x:f>IF('제외 후보'!M689="있음",'선정 규칙'!$B$18,'선정 규칙'!$B$19)</x:f>
        <x:v>6</x:v>
      </x:c>
      <x:c r="H689" s="11" t="n">
        <x:f>IF(ISNUMBER(SEARCH("freq-core",'제외 후보'!AD689)),'선정 규칙'!$B$20,0)</x:f>
        <x:v>0</x:v>
      </x:c>
      <x:c r="I689" s="11" t="n">
        <x:f>IF(ISNUMBER(SEARCH("weak_legacy_content",'제외 후보'!P689)),'선정 규칙'!$B$21,0)</x:f>
        <x:v>5</x:v>
      </x:c>
      <x:c r="J689" s="11" t="n">
        <x:f>IF('제외 후보'!AC689&lt;&gt;"",'선정 규칙'!$B$22,0)</x:f>
        <x:v>0</x:v>
      </x:c>
      <x:c r="K689" s="11" t="n">
        <x:f>SUM(B689:J689)</x:f>
        <x:v>6</x:v>
      </x:c>
      <x:c r="L689" s="11" t="n">
        <x:f>'제외 후보'!N689</x:f>
        <x:v>6</x:v>
      </x:c>
      <x:c r="M689" s="2" t="str">
        <x:f>IF(K689=L689,"OK","MISMATCH")</x:f>
        <x:v>OK</x:v>
      </x:c>
    </x:row>
    <x:row r="690">
      <x:c r="A690" s="2" t="str">
        <x:f>'제외 후보'!G690</x:f>
        <x:v>w_66944f4ee62ddf57</x:v>
      </x:c>
      <x:c r="B690" s="11" t="n">
        <x:f>IF('제외 후보'!Q690&lt;&gt;"",'선정 규칙'!$B$4,0)</x:f>
        <x:v>0</x:v>
      </x:c>
      <x:c r="C690" s="11" t="n">
        <x:f>IF(ISNUMBER(SEARCH("jmdict_uncommon_or_irregular",'제외 후보'!P690)),'선정 규칙'!$B$5,IF(ISNUMBER(SEARCH("jmdict_rare_or_dated",'제외 후보'!P690)),'선정 규칙'!$B$6,0))</x:f>
        <x:v>0</x:v>
      </x:c>
      <x:c r="D690" s="11" t="n">
        <x:f>IF(ISNUMBER(SEARCH("jmdict_exact_pair_not_found",'제외 후보'!P690)),'선정 규칙'!$B$7,0)</x:f>
        <x:v>0</x:v>
      </x:c>
      <x:c r="E690" s="11" t="n">
        <x:f>IF(OR('제외 후보'!L690="",'제외 후보'!L690&lt;=0),'선정 규칙'!$B$8,IF('제외 후보'!L690&lt;=1.5,'선정 규칙'!$B$9,IF('제외 후보'!L690&lt;=2,'선정 규칙'!$B$10,IF('제외 후보'!L690&lt;=2.5,'선정 규칙'!$B$11,IF('제외 후보'!L690&lt;=3,'선정 규칙'!$B$12,IF('제외 후보'!L690&lt;=3.5,'선정 규칙'!$B$13,IF('제외 후보'!L690&gt;=4.5,'선정 규칙'!$B$14,0)))))))</x:f>
        <x:v>20</x:v>
      </x:c>
      <x:c r="F690" s="11" t="n">
        <x:f>IF('제외 후보'!Y690=0,'선정 규칙'!$B$15,IF('제외 후보'!Y690&gt;=100,'선정 규칙'!$B$16,'선정 규칙'!$B$17))</x:f>
        <x:v>-25</x:v>
      </x:c>
      <x:c r="G690" s="11" t="n">
        <x:f>IF('제외 후보'!M690="있음",'선정 규칙'!$B$18,'선정 규칙'!$B$19)</x:f>
        <x:v>6</x:v>
      </x:c>
      <x:c r="H690" s="11" t="n">
        <x:f>IF(ISNUMBER(SEARCH("freq-core",'제외 후보'!AD690)),'선정 규칙'!$B$20,0)</x:f>
        <x:v>0</x:v>
      </x:c>
      <x:c r="I690" s="11" t="n">
        <x:f>IF(ISNUMBER(SEARCH("weak_legacy_content",'제외 후보'!P690)),'선정 규칙'!$B$21,0)</x:f>
        <x:v>5</x:v>
      </x:c>
      <x:c r="J690" s="11" t="n">
        <x:f>IF('제외 후보'!AC690&lt;&gt;"",'선정 규칙'!$B$22,0)</x:f>
        <x:v>0</x:v>
      </x:c>
      <x:c r="K690" s="11" t="n">
        <x:f>SUM(B690:J690)</x:f>
        <x:v>6</x:v>
      </x:c>
      <x:c r="L690" s="11" t="n">
        <x:f>'제외 후보'!N690</x:f>
        <x:v>6</x:v>
      </x:c>
      <x:c r="M690" s="2" t="str">
        <x:f>IF(K690=L690,"OK","MISMATCH")</x:f>
        <x:v>OK</x:v>
      </x:c>
    </x:row>
    <x:row r="691">
      <x:c r="A691" s="2" t="str">
        <x:f>'제외 후보'!G691</x:f>
        <x:v>w_bbbc247120caa97a</x:v>
      </x:c>
      <x:c r="B691" s="11" t="n">
        <x:f>IF('제외 후보'!Q691&lt;&gt;"",'선정 규칙'!$B$4,0)</x:f>
        <x:v>0</x:v>
      </x:c>
      <x:c r="C691" s="11" t="n">
        <x:f>IF(ISNUMBER(SEARCH("jmdict_uncommon_or_irregular",'제외 후보'!P691)),'선정 규칙'!$B$5,IF(ISNUMBER(SEARCH("jmdict_rare_or_dated",'제외 후보'!P691)),'선정 규칙'!$B$6,0))</x:f>
        <x:v>0</x:v>
      </x:c>
      <x:c r="D691" s="11" t="n">
        <x:f>IF(ISNUMBER(SEARCH("jmdict_exact_pair_not_found",'제외 후보'!P691)),'선정 규칙'!$B$7,0)</x:f>
        <x:v>0</x:v>
      </x:c>
      <x:c r="E691" s="11" t="n">
        <x:f>IF(OR('제외 후보'!L691="",'제외 후보'!L691&lt;=0),'선정 규칙'!$B$8,IF('제외 후보'!L691&lt;=1.5,'선정 규칙'!$B$9,IF('제외 후보'!L691&lt;=2,'선정 규칙'!$B$10,IF('제외 후보'!L691&lt;=2.5,'선정 규칙'!$B$11,IF('제외 후보'!L691&lt;=3,'선정 규칙'!$B$12,IF('제외 후보'!L691&lt;=3.5,'선정 규칙'!$B$13,IF('제외 후보'!L691&gt;=4.5,'선정 규칙'!$B$14,0)))))))</x:f>
        <x:v>20</x:v>
      </x:c>
      <x:c r="F691" s="11" t="n">
        <x:f>IF('제외 후보'!Y691=0,'선정 규칙'!$B$15,IF('제외 후보'!Y691&gt;=100,'선정 규칙'!$B$16,'선정 규칙'!$B$17))</x:f>
        <x:v>-25</x:v>
      </x:c>
      <x:c r="G691" s="11" t="n">
        <x:f>IF('제외 후보'!M691="있음",'선정 규칙'!$B$18,'선정 규칙'!$B$19)</x:f>
        <x:v>6</x:v>
      </x:c>
      <x:c r="H691" s="11" t="n">
        <x:f>IF(ISNUMBER(SEARCH("freq-core",'제외 후보'!AD691)),'선정 규칙'!$B$20,0)</x:f>
        <x:v>0</x:v>
      </x:c>
      <x:c r="I691" s="11" t="n">
        <x:f>IF(ISNUMBER(SEARCH("weak_legacy_content",'제외 후보'!P691)),'선정 규칙'!$B$21,0)</x:f>
        <x:v>5</x:v>
      </x:c>
      <x:c r="J691" s="11" t="n">
        <x:f>IF('제외 후보'!AC691&lt;&gt;"",'선정 규칙'!$B$22,0)</x:f>
        <x:v>0</x:v>
      </x:c>
      <x:c r="K691" s="11" t="n">
        <x:f>SUM(B691:J691)</x:f>
        <x:v>6</x:v>
      </x:c>
      <x:c r="L691" s="11" t="n">
        <x:f>'제외 후보'!N691</x:f>
        <x:v>6</x:v>
      </x:c>
      <x:c r="M691" s="2" t="str">
        <x:f>IF(K691=L691,"OK","MISMATCH")</x:f>
        <x:v>OK</x:v>
      </x:c>
    </x:row>
    <x:row r="692">
      <x:c r="A692" s="2" t="str">
        <x:f>'제외 후보'!G692</x:f>
        <x:v>w_b41d794c45339454</x:v>
      </x:c>
      <x:c r="B692" s="11" t="n">
        <x:f>IF('제외 후보'!Q692&lt;&gt;"",'선정 규칙'!$B$4,0)</x:f>
        <x:v>0</x:v>
      </x:c>
      <x:c r="C692" s="11" t="n">
        <x:f>IF(ISNUMBER(SEARCH("jmdict_uncommon_or_irregular",'제외 후보'!P692)),'선정 규칙'!$B$5,IF(ISNUMBER(SEARCH("jmdict_rare_or_dated",'제외 후보'!P692)),'선정 규칙'!$B$6,0))</x:f>
        <x:v>0</x:v>
      </x:c>
      <x:c r="D692" s="11" t="n">
        <x:f>IF(ISNUMBER(SEARCH("jmdict_exact_pair_not_found",'제외 후보'!P692)),'선정 규칙'!$B$7,0)</x:f>
        <x:v>0</x:v>
      </x:c>
      <x:c r="E692" s="11" t="n">
        <x:f>IF(OR('제외 후보'!L692="",'제외 후보'!L692&lt;=0),'선정 규칙'!$B$8,IF('제외 후보'!L692&lt;=1.5,'선정 규칙'!$B$9,IF('제외 후보'!L692&lt;=2,'선정 규칙'!$B$10,IF('제외 후보'!L692&lt;=2.5,'선정 규칙'!$B$11,IF('제외 후보'!L692&lt;=3,'선정 규칙'!$B$12,IF('제외 후보'!L692&lt;=3.5,'선정 규칙'!$B$13,IF('제외 후보'!L692&gt;=4.5,'선정 규칙'!$B$14,0)))))))</x:f>
        <x:v>20</x:v>
      </x:c>
      <x:c r="F692" s="11" t="n">
        <x:f>IF('제외 후보'!Y692=0,'선정 규칙'!$B$15,IF('제외 후보'!Y692&gt;=100,'선정 규칙'!$B$16,'선정 규칙'!$B$17))</x:f>
        <x:v>-25</x:v>
      </x:c>
      <x:c r="G692" s="11" t="n">
        <x:f>IF('제외 후보'!M692="있음",'선정 규칙'!$B$18,'선정 규칙'!$B$19)</x:f>
        <x:v>6</x:v>
      </x:c>
      <x:c r="H692" s="11" t="n">
        <x:f>IF(ISNUMBER(SEARCH("freq-core",'제외 후보'!AD692)),'선정 규칙'!$B$20,0)</x:f>
        <x:v>0</x:v>
      </x:c>
      <x:c r="I692" s="11" t="n">
        <x:f>IF(ISNUMBER(SEARCH("weak_legacy_content",'제외 후보'!P692)),'선정 규칙'!$B$21,0)</x:f>
        <x:v>5</x:v>
      </x:c>
      <x:c r="J692" s="11" t="n">
        <x:f>IF('제외 후보'!AC692&lt;&gt;"",'선정 규칙'!$B$22,0)</x:f>
        <x:v>0</x:v>
      </x:c>
      <x:c r="K692" s="11" t="n">
        <x:f>SUM(B692:J692)</x:f>
        <x:v>6</x:v>
      </x:c>
      <x:c r="L692" s="11" t="n">
        <x:f>'제외 후보'!N692</x:f>
        <x:v>6</x:v>
      </x:c>
      <x:c r="M692" s="2" t="str">
        <x:f>IF(K692=L692,"OK","MISMATCH")</x:f>
        <x:v>OK</x:v>
      </x:c>
    </x:row>
    <x:row r="693">
      <x:c r="A693" s="2" t="str">
        <x:f>'제외 후보'!G693</x:f>
        <x:v>w_290e3a03e5694e68</x:v>
      </x:c>
      <x:c r="B693" s="11" t="n">
        <x:f>IF('제외 후보'!Q693&lt;&gt;"",'선정 규칙'!$B$4,0)</x:f>
        <x:v>0</x:v>
      </x:c>
      <x:c r="C693" s="11" t="n">
        <x:f>IF(ISNUMBER(SEARCH("jmdict_uncommon_or_irregular",'제외 후보'!P693)),'선정 규칙'!$B$5,IF(ISNUMBER(SEARCH("jmdict_rare_or_dated",'제외 후보'!P693)),'선정 규칙'!$B$6,0))</x:f>
        <x:v>0</x:v>
      </x:c>
      <x:c r="D693" s="11" t="n">
        <x:f>IF(ISNUMBER(SEARCH("jmdict_exact_pair_not_found",'제외 후보'!P693)),'선정 규칙'!$B$7,0)</x:f>
        <x:v>0</x:v>
      </x:c>
      <x:c r="E693" s="11" t="n">
        <x:f>IF(OR('제외 후보'!L693="",'제외 후보'!L693&lt;=0),'선정 규칙'!$B$8,IF('제외 후보'!L693&lt;=1.5,'선정 규칙'!$B$9,IF('제외 후보'!L693&lt;=2,'선정 규칙'!$B$10,IF('제외 후보'!L693&lt;=2.5,'선정 규칙'!$B$11,IF('제외 후보'!L693&lt;=3,'선정 규칙'!$B$12,IF('제외 후보'!L693&lt;=3.5,'선정 규칙'!$B$13,IF('제외 후보'!L693&gt;=4.5,'선정 규칙'!$B$14,0)))))))</x:f>
        <x:v>20</x:v>
      </x:c>
      <x:c r="F693" s="11" t="n">
        <x:f>IF('제외 후보'!Y693=0,'선정 규칙'!$B$15,IF('제외 후보'!Y693&gt;=100,'선정 규칙'!$B$16,'선정 규칙'!$B$17))</x:f>
        <x:v>-25</x:v>
      </x:c>
      <x:c r="G693" s="11" t="n">
        <x:f>IF('제외 후보'!M693="있음",'선정 규칙'!$B$18,'선정 규칙'!$B$19)</x:f>
        <x:v>6</x:v>
      </x:c>
      <x:c r="H693" s="11" t="n">
        <x:f>IF(ISNUMBER(SEARCH("freq-core",'제외 후보'!AD693)),'선정 규칙'!$B$20,0)</x:f>
        <x:v>0</x:v>
      </x:c>
      <x:c r="I693" s="11" t="n">
        <x:f>IF(ISNUMBER(SEARCH("weak_legacy_content",'제외 후보'!P693)),'선정 규칙'!$B$21,0)</x:f>
        <x:v>5</x:v>
      </x:c>
      <x:c r="J693" s="11" t="n">
        <x:f>IF('제외 후보'!AC693&lt;&gt;"",'선정 규칙'!$B$22,0)</x:f>
        <x:v>0</x:v>
      </x:c>
      <x:c r="K693" s="11" t="n">
        <x:f>SUM(B693:J693)</x:f>
        <x:v>6</x:v>
      </x:c>
      <x:c r="L693" s="11" t="n">
        <x:f>'제외 후보'!N693</x:f>
        <x:v>6</x:v>
      </x:c>
      <x:c r="M693" s="2" t="str">
        <x:f>IF(K693=L693,"OK","MISMATCH")</x:f>
        <x:v>OK</x:v>
      </x:c>
    </x:row>
    <x:row r="694">
      <x:c r="A694" s="2" t="str">
        <x:f>'제외 후보'!G694</x:f>
        <x:v>w_baf580c85a745303</x:v>
      </x:c>
      <x:c r="B694" s="11" t="n">
        <x:f>IF('제외 후보'!Q694&lt;&gt;"",'선정 규칙'!$B$4,0)</x:f>
        <x:v>0</x:v>
      </x:c>
      <x:c r="C694" s="11" t="n">
        <x:f>IF(ISNUMBER(SEARCH("jmdict_uncommon_or_irregular",'제외 후보'!P694)),'선정 규칙'!$B$5,IF(ISNUMBER(SEARCH("jmdict_rare_or_dated",'제외 후보'!P694)),'선정 규칙'!$B$6,0))</x:f>
        <x:v>0</x:v>
      </x:c>
      <x:c r="D694" s="11" t="n">
        <x:f>IF(ISNUMBER(SEARCH("jmdict_exact_pair_not_found",'제외 후보'!P694)),'선정 규칙'!$B$7,0)</x:f>
        <x:v>0</x:v>
      </x:c>
      <x:c r="E694" s="11" t="n">
        <x:f>IF(OR('제외 후보'!L694="",'제외 후보'!L694&lt;=0),'선정 규칙'!$B$8,IF('제외 후보'!L694&lt;=1.5,'선정 규칙'!$B$9,IF('제외 후보'!L694&lt;=2,'선정 규칙'!$B$10,IF('제외 후보'!L694&lt;=2.5,'선정 규칙'!$B$11,IF('제외 후보'!L694&lt;=3,'선정 규칙'!$B$12,IF('제외 후보'!L694&lt;=3.5,'선정 규칙'!$B$13,IF('제외 후보'!L694&gt;=4.5,'선정 규칙'!$B$14,0)))))))</x:f>
        <x:v>20</x:v>
      </x:c>
      <x:c r="F694" s="11" t="n">
        <x:f>IF('제외 후보'!Y694=0,'선정 규칙'!$B$15,IF('제외 후보'!Y694&gt;=100,'선정 규칙'!$B$16,'선정 규칙'!$B$17))</x:f>
        <x:v>-25</x:v>
      </x:c>
      <x:c r="G694" s="11" t="n">
        <x:f>IF('제외 후보'!M694="있음",'선정 규칙'!$B$18,'선정 규칙'!$B$19)</x:f>
        <x:v>6</x:v>
      </x:c>
      <x:c r="H694" s="11" t="n">
        <x:f>IF(ISNUMBER(SEARCH("freq-core",'제외 후보'!AD694)),'선정 규칙'!$B$20,0)</x:f>
        <x:v>0</x:v>
      </x:c>
      <x:c r="I694" s="11" t="n">
        <x:f>IF(ISNUMBER(SEARCH("weak_legacy_content",'제외 후보'!P694)),'선정 규칙'!$B$21,0)</x:f>
        <x:v>5</x:v>
      </x:c>
      <x:c r="J694" s="11" t="n">
        <x:f>IF('제외 후보'!AC694&lt;&gt;"",'선정 규칙'!$B$22,0)</x:f>
        <x:v>0</x:v>
      </x:c>
      <x:c r="K694" s="11" t="n">
        <x:f>SUM(B694:J694)</x:f>
        <x:v>6</x:v>
      </x:c>
      <x:c r="L694" s="11" t="n">
        <x:f>'제외 후보'!N694</x:f>
        <x:v>6</x:v>
      </x:c>
      <x:c r="M694" s="2" t="str">
        <x:f>IF(K694=L694,"OK","MISMATCH")</x:f>
        <x:v>OK</x:v>
      </x:c>
    </x:row>
    <x:row r="695">
      <x:c r="A695" s="2" t="str">
        <x:f>'제외 후보'!G695</x:f>
        <x:v>w_2647ebc555c9e05a</x:v>
      </x:c>
      <x:c r="B695" s="11" t="n">
        <x:f>IF('제외 후보'!Q695&lt;&gt;"",'선정 규칙'!$B$4,0)</x:f>
        <x:v>0</x:v>
      </x:c>
      <x:c r="C695" s="11" t="n">
        <x:f>IF(ISNUMBER(SEARCH("jmdict_uncommon_or_irregular",'제외 후보'!P695)),'선정 규칙'!$B$5,IF(ISNUMBER(SEARCH("jmdict_rare_or_dated",'제외 후보'!P695)),'선정 규칙'!$B$6,0))</x:f>
        <x:v>0</x:v>
      </x:c>
      <x:c r="D695" s="11" t="n">
        <x:f>IF(ISNUMBER(SEARCH("jmdict_exact_pair_not_found",'제외 후보'!P695)),'선정 규칙'!$B$7,0)</x:f>
        <x:v>0</x:v>
      </x:c>
      <x:c r="E695" s="11" t="n">
        <x:f>IF(OR('제외 후보'!L695="",'제외 후보'!L695&lt;=0),'선정 규칙'!$B$8,IF('제외 후보'!L695&lt;=1.5,'선정 규칙'!$B$9,IF('제외 후보'!L695&lt;=2,'선정 규칙'!$B$10,IF('제외 후보'!L695&lt;=2.5,'선정 규칙'!$B$11,IF('제외 후보'!L695&lt;=3,'선정 규칙'!$B$12,IF('제외 후보'!L695&lt;=3.5,'선정 규칙'!$B$13,IF('제외 후보'!L695&gt;=4.5,'선정 규칙'!$B$14,0)))))))</x:f>
        <x:v>20</x:v>
      </x:c>
      <x:c r="F695" s="11" t="n">
        <x:f>IF('제외 후보'!Y695=0,'선정 규칙'!$B$15,IF('제외 후보'!Y695&gt;=100,'선정 규칙'!$B$16,'선정 규칙'!$B$17))</x:f>
        <x:v>-25</x:v>
      </x:c>
      <x:c r="G695" s="11" t="n">
        <x:f>IF('제외 후보'!M695="있음",'선정 규칙'!$B$18,'선정 규칙'!$B$19)</x:f>
        <x:v>6</x:v>
      </x:c>
      <x:c r="H695" s="11" t="n">
        <x:f>IF(ISNUMBER(SEARCH("freq-core",'제외 후보'!AD695)),'선정 규칙'!$B$20,0)</x:f>
        <x:v>0</x:v>
      </x:c>
      <x:c r="I695" s="11" t="n">
        <x:f>IF(ISNUMBER(SEARCH("weak_legacy_content",'제외 후보'!P695)),'선정 규칙'!$B$21,0)</x:f>
        <x:v>5</x:v>
      </x:c>
      <x:c r="J695" s="11" t="n">
        <x:f>IF('제외 후보'!AC695&lt;&gt;"",'선정 규칙'!$B$22,0)</x:f>
        <x:v>0</x:v>
      </x:c>
      <x:c r="K695" s="11" t="n">
        <x:f>SUM(B695:J695)</x:f>
        <x:v>6</x:v>
      </x:c>
      <x:c r="L695" s="11" t="n">
        <x:f>'제외 후보'!N695</x:f>
        <x:v>6</x:v>
      </x:c>
      <x:c r="M695" s="2" t="str">
        <x:f>IF(K695=L695,"OK","MISMATCH")</x:f>
        <x:v>OK</x:v>
      </x:c>
    </x:row>
    <x:row r="696">
      <x:c r="A696" s="2" t="str">
        <x:f>'제외 후보'!G696</x:f>
        <x:v>w_5031ba90364d3c9e</x:v>
      </x:c>
      <x:c r="B696" s="11" t="n">
        <x:f>IF('제외 후보'!Q696&lt;&gt;"",'선정 규칙'!$B$4,0)</x:f>
        <x:v>0</x:v>
      </x:c>
      <x:c r="C696" s="11" t="n">
        <x:f>IF(ISNUMBER(SEARCH("jmdict_uncommon_or_irregular",'제외 후보'!P696)),'선정 규칙'!$B$5,IF(ISNUMBER(SEARCH("jmdict_rare_or_dated",'제외 후보'!P696)),'선정 규칙'!$B$6,0))</x:f>
        <x:v>0</x:v>
      </x:c>
      <x:c r="D696" s="11" t="n">
        <x:f>IF(ISNUMBER(SEARCH("jmdict_exact_pair_not_found",'제외 후보'!P696)),'선정 규칙'!$B$7,0)</x:f>
        <x:v>0</x:v>
      </x:c>
      <x:c r="E696" s="11" t="n">
        <x:f>IF(OR('제외 후보'!L696="",'제외 후보'!L696&lt;=0),'선정 규칙'!$B$8,IF('제외 후보'!L696&lt;=1.5,'선정 규칙'!$B$9,IF('제외 후보'!L696&lt;=2,'선정 규칙'!$B$10,IF('제외 후보'!L696&lt;=2.5,'선정 규칙'!$B$11,IF('제외 후보'!L696&lt;=3,'선정 규칙'!$B$12,IF('제외 후보'!L696&lt;=3.5,'선정 규칙'!$B$13,IF('제외 후보'!L696&gt;=4.5,'선정 규칙'!$B$14,0)))))))</x:f>
        <x:v>20</x:v>
      </x:c>
      <x:c r="F696" s="11" t="n">
        <x:f>IF('제외 후보'!Y696=0,'선정 규칙'!$B$15,IF('제외 후보'!Y696&gt;=100,'선정 규칙'!$B$16,'선정 규칙'!$B$17))</x:f>
        <x:v>-25</x:v>
      </x:c>
      <x:c r="G696" s="11" t="n">
        <x:f>IF('제외 후보'!M696="있음",'선정 규칙'!$B$18,'선정 규칙'!$B$19)</x:f>
        <x:v>6</x:v>
      </x:c>
      <x:c r="H696" s="11" t="n">
        <x:f>IF(ISNUMBER(SEARCH("freq-core",'제외 후보'!AD696)),'선정 규칙'!$B$20,0)</x:f>
        <x:v>0</x:v>
      </x:c>
      <x:c r="I696" s="11" t="n">
        <x:f>IF(ISNUMBER(SEARCH("weak_legacy_content",'제외 후보'!P696)),'선정 규칙'!$B$21,0)</x:f>
        <x:v>5</x:v>
      </x:c>
      <x:c r="J696" s="11" t="n">
        <x:f>IF('제외 후보'!AC696&lt;&gt;"",'선정 규칙'!$B$22,0)</x:f>
        <x:v>0</x:v>
      </x:c>
      <x:c r="K696" s="11" t="n">
        <x:f>SUM(B696:J696)</x:f>
        <x:v>6</x:v>
      </x:c>
      <x:c r="L696" s="11" t="n">
        <x:f>'제외 후보'!N696</x:f>
        <x:v>6</x:v>
      </x:c>
      <x:c r="M696" s="2" t="str">
        <x:f>IF(K696=L696,"OK","MISMATCH")</x:f>
        <x:v>OK</x:v>
      </x:c>
    </x:row>
    <x:row r="697">
      <x:c r="A697" s="2" t="str">
        <x:f>'제외 후보'!G697</x:f>
        <x:v>w_e06c9c0e0ad90930</x:v>
      </x:c>
      <x:c r="B697" s="11" t="n">
        <x:f>IF('제외 후보'!Q697&lt;&gt;"",'선정 규칙'!$B$4,0)</x:f>
        <x:v>0</x:v>
      </x:c>
      <x:c r="C697" s="11" t="n">
        <x:f>IF(ISNUMBER(SEARCH("jmdict_uncommon_or_irregular",'제외 후보'!P697)),'선정 규칙'!$B$5,IF(ISNUMBER(SEARCH("jmdict_rare_or_dated",'제외 후보'!P697)),'선정 규칙'!$B$6,0))</x:f>
        <x:v>0</x:v>
      </x:c>
      <x:c r="D697" s="11" t="n">
        <x:f>IF(ISNUMBER(SEARCH("jmdict_exact_pair_not_found",'제외 후보'!P697)),'선정 규칙'!$B$7,0)</x:f>
        <x:v>0</x:v>
      </x:c>
      <x:c r="E697" s="11" t="n">
        <x:f>IF(OR('제외 후보'!L697="",'제외 후보'!L697&lt;=0),'선정 규칙'!$B$8,IF('제외 후보'!L697&lt;=1.5,'선정 규칙'!$B$9,IF('제외 후보'!L697&lt;=2,'선정 규칙'!$B$10,IF('제외 후보'!L697&lt;=2.5,'선정 규칙'!$B$11,IF('제외 후보'!L697&lt;=3,'선정 규칙'!$B$12,IF('제외 후보'!L697&lt;=3.5,'선정 규칙'!$B$13,IF('제외 후보'!L697&gt;=4.5,'선정 규칙'!$B$14,0)))))))</x:f>
        <x:v>20</x:v>
      </x:c>
      <x:c r="F697" s="11" t="n">
        <x:f>IF('제외 후보'!Y697=0,'선정 규칙'!$B$15,IF('제외 후보'!Y697&gt;=100,'선정 규칙'!$B$16,'선정 규칙'!$B$17))</x:f>
        <x:v>-25</x:v>
      </x:c>
      <x:c r="G697" s="11" t="n">
        <x:f>IF('제외 후보'!M697="있음",'선정 규칙'!$B$18,'선정 규칙'!$B$19)</x:f>
        <x:v>6</x:v>
      </x:c>
      <x:c r="H697" s="11" t="n">
        <x:f>IF(ISNUMBER(SEARCH("freq-core",'제외 후보'!AD697)),'선정 규칙'!$B$20,0)</x:f>
        <x:v>0</x:v>
      </x:c>
      <x:c r="I697" s="11" t="n">
        <x:f>IF(ISNUMBER(SEARCH("weak_legacy_content",'제외 후보'!P697)),'선정 규칙'!$B$21,0)</x:f>
        <x:v>5</x:v>
      </x:c>
      <x:c r="J697" s="11" t="n">
        <x:f>IF('제외 후보'!AC697&lt;&gt;"",'선정 규칙'!$B$22,0)</x:f>
        <x:v>0</x:v>
      </x:c>
      <x:c r="K697" s="11" t="n">
        <x:f>SUM(B697:J697)</x:f>
        <x:v>6</x:v>
      </x:c>
      <x:c r="L697" s="11" t="n">
        <x:f>'제외 후보'!N697</x:f>
        <x:v>6</x:v>
      </x:c>
      <x:c r="M697" s="2" t="str">
        <x:f>IF(K697=L697,"OK","MISMATCH")</x:f>
        <x:v>OK</x:v>
      </x:c>
    </x:row>
    <x:row r="698">
      <x:c r="A698" s="2" t="str">
        <x:f>'제외 후보'!G698</x:f>
        <x:v>w_b74f05ea996a7059</x:v>
      </x:c>
      <x:c r="B698" s="11" t="n">
        <x:f>IF('제외 후보'!Q698&lt;&gt;"",'선정 규칙'!$B$4,0)</x:f>
        <x:v>0</x:v>
      </x:c>
      <x:c r="C698" s="11" t="n">
        <x:f>IF(ISNUMBER(SEARCH("jmdict_uncommon_or_irregular",'제외 후보'!P698)),'선정 규칙'!$B$5,IF(ISNUMBER(SEARCH("jmdict_rare_or_dated",'제외 후보'!P698)),'선정 규칙'!$B$6,0))</x:f>
        <x:v>0</x:v>
      </x:c>
      <x:c r="D698" s="11" t="n">
        <x:f>IF(ISNUMBER(SEARCH("jmdict_exact_pair_not_found",'제외 후보'!P698)),'선정 규칙'!$B$7,0)</x:f>
        <x:v>0</x:v>
      </x:c>
      <x:c r="E698" s="11" t="n">
        <x:f>IF(OR('제외 후보'!L698="",'제외 후보'!L698&lt;=0),'선정 규칙'!$B$8,IF('제외 후보'!L698&lt;=1.5,'선정 규칙'!$B$9,IF('제외 후보'!L698&lt;=2,'선정 규칙'!$B$10,IF('제외 후보'!L698&lt;=2.5,'선정 규칙'!$B$11,IF('제외 후보'!L698&lt;=3,'선정 규칙'!$B$12,IF('제외 후보'!L698&lt;=3.5,'선정 규칙'!$B$13,IF('제외 후보'!L698&gt;=4.5,'선정 규칙'!$B$14,0)))))))</x:f>
        <x:v>20</x:v>
      </x:c>
      <x:c r="F698" s="11" t="n">
        <x:f>IF('제외 후보'!Y698=0,'선정 규칙'!$B$15,IF('제외 후보'!Y698&gt;=100,'선정 규칙'!$B$16,'선정 규칙'!$B$17))</x:f>
        <x:v>-25</x:v>
      </x:c>
      <x:c r="G698" s="11" t="n">
        <x:f>IF('제외 후보'!M698="있음",'선정 규칙'!$B$18,'선정 규칙'!$B$19)</x:f>
        <x:v>6</x:v>
      </x:c>
      <x:c r="H698" s="11" t="n">
        <x:f>IF(ISNUMBER(SEARCH("freq-core",'제외 후보'!AD698)),'선정 규칙'!$B$20,0)</x:f>
        <x:v>0</x:v>
      </x:c>
      <x:c r="I698" s="11" t="n">
        <x:f>IF(ISNUMBER(SEARCH("weak_legacy_content",'제외 후보'!P698)),'선정 규칙'!$B$21,0)</x:f>
        <x:v>5</x:v>
      </x:c>
      <x:c r="J698" s="11" t="n">
        <x:f>IF('제외 후보'!AC698&lt;&gt;"",'선정 규칙'!$B$22,0)</x:f>
        <x:v>0</x:v>
      </x:c>
      <x:c r="K698" s="11" t="n">
        <x:f>SUM(B698:J698)</x:f>
        <x:v>6</x:v>
      </x:c>
      <x:c r="L698" s="11" t="n">
        <x:f>'제외 후보'!N698</x:f>
        <x:v>6</x:v>
      </x:c>
      <x:c r="M698" s="2" t="str">
        <x:f>IF(K698=L698,"OK","MISMATCH")</x:f>
        <x:v>OK</x:v>
      </x:c>
    </x:row>
    <x:row r="699">
      <x:c r="A699" s="2" t="str">
        <x:f>'제외 후보'!G699</x:f>
        <x:v>w_bf8d4c2e6d0d64f9</x:v>
      </x:c>
      <x:c r="B699" s="11" t="n">
        <x:f>IF('제외 후보'!Q699&lt;&gt;"",'선정 규칙'!$B$4,0)</x:f>
        <x:v>0</x:v>
      </x:c>
      <x:c r="C699" s="11" t="n">
        <x:f>IF(ISNUMBER(SEARCH("jmdict_uncommon_or_irregular",'제외 후보'!P699)),'선정 규칙'!$B$5,IF(ISNUMBER(SEARCH("jmdict_rare_or_dated",'제외 후보'!P699)),'선정 규칙'!$B$6,0))</x:f>
        <x:v>0</x:v>
      </x:c>
      <x:c r="D699" s="11" t="n">
        <x:f>IF(ISNUMBER(SEARCH("jmdict_exact_pair_not_found",'제외 후보'!P699)),'선정 규칙'!$B$7,0)</x:f>
        <x:v>0</x:v>
      </x:c>
      <x:c r="E699" s="11" t="n">
        <x:f>IF(OR('제외 후보'!L699="",'제외 후보'!L699&lt;=0),'선정 규칙'!$B$8,IF('제외 후보'!L699&lt;=1.5,'선정 규칙'!$B$9,IF('제외 후보'!L699&lt;=2,'선정 규칙'!$B$10,IF('제외 후보'!L699&lt;=2.5,'선정 규칙'!$B$11,IF('제외 후보'!L699&lt;=3,'선정 규칙'!$B$12,IF('제외 후보'!L699&lt;=3.5,'선정 규칙'!$B$13,IF('제외 후보'!L699&gt;=4.5,'선정 규칙'!$B$14,0)))))))</x:f>
        <x:v>20</x:v>
      </x:c>
      <x:c r="F699" s="11" t="n">
        <x:f>IF('제외 후보'!Y699=0,'선정 규칙'!$B$15,IF('제외 후보'!Y699&gt;=100,'선정 규칙'!$B$16,'선정 규칙'!$B$17))</x:f>
        <x:v>-25</x:v>
      </x:c>
      <x:c r="G699" s="11" t="n">
        <x:f>IF('제외 후보'!M699="있음",'선정 규칙'!$B$18,'선정 규칙'!$B$19)</x:f>
        <x:v>6</x:v>
      </x:c>
      <x:c r="H699" s="11" t="n">
        <x:f>IF(ISNUMBER(SEARCH("freq-core",'제외 후보'!AD699)),'선정 규칙'!$B$20,0)</x:f>
        <x:v>0</x:v>
      </x:c>
      <x:c r="I699" s="11" t="n">
        <x:f>IF(ISNUMBER(SEARCH("weak_legacy_content",'제외 후보'!P699)),'선정 규칙'!$B$21,0)</x:f>
        <x:v>5</x:v>
      </x:c>
      <x:c r="J699" s="11" t="n">
        <x:f>IF('제외 후보'!AC699&lt;&gt;"",'선정 규칙'!$B$22,0)</x:f>
        <x:v>0</x:v>
      </x:c>
      <x:c r="K699" s="11" t="n">
        <x:f>SUM(B699:J699)</x:f>
        <x:v>6</x:v>
      </x:c>
      <x:c r="L699" s="11" t="n">
        <x:f>'제외 후보'!N699</x:f>
        <x:v>6</x:v>
      </x:c>
      <x:c r="M699" s="2" t="str">
        <x:f>IF(K699=L699,"OK","MISMATCH")</x:f>
        <x:v>OK</x:v>
      </x:c>
    </x:row>
    <x:row r="700">
      <x:c r="A700" s="2" t="str">
        <x:f>'제외 후보'!G700</x:f>
        <x:v>w_55a2bff59971f4fb</x:v>
      </x:c>
      <x:c r="B700" s="11" t="n">
        <x:f>IF('제외 후보'!Q700&lt;&gt;"",'선정 규칙'!$B$4,0)</x:f>
        <x:v>0</x:v>
      </x:c>
      <x:c r="C700" s="11" t="n">
        <x:f>IF(ISNUMBER(SEARCH("jmdict_uncommon_or_irregular",'제외 후보'!P700)),'선정 규칙'!$B$5,IF(ISNUMBER(SEARCH("jmdict_rare_or_dated",'제외 후보'!P700)),'선정 규칙'!$B$6,0))</x:f>
        <x:v>0</x:v>
      </x:c>
      <x:c r="D700" s="11" t="n">
        <x:f>IF(ISNUMBER(SEARCH("jmdict_exact_pair_not_found",'제외 후보'!P700)),'선정 규칙'!$B$7,0)</x:f>
        <x:v>0</x:v>
      </x:c>
      <x:c r="E700" s="11" t="n">
        <x:f>IF(OR('제외 후보'!L700="",'제외 후보'!L700&lt;=0),'선정 규칙'!$B$8,IF('제외 후보'!L700&lt;=1.5,'선정 규칙'!$B$9,IF('제외 후보'!L700&lt;=2,'선정 규칙'!$B$10,IF('제외 후보'!L700&lt;=2.5,'선정 규칙'!$B$11,IF('제외 후보'!L700&lt;=3,'선정 규칙'!$B$12,IF('제외 후보'!L700&lt;=3.5,'선정 규칙'!$B$13,IF('제외 후보'!L700&gt;=4.5,'선정 규칙'!$B$14,0)))))))</x:f>
        <x:v>20</x:v>
      </x:c>
      <x:c r="F700" s="11" t="n">
        <x:f>IF('제외 후보'!Y700=0,'선정 규칙'!$B$15,IF('제외 후보'!Y700&gt;=100,'선정 규칙'!$B$16,'선정 규칙'!$B$17))</x:f>
        <x:v>-25</x:v>
      </x:c>
      <x:c r="G700" s="11" t="n">
        <x:f>IF('제외 후보'!M700="있음",'선정 규칙'!$B$18,'선정 규칙'!$B$19)</x:f>
        <x:v>6</x:v>
      </x:c>
      <x:c r="H700" s="11" t="n">
        <x:f>IF(ISNUMBER(SEARCH("freq-core",'제외 후보'!AD700)),'선정 규칙'!$B$20,0)</x:f>
        <x:v>0</x:v>
      </x:c>
      <x:c r="I700" s="11" t="n">
        <x:f>IF(ISNUMBER(SEARCH("weak_legacy_content",'제외 후보'!P700)),'선정 규칙'!$B$21,0)</x:f>
        <x:v>5</x:v>
      </x:c>
      <x:c r="J700" s="11" t="n">
        <x:f>IF('제외 후보'!AC700&lt;&gt;"",'선정 규칙'!$B$22,0)</x:f>
        <x:v>0</x:v>
      </x:c>
      <x:c r="K700" s="11" t="n">
        <x:f>SUM(B700:J700)</x:f>
        <x:v>6</x:v>
      </x:c>
      <x:c r="L700" s="11" t="n">
        <x:f>'제외 후보'!N700</x:f>
        <x:v>6</x:v>
      </x:c>
      <x:c r="M700" s="2" t="str">
        <x:f>IF(K700=L700,"OK","MISMATCH")</x:f>
        <x:v>OK</x:v>
      </x:c>
    </x:row>
    <x:row r="701">
      <x:c r="A701" s="2" t="str">
        <x:f>'제외 후보'!G701</x:f>
        <x:v>w_7b660d3b6eb8cff8</x:v>
      </x:c>
      <x:c r="B701" s="11" t="n">
        <x:f>IF('제외 후보'!Q701&lt;&gt;"",'선정 규칙'!$B$4,0)</x:f>
        <x:v>0</x:v>
      </x:c>
      <x:c r="C701" s="11" t="n">
        <x:f>IF(ISNUMBER(SEARCH("jmdict_uncommon_or_irregular",'제외 후보'!P701)),'선정 규칙'!$B$5,IF(ISNUMBER(SEARCH("jmdict_rare_or_dated",'제외 후보'!P701)),'선정 규칙'!$B$6,0))</x:f>
        <x:v>0</x:v>
      </x:c>
      <x:c r="D701" s="11" t="n">
        <x:f>IF(ISNUMBER(SEARCH("jmdict_exact_pair_not_found",'제외 후보'!P701)),'선정 규칙'!$B$7,0)</x:f>
        <x:v>0</x:v>
      </x:c>
      <x:c r="E701" s="11" t="n">
        <x:f>IF(OR('제외 후보'!L701="",'제외 후보'!L701&lt;=0),'선정 규칙'!$B$8,IF('제외 후보'!L701&lt;=1.5,'선정 규칙'!$B$9,IF('제외 후보'!L701&lt;=2,'선정 규칙'!$B$10,IF('제외 후보'!L701&lt;=2.5,'선정 규칙'!$B$11,IF('제외 후보'!L701&lt;=3,'선정 규칙'!$B$12,IF('제외 후보'!L701&lt;=3.5,'선정 규칙'!$B$13,IF('제외 후보'!L701&gt;=4.5,'선정 규칙'!$B$14,0)))))))</x:f>
        <x:v>20</x:v>
      </x:c>
      <x:c r="F701" s="11" t="n">
        <x:f>IF('제외 후보'!Y701=0,'선정 규칙'!$B$15,IF('제외 후보'!Y701&gt;=100,'선정 규칙'!$B$16,'선정 규칙'!$B$17))</x:f>
        <x:v>-25</x:v>
      </x:c>
      <x:c r="G701" s="11" t="n">
        <x:f>IF('제외 후보'!M701="있음",'선정 규칙'!$B$18,'선정 규칙'!$B$19)</x:f>
        <x:v>6</x:v>
      </x:c>
      <x:c r="H701" s="11" t="n">
        <x:f>IF(ISNUMBER(SEARCH("freq-core",'제외 후보'!AD701)),'선정 규칙'!$B$20,0)</x:f>
        <x:v>0</x:v>
      </x:c>
      <x:c r="I701" s="11" t="n">
        <x:f>IF(ISNUMBER(SEARCH("weak_legacy_content",'제외 후보'!P701)),'선정 규칙'!$B$21,0)</x:f>
        <x:v>5</x:v>
      </x:c>
      <x:c r="J701" s="11" t="n">
        <x:f>IF('제외 후보'!AC701&lt;&gt;"",'선정 규칙'!$B$22,0)</x:f>
        <x:v>0</x:v>
      </x:c>
      <x:c r="K701" s="11" t="n">
        <x:f>SUM(B701:J701)</x:f>
        <x:v>6</x:v>
      </x:c>
      <x:c r="L701" s="11" t="n">
        <x:f>'제외 후보'!N701</x:f>
        <x:v>6</x:v>
      </x:c>
      <x:c r="M701" s="2" t="str">
        <x:f>IF(K701=L701,"OK","MISMATCH")</x:f>
        <x:v>OK</x:v>
      </x:c>
    </x:row>
    <x:row r="702">
      <x:c r="A702" s="2" t="str">
        <x:f>'제외 후보'!G702</x:f>
        <x:v>w_e3537583e1470ef9</x:v>
      </x:c>
      <x:c r="B702" s="11" t="n">
        <x:f>IF('제외 후보'!Q702&lt;&gt;"",'선정 규칙'!$B$4,0)</x:f>
        <x:v>0</x:v>
      </x:c>
      <x:c r="C702" s="11" t="n">
        <x:f>IF(ISNUMBER(SEARCH("jmdict_uncommon_or_irregular",'제외 후보'!P702)),'선정 규칙'!$B$5,IF(ISNUMBER(SEARCH("jmdict_rare_or_dated",'제외 후보'!P702)),'선정 규칙'!$B$6,0))</x:f>
        <x:v>0</x:v>
      </x:c>
      <x:c r="D702" s="11" t="n">
        <x:f>IF(ISNUMBER(SEARCH("jmdict_exact_pair_not_found",'제외 후보'!P702)),'선정 규칙'!$B$7,0)</x:f>
        <x:v>0</x:v>
      </x:c>
      <x:c r="E702" s="11" t="n">
        <x:f>IF(OR('제외 후보'!L702="",'제외 후보'!L702&lt;=0),'선정 규칙'!$B$8,IF('제외 후보'!L702&lt;=1.5,'선정 규칙'!$B$9,IF('제외 후보'!L702&lt;=2,'선정 규칙'!$B$10,IF('제외 후보'!L702&lt;=2.5,'선정 규칙'!$B$11,IF('제외 후보'!L702&lt;=3,'선정 규칙'!$B$12,IF('제외 후보'!L702&lt;=3.5,'선정 규칙'!$B$13,IF('제외 후보'!L702&gt;=4.5,'선정 규칙'!$B$14,0)))))))</x:f>
        <x:v>20</x:v>
      </x:c>
      <x:c r="F702" s="11" t="n">
        <x:f>IF('제외 후보'!Y702=0,'선정 규칙'!$B$15,IF('제외 후보'!Y702&gt;=100,'선정 규칙'!$B$16,'선정 규칙'!$B$17))</x:f>
        <x:v>-25</x:v>
      </x:c>
      <x:c r="G702" s="11" t="n">
        <x:f>IF('제외 후보'!M702="있음",'선정 규칙'!$B$18,'선정 규칙'!$B$19)</x:f>
        <x:v>6</x:v>
      </x:c>
      <x:c r="H702" s="11" t="n">
        <x:f>IF(ISNUMBER(SEARCH("freq-core",'제외 후보'!AD702)),'선정 규칙'!$B$20,0)</x:f>
        <x:v>0</x:v>
      </x:c>
      <x:c r="I702" s="11" t="n">
        <x:f>IF(ISNUMBER(SEARCH("weak_legacy_content",'제외 후보'!P702)),'선정 규칙'!$B$21,0)</x:f>
        <x:v>5</x:v>
      </x:c>
      <x:c r="J702" s="11" t="n">
        <x:f>IF('제외 후보'!AC702&lt;&gt;"",'선정 규칙'!$B$22,0)</x:f>
        <x:v>0</x:v>
      </x:c>
      <x:c r="K702" s="11" t="n">
        <x:f>SUM(B702:J702)</x:f>
        <x:v>6</x:v>
      </x:c>
      <x:c r="L702" s="11" t="n">
        <x:f>'제외 후보'!N702</x:f>
        <x:v>6</x:v>
      </x:c>
      <x:c r="M702" s="2" t="str">
        <x:f>IF(K702=L702,"OK","MISMATCH")</x:f>
        <x:v>OK</x:v>
      </x:c>
    </x:row>
    <x:row r="703">
      <x:c r="A703" s="2" t="str">
        <x:f>'제외 후보'!G703</x:f>
        <x:v>w_1fb1432fdae5690a</x:v>
      </x:c>
      <x:c r="B703" s="11" t="n">
        <x:f>IF('제외 후보'!Q703&lt;&gt;"",'선정 규칙'!$B$4,0)</x:f>
        <x:v>0</x:v>
      </x:c>
      <x:c r="C703" s="11" t="n">
        <x:f>IF(ISNUMBER(SEARCH("jmdict_uncommon_or_irregular",'제외 후보'!P703)),'선정 규칙'!$B$5,IF(ISNUMBER(SEARCH("jmdict_rare_or_dated",'제외 후보'!P703)),'선정 규칙'!$B$6,0))</x:f>
        <x:v>0</x:v>
      </x:c>
      <x:c r="D703" s="11" t="n">
        <x:f>IF(ISNUMBER(SEARCH("jmdict_exact_pair_not_found",'제외 후보'!P703)),'선정 규칙'!$B$7,0)</x:f>
        <x:v>0</x:v>
      </x:c>
      <x:c r="E703" s="11" t="n">
        <x:f>IF(OR('제외 후보'!L703="",'제외 후보'!L703&lt;=0),'선정 규칙'!$B$8,IF('제외 후보'!L703&lt;=1.5,'선정 규칙'!$B$9,IF('제외 후보'!L703&lt;=2,'선정 규칙'!$B$10,IF('제외 후보'!L703&lt;=2.5,'선정 규칙'!$B$11,IF('제외 후보'!L703&lt;=3,'선정 규칙'!$B$12,IF('제외 후보'!L703&lt;=3.5,'선정 규칙'!$B$13,IF('제외 후보'!L703&gt;=4.5,'선정 규칙'!$B$14,0)))))))</x:f>
        <x:v>20</x:v>
      </x:c>
      <x:c r="F703" s="11" t="n">
        <x:f>IF('제외 후보'!Y703=0,'선정 규칙'!$B$15,IF('제외 후보'!Y703&gt;=100,'선정 규칙'!$B$16,'선정 규칙'!$B$17))</x:f>
        <x:v>-25</x:v>
      </x:c>
      <x:c r="G703" s="11" t="n">
        <x:f>IF('제외 후보'!M703="있음",'선정 규칙'!$B$18,'선정 규칙'!$B$19)</x:f>
        <x:v>6</x:v>
      </x:c>
      <x:c r="H703" s="11" t="n">
        <x:f>IF(ISNUMBER(SEARCH("freq-core",'제외 후보'!AD703)),'선정 규칙'!$B$20,0)</x:f>
        <x:v>0</x:v>
      </x:c>
      <x:c r="I703" s="11" t="n">
        <x:f>IF(ISNUMBER(SEARCH("weak_legacy_content",'제외 후보'!P703)),'선정 규칙'!$B$21,0)</x:f>
        <x:v>5</x:v>
      </x:c>
      <x:c r="J703" s="11" t="n">
        <x:f>IF('제외 후보'!AC703&lt;&gt;"",'선정 규칙'!$B$22,0)</x:f>
        <x:v>0</x:v>
      </x:c>
      <x:c r="K703" s="11" t="n">
        <x:f>SUM(B703:J703)</x:f>
        <x:v>6</x:v>
      </x:c>
      <x:c r="L703" s="11" t="n">
        <x:f>'제외 후보'!N703</x:f>
        <x:v>6</x:v>
      </x:c>
      <x:c r="M703" s="2" t="str">
        <x:f>IF(K703=L703,"OK","MISMATCH")</x:f>
        <x:v>OK</x:v>
      </x:c>
    </x:row>
    <x:row r="704">
      <x:c r="A704" s="2" t="str">
        <x:f>'제외 후보'!G704</x:f>
        <x:v>w_e478c2e2a5b79c6a</x:v>
      </x:c>
      <x:c r="B704" s="11" t="n">
        <x:f>IF('제외 후보'!Q704&lt;&gt;"",'선정 규칙'!$B$4,0)</x:f>
        <x:v>0</x:v>
      </x:c>
      <x:c r="C704" s="11" t="n">
        <x:f>IF(ISNUMBER(SEARCH("jmdict_uncommon_or_irregular",'제외 후보'!P704)),'선정 규칙'!$B$5,IF(ISNUMBER(SEARCH("jmdict_rare_or_dated",'제외 후보'!P704)),'선정 규칙'!$B$6,0))</x:f>
        <x:v>0</x:v>
      </x:c>
      <x:c r="D704" s="11" t="n">
        <x:f>IF(ISNUMBER(SEARCH("jmdict_exact_pair_not_found",'제외 후보'!P704)),'선정 규칙'!$B$7,0)</x:f>
        <x:v>0</x:v>
      </x:c>
      <x:c r="E704" s="11" t="n">
        <x:f>IF(OR('제외 후보'!L704="",'제외 후보'!L704&lt;=0),'선정 규칙'!$B$8,IF('제외 후보'!L704&lt;=1.5,'선정 규칙'!$B$9,IF('제외 후보'!L704&lt;=2,'선정 규칙'!$B$10,IF('제외 후보'!L704&lt;=2.5,'선정 규칙'!$B$11,IF('제외 후보'!L704&lt;=3,'선정 규칙'!$B$12,IF('제외 후보'!L704&lt;=3.5,'선정 규칙'!$B$13,IF('제외 후보'!L704&gt;=4.5,'선정 규칙'!$B$14,0)))))))</x:f>
        <x:v>20</x:v>
      </x:c>
      <x:c r="F704" s="11" t="n">
        <x:f>IF('제외 후보'!Y704=0,'선정 규칙'!$B$15,IF('제외 후보'!Y704&gt;=100,'선정 규칙'!$B$16,'선정 규칙'!$B$17))</x:f>
        <x:v>-25</x:v>
      </x:c>
      <x:c r="G704" s="11" t="n">
        <x:f>IF('제외 후보'!M704="있음",'선정 규칙'!$B$18,'선정 규칙'!$B$19)</x:f>
        <x:v>6</x:v>
      </x:c>
      <x:c r="H704" s="11" t="n">
        <x:f>IF(ISNUMBER(SEARCH("freq-core",'제외 후보'!AD704)),'선정 규칙'!$B$20,0)</x:f>
        <x:v>0</x:v>
      </x:c>
      <x:c r="I704" s="11" t="n">
        <x:f>IF(ISNUMBER(SEARCH("weak_legacy_content",'제외 후보'!P704)),'선정 규칙'!$B$21,0)</x:f>
        <x:v>5</x:v>
      </x:c>
      <x:c r="J704" s="11" t="n">
        <x:f>IF('제외 후보'!AC704&lt;&gt;"",'선정 규칙'!$B$22,0)</x:f>
        <x:v>0</x:v>
      </x:c>
      <x:c r="K704" s="11" t="n">
        <x:f>SUM(B704:J704)</x:f>
        <x:v>6</x:v>
      </x:c>
      <x:c r="L704" s="11" t="n">
        <x:f>'제외 후보'!N704</x:f>
        <x:v>6</x:v>
      </x:c>
      <x:c r="M704" s="2" t="str">
        <x:f>IF(K704=L704,"OK","MISMATCH")</x:f>
        <x:v>OK</x:v>
      </x:c>
    </x:row>
    <x:row r="705">
      <x:c r="A705" s="2" t="str">
        <x:f>'제외 후보'!G705</x:f>
        <x:v>w_feade8e1757f1108</x:v>
      </x:c>
      <x:c r="B705" s="11" t="n">
        <x:f>IF('제외 후보'!Q705&lt;&gt;"",'선정 규칙'!$B$4,0)</x:f>
        <x:v>0</x:v>
      </x:c>
      <x:c r="C705" s="11" t="n">
        <x:f>IF(ISNUMBER(SEARCH("jmdict_uncommon_or_irregular",'제외 후보'!P705)),'선정 규칙'!$B$5,IF(ISNUMBER(SEARCH("jmdict_rare_or_dated",'제외 후보'!P705)),'선정 규칙'!$B$6,0))</x:f>
        <x:v>0</x:v>
      </x:c>
      <x:c r="D705" s="11" t="n">
        <x:f>IF(ISNUMBER(SEARCH("jmdict_exact_pair_not_found",'제외 후보'!P705)),'선정 규칙'!$B$7,0)</x:f>
        <x:v>0</x:v>
      </x:c>
      <x:c r="E705" s="11" t="n">
        <x:f>IF(OR('제외 후보'!L705="",'제외 후보'!L705&lt;=0),'선정 규칙'!$B$8,IF('제외 후보'!L705&lt;=1.5,'선정 규칙'!$B$9,IF('제외 후보'!L705&lt;=2,'선정 규칙'!$B$10,IF('제외 후보'!L705&lt;=2.5,'선정 규칙'!$B$11,IF('제외 후보'!L705&lt;=3,'선정 규칙'!$B$12,IF('제외 후보'!L705&lt;=3.5,'선정 규칙'!$B$13,IF('제외 후보'!L705&gt;=4.5,'선정 규칙'!$B$14,0)))))))</x:f>
        <x:v>20</x:v>
      </x:c>
      <x:c r="F705" s="11" t="n">
        <x:f>IF('제외 후보'!Y705=0,'선정 규칙'!$B$15,IF('제외 후보'!Y705&gt;=100,'선정 규칙'!$B$16,'선정 규칙'!$B$17))</x:f>
        <x:v>-25</x:v>
      </x:c>
      <x:c r="G705" s="11" t="n">
        <x:f>IF('제외 후보'!M705="있음",'선정 규칙'!$B$18,'선정 규칙'!$B$19)</x:f>
        <x:v>6</x:v>
      </x:c>
      <x:c r="H705" s="11" t="n">
        <x:f>IF(ISNUMBER(SEARCH("freq-core",'제외 후보'!AD705)),'선정 규칙'!$B$20,0)</x:f>
        <x:v>0</x:v>
      </x:c>
      <x:c r="I705" s="11" t="n">
        <x:f>IF(ISNUMBER(SEARCH("weak_legacy_content",'제외 후보'!P705)),'선정 규칙'!$B$21,0)</x:f>
        <x:v>5</x:v>
      </x:c>
      <x:c r="J705" s="11" t="n">
        <x:f>IF('제외 후보'!AC705&lt;&gt;"",'선정 규칙'!$B$22,0)</x:f>
        <x:v>0</x:v>
      </x:c>
      <x:c r="K705" s="11" t="n">
        <x:f>SUM(B705:J705)</x:f>
        <x:v>6</x:v>
      </x:c>
      <x:c r="L705" s="11" t="n">
        <x:f>'제외 후보'!N705</x:f>
        <x:v>6</x:v>
      </x:c>
      <x:c r="M705" s="2" t="str">
        <x:f>IF(K705=L705,"OK","MISMATCH")</x:f>
        <x:v>OK</x:v>
      </x:c>
    </x:row>
    <x:row r="706">
      <x:c r="A706" s="2" t="str">
        <x:f>'제외 후보'!G706</x:f>
        <x:v>w_02c6b17817f6c587</x:v>
      </x:c>
      <x:c r="B706" s="11" t="n">
        <x:f>IF('제외 후보'!Q706&lt;&gt;"",'선정 규칙'!$B$4,0)</x:f>
        <x:v>0</x:v>
      </x:c>
      <x:c r="C706" s="11" t="n">
        <x:f>IF(ISNUMBER(SEARCH("jmdict_uncommon_or_irregular",'제외 후보'!P706)),'선정 규칙'!$B$5,IF(ISNUMBER(SEARCH("jmdict_rare_or_dated",'제외 후보'!P706)),'선정 규칙'!$B$6,0))</x:f>
        <x:v>0</x:v>
      </x:c>
      <x:c r="D706" s="11" t="n">
        <x:f>IF(ISNUMBER(SEARCH("jmdict_exact_pair_not_found",'제외 후보'!P706)),'선정 규칙'!$B$7,0)</x:f>
        <x:v>0</x:v>
      </x:c>
      <x:c r="E706" s="11" t="n">
        <x:f>IF(OR('제외 후보'!L706="",'제외 후보'!L706&lt;=0),'선정 규칙'!$B$8,IF('제외 후보'!L706&lt;=1.5,'선정 규칙'!$B$9,IF('제외 후보'!L706&lt;=2,'선정 규칙'!$B$10,IF('제외 후보'!L706&lt;=2.5,'선정 규칙'!$B$11,IF('제외 후보'!L706&lt;=3,'선정 규칙'!$B$12,IF('제외 후보'!L706&lt;=3.5,'선정 규칙'!$B$13,IF('제외 후보'!L706&gt;=4.5,'선정 규칙'!$B$14,0)))))))</x:f>
        <x:v>20</x:v>
      </x:c>
      <x:c r="F706" s="11" t="n">
        <x:f>IF('제외 후보'!Y706=0,'선정 규칙'!$B$15,IF('제외 후보'!Y706&gt;=100,'선정 규칙'!$B$16,'선정 규칙'!$B$17))</x:f>
        <x:v>-25</x:v>
      </x:c>
      <x:c r="G706" s="11" t="n">
        <x:f>IF('제외 후보'!M706="있음",'선정 규칙'!$B$18,'선정 규칙'!$B$19)</x:f>
        <x:v>6</x:v>
      </x:c>
      <x:c r="H706" s="11" t="n">
        <x:f>IF(ISNUMBER(SEARCH("freq-core",'제외 후보'!AD706)),'선정 규칙'!$B$20,0)</x:f>
        <x:v>0</x:v>
      </x:c>
      <x:c r="I706" s="11" t="n">
        <x:f>IF(ISNUMBER(SEARCH("weak_legacy_content",'제외 후보'!P706)),'선정 규칙'!$B$21,0)</x:f>
        <x:v>5</x:v>
      </x:c>
      <x:c r="J706" s="11" t="n">
        <x:f>IF('제외 후보'!AC706&lt;&gt;"",'선정 규칙'!$B$22,0)</x:f>
        <x:v>0</x:v>
      </x:c>
      <x:c r="K706" s="11" t="n">
        <x:f>SUM(B706:J706)</x:f>
        <x:v>6</x:v>
      </x:c>
      <x:c r="L706" s="11" t="n">
        <x:f>'제외 후보'!N706</x:f>
        <x:v>6</x:v>
      </x:c>
      <x:c r="M706" s="2" t="str">
        <x:f>IF(K706=L706,"OK","MISMATCH")</x:f>
        <x:v>OK</x:v>
      </x:c>
    </x:row>
    <x:row r="707">
      <x:c r="A707" s="2" t="str">
        <x:f>'제외 후보'!G707</x:f>
        <x:v>w_c22be00951052c34</x:v>
      </x:c>
      <x:c r="B707" s="11" t="n">
        <x:f>IF('제외 후보'!Q707&lt;&gt;"",'선정 규칙'!$B$4,0)</x:f>
        <x:v>0</x:v>
      </x:c>
      <x:c r="C707" s="11" t="n">
        <x:f>IF(ISNUMBER(SEARCH("jmdict_uncommon_or_irregular",'제외 후보'!P707)),'선정 규칙'!$B$5,IF(ISNUMBER(SEARCH("jmdict_rare_or_dated",'제외 후보'!P707)),'선정 규칙'!$B$6,0))</x:f>
        <x:v>0</x:v>
      </x:c>
      <x:c r="D707" s="11" t="n">
        <x:f>IF(ISNUMBER(SEARCH("jmdict_exact_pair_not_found",'제외 후보'!P707)),'선정 규칙'!$B$7,0)</x:f>
        <x:v>0</x:v>
      </x:c>
      <x:c r="E707" s="11" t="n">
        <x:f>IF(OR('제외 후보'!L707="",'제외 후보'!L707&lt;=0),'선정 규칙'!$B$8,IF('제외 후보'!L707&lt;=1.5,'선정 규칙'!$B$9,IF('제외 후보'!L707&lt;=2,'선정 규칙'!$B$10,IF('제외 후보'!L707&lt;=2.5,'선정 규칙'!$B$11,IF('제외 후보'!L707&lt;=3,'선정 규칙'!$B$12,IF('제외 후보'!L707&lt;=3.5,'선정 규칙'!$B$13,IF('제외 후보'!L707&gt;=4.5,'선정 규칙'!$B$14,0)))))))</x:f>
        <x:v>20</x:v>
      </x:c>
      <x:c r="F707" s="11" t="n">
        <x:f>IF('제외 후보'!Y707=0,'선정 규칙'!$B$15,IF('제외 후보'!Y707&gt;=100,'선정 규칙'!$B$16,'선정 규칙'!$B$17))</x:f>
        <x:v>-25</x:v>
      </x:c>
      <x:c r="G707" s="11" t="n">
        <x:f>IF('제외 후보'!M707="있음",'선정 규칙'!$B$18,'선정 규칙'!$B$19)</x:f>
        <x:v>6</x:v>
      </x:c>
      <x:c r="H707" s="11" t="n">
        <x:f>IF(ISNUMBER(SEARCH("freq-core",'제외 후보'!AD707)),'선정 규칙'!$B$20,0)</x:f>
        <x:v>0</x:v>
      </x:c>
      <x:c r="I707" s="11" t="n">
        <x:f>IF(ISNUMBER(SEARCH("weak_legacy_content",'제외 후보'!P707)),'선정 규칙'!$B$21,0)</x:f>
        <x:v>5</x:v>
      </x:c>
      <x:c r="J707" s="11" t="n">
        <x:f>IF('제외 후보'!AC707&lt;&gt;"",'선정 규칙'!$B$22,0)</x:f>
        <x:v>0</x:v>
      </x:c>
      <x:c r="K707" s="11" t="n">
        <x:f>SUM(B707:J707)</x:f>
        <x:v>6</x:v>
      </x:c>
      <x:c r="L707" s="11" t="n">
        <x:f>'제외 후보'!N707</x:f>
        <x:v>6</x:v>
      </x:c>
      <x:c r="M707" s="2" t="str">
        <x:f>IF(K707=L707,"OK","MISMATCH")</x:f>
        <x:v>OK</x:v>
      </x:c>
    </x:row>
    <x:row r="708">
      <x:c r="A708" s="2" t="str">
        <x:f>'제외 후보'!G708</x:f>
        <x:v>w_f00aac944d95339f</x:v>
      </x:c>
      <x:c r="B708" s="11" t="n">
        <x:f>IF('제외 후보'!Q708&lt;&gt;"",'선정 규칙'!$B$4,0)</x:f>
        <x:v>0</x:v>
      </x:c>
      <x:c r="C708" s="11" t="n">
        <x:f>IF(ISNUMBER(SEARCH("jmdict_uncommon_or_irregular",'제외 후보'!P708)),'선정 규칙'!$B$5,IF(ISNUMBER(SEARCH("jmdict_rare_or_dated",'제외 후보'!P708)),'선정 규칙'!$B$6,0))</x:f>
        <x:v>0</x:v>
      </x:c>
      <x:c r="D708" s="11" t="n">
        <x:f>IF(ISNUMBER(SEARCH("jmdict_exact_pair_not_found",'제외 후보'!P708)),'선정 규칙'!$B$7,0)</x:f>
        <x:v>0</x:v>
      </x:c>
      <x:c r="E708" s="11" t="n">
        <x:f>IF(OR('제외 후보'!L708="",'제외 후보'!L708&lt;=0),'선정 규칙'!$B$8,IF('제외 후보'!L708&lt;=1.5,'선정 규칙'!$B$9,IF('제외 후보'!L708&lt;=2,'선정 규칙'!$B$10,IF('제외 후보'!L708&lt;=2.5,'선정 규칙'!$B$11,IF('제외 후보'!L708&lt;=3,'선정 규칙'!$B$12,IF('제외 후보'!L708&lt;=3.5,'선정 규칙'!$B$13,IF('제외 후보'!L708&gt;=4.5,'선정 규칙'!$B$14,0)))))))</x:f>
        <x:v>20</x:v>
      </x:c>
      <x:c r="F708" s="11" t="n">
        <x:f>IF('제외 후보'!Y708=0,'선정 규칙'!$B$15,IF('제외 후보'!Y708&gt;=100,'선정 규칙'!$B$16,'선정 규칙'!$B$17))</x:f>
        <x:v>-25</x:v>
      </x:c>
      <x:c r="G708" s="11" t="n">
        <x:f>IF('제외 후보'!M708="있음",'선정 규칙'!$B$18,'선정 규칙'!$B$19)</x:f>
        <x:v>6</x:v>
      </x:c>
      <x:c r="H708" s="11" t="n">
        <x:f>IF(ISNUMBER(SEARCH("freq-core",'제외 후보'!AD708)),'선정 규칙'!$B$20,0)</x:f>
        <x:v>0</x:v>
      </x:c>
      <x:c r="I708" s="11" t="n">
        <x:f>IF(ISNUMBER(SEARCH("weak_legacy_content",'제외 후보'!P708)),'선정 규칙'!$B$21,0)</x:f>
        <x:v>5</x:v>
      </x:c>
      <x:c r="J708" s="11" t="n">
        <x:f>IF('제외 후보'!AC708&lt;&gt;"",'선정 규칙'!$B$22,0)</x:f>
        <x:v>0</x:v>
      </x:c>
      <x:c r="K708" s="11" t="n">
        <x:f>SUM(B708:J708)</x:f>
        <x:v>6</x:v>
      </x:c>
      <x:c r="L708" s="11" t="n">
        <x:f>'제외 후보'!N708</x:f>
        <x:v>6</x:v>
      </x:c>
      <x:c r="M708" s="2" t="str">
        <x:f>IF(K708=L708,"OK","MISMATCH")</x:f>
        <x:v>OK</x:v>
      </x:c>
    </x:row>
    <x:row r="709">
      <x:c r="A709" s="2" t="str">
        <x:f>'제외 후보'!G709</x:f>
        <x:v>w_0bfe4152b243c799</x:v>
      </x:c>
      <x:c r="B709" s="11" t="n">
        <x:f>IF('제외 후보'!Q709&lt;&gt;"",'선정 규칙'!$B$4,0)</x:f>
        <x:v>0</x:v>
      </x:c>
      <x:c r="C709" s="11" t="n">
        <x:f>IF(ISNUMBER(SEARCH("jmdict_uncommon_or_irregular",'제외 후보'!P709)),'선정 규칙'!$B$5,IF(ISNUMBER(SEARCH("jmdict_rare_or_dated",'제외 후보'!P709)),'선정 규칙'!$B$6,0))</x:f>
        <x:v>0</x:v>
      </x:c>
      <x:c r="D709" s="11" t="n">
        <x:f>IF(ISNUMBER(SEARCH("jmdict_exact_pair_not_found",'제외 후보'!P709)),'선정 규칙'!$B$7,0)</x:f>
        <x:v>0</x:v>
      </x:c>
      <x:c r="E709" s="11" t="n">
        <x:f>IF(OR('제외 후보'!L709="",'제외 후보'!L709&lt;=0),'선정 규칙'!$B$8,IF('제외 후보'!L709&lt;=1.5,'선정 규칙'!$B$9,IF('제외 후보'!L709&lt;=2,'선정 규칙'!$B$10,IF('제외 후보'!L709&lt;=2.5,'선정 규칙'!$B$11,IF('제외 후보'!L709&lt;=3,'선정 규칙'!$B$12,IF('제외 후보'!L709&lt;=3.5,'선정 규칙'!$B$13,IF('제외 후보'!L709&gt;=4.5,'선정 규칙'!$B$14,0)))))))</x:f>
        <x:v>20</x:v>
      </x:c>
      <x:c r="F709" s="11" t="n">
        <x:f>IF('제외 후보'!Y709=0,'선정 규칙'!$B$15,IF('제외 후보'!Y709&gt;=100,'선정 규칙'!$B$16,'선정 규칙'!$B$17))</x:f>
        <x:v>-25</x:v>
      </x:c>
      <x:c r="G709" s="11" t="n">
        <x:f>IF('제외 후보'!M709="있음",'선정 규칙'!$B$18,'선정 규칙'!$B$19)</x:f>
        <x:v>6</x:v>
      </x:c>
      <x:c r="H709" s="11" t="n">
        <x:f>IF(ISNUMBER(SEARCH("freq-core",'제외 후보'!AD709)),'선정 규칙'!$B$20,0)</x:f>
        <x:v>0</x:v>
      </x:c>
      <x:c r="I709" s="11" t="n">
        <x:f>IF(ISNUMBER(SEARCH("weak_legacy_content",'제외 후보'!P709)),'선정 규칙'!$B$21,0)</x:f>
        <x:v>5</x:v>
      </x:c>
      <x:c r="J709" s="11" t="n">
        <x:f>IF('제외 후보'!AC709&lt;&gt;"",'선정 규칙'!$B$22,0)</x:f>
        <x:v>0</x:v>
      </x:c>
      <x:c r="K709" s="11" t="n">
        <x:f>SUM(B709:J709)</x:f>
        <x:v>6</x:v>
      </x:c>
      <x:c r="L709" s="11" t="n">
        <x:f>'제외 후보'!N709</x:f>
        <x:v>6</x:v>
      </x:c>
      <x:c r="M709" s="2" t="str">
        <x:f>IF(K709=L709,"OK","MISMATCH")</x:f>
        <x:v>OK</x:v>
      </x:c>
    </x:row>
    <x:row r="710">
      <x:c r="A710" s="2" t="str">
        <x:f>'제외 후보'!G710</x:f>
        <x:v>w_2bac7e5120c4dcfa</x:v>
      </x:c>
      <x:c r="B710" s="11" t="n">
        <x:f>IF('제외 후보'!Q710&lt;&gt;"",'선정 규칙'!$B$4,0)</x:f>
        <x:v>0</x:v>
      </x:c>
      <x:c r="C710" s="11" t="n">
        <x:f>IF(ISNUMBER(SEARCH("jmdict_uncommon_or_irregular",'제외 후보'!P710)),'선정 규칙'!$B$5,IF(ISNUMBER(SEARCH("jmdict_rare_or_dated",'제외 후보'!P710)),'선정 규칙'!$B$6,0))</x:f>
        <x:v>0</x:v>
      </x:c>
      <x:c r="D710" s="11" t="n">
        <x:f>IF(ISNUMBER(SEARCH("jmdict_exact_pair_not_found",'제외 후보'!P710)),'선정 규칙'!$B$7,0)</x:f>
        <x:v>0</x:v>
      </x:c>
      <x:c r="E710" s="11" t="n">
        <x:f>IF(OR('제외 후보'!L710="",'제외 후보'!L710&lt;=0),'선정 규칙'!$B$8,IF('제외 후보'!L710&lt;=1.5,'선정 규칙'!$B$9,IF('제외 후보'!L710&lt;=2,'선정 규칙'!$B$10,IF('제외 후보'!L710&lt;=2.5,'선정 규칙'!$B$11,IF('제외 후보'!L710&lt;=3,'선정 규칙'!$B$12,IF('제외 후보'!L710&lt;=3.5,'선정 규칙'!$B$13,IF('제외 후보'!L710&gt;=4.5,'선정 규칙'!$B$14,0)))))))</x:f>
        <x:v>20</x:v>
      </x:c>
      <x:c r="F710" s="11" t="n">
        <x:f>IF('제외 후보'!Y710=0,'선정 규칙'!$B$15,IF('제외 후보'!Y710&gt;=100,'선정 규칙'!$B$16,'선정 규칙'!$B$17))</x:f>
        <x:v>-25</x:v>
      </x:c>
      <x:c r="G710" s="11" t="n">
        <x:f>IF('제외 후보'!M710="있음",'선정 규칙'!$B$18,'선정 규칙'!$B$19)</x:f>
        <x:v>6</x:v>
      </x:c>
      <x:c r="H710" s="11" t="n">
        <x:f>IF(ISNUMBER(SEARCH("freq-core",'제외 후보'!AD710)),'선정 규칙'!$B$20,0)</x:f>
        <x:v>0</x:v>
      </x:c>
      <x:c r="I710" s="11" t="n">
        <x:f>IF(ISNUMBER(SEARCH("weak_legacy_content",'제외 후보'!P710)),'선정 규칙'!$B$21,0)</x:f>
        <x:v>5</x:v>
      </x:c>
      <x:c r="J710" s="11" t="n">
        <x:f>IF('제외 후보'!AC710&lt;&gt;"",'선정 규칙'!$B$22,0)</x:f>
        <x:v>0</x:v>
      </x:c>
      <x:c r="K710" s="11" t="n">
        <x:f>SUM(B710:J710)</x:f>
        <x:v>6</x:v>
      </x:c>
      <x:c r="L710" s="11" t="n">
        <x:f>'제외 후보'!N710</x:f>
        <x:v>6</x:v>
      </x:c>
      <x:c r="M710" s="2" t="str">
        <x:f>IF(K710=L710,"OK","MISMATCH")</x:f>
        <x:v>OK</x:v>
      </x:c>
    </x:row>
    <x:row r="711">
      <x:c r="A711" s="2" t="str">
        <x:f>'제외 후보'!G711</x:f>
        <x:v>w_a1262f0a18c41630</x:v>
      </x:c>
      <x:c r="B711" s="11" t="n">
        <x:f>IF('제외 후보'!Q711&lt;&gt;"",'선정 규칙'!$B$4,0)</x:f>
        <x:v>0</x:v>
      </x:c>
      <x:c r="C711" s="11" t="n">
        <x:f>IF(ISNUMBER(SEARCH("jmdict_uncommon_or_irregular",'제외 후보'!P711)),'선정 규칙'!$B$5,IF(ISNUMBER(SEARCH("jmdict_rare_or_dated",'제외 후보'!P711)),'선정 규칙'!$B$6,0))</x:f>
        <x:v>0</x:v>
      </x:c>
      <x:c r="D711" s="11" t="n">
        <x:f>IF(ISNUMBER(SEARCH("jmdict_exact_pair_not_found",'제외 후보'!P711)),'선정 규칙'!$B$7,0)</x:f>
        <x:v>0</x:v>
      </x:c>
      <x:c r="E711" s="11" t="n">
        <x:f>IF(OR('제외 후보'!L711="",'제외 후보'!L711&lt;=0),'선정 규칙'!$B$8,IF('제외 후보'!L711&lt;=1.5,'선정 규칙'!$B$9,IF('제외 후보'!L711&lt;=2,'선정 규칙'!$B$10,IF('제외 후보'!L711&lt;=2.5,'선정 규칙'!$B$11,IF('제외 후보'!L711&lt;=3,'선정 규칙'!$B$12,IF('제외 후보'!L711&lt;=3.5,'선정 규칙'!$B$13,IF('제외 후보'!L711&gt;=4.5,'선정 규칙'!$B$14,0)))))))</x:f>
        <x:v>20</x:v>
      </x:c>
      <x:c r="F711" s="11" t="n">
        <x:f>IF('제외 후보'!Y711=0,'선정 규칙'!$B$15,IF('제외 후보'!Y711&gt;=100,'선정 규칙'!$B$16,'선정 규칙'!$B$17))</x:f>
        <x:v>-25</x:v>
      </x:c>
      <x:c r="G711" s="11" t="n">
        <x:f>IF('제외 후보'!M711="있음",'선정 규칙'!$B$18,'선정 규칙'!$B$19)</x:f>
        <x:v>6</x:v>
      </x:c>
      <x:c r="H711" s="11" t="n">
        <x:f>IF(ISNUMBER(SEARCH("freq-core",'제외 후보'!AD711)),'선정 규칙'!$B$20,0)</x:f>
        <x:v>0</x:v>
      </x:c>
      <x:c r="I711" s="11" t="n">
        <x:f>IF(ISNUMBER(SEARCH("weak_legacy_content",'제외 후보'!P711)),'선정 규칙'!$B$21,0)</x:f>
        <x:v>5</x:v>
      </x:c>
      <x:c r="J711" s="11" t="n">
        <x:f>IF('제외 후보'!AC711&lt;&gt;"",'선정 규칙'!$B$22,0)</x:f>
        <x:v>0</x:v>
      </x:c>
      <x:c r="K711" s="11" t="n">
        <x:f>SUM(B711:J711)</x:f>
        <x:v>6</x:v>
      </x:c>
      <x:c r="L711" s="11" t="n">
        <x:f>'제외 후보'!N711</x:f>
        <x:v>6</x:v>
      </x:c>
      <x:c r="M711" s="2" t="str">
        <x:f>IF(K711=L711,"OK","MISMATCH")</x:f>
        <x:v>OK</x:v>
      </x:c>
    </x:row>
    <x:row r="712">
      <x:c r="A712" s="2" t="str">
        <x:f>'제외 후보'!G712</x:f>
        <x:v>w_d301b604306eb7f1</x:v>
      </x:c>
      <x:c r="B712" s="11" t="n">
        <x:f>IF('제외 후보'!Q712&lt;&gt;"",'선정 규칙'!$B$4,0)</x:f>
        <x:v>0</x:v>
      </x:c>
      <x:c r="C712" s="11" t="n">
        <x:f>IF(ISNUMBER(SEARCH("jmdict_uncommon_or_irregular",'제외 후보'!P712)),'선정 규칙'!$B$5,IF(ISNUMBER(SEARCH("jmdict_rare_or_dated",'제외 후보'!P712)),'선정 규칙'!$B$6,0))</x:f>
        <x:v>0</x:v>
      </x:c>
      <x:c r="D712" s="11" t="n">
        <x:f>IF(ISNUMBER(SEARCH("jmdict_exact_pair_not_found",'제외 후보'!P712)),'선정 규칙'!$B$7,0)</x:f>
        <x:v>0</x:v>
      </x:c>
      <x:c r="E712" s="11" t="n">
        <x:f>IF(OR('제외 후보'!L712="",'제외 후보'!L712&lt;=0),'선정 규칙'!$B$8,IF('제외 후보'!L712&lt;=1.5,'선정 규칙'!$B$9,IF('제외 후보'!L712&lt;=2,'선정 규칙'!$B$10,IF('제외 후보'!L712&lt;=2.5,'선정 규칙'!$B$11,IF('제외 후보'!L712&lt;=3,'선정 규칙'!$B$12,IF('제외 후보'!L712&lt;=3.5,'선정 규칙'!$B$13,IF('제외 후보'!L712&gt;=4.5,'선정 규칙'!$B$14,0)))))))</x:f>
        <x:v>20</x:v>
      </x:c>
      <x:c r="F712" s="11" t="n">
        <x:f>IF('제외 후보'!Y712=0,'선정 규칙'!$B$15,IF('제외 후보'!Y712&gt;=100,'선정 규칙'!$B$16,'선정 규칙'!$B$17))</x:f>
        <x:v>-25</x:v>
      </x:c>
      <x:c r="G712" s="11" t="n">
        <x:f>IF('제외 후보'!M712="있음",'선정 규칙'!$B$18,'선정 규칙'!$B$19)</x:f>
        <x:v>6</x:v>
      </x:c>
      <x:c r="H712" s="11" t="n">
        <x:f>IF(ISNUMBER(SEARCH("freq-core",'제외 후보'!AD712)),'선정 규칙'!$B$20,0)</x:f>
        <x:v>0</x:v>
      </x:c>
      <x:c r="I712" s="11" t="n">
        <x:f>IF(ISNUMBER(SEARCH("weak_legacy_content",'제외 후보'!P712)),'선정 규칙'!$B$21,0)</x:f>
        <x:v>5</x:v>
      </x:c>
      <x:c r="J712" s="11" t="n">
        <x:f>IF('제외 후보'!AC712&lt;&gt;"",'선정 규칙'!$B$22,0)</x:f>
        <x:v>0</x:v>
      </x:c>
      <x:c r="K712" s="11" t="n">
        <x:f>SUM(B712:J712)</x:f>
        <x:v>6</x:v>
      </x:c>
      <x:c r="L712" s="11" t="n">
        <x:f>'제외 후보'!N712</x:f>
        <x:v>6</x:v>
      </x:c>
      <x:c r="M712" s="2" t="str">
        <x:f>IF(K712=L712,"OK","MISMATCH")</x:f>
        <x:v>OK</x:v>
      </x:c>
    </x:row>
    <x:row r="713">
      <x:c r="A713" s="2" t="str">
        <x:f>'제외 후보'!G713</x:f>
        <x:v>w_49486c33a1a2067d</x:v>
      </x:c>
      <x:c r="B713" s="11" t="n">
        <x:f>IF('제외 후보'!Q713&lt;&gt;"",'선정 규칙'!$B$4,0)</x:f>
        <x:v>0</x:v>
      </x:c>
      <x:c r="C713" s="11" t="n">
        <x:f>IF(ISNUMBER(SEARCH("jmdict_uncommon_or_irregular",'제외 후보'!P713)),'선정 규칙'!$B$5,IF(ISNUMBER(SEARCH("jmdict_rare_or_dated",'제외 후보'!P713)),'선정 규칙'!$B$6,0))</x:f>
        <x:v>0</x:v>
      </x:c>
      <x:c r="D713" s="11" t="n">
        <x:f>IF(ISNUMBER(SEARCH("jmdict_exact_pair_not_found",'제외 후보'!P713)),'선정 규칙'!$B$7,0)</x:f>
        <x:v>0</x:v>
      </x:c>
      <x:c r="E713" s="11" t="n">
        <x:f>IF(OR('제외 후보'!L713="",'제외 후보'!L713&lt;=0),'선정 규칙'!$B$8,IF('제외 후보'!L713&lt;=1.5,'선정 규칙'!$B$9,IF('제외 후보'!L713&lt;=2,'선정 규칙'!$B$10,IF('제외 후보'!L713&lt;=2.5,'선정 규칙'!$B$11,IF('제외 후보'!L713&lt;=3,'선정 규칙'!$B$12,IF('제외 후보'!L713&lt;=3.5,'선정 규칙'!$B$13,IF('제외 후보'!L713&gt;=4.5,'선정 규칙'!$B$14,0)))))))</x:f>
        <x:v>20</x:v>
      </x:c>
      <x:c r="F713" s="11" t="n">
        <x:f>IF('제외 후보'!Y713=0,'선정 규칙'!$B$15,IF('제외 후보'!Y713&gt;=100,'선정 규칙'!$B$16,'선정 규칙'!$B$17))</x:f>
        <x:v>-25</x:v>
      </x:c>
      <x:c r="G713" s="11" t="n">
        <x:f>IF('제외 후보'!M713="있음",'선정 규칙'!$B$18,'선정 규칙'!$B$19)</x:f>
        <x:v>6</x:v>
      </x:c>
      <x:c r="H713" s="11" t="n">
        <x:f>IF(ISNUMBER(SEARCH("freq-core",'제외 후보'!AD713)),'선정 규칙'!$B$20,0)</x:f>
        <x:v>0</x:v>
      </x:c>
      <x:c r="I713" s="11" t="n">
        <x:f>IF(ISNUMBER(SEARCH("weak_legacy_content",'제외 후보'!P713)),'선정 규칙'!$B$21,0)</x:f>
        <x:v>5</x:v>
      </x:c>
      <x:c r="J713" s="11" t="n">
        <x:f>IF('제외 후보'!AC713&lt;&gt;"",'선정 규칙'!$B$22,0)</x:f>
        <x:v>0</x:v>
      </x:c>
      <x:c r="K713" s="11" t="n">
        <x:f>SUM(B713:J713)</x:f>
        <x:v>6</x:v>
      </x:c>
      <x:c r="L713" s="11" t="n">
        <x:f>'제외 후보'!N713</x:f>
        <x:v>6</x:v>
      </x:c>
      <x:c r="M713" s="2" t="str">
        <x:f>IF(K713=L713,"OK","MISMATCH")</x:f>
        <x:v>OK</x:v>
      </x:c>
    </x:row>
    <x:row r="714">
      <x:c r="A714" s="2" t="str">
        <x:f>'제외 후보'!G714</x:f>
        <x:v>w_4bb2ccbe762a9365</x:v>
      </x:c>
      <x:c r="B714" s="11" t="n">
        <x:f>IF('제외 후보'!Q714&lt;&gt;"",'선정 규칙'!$B$4,0)</x:f>
        <x:v>0</x:v>
      </x:c>
      <x:c r="C714" s="11" t="n">
        <x:f>IF(ISNUMBER(SEARCH("jmdict_uncommon_or_irregular",'제외 후보'!P714)),'선정 규칙'!$B$5,IF(ISNUMBER(SEARCH("jmdict_rare_or_dated",'제외 후보'!P714)),'선정 규칙'!$B$6,0))</x:f>
        <x:v>0</x:v>
      </x:c>
      <x:c r="D714" s="11" t="n">
        <x:f>IF(ISNUMBER(SEARCH("jmdict_exact_pair_not_found",'제외 후보'!P714)),'선정 규칙'!$B$7,0)</x:f>
        <x:v>0</x:v>
      </x:c>
      <x:c r="E714" s="11" t="n">
        <x:f>IF(OR('제외 후보'!L714="",'제외 후보'!L714&lt;=0),'선정 규칙'!$B$8,IF('제외 후보'!L714&lt;=1.5,'선정 규칙'!$B$9,IF('제외 후보'!L714&lt;=2,'선정 규칙'!$B$10,IF('제외 후보'!L714&lt;=2.5,'선정 규칙'!$B$11,IF('제외 후보'!L714&lt;=3,'선정 규칙'!$B$12,IF('제외 후보'!L714&lt;=3.5,'선정 규칙'!$B$13,IF('제외 후보'!L714&gt;=4.5,'선정 규칙'!$B$14,0)))))))</x:f>
        <x:v>20</x:v>
      </x:c>
      <x:c r="F714" s="11" t="n">
        <x:f>IF('제외 후보'!Y714=0,'선정 규칙'!$B$15,IF('제외 후보'!Y714&gt;=100,'선정 규칙'!$B$16,'선정 규칙'!$B$17))</x:f>
        <x:v>-25</x:v>
      </x:c>
      <x:c r="G714" s="11" t="n">
        <x:f>IF('제외 후보'!M714="있음",'선정 규칙'!$B$18,'선정 규칙'!$B$19)</x:f>
        <x:v>6</x:v>
      </x:c>
      <x:c r="H714" s="11" t="n">
        <x:f>IF(ISNUMBER(SEARCH("freq-core",'제외 후보'!AD714)),'선정 규칙'!$B$20,0)</x:f>
        <x:v>0</x:v>
      </x:c>
      <x:c r="I714" s="11" t="n">
        <x:f>IF(ISNUMBER(SEARCH("weak_legacy_content",'제외 후보'!P714)),'선정 규칙'!$B$21,0)</x:f>
        <x:v>5</x:v>
      </x:c>
      <x:c r="J714" s="11" t="n">
        <x:f>IF('제외 후보'!AC714&lt;&gt;"",'선정 규칙'!$B$22,0)</x:f>
        <x:v>0</x:v>
      </x:c>
      <x:c r="K714" s="11" t="n">
        <x:f>SUM(B714:J714)</x:f>
        <x:v>6</x:v>
      </x:c>
      <x:c r="L714" s="11" t="n">
        <x:f>'제외 후보'!N714</x:f>
        <x:v>6</x:v>
      </x:c>
      <x:c r="M714" s="2" t="str">
        <x:f>IF(K714=L714,"OK","MISMATCH")</x:f>
        <x:v>OK</x:v>
      </x:c>
    </x:row>
    <x:row r="715">
      <x:c r="A715" s="2" t="str">
        <x:f>'제외 후보'!G715</x:f>
        <x:v>w_004f79db367ab175</x:v>
      </x:c>
      <x:c r="B715" s="11" t="n">
        <x:f>IF('제외 후보'!Q715&lt;&gt;"",'선정 규칙'!$B$4,0)</x:f>
        <x:v>0</x:v>
      </x:c>
      <x:c r="C715" s="11" t="n">
        <x:f>IF(ISNUMBER(SEARCH("jmdict_uncommon_or_irregular",'제외 후보'!P715)),'선정 규칙'!$B$5,IF(ISNUMBER(SEARCH("jmdict_rare_or_dated",'제외 후보'!P715)),'선정 규칙'!$B$6,0))</x:f>
        <x:v>0</x:v>
      </x:c>
      <x:c r="D715" s="11" t="n">
        <x:f>IF(ISNUMBER(SEARCH("jmdict_exact_pair_not_found",'제외 후보'!P715)),'선정 규칙'!$B$7,0)</x:f>
        <x:v>0</x:v>
      </x:c>
      <x:c r="E715" s="11" t="n">
        <x:f>IF(OR('제외 후보'!L715="",'제외 후보'!L715&lt;=0),'선정 규칙'!$B$8,IF('제외 후보'!L715&lt;=1.5,'선정 규칙'!$B$9,IF('제외 후보'!L715&lt;=2,'선정 규칙'!$B$10,IF('제외 후보'!L715&lt;=2.5,'선정 규칙'!$B$11,IF('제외 후보'!L715&lt;=3,'선정 규칙'!$B$12,IF('제외 후보'!L715&lt;=3.5,'선정 규칙'!$B$13,IF('제외 후보'!L715&gt;=4.5,'선정 규칙'!$B$14,0)))))))</x:f>
        <x:v>20</x:v>
      </x:c>
      <x:c r="F715" s="11" t="n">
        <x:f>IF('제외 후보'!Y715=0,'선정 규칙'!$B$15,IF('제외 후보'!Y715&gt;=100,'선정 규칙'!$B$16,'선정 규칙'!$B$17))</x:f>
        <x:v>-25</x:v>
      </x:c>
      <x:c r="G715" s="11" t="n">
        <x:f>IF('제외 후보'!M715="있음",'선정 규칙'!$B$18,'선정 규칙'!$B$19)</x:f>
        <x:v>6</x:v>
      </x:c>
      <x:c r="H715" s="11" t="n">
        <x:f>IF(ISNUMBER(SEARCH("freq-core",'제외 후보'!AD715)),'선정 규칙'!$B$20,0)</x:f>
        <x:v>0</x:v>
      </x:c>
      <x:c r="I715" s="11" t="n">
        <x:f>IF(ISNUMBER(SEARCH("weak_legacy_content",'제외 후보'!P715)),'선정 규칙'!$B$21,0)</x:f>
        <x:v>5</x:v>
      </x:c>
      <x:c r="J715" s="11" t="n">
        <x:f>IF('제외 후보'!AC715&lt;&gt;"",'선정 규칙'!$B$22,0)</x:f>
        <x:v>0</x:v>
      </x:c>
      <x:c r="K715" s="11" t="n">
        <x:f>SUM(B715:J715)</x:f>
        <x:v>6</x:v>
      </x:c>
      <x:c r="L715" s="11" t="n">
        <x:f>'제외 후보'!N715</x:f>
        <x:v>6</x:v>
      </x:c>
      <x:c r="M715" s="2" t="str">
        <x:f>IF(K715=L715,"OK","MISMATCH")</x:f>
        <x:v>OK</x:v>
      </x:c>
    </x:row>
    <x:row r="716">
      <x:c r="A716" s="2" t="str">
        <x:f>'제외 후보'!G716</x:f>
        <x:v>w_f64428ab29ecd12d</x:v>
      </x:c>
      <x:c r="B716" s="11" t="n">
        <x:f>IF('제외 후보'!Q716&lt;&gt;"",'선정 규칙'!$B$4,0)</x:f>
        <x:v>0</x:v>
      </x:c>
      <x:c r="C716" s="11" t="n">
        <x:f>IF(ISNUMBER(SEARCH("jmdict_uncommon_or_irregular",'제외 후보'!P716)),'선정 규칙'!$B$5,IF(ISNUMBER(SEARCH("jmdict_rare_or_dated",'제외 후보'!P716)),'선정 규칙'!$B$6,0))</x:f>
        <x:v>0</x:v>
      </x:c>
      <x:c r="D716" s="11" t="n">
        <x:f>IF(ISNUMBER(SEARCH("jmdict_exact_pair_not_found",'제외 후보'!P716)),'선정 규칙'!$B$7,0)</x:f>
        <x:v>0</x:v>
      </x:c>
      <x:c r="E716" s="11" t="n">
        <x:f>IF(OR('제외 후보'!L716="",'제외 후보'!L716&lt;=0),'선정 규칙'!$B$8,IF('제외 후보'!L716&lt;=1.5,'선정 규칙'!$B$9,IF('제외 후보'!L716&lt;=2,'선정 규칙'!$B$10,IF('제외 후보'!L716&lt;=2.5,'선정 규칙'!$B$11,IF('제외 후보'!L716&lt;=3,'선정 규칙'!$B$12,IF('제외 후보'!L716&lt;=3.5,'선정 규칙'!$B$13,IF('제외 후보'!L716&gt;=4.5,'선정 규칙'!$B$14,0)))))))</x:f>
        <x:v>12</x:v>
      </x:c>
      <x:c r="F716" s="11" t="n">
        <x:f>IF('제외 후보'!Y716=0,'선정 규칙'!$B$15,IF('제외 후보'!Y716&gt;=100,'선정 규칙'!$B$16,'선정 규칙'!$B$17))</x:f>
        <x:v>-12</x:v>
      </x:c>
      <x:c r="G716" s="11" t="n">
        <x:f>IF('제외 후보'!M716="있음",'선정 규칙'!$B$18,'선정 규칙'!$B$19)</x:f>
        <x:v>6</x:v>
      </x:c>
      <x:c r="H716" s="11" t="n">
        <x:f>IF(ISNUMBER(SEARCH("freq-core",'제외 후보'!AD716)),'선정 규칙'!$B$20,0)</x:f>
        <x:v>0</x:v>
      </x:c>
      <x:c r="I716" s="11" t="n">
        <x:f>IF(ISNUMBER(SEARCH("weak_legacy_content",'제외 후보'!P716)),'선정 규칙'!$B$21,0)</x:f>
        <x:v>0</x:v>
      </x:c>
      <x:c r="J716" s="11" t="n">
        <x:f>IF('제외 후보'!AC716&lt;&gt;"",'선정 규칙'!$B$22,0)</x:f>
        <x:v>0</x:v>
      </x:c>
      <x:c r="K716" s="11" t="n">
        <x:f>SUM(B716:J716)</x:f>
        <x:v>6</x:v>
      </x:c>
      <x:c r="L716" s="11" t="n">
        <x:f>'제외 후보'!N716</x:f>
        <x:v>6</x:v>
      </x:c>
      <x:c r="M716" s="2" t="str">
        <x:f>IF(K716=L716,"OK","MISMATCH")</x:f>
        <x:v>OK</x:v>
      </x:c>
    </x:row>
    <x:row r="717">
      <x:c r="A717" s="2" t="str">
        <x:f>'제외 후보'!G717</x:f>
        <x:v>w_2619d027d77a983f</x:v>
      </x:c>
      <x:c r="B717" s="11" t="n">
        <x:f>IF('제외 후보'!Q717&lt;&gt;"",'선정 규칙'!$B$4,0)</x:f>
        <x:v>0</x:v>
      </x:c>
      <x:c r="C717" s="11" t="n">
        <x:f>IF(ISNUMBER(SEARCH("jmdict_uncommon_or_irregular",'제외 후보'!P717)),'선정 규칙'!$B$5,IF(ISNUMBER(SEARCH("jmdict_rare_or_dated",'제외 후보'!P717)),'선정 규칙'!$B$6,0))</x:f>
        <x:v>0</x:v>
      </x:c>
      <x:c r="D717" s="11" t="n">
        <x:f>IF(ISNUMBER(SEARCH("jmdict_exact_pair_not_found",'제외 후보'!P717)),'선정 규칙'!$B$7,0)</x:f>
        <x:v>0</x:v>
      </x:c>
      <x:c r="E717" s="11" t="n">
        <x:f>IF(OR('제외 후보'!L717="",'제외 후보'!L717&lt;=0),'선정 규칙'!$B$8,IF('제외 후보'!L717&lt;=1.5,'선정 규칙'!$B$9,IF('제외 후보'!L717&lt;=2,'선정 규칙'!$B$10,IF('제외 후보'!L717&lt;=2.5,'선정 규칙'!$B$11,IF('제외 후보'!L717&lt;=3,'선정 규칙'!$B$12,IF('제외 후보'!L717&lt;=3.5,'선정 규칙'!$B$13,IF('제외 후보'!L717&gt;=4.5,'선정 규칙'!$B$14,0)))))))</x:f>
        <x:v>12</x:v>
      </x:c>
      <x:c r="F717" s="11" t="n">
        <x:f>IF('제외 후보'!Y717=0,'선정 규칙'!$B$15,IF('제외 후보'!Y717&gt;=100,'선정 규칙'!$B$16,'선정 규칙'!$B$17))</x:f>
        <x:v>-12</x:v>
      </x:c>
      <x:c r="G717" s="11" t="n">
        <x:f>IF('제외 후보'!M717="있음",'선정 규칙'!$B$18,'선정 규칙'!$B$19)</x:f>
        <x:v>6</x:v>
      </x:c>
      <x:c r="H717" s="11" t="n">
        <x:f>IF(ISNUMBER(SEARCH("freq-core",'제외 후보'!AD717)),'선정 규칙'!$B$20,0)</x:f>
        <x:v>0</x:v>
      </x:c>
      <x:c r="I717" s="11" t="n">
        <x:f>IF(ISNUMBER(SEARCH("weak_legacy_content",'제외 후보'!P717)),'선정 규칙'!$B$21,0)</x:f>
        <x:v>0</x:v>
      </x:c>
      <x:c r="J717" s="11" t="n">
        <x:f>IF('제외 후보'!AC717&lt;&gt;"",'선정 규칙'!$B$22,0)</x:f>
        <x:v>0</x:v>
      </x:c>
      <x:c r="K717" s="11" t="n">
        <x:f>SUM(B717:J717)</x:f>
        <x:v>6</x:v>
      </x:c>
      <x:c r="L717" s="11" t="n">
        <x:f>'제외 후보'!N717</x:f>
        <x:v>6</x:v>
      </x:c>
      <x:c r="M717" s="2" t="str">
        <x:f>IF(K717=L717,"OK","MISMATCH")</x:f>
        <x:v>OK</x:v>
      </x:c>
    </x:row>
    <x:row r="718">
      <x:c r="A718" s="2" t="str">
        <x:f>'제외 후보'!G718</x:f>
        <x:v>w_8b10f28bdd01ec80</x:v>
      </x:c>
      <x:c r="B718" s="11" t="n">
        <x:f>IF('제외 후보'!Q718&lt;&gt;"",'선정 규칙'!$B$4,0)</x:f>
        <x:v>0</x:v>
      </x:c>
      <x:c r="C718" s="11" t="n">
        <x:f>IF(ISNUMBER(SEARCH("jmdict_uncommon_or_irregular",'제외 후보'!P718)),'선정 규칙'!$B$5,IF(ISNUMBER(SEARCH("jmdict_rare_or_dated",'제외 후보'!P718)),'선정 규칙'!$B$6,0))</x:f>
        <x:v>0</x:v>
      </x:c>
      <x:c r="D718" s="11" t="n">
        <x:f>IF(ISNUMBER(SEARCH("jmdict_exact_pair_not_found",'제외 후보'!P718)),'선정 규칙'!$B$7,0)</x:f>
        <x:v>0</x:v>
      </x:c>
      <x:c r="E718" s="11" t="n">
        <x:f>IF(OR('제외 후보'!L718="",'제외 후보'!L718&lt;=0),'선정 규칙'!$B$8,IF('제외 후보'!L718&lt;=1.5,'선정 규칙'!$B$9,IF('제외 후보'!L718&lt;=2,'선정 규칙'!$B$10,IF('제외 후보'!L718&lt;=2.5,'선정 규칙'!$B$11,IF('제외 후보'!L718&lt;=3,'선정 규칙'!$B$12,IF('제외 후보'!L718&lt;=3.5,'선정 규칙'!$B$13,IF('제외 후보'!L718&gt;=4.5,'선정 규칙'!$B$14,0)))))))</x:f>
        <x:v>12</x:v>
      </x:c>
      <x:c r="F718" s="11" t="n">
        <x:f>IF('제외 후보'!Y718=0,'선정 규칙'!$B$15,IF('제외 후보'!Y718&gt;=100,'선정 규칙'!$B$16,'선정 규칙'!$B$17))</x:f>
        <x:v>-12</x:v>
      </x:c>
      <x:c r="G718" s="11" t="n">
        <x:f>IF('제외 후보'!M718="있음",'선정 규칙'!$B$18,'선정 규칙'!$B$19)</x:f>
        <x:v>6</x:v>
      </x:c>
      <x:c r="H718" s="11" t="n">
        <x:f>IF(ISNUMBER(SEARCH("freq-core",'제외 후보'!AD718)),'선정 규칙'!$B$20,0)</x:f>
        <x:v>0</x:v>
      </x:c>
      <x:c r="I718" s="11" t="n">
        <x:f>IF(ISNUMBER(SEARCH("weak_legacy_content",'제외 후보'!P718)),'선정 규칙'!$B$21,0)</x:f>
        <x:v>0</x:v>
      </x:c>
      <x:c r="J718" s="11" t="n">
        <x:f>IF('제외 후보'!AC718&lt;&gt;"",'선정 규칙'!$B$22,0)</x:f>
        <x:v>0</x:v>
      </x:c>
      <x:c r="K718" s="11" t="n">
        <x:f>SUM(B718:J718)</x:f>
        <x:v>6</x:v>
      </x:c>
      <x:c r="L718" s="11" t="n">
        <x:f>'제외 후보'!N718</x:f>
        <x:v>6</x:v>
      </x:c>
      <x:c r="M718" s="2" t="str">
        <x:f>IF(K718=L718,"OK","MISMATCH")</x:f>
        <x:v>OK</x:v>
      </x:c>
    </x:row>
    <x:row r="719">
      <x:c r="A719" s="2" t="str">
        <x:f>'제외 후보'!G719</x:f>
        <x:v>w_70b6884ae5973a56</x:v>
      </x:c>
      <x:c r="B719" s="11" t="n">
        <x:f>IF('제외 후보'!Q719&lt;&gt;"",'선정 규칙'!$B$4,0)</x:f>
        <x:v>0</x:v>
      </x:c>
      <x:c r="C719" s="11" t="n">
        <x:f>IF(ISNUMBER(SEARCH("jmdict_uncommon_or_irregular",'제외 후보'!P719)),'선정 규칙'!$B$5,IF(ISNUMBER(SEARCH("jmdict_rare_or_dated",'제외 후보'!P719)),'선정 규칙'!$B$6,0))</x:f>
        <x:v>0</x:v>
      </x:c>
      <x:c r="D719" s="11" t="n">
        <x:f>IF(ISNUMBER(SEARCH("jmdict_exact_pair_not_found",'제외 후보'!P719)),'선정 규칙'!$B$7,0)</x:f>
        <x:v>0</x:v>
      </x:c>
      <x:c r="E719" s="11" t="n">
        <x:f>IF(OR('제외 후보'!L719="",'제외 후보'!L719&lt;=0),'선정 규칙'!$B$8,IF('제외 후보'!L719&lt;=1.5,'선정 규칙'!$B$9,IF('제외 후보'!L719&lt;=2,'선정 규칙'!$B$10,IF('제외 후보'!L719&lt;=2.5,'선정 규칙'!$B$11,IF('제외 후보'!L719&lt;=3,'선정 규칙'!$B$12,IF('제외 후보'!L719&lt;=3.5,'선정 규칙'!$B$13,IF('제외 후보'!L719&gt;=4.5,'선정 규칙'!$B$14,0)))))))</x:f>
        <x:v>12</x:v>
      </x:c>
      <x:c r="F719" s="11" t="n">
        <x:f>IF('제외 후보'!Y719=0,'선정 규칙'!$B$15,IF('제외 후보'!Y719&gt;=100,'선정 규칙'!$B$16,'선정 규칙'!$B$17))</x:f>
        <x:v>-12</x:v>
      </x:c>
      <x:c r="G719" s="11" t="n">
        <x:f>IF('제외 후보'!M719="있음",'선정 규칙'!$B$18,'선정 규칙'!$B$19)</x:f>
        <x:v>6</x:v>
      </x:c>
      <x:c r="H719" s="11" t="n">
        <x:f>IF(ISNUMBER(SEARCH("freq-core",'제외 후보'!AD719)),'선정 규칙'!$B$20,0)</x:f>
        <x:v>0</x:v>
      </x:c>
      <x:c r="I719" s="11" t="n">
        <x:f>IF(ISNUMBER(SEARCH("weak_legacy_content",'제외 후보'!P719)),'선정 규칙'!$B$21,0)</x:f>
        <x:v>0</x:v>
      </x:c>
      <x:c r="J719" s="11" t="n">
        <x:f>IF('제외 후보'!AC719&lt;&gt;"",'선정 규칙'!$B$22,0)</x:f>
        <x:v>0</x:v>
      </x:c>
      <x:c r="K719" s="11" t="n">
        <x:f>SUM(B719:J719)</x:f>
        <x:v>6</x:v>
      </x:c>
      <x:c r="L719" s="11" t="n">
        <x:f>'제외 후보'!N719</x:f>
        <x:v>6</x:v>
      </x:c>
      <x:c r="M719" s="2" t="str">
        <x:f>IF(K719=L719,"OK","MISMATCH")</x:f>
        <x:v>OK</x:v>
      </x:c>
    </x:row>
    <x:row r="720">
      <x:c r="A720" s="2" t="str">
        <x:f>'제외 후보'!G720</x:f>
        <x:v>w_99900cfb8a81d079</x:v>
      </x:c>
      <x:c r="B720" s="11" t="n">
        <x:f>IF('제외 후보'!Q720&lt;&gt;"",'선정 규칙'!$B$4,0)</x:f>
        <x:v>0</x:v>
      </x:c>
      <x:c r="C720" s="11" t="n">
        <x:f>IF(ISNUMBER(SEARCH("jmdict_uncommon_or_irregular",'제외 후보'!P720)),'선정 규칙'!$B$5,IF(ISNUMBER(SEARCH("jmdict_rare_or_dated",'제외 후보'!P720)),'선정 규칙'!$B$6,0))</x:f>
        <x:v>0</x:v>
      </x:c>
      <x:c r="D720" s="11" t="n">
        <x:f>IF(ISNUMBER(SEARCH("jmdict_exact_pair_not_found",'제외 후보'!P720)),'선정 규칙'!$B$7,0)</x:f>
        <x:v>0</x:v>
      </x:c>
      <x:c r="E720" s="11" t="n">
        <x:f>IF(OR('제외 후보'!L720="",'제외 후보'!L720&lt;=0),'선정 규칙'!$B$8,IF('제외 후보'!L720&lt;=1.5,'선정 규칙'!$B$9,IF('제외 후보'!L720&lt;=2,'선정 규칙'!$B$10,IF('제외 후보'!L720&lt;=2.5,'선정 규칙'!$B$11,IF('제외 후보'!L720&lt;=3,'선정 규칙'!$B$12,IF('제외 후보'!L720&lt;=3.5,'선정 규칙'!$B$13,IF('제외 후보'!L720&gt;=4.5,'선정 규칙'!$B$14,0)))))))</x:f>
        <x:v>12</x:v>
      </x:c>
      <x:c r="F720" s="11" t="n">
        <x:f>IF('제외 후보'!Y720=0,'선정 규칙'!$B$15,IF('제외 후보'!Y720&gt;=100,'선정 규칙'!$B$16,'선정 규칙'!$B$17))</x:f>
        <x:v>-12</x:v>
      </x:c>
      <x:c r="G720" s="11" t="n">
        <x:f>IF('제외 후보'!M720="있음",'선정 규칙'!$B$18,'선정 규칙'!$B$19)</x:f>
        <x:v>6</x:v>
      </x:c>
      <x:c r="H720" s="11" t="n">
        <x:f>IF(ISNUMBER(SEARCH("freq-core",'제외 후보'!AD720)),'선정 규칙'!$B$20,0)</x:f>
        <x:v>0</x:v>
      </x:c>
      <x:c r="I720" s="11" t="n">
        <x:f>IF(ISNUMBER(SEARCH("weak_legacy_content",'제외 후보'!P720)),'선정 규칙'!$B$21,0)</x:f>
        <x:v>0</x:v>
      </x:c>
      <x:c r="J720" s="11" t="n">
        <x:f>IF('제외 후보'!AC720&lt;&gt;"",'선정 규칙'!$B$22,0)</x:f>
        <x:v>0</x:v>
      </x:c>
      <x:c r="K720" s="11" t="n">
        <x:f>SUM(B720:J720)</x:f>
        <x:v>6</x:v>
      </x:c>
      <x:c r="L720" s="11" t="n">
        <x:f>'제외 후보'!N720</x:f>
        <x:v>6</x:v>
      </x:c>
      <x:c r="M720" s="2" t="str">
        <x:f>IF(K720=L720,"OK","MISMATCH")</x:f>
        <x:v>OK</x:v>
      </x:c>
    </x:row>
    <x:row r="721">
      <x:c r="A721" s="2" t="str">
        <x:f>'제외 후보'!G721</x:f>
        <x:v>w_fd095906e18e916f</x:v>
      </x:c>
      <x:c r="B721" s="11" t="n">
        <x:f>IF('제외 후보'!Q721&lt;&gt;"",'선정 규칙'!$B$4,0)</x:f>
        <x:v>0</x:v>
      </x:c>
      <x:c r="C721" s="11" t="n">
        <x:f>IF(ISNUMBER(SEARCH("jmdict_uncommon_or_irregular",'제외 후보'!P721)),'선정 규칙'!$B$5,IF(ISNUMBER(SEARCH("jmdict_rare_or_dated",'제외 후보'!P721)),'선정 규칙'!$B$6,0))</x:f>
        <x:v>0</x:v>
      </x:c>
      <x:c r="D721" s="11" t="n">
        <x:f>IF(ISNUMBER(SEARCH("jmdict_exact_pair_not_found",'제외 후보'!P721)),'선정 규칙'!$B$7,0)</x:f>
        <x:v>0</x:v>
      </x:c>
      <x:c r="E721" s="11" t="n">
        <x:f>IF(OR('제외 후보'!L721="",'제외 후보'!L721&lt;=0),'선정 규칙'!$B$8,IF('제외 후보'!L721&lt;=1.5,'선정 규칙'!$B$9,IF('제외 후보'!L721&lt;=2,'선정 규칙'!$B$10,IF('제외 후보'!L721&lt;=2.5,'선정 규칙'!$B$11,IF('제외 후보'!L721&lt;=3,'선정 규칙'!$B$12,IF('제외 후보'!L721&lt;=3.5,'선정 규칙'!$B$13,IF('제외 후보'!L721&gt;=4.5,'선정 규칙'!$B$14,0)))))))</x:f>
        <x:v>12</x:v>
      </x:c>
      <x:c r="F721" s="11" t="n">
        <x:f>IF('제외 후보'!Y721=0,'선정 규칙'!$B$15,IF('제외 후보'!Y721&gt;=100,'선정 규칙'!$B$16,'선정 규칙'!$B$17))</x:f>
        <x:v>-12</x:v>
      </x:c>
      <x:c r="G721" s="11" t="n">
        <x:f>IF('제외 후보'!M721="있음",'선정 규칙'!$B$18,'선정 규칙'!$B$19)</x:f>
        <x:v>6</x:v>
      </x:c>
      <x:c r="H721" s="11" t="n">
        <x:f>IF(ISNUMBER(SEARCH("freq-core",'제외 후보'!AD721)),'선정 규칙'!$B$20,0)</x:f>
        <x:v>0</x:v>
      </x:c>
      <x:c r="I721" s="11" t="n">
        <x:f>IF(ISNUMBER(SEARCH("weak_legacy_content",'제외 후보'!P721)),'선정 규칙'!$B$21,0)</x:f>
        <x:v>0</x:v>
      </x:c>
      <x:c r="J721" s="11" t="n">
        <x:f>IF('제외 후보'!AC721&lt;&gt;"",'선정 규칙'!$B$22,0)</x:f>
        <x:v>0</x:v>
      </x:c>
      <x:c r="K721" s="11" t="n">
        <x:f>SUM(B721:J721)</x:f>
        <x:v>6</x:v>
      </x:c>
      <x:c r="L721" s="11" t="n">
        <x:f>'제외 후보'!N721</x:f>
        <x:v>6</x:v>
      </x:c>
      <x:c r="M721" s="2" t="str">
        <x:f>IF(K721=L721,"OK","MISMATCH")</x:f>
        <x:v>OK</x:v>
      </x:c>
    </x:row>
    <x:row r="722">
      <x:c r="A722" s="2" t="str">
        <x:f>'제외 후보'!G722</x:f>
        <x:v>w_88a513b6fae7a32e</x:v>
      </x:c>
      <x:c r="B722" s="11" t="n">
        <x:f>IF('제외 후보'!Q722&lt;&gt;"",'선정 규칙'!$B$4,0)</x:f>
        <x:v>0</x:v>
      </x:c>
      <x:c r="C722" s="11" t="n">
        <x:f>IF(ISNUMBER(SEARCH("jmdict_uncommon_or_irregular",'제외 후보'!P722)),'선정 규칙'!$B$5,IF(ISNUMBER(SEARCH("jmdict_rare_or_dated",'제외 후보'!P722)),'선정 규칙'!$B$6,0))</x:f>
        <x:v>0</x:v>
      </x:c>
      <x:c r="D722" s="11" t="n">
        <x:f>IF(ISNUMBER(SEARCH("jmdict_exact_pair_not_found",'제외 후보'!P722)),'선정 규칙'!$B$7,0)</x:f>
        <x:v>0</x:v>
      </x:c>
      <x:c r="E722" s="11" t="n">
        <x:f>IF(OR('제외 후보'!L722="",'제외 후보'!L722&lt;=0),'선정 규칙'!$B$8,IF('제외 후보'!L722&lt;=1.5,'선정 규칙'!$B$9,IF('제외 후보'!L722&lt;=2,'선정 규칙'!$B$10,IF('제외 후보'!L722&lt;=2.5,'선정 규칙'!$B$11,IF('제외 후보'!L722&lt;=3,'선정 규칙'!$B$12,IF('제외 후보'!L722&lt;=3.5,'선정 규칙'!$B$13,IF('제외 후보'!L722&gt;=4.5,'선정 규칙'!$B$14,0)))))))</x:f>
        <x:v>12</x:v>
      </x:c>
      <x:c r="F722" s="11" t="n">
        <x:f>IF('제외 후보'!Y722=0,'선정 규칙'!$B$15,IF('제외 후보'!Y722&gt;=100,'선정 규칙'!$B$16,'선정 규칙'!$B$17))</x:f>
        <x:v>-12</x:v>
      </x:c>
      <x:c r="G722" s="11" t="n">
        <x:f>IF('제외 후보'!M722="있음",'선정 규칙'!$B$18,'선정 규칙'!$B$19)</x:f>
        <x:v>6</x:v>
      </x:c>
      <x:c r="H722" s="11" t="n">
        <x:f>IF(ISNUMBER(SEARCH("freq-core",'제외 후보'!AD722)),'선정 규칙'!$B$20,0)</x:f>
        <x:v>0</x:v>
      </x:c>
      <x:c r="I722" s="11" t="n">
        <x:f>IF(ISNUMBER(SEARCH("weak_legacy_content",'제외 후보'!P722)),'선정 규칙'!$B$21,0)</x:f>
        <x:v>0</x:v>
      </x:c>
      <x:c r="J722" s="11" t="n">
        <x:f>IF('제외 후보'!AC722&lt;&gt;"",'선정 규칙'!$B$22,0)</x:f>
        <x:v>0</x:v>
      </x:c>
      <x:c r="K722" s="11" t="n">
        <x:f>SUM(B722:J722)</x:f>
        <x:v>6</x:v>
      </x:c>
      <x:c r="L722" s="11" t="n">
        <x:f>'제외 후보'!N722</x:f>
        <x:v>6</x:v>
      </x:c>
      <x:c r="M722" s="2" t="str">
        <x:f>IF(K722=L722,"OK","MISMATCH")</x:f>
        <x:v>OK</x:v>
      </x:c>
    </x:row>
    <x:row r="723">
      <x:c r="A723" s="2" t="str">
        <x:f>'제외 후보'!G723</x:f>
        <x:v>w_cd63a3ea9196e153</x:v>
      </x:c>
      <x:c r="B723" s="11" t="n">
        <x:f>IF('제외 후보'!Q723&lt;&gt;"",'선정 규칙'!$B$4,0)</x:f>
        <x:v>0</x:v>
      </x:c>
      <x:c r="C723" s="11" t="n">
        <x:f>IF(ISNUMBER(SEARCH("jmdict_uncommon_or_irregular",'제외 후보'!P723)),'선정 규칙'!$B$5,IF(ISNUMBER(SEARCH("jmdict_rare_or_dated",'제외 후보'!P723)),'선정 규칙'!$B$6,0))</x:f>
        <x:v>0</x:v>
      </x:c>
      <x:c r="D723" s="11" t="n">
        <x:f>IF(ISNUMBER(SEARCH("jmdict_exact_pair_not_found",'제외 후보'!P723)),'선정 규칙'!$B$7,0)</x:f>
        <x:v>0</x:v>
      </x:c>
      <x:c r="E723" s="11" t="n">
        <x:f>IF(OR('제외 후보'!L723="",'제외 후보'!L723&lt;=0),'선정 규칙'!$B$8,IF('제외 후보'!L723&lt;=1.5,'선정 규칙'!$B$9,IF('제외 후보'!L723&lt;=2,'선정 규칙'!$B$10,IF('제외 후보'!L723&lt;=2.5,'선정 규칙'!$B$11,IF('제외 후보'!L723&lt;=3,'선정 규칙'!$B$12,IF('제외 후보'!L723&lt;=3.5,'선정 규칙'!$B$13,IF('제외 후보'!L723&gt;=4.5,'선정 규칙'!$B$14,0)))))))</x:f>
        <x:v>12</x:v>
      </x:c>
      <x:c r="F723" s="11" t="n">
        <x:f>IF('제외 후보'!Y723=0,'선정 규칙'!$B$15,IF('제외 후보'!Y723&gt;=100,'선정 규칙'!$B$16,'선정 규칙'!$B$17))</x:f>
        <x:v>-12</x:v>
      </x:c>
      <x:c r="G723" s="11" t="n">
        <x:f>IF('제외 후보'!M723="있음",'선정 규칙'!$B$18,'선정 규칙'!$B$19)</x:f>
        <x:v>6</x:v>
      </x:c>
      <x:c r="H723" s="11" t="n">
        <x:f>IF(ISNUMBER(SEARCH("freq-core",'제외 후보'!AD723)),'선정 규칙'!$B$20,0)</x:f>
        <x:v>0</x:v>
      </x:c>
      <x:c r="I723" s="11" t="n">
        <x:f>IF(ISNUMBER(SEARCH("weak_legacy_content",'제외 후보'!P723)),'선정 규칙'!$B$21,0)</x:f>
        <x:v>0</x:v>
      </x:c>
      <x:c r="J723" s="11" t="n">
        <x:f>IF('제외 후보'!AC723&lt;&gt;"",'선정 규칙'!$B$22,0)</x:f>
        <x:v>0</x:v>
      </x:c>
      <x:c r="K723" s="11" t="n">
        <x:f>SUM(B723:J723)</x:f>
        <x:v>6</x:v>
      </x:c>
      <x:c r="L723" s="11" t="n">
        <x:f>'제외 후보'!N723</x:f>
        <x:v>6</x:v>
      </x:c>
      <x:c r="M723" s="2" t="str">
        <x:f>IF(K723=L723,"OK","MISMATCH")</x:f>
        <x:v>OK</x:v>
      </x:c>
    </x:row>
    <x:row r="724">
      <x:c r="A724" s="2" t="str">
        <x:f>'제외 후보'!G724</x:f>
        <x:v>w_1c5469d468c7bdf7</x:v>
      </x:c>
      <x:c r="B724" s="11" t="n">
        <x:f>IF('제외 후보'!Q724&lt;&gt;"",'선정 규칙'!$B$4,0)</x:f>
        <x:v>0</x:v>
      </x:c>
      <x:c r="C724" s="11" t="n">
        <x:f>IF(ISNUMBER(SEARCH("jmdict_uncommon_or_irregular",'제외 후보'!P724)),'선정 규칙'!$B$5,IF(ISNUMBER(SEARCH("jmdict_rare_or_dated",'제외 후보'!P724)),'선정 규칙'!$B$6,0))</x:f>
        <x:v>0</x:v>
      </x:c>
      <x:c r="D724" s="11" t="n">
        <x:f>IF(ISNUMBER(SEARCH("jmdict_exact_pair_not_found",'제외 후보'!P724)),'선정 규칙'!$B$7,0)</x:f>
        <x:v>0</x:v>
      </x:c>
      <x:c r="E724" s="11" t="n">
        <x:f>IF(OR('제외 후보'!L724="",'제외 후보'!L724&lt;=0),'선정 규칙'!$B$8,IF('제외 후보'!L724&lt;=1.5,'선정 규칙'!$B$9,IF('제외 후보'!L724&lt;=2,'선정 규칙'!$B$10,IF('제외 후보'!L724&lt;=2.5,'선정 규칙'!$B$11,IF('제외 후보'!L724&lt;=3,'선정 규칙'!$B$12,IF('제외 후보'!L724&lt;=3.5,'선정 규칙'!$B$13,IF('제외 후보'!L724&gt;=4.5,'선정 규칙'!$B$14,0)))))))</x:f>
        <x:v>12</x:v>
      </x:c>
      <x:c r="F724" s="11" t="n">
        <x:f>IF('제외 후보'!Y724=0,'선정 규칙'!$B$15,IF('제외 후보'!Y724&gt;=100,'선정 규칙'!$B$16,'선정 규칙'!$B$17))</x:f>
        <x:v>-12</x:v>
      </x:c>
      <x:c r="G724" s="11" t="n">
        <x:f>IF('제외 후보'!M724="있음",'선정 규칙'!$B$18,'선정 규칙'!$B$19)</x:f>
        <x:v>6</x:v>
      </x:c>
      <x:c r="H724" s="11" t="n">
        <x:f>IF(ISNUMBER(SEARCH("freq-core",'제외 후보'!AD724)),'선정 규칙'!$B$20,0)</x:f>
        <x:v>0</x:v>
      </x:c>
      <x:c r="I724" s="11" t="n">
        <x:f>IF(ISNUMBER(SEARCH("weak_legacy_content",'제외 후보'!P724)),'선정 규칙'!$B$21,0)</x:f>
        <x:v>0</x:v>
      </x:c>
      <x:c r="J724" s="11" t="n">
        <x:f>IF('제외 후보'!AC724&lt;&gt;"",'선정 규칙'!$B$22,0)</x:f>
        <x:v>0</x:v>
      </x:c>
      <x:c r="K724" s="11" t="n">
        <x:f>SUM(B724:J724)</x:f>
        <x:v>6</x:v>
      </x:c>
      <x:c r="L724" s="11" t="n">
        <x:f>'제외 후보'!N724</x:f>
        <x:v>6</x:v>
      </x:c>
      <x:c r="M724" s="2" t="str">
        <x:f>IF(K724=L724,"OK","MISMATCH")</x:f>
        <x:v>OK</x:v>
      </x:c>
    </x:row>
    <x:row r="725">
      <x:c r="A725" s="2" t="str">
        <x:f>'제외 후보'!G725</x:f>
        <x:v>w_114fe9cd24cfcb56</x:v>
      </x:c>
      <x:c r="B725" s="11" t="n">
        <x:f>IF('제외 후보'!Q725&lt;&gt;"",'선정 규칙'!$B$4,0)</x:f>
        <x:v>0</x:v>
      </x:c>
      <x:c r="C725" s="11" t="n">
        <x:f>IF(ISNUMBER(SEARCH("jmdict_uncommon_or_irregular",'제외 후보'!P725)),'선정 규칙'!$B$5,IF(ISNUMBER(SEARCH("jmdict_rare_or_dated",'제외 후보'!P725)),'선정 규칙'!$B$6,0))</x:f>
        <x:v>0</x:v>
      </x:c>
      <x:c r="D725" s="11" t="n">
        <x:f>IF(ISNUMBER(SEARCH("jmdict_exact_pair_not_found",'제외 후보'!P725)),'선정 규칙'!$B$7,0)</x:f>
        <x:v>0</x:v>
      </x:c>
      <x:c r="E725" s="11" t="n">
        <x:f>IF(OR('제외 후보'!L725="",'제외 후보'!L725&lt;=0),'선정 규칙'!$B$8,IF('제외 후보'!L725&lt;=1.5,'선정 규칙'!$B$9,IF('제외 후보'!L725&lt;=2,'선정 규칙'!$B$10,IF('제외 후보'!L725&lt;=2.5,'선정 규칙'!$B$11,IF('제외 후보'!L725&lt;=3,'선정 규칙'!$B$12,IF('제외 후보'!L725&lt;=3.5,'선정 규칙'!$B$13,IF('제외 후보'!L725&gt;=4.5,'선정 규칙'!$B$14,0)))))))</x:f>
        <x:v>12</x:v>
      </x:c>
      <x:c r="F725" s="11" t="n">
        <x:f>IF('제외 후보'!Y725=0,'선정 규칙'!$B$15,IF('제외 후보'!Y725&gt;=100,'선정 규칙'!$B$16,'선정 규칙'!$B$17))</x:f>
        <x:v>-12</x:v>
      </x:c>
      <x:c r="G725" s="11" t="n">
        <x:f>IF('제외 후보'!M725="있음",'선정 규칙'!$B$18,'선정 규칙'!$B$19)</x:f>
        <x:v>6</x:v>
      </x:c>
      <x:c r="H725" s="11" t="n">
        <x:f>IF(ISNUMBER(SEARCH("freq-core",'제외 후보'!AD725)),'선정 규칙'!$B$20,0)</x:f>
        <x:v>0</x:v>
      </x:c>
      <x:c r="I725" s="11" t="n">
        <x:f>IF(ISNUMBER(SEARCH("weak_legacy_content",'제외 후보'!P725)),'선정 규칙'!$B$21,0)</x:f>
        <x:v>0</x:v>
      </x:c>
      <x:c r="J725" s="11" t="n">
        <x:f>IF('제외 후보'!AC725&lt;&gt;"",'선정 규칙'!$B$22,0)</x:f>
        <x:v>0</x:v>
      </x:c>
      <x:c r="K725" s="11" t="n">
        <x:f>SUM(B725:J725)</x:f>
        <x:v>6</x:v>
      </x:c>
      <x:c r="L725" s="11" t="n">
        <x:f>'제외 후보'!N725</x:f>
        <x:v>6</x:v>
      </x:c>
      <x:c r="M725" s="2" t="str">
        <x:f>IF(K725=L725,"OK","MISMATCH")</x:f>
        <x:v>OK</x:v>
      </x:c>
    </x:row>
    <x:row r="726">
      <x:c r="A726" s="2" t="str">
        <x:f>'제외 후보'!G726</x:f>
        <x:v>w_fb56ee0f5fb82c5c</x:v>
      </x:c>
      <x:c r="B726" s="11" t="n">
        <x:f>IF('제외 후보'!Q726&lt;&gt;"",'선정 규칙'!$B$4,0)</x:f>
        <x:v>0</x:v>
      </x:c>
      <x:c r="C726" s="11" t="n">
        <x:f>IF(ISNUMBER(SEARCH("jmdict_uncommon_or_irregular",'제외 후보'!P726)),'선정 규칙'!$B$5,IF(ISNUMBER(SEARCH("jmdict_rare_or_dated",'제외 후보'!P726)),'선정 규칙'!$B$6,0))</x:f>
        <x:v>0</x:v>
      </x:c>
      <x:c r="D726" s="11" t="n">
        <x:f>IF(ISNUMBER(SEARCH("jmdict_exact_pair_not_found",'제외 후보'!P726)),'선정 규칙'!$B$7,0)</x:f>
        <x:v>0</x:v>
      </x:c>
      <x:c r="E726" s="11" t="n">
        <x:f>IF(OR('제외 후보'!L726="",'제외 후보'!L726&lt;=0),'선정 규칙'!$B$8,IF('제외 후보'!L726&lt;=1.5,'선정 규칙'!$B$9,IF('제외 후보'!L726&lt;=2,'선정 규칙'!$B$10,IF('제외 후보'!L726&lt;=2.5,'선정 규칙'!$B$11,IF('제외 후보'!L726&lt;=3,'선정 규칙'!$B$12,IF('제외 후보'!L726&lt;=3.5,'선정 규칙'!$B$13,IF('제외 후보'!L726&gt;=4.5,'선정 규칙'!$B$14,0)))))))</x:f>
        <x:v>12</x:v>
      </x:c>
      <x:c r="F726" s="11" t="n">
        <x:f>IF('제외 후보'!Y726=0,'선정 규칙'!$B$15,IF('제외 후보'!Y726&gt;=100,'선정 규칙'!$B$16,'선정 규칙'!$B$17))</x:f>
        <x:v>-12</x:v>
      </x:c>
      <x:c r="G726" s="11" t="n">
        <x:f>IF('제외 후보'!M726="있음",'선정 규칙'!$B$18,'선정 규칙'!$B$19)</x:f>
        <x:v>6</x:v>
      </x:c>
      <x:c r="H726" s="11" t="n">
        <x:f>IF(ISNUMBER(SEARCH("freq-core",'제외 후보'!AD726)),'선정 규칙'!$B$20,0)</x:f>
        <x:v>0</x:v>
      </x:c>
      <x:c r="I726" s="11" t="n">
        <x:f>IF(ISNUMBER(SEARCH("weak_legacy_content",'제외 후보'!P726)),'선정 규칙'!$B$21,0)</x:f>
        <x:v>0</x:v>
      </x:c>
      <x:c r="J726" s="11" t="n">
        <x:f>IF('제외 후보'!AC726&lt;&gt;"",'선정 규칙'!$B$22,0)</x:f>
        <x:v>0</x:v>
      </x:c>
      <x:c r="K726" s="11" t="n">
        <x:f>SUM(B726:J726)</x:f>
        <x:v>6</x:v>
      </x:c>
      <x:c r="L726" s="11" t="n">
        <x:f>'제외 후보'!N726</x:f>
        <x:v>6</x:v>
      </x:c>
      <x:c r="M726" s="2" t="str">
        <x:f>IF(K726=L726,"OK","MISMATCH")</x:f>
        <x:v>OK</x:v>
      </x:c>
    </x:row>
    <x:row r="727">
      <x:c r="A727" s="2" t="str">
        <x:f>'제외 후보'!G727</x:f>
        <x:v>w_7423c8d2548d48c3</x:v>
      </x:c>
      <x:c r="B727" s="11" t="n">
        <x:f>IF('제외 후보'!Q727&lt;&gt;"",'선정 규칙'!$B$4,0)</x:f>
        <x:v>0</x:v>
      </x:c>
      <x:c r="C727" s="11" t="n">
        <x:f>IF(ISNUMBER(SEARCH("jmdict_uncommon_or_irregular",'제외 후보'!P727)),'선정 규칙'!$B$5,IF(ISNUMBER(SEARCH("jmdict_rare_or_dated",'제외 후보'!P727)),'선정 규칙'!$B$6,0))</x:f>
        <x:v>0</x:v>
      </x:c>
      <x:c r="D727" s="11" t="n">
        <x:f>IF(ISNUMBER(SEARCH("jmdict_exact_pair_not_found",'제외 후보'!P727)),'선정 규칙'!$B$7,0)</x:f>
        <x:v>0</x:v>
      </x:c>
      <x:c r="E727" s="11" t="n">
        <x:f>IF(OR('제외 후보'!L727="",'제외 후보'!L727&lt;=0),'선정 규칙'!$B$8,IF('제외 후보'!L727&lt;=1.5,'선정 규칙'!$B$9,IF('제외 후보'!L727&lt;=2,'선정 규칙'!$B$10,IF('제외 후보'!L727&lt;=2.5,'선정 규칙'!$B$11,IF('제외 후보'!L727&lt;=3,'선정 규칙'!$B$12,IF('제외 후보'!L727&lt;=3.5,'선정 규칙'!$B$13,IF('제외 후보'!L727&gt;=4.5,'선정 규칙'!$B$14,0)))))))</x:f>
        <x:v>12</x:v>
      </x:c>
      <x:c r="F727" s="11" t="n">
        <x:f>IF('제외 후보'!Y727=0,'선정 규칙'!$B$15,IF('제외 후보'!Y727&gt;=100,'선정 규칙'!$B$16,'선정 규칙'!$B$17))</x:f>
        <x:v>-12</x:v>
      </x:c>
      <x:c r="G727" s="11" t="n">
        <x:f>IF('제외 후보'!M727="있음",'선정 규칙'!$B$18,'선정 규칙'!$B$19)</x:f>
        <x:v>6</x:v>
      </x:c>
      <x:c r="H727" s="11" t="n">
        <x:f>IF(ISNUMBER(SEARCH("freq-core",'제외 후보'!AD727)),'선정 규칙'!$B$20,0)</x:f>
        <x:v>0</x:v>
      </x:c>
      <x:c r="I727" s="11" t="n">
        <x:f>IF(ISNUMBER(SEARCH("weak_legacy_content",'제외 후보'!P727)),'선정 규칙'!$B$21,0)</x:f>
        <x:v>0</x:v>
      </x:c>
      <x:c r="J727" s="11" t="n">
        <x:f>IF('제외 후보'!AC727&lt;&gt;"",'선정 규칙'!$B$22,0)</x:f>
        <x:v>0</x:v>
      </x:c>
      <x:c r="K727" s="11" t="n">
        <x:f>SUM(B727:J727)</x:f>
        <x:v>6</x:v>
      </x:c>
      <x:c r="L727" s="11" t="n">
        <x:f>'제외 후보'!N727</x:f>
        <x:v>6</x:v>
      </x:c>
      <x:c r="M727" s="2" t="str">
        <x:f>IF(K727=L727,"OK","MISMATCH")</x:f>
        <x:v>OK</x:v>
      </x:c>
    </x:row>
    <x:row r="728">
      <x:c r="A728" s="2" t="str">
        <x:f>'제외 후보'!G728</x:f>
        <x:v>w_126432ddc17ee8df</x:v>
      </x:c>
      <x:c r="B728" s="11" t="n">
        <x:f>IF('제외 후보'!Q728&lt;&gt;"",'선정 규칙'!$B$4,0)</x:f>
        <x:v>0</x:v>
      </x:c>
      <x:c r="C728" s="11" t="n">
        <x:f>IF(ISNUMBER(SEARCH("jmdict_uncommon_or_irregular",'제외 후보'!P728)),'선정 규칙'!$B$5,IF(ISNUMBER(SEARCH("jmdict_rare_or_dated",'제외 후보'!P728)),'선정 규칙'!$B$6,0))</x:f>
        <x:v>0</x:v>
      </x:c>
      <x:c r="D728" s="11" t="n">
        <x:f>IF(ISNUMBER(SEARCH("jmdict_exact_pair_not_found",'제외 후보'!P728)),'선정 규칙'!$B$7,0)</x:f>
        <x:v>0</x:v>
      </x:c>
      <x:c r="E728" s="11" t="n">
        <x:f>IF(OR('제외 후보'!L728="",'제외 후보'!L728&lt;=0),'선정 규칙'!$B$8,IF('제외 후보'!L728&lt;=1.5,'선정 규칙'!$B$9,IF('제외 후보'!L728&lt;=2,'선정 규칙'!$B$10,IF('제외 후보'!L728&lt;=2.5,'선정 규칙'!$B$11,IF('제외 후보'!L728&lt;=3,'선정 규칙'!$B$12,IF('제외 후보'!L728&lt;=3.5,'선정 규칙'!$B$13,IF('제외 후보'!L728&gt;=4.5,'선정 규칙'!$B$14,0)))))))</x:f>
        <x:v>12</x:v>
      </x:c>
      <x:c r="F728" s="11" t="n">
        <x:f>IF('제외 후보'!Y728=0,'선정 규칙'!$B$15,IF('제외 후보'!Y728&gt;=100,'선정 규칙'!$B$16,'선정 규칙'!$B$17))</x:f>
        <x:v>-12</x:v>
      </x:c>
      <x:c r="G728" s="11" t="n">
        <x:f>IF('제외 후보'!M728="있음",'선정 규칙'!$B$18,'선정 규칙'!$B$19)</x:f>
        <x:v>6</x:v>
      </x:c>
      <x:c r="H728" s="11" t="n">
        <x:f>IF(ISNUMBER(SEARCH("freq-core",'제외 후보'!AD728)),'선정 규칙'!$B$20,0)</x:f>
        <x:v>0</x:v>
      </x:c>
      <x:c r="I728" s="11" t="n">
        <x:f>IF(ISNUMBER(SEARCH("weak_legacy_content",'제외 후보'!P728)),'선정 규칙'!$B$21,0)</x:f>
        <x:v>0</x:v>
      </x:c>
      <x:c r="J728" s="11" t="n">
        <x:f>IF('제외 후보'!AC728&lt;&gt;"",'선정 규칙'!$B$22,0)</x:f>
        <x:v>0</x:v>
      </x:c>
      <x:c r="K728" s="11" t="n">
        <x:f>SUM(B728:J728)</x:f>
        <x:v>6</x:v>
      </x:c>
      <x:c r="L728" s="11" t="n">
        <x:f>'제외 후보'!N728</x:f>
        <x:v>6</x:v>
      </x:c>
      <x:c r="M728" s="2" t="str">
        <x:f>IF(K728=L728,"OK","MISMATCH")</x:f>
        <x:v>OK</x:v>
      </x:c>
    </x:row>
    <x:row r="729">
      <x:c r="A729" s="2" t="str">
        <x:f>'제외 후보'!G729</x:f>
        <x:v>w_d6dca37256607df4</x:v>
      </x:c>
      <x:c r="B729" s="11" t="n">
        <x:f>IF('제외 후보'!Q729&lt;&gt;"",'선정 규칙'!$B$4,0)</x:f>
        <x:v>0</x:v>
      </x:c>
      <x:c r="C729" s="11" t="n">
        <x:f>IF(ISNUMBER(SEARCH("jmdict_uncommon_or_irregular",'제외 후보'!P729)),'선정 규칙'!$B$5,IF(ISNUMBER(SEARCH("jmdict_rare_or_dated",'제외 후보'!P729)),'선정 규칙'!$B$6,0))</x:f>
        <x:v>0</x:v>
      </x:c>
      <x:c r="D729" s="11" t="n">
        <x:f>IF(ISNUMBER(SEARCH("jmdict_exact_pair_not_found",'제외 후보'!P729)),'선정 규칙'!$B$7,0)</x:f>
        <x:v>0</x:v>
      </x:c>
      <x:c r="E729" s="11" t="n">
        <x:f>IF(OR('제외 후보'!L729="",'제외 후보'!L729&lt;=0),'선정 규칙'!$B$8,IF('제외 후보'!L729&lt;=1.5,'선정 규칙'!$B$9,IF('제외 후보'!L729&lt;=2,'선정 규칙'!$B$10,IF('제외 후보'!L729&lt;=2.5,'선정 규칙'!$B$11,IF('제외 후보'!L729&lt;=3,'선정 규칙'!$B$12,IF('제외 후보'!L729&lt;=3.5,'선정 규칙'!$B$13,IF('제외 후보'!L729&gt;=4.5,'선정 규칙'!$B$14,0)))))))</x:f>
        <x:v>12</x:v>
      </x:c>
      <x:c r="F729" s="11" t="n">
        <x:f>IF('제외 후보'!Y729=0,'선정 규칙'!$B$15,IF('제외 후보'!Y729&gt;=100,'선정 규칙'!$B$16,'선정 규칙'!$B$17))</x:f>
        <x:v>-12</x:v>
      </x:c>
      <x:c r="G729" s="11" t="n">
        <x:f>IF('제외 후보'!M729="있음",'선정 규칙'!$B$18,'선정 규칙'!$B$19)</x:f>
        <x:v>6</x:v>
      </x:c>
      <x:c r="H729" s="11" t="n">
        <x:f>IF(ISNUMBER(SEARCH("freq-core",'제외 후보'!AD729)),'선정 규칙'!$B$20,0)</x:f>
        <x:v>0</x:v>
      </x:c>
      <x:c r="I729" s="11" t="n">
        <x:f>IF(ISNUMBER(SEARCH("weak_legacy_content",'제외 후보'!P729)),'선정 규칙'!$B$21,0)</x:f>
        <x:v>0</x:v>
      </x:c>
      <x:c r="J729" s="11" t="n">
        <x:f>IF('제외 후보'!AC729&lt;&gt;"",'선정 규칙'!$B$22,0)</x:f>
        <x:v>0</x:v>
      </x:c>
      <x:c r="K729" s="11" t="n">
        <x:f>SUM(B729:J729)</x:f>
        <x:v>6</x:v>
      </x:c>
      <x:c r="L729" s="11" t="n">
        <x:f>'제외 후보'!N729</x:f>
        <x:v>6</x:v>
      </x:c>
      <x:c r="M729" s="2" t="str">
        <x:f>IF(K729=L729,"OK","MISMATCH")</x:f>
        <x:v>OK</x:v>
      </x:c>
    </x:row>
    <x:row r="730">
      <x:c r="A730" s="2" t="str">
        <x:f>'제외 후보'!G730</x:f>
        <x:v>w_95620730eaa08e7c</x:v>
      </x:c>
      <x:c r="B730" s="11" t="n">
        <x:f>IF('제외 후보'!Q730&lt;&gt;"",'선정 규칙'!$B$4,0)</x:f>
        <x:v>0</x:v>
      </x:c>
      <x:c r="C730" s="11" t="n">
        <x:f>IF(ISNUMBER(SEARCH("jmdict_uncommon_or_irregular",'제외 후보'!P730)),'선정 규칙'!$B$5,IF(ISNUMBER(SEARCH("jmdict_rare_or_dated",'제외 후보'!P730)),'선정 규칙'!$B$6,0))</x:f>
        <x:v>0</x:v>
      </x:c>
      <x:c r="D730" s="11" t="n">
        <x:f>IF(ISNUMBER(SEARCH("jmdict_exact_pair_not_found",'제외 후보'!P730)),'선정 규칙'!$B$7,0)</x:f>
        <x:v>0</x:v>
      </x:c>
      <x:c r="E730" s="11" t="n">
        <x:f>IF(OR('제외 후보'!L730="",'제외 후보'!L730&lt;=0),'선정 규칙'!$B$8,IF('제외 후보'!L730&lt;=1.5,'선정 규칙'!$B$9,IF('제외 후보'!L730&lt;=2,'선정 규칙'!$B$10,IF('제외 후보'!L730&lt;=2.5,'선정 규칙'!$B$11,IF('제외 후보'!L730&lt;=3,'선정 규칙'!$B$12,IF('제외 후보'!L730&lt;=3.5,'선정 규칙'!$B$13,IF('제외 후보'!L730&gt;=4.5,'선정 규칙'!$B$14,0)))))))</x:f>
        <x:v>6</x:v>
      </x:c>
      <x:c r="F730" s="11" t="n">
        <x:f>IF('제외 후보'!Y730=0,'선정 규칙'!$B$15,IF('제외 후보'!Y730&gt;=100,'선정 규칙'!$B$16,'선정 규칙'!$B$17))</x:f>
        <x:v>-12</x:v>
      </x:c>
      <x:c r="G730" s="11" t="n">
        <x:f>IF('제외 후보'!M730="있음",'선정 규칙'!$B$18,'선정 규칙'!$B$19)</x:f>
        <x:v>6</x:v>
      </x:c>
      <x:c r="H730" s="11" t="n">
        <x:f>IF(ISNUMBER(SEARCH("freq-core",'제외 후보'!AD730)),'선정 규칙'!$B$20,0)</x:f>
        <x:v>0</x:v>
      </x:c>
      <x:c r="I730" s="11" t="n">
        <x:f>IF(ISNUMBER(SEARCH("weak_legacy_content",'제외 후보'!P730)),'선정 규칙'!$B$21,0)</x:f>
        <x:v>5</x:v>
      </x:c>
      <x:c r="J730" s="11" t="n">
        <x:f>IF('제외 후보'!AC730&lt;&gt;"",'선정 규칙'!$B$22,0)</x:f>
        <x:v>0</x:v>
      </x:c>
      <x:c r="K730" s="11" t="n">
        <x:f>SUM(B730:J730)</x:f>
        <x:v>5</x:v>
      </x:c>
      <x:c r="L730" s="11" t="n">
        <x:f>'제외 후보'!N730</x:f>
        <x:v>5</x:v>
      </x:c>
      <x:c r="M730" s="2" t="str">
        <x:f>IF(K730=L730,"OK","MISMATCH")</x:f>
        <x:v>OK</x:v>
      </x:c>
    </x:row>
    <x:row r="731">
      <x:c r="A731" s="2" t="str">
        <x:f>'제외 후보'!G731</x:f>
        <x:v>w_77adfba80a3e7e5c</x:v>
      </x:c>
      <x:c r="B731" s="11" t="n">
        <x:f>IF('제외 후보'!Q731&lt;&gt;"",'선정 규칙'!$B$4,0)</x:f>
        <x:v>0</x:v>
      </x:c>
      <x:c r="C731" s="11" t="n">
        <x:f>IF(ISNUMBER(SEARCH("jmdict_uncommon_or_irregular",'제외 후보'!P731)),'선정 규칙'!$B$5,IF(ISNUMBER(SEARCH("jmdict_rare_or_dated",'제외 후보'!P731)),'선정 규칙'!$B$6,0))</x:f>
        <x:v>0</x:v>
      </x:c>
      <x:c r="D731" s="11" t="n">
        <x:f>IF(ISNUMBER(SEARCH("jmdict_exact_pair_not_found",'제외 후보'!P731)),'선정 규칙'!$B$7,0)</x:f>
        <x:v>0</x:v>
      </x:c>
      <x:c r="E731" s="11" t="n">
        <x:f>IF(OR('제외 후보'!L731="",'제외 후보'!L731&lt;=0),'선정 규칙'!$B$8,IF('제외 후보'!L731&lt;=1.5,'선정 규칙'!$B$9,IF('제외 후보'!L731&lt;=2,'선정 규칙'!$B$10,IF('제외 후보'!L731&lt;=2.5,'선정 규칙'!$B$11,IF('제외 후보'!L731&lt;=3,'선정 규칙'!$B$12,IF('제외 후보'!L731&lt;=3.5,'선정 규칙'!$B$13,IF('제외 후보'!L731&gt;=4.5,'선정 규칙'!$B$14,0)))))))</x:f>
        <x:v>6</x:v>
      </x:c>
      <x:c r="F731" s="11" t="n">
        <x:f>IF('제외 후보'!Y731=0,'선정 규칙'!$B$15,IF('제외 후보'!Y731&gt;=100,'선정 규칙'!$B$16,'선정 규칙'!$B$17))</x:f>
        <x:v>-12</x:v>
      </x:c>
      <x:c r="G731" s="11" t="n">
        <x:f>IF('제외 후보'!M731="있음",'선정 규칙'!$B$18,'선정 규칙'!$B$19)</x:f>
        <x:v>6</x:v>
      </x:c>
      <x:c r="H731" s="11" t="n">
        <x:f>IF(ISNUMBER(SEARCH("freq-core",'제외 후보'!AD731)),'선정 규칙'!$B$20,0)</x:f>
        <x:v>0</x:v>
      </x:c>
      <x:c r="I731" s="11" t="n">
        <x:f>IF(ISNUMBER(SEARCH("weak_legacy_content",'제외 후보'!P731)),'선정 규칙'!$B$21,0)</x:f>
        <x:v>5</x:v>
      </x:c>
      <x:c r="J731" s="11" t="n">
        <x:f>IF('제외 후보'!AC731&lt;&gt;"",'선정 규칙'!$B$22,0)</x:f>
        <x:v>0</x:v>
      </x:c>
      <x:c r="K731" s="11" t="n">
        <x:f>SUM(B731:J731)</x:f>
        <x:v>5</x:v>
      </x:c>
      <x:c r="L731" s="11" t="n">
        <x:f>'제외 후보'!N731</x:f>
        <x:v>5</x:v>
      </x:c>
      <x:c r="M731" s="2" t="str">
        <x:f>IF(K731=L731,"OK","MISMATCH")</x:f>
        <x:v>OK</x:v>
      </x:c>
    </x:row>
    <x:row r="732">
      <x:c r="A732" s="2" t="str">
        <x:f>'제외 후보'!G732</x:f>
        <x:v>w_a02a7de9f2bc5b9e</x:v>
      </x:c>
      <x:c r="B732" s="11" t="n">
        <x:f>IF('제외 후보'!Q732&lt;&gt;"",'선정 규칙'!$B$4,0)</x:f>
        <x:v>0</x:v>
      </x:c>
      <x:c r="C732" s="11" t="n">
        <x:f>IF(ISNUMBER(SEARCH("jmdict_uncommon_or_irregular",'제외 후보'!P732)),'선정 규칙'!$B$5,IF(ISNUMBER(SEARCH("jmdict_rare_or_dated",'제외 후보'!P732)),'선정 규칙'!$B$6,0))</x:f>
        <x:v>0</x:v>
      </x:c>
      <x:c r="D732" s="11" t="n">
        <x:f>IF(ISNUMBER(SEARCH("jmdict_exact_pair_not_found",'제외 후보'!P732)),'선정 규칙'!$B$7,0)</x:f>
        <x:v>0</x:v>
      </x:c>
      <x:c r="E732" s="11" t="n">
        <x:f>IF(OR('제외 후보'!L732="",'제외 후보'!L732&lt;=0),'선정 규칙'!$B$8,IF('제외 후보'!L732&lt;=1.5,'선정 규칙'!$B$9,IF('제외 후보'!L732&lt;=2,'선정 규칙'!$B$10,IF('제외 후보'!L732&lt;=2.5,'선정 규칙'!$B$11,IF('제외 후보'!L732&lt;=3,'선정 규칙'!$B$12,IF('제외 후보'!L732&lt;=3.5,'선정 규칙'!$B$13,IF('제외 후보'!L732&gt;=4.5,'선정 규칙'!$B$14,0)))))))</x:f>
        <x:v>6</x:v>
      </x:c>
      <x:c r="F732" s="11" t="n">
        <x:f>IF('제외 후보'!Y732=0,'선정 규칙'!$B$15,IF('제외 후보'!Y732&gt;=100,'선정 규칙'!$B$16,'선정 규칙'!$B$17))</x:f>
        <x:v>-12</x:v>
      </x:c>
      <x:c r="G732" s="11" t="n">
        <x:f>IF('제외 후보'!M732="있음",'선정 규칙'!$B$18,'선정 규칙'!$B$19)</x:f>
        <x:v>6</x:v>
      </x:c>
      <x:c r="H732" s="11" t="n">
        <x:f>IF(ISNUMBER(SEARCH("freq-core",'제외 후보'!AD732)),'선정 규칙'!$B$20,0)</x:f>
        <x:v>0</x:v>
      </x:c>
      <x:c r="I732" s="11" t="n">
        <x:f>IF(ISNUMBER(SEARCH("weak_legacy_content",'제외 후보'!P732)),'선정 규칙'!$B$21,0)</x:f>
        <x:v>5</x:v>
      </x:c>
      <x:c r="J732" s="11" t="n">
        <x:f>IF('제외 후보'!AC732&lt;&gt;"",'선정 규칙'!$B$22,0)</x:f>
        <x:v>0</x:v>
      </x:c>
      <x:c r="K732" s="11" t="n">
        <x:f>SUM(B732:J732)</x:f>
        <x:v>5</x:v>
      </x:c>
      <x:c r="L732" s="11" t="n">
        <x:f>'제외 후보'!N732</x:f>
        <x:v>5</x:v>
      </x:c>
      <x:c r="M732" s="2" t="str">
        <x:f>IF(K732=L732,"OK","MISMATCH")</x:f>
        <x:v>OK</x:v>
      </x:c>
    </x:row>
    <x:row r="733">
      <x:c r="A733" s="2" t="str">
        <x:f>'제외 후보'!G733</x:f>
        <x:v>w_e184a314b4e46fd5</x:v>
      </x:c>
      <x:c r="B733" s="11" t="n">
        <x:f>IF('제외 후보'!Q733&lt;&gt;"",'선정 규칙'!$B$4,0)</x:f>
        <x:v>0</x:v>
      </x:c>
      <x:c r="C733" s="11" t="n">
        <x:f>IF(ISNUMBER(SEARCH("jmdict_uncommon_or_irregular",'제외 후보'!P733)),'선정 규칙'!$B$5,IF(ISNUMBER(SEARCH("jmdict_rare_or_dated",'제외 후보'!P733)),'선정 규칙'!$B$6,0))</x:f>
        <x:v>0</x:v>
      </x:c>
      <x:c r="D733" s="11" t="n">
        <x:f>IF(ISNUMBER(SEARCH("jmdict_exact_pair_not_found",'제외 후보'!P733)),'선정 규칙'!$B$7,0)</x:f>
        <x:v>0</x:v>
      </x:c>
      <x:c r="E733" s="11" t="n">
        <x:f>IF(OR('제외 후보'!L733="",'제외 후보'!L733&lt;=0),'선정 규칙'!$B$8,IF('제외 후보'!L733&lt;=1.5,'선정 규칙'!$B$9,IF('제외 후보'!L733&lt;=2,'선정 규칙'!$B$10,IF('제외 후보'!L733&lt;=2.5,'선정 규칙'!$B$11,IF('제외 후보'!L733&lt;=3,'선정 규칙'!$B$12,IF('제외 후보'!L733&lt;=3.5,'선정 규칙'!$B$13,IF('제외 후보'!L733&gt;=4.5,'선정 규칙'!$B$14,0)))))))</x:f>
        <x:v>6</x:v>
      </x:c>
      <x:c r="F733" s="11" t="n">
        <x:f>IF('제외 후보'!Y733=0,'선정 규칙'!$B$15,IF('제외 후보'!Y733&gt;=100,'선정 규칙'!$B$16,'선정 규칙'!$B$17))</x:f>
        <x:v>-12</x:v>
      </x:c>
      <x:c r="G733" s="11" t="n">
        <x:f>IF('제외 후보'!M733="있음",'선정 규칙'!$B$18,'선정 규칙'!$B$19)</x:f>
        <x:v>6</x:v>
      </x:c>
      <x:c r="H733" s="11" t="n">
        <x:f>IF(ISNUMBER(SEARCH("freq-core",'제외 후보'!AD733)),'선정 규칙'!$B$20,0)</x:f>
        <x:v>0</x:v>
      </x:c>
      <x:c r="I733" s="11" t="n">
        <x:f>IF(ISNUMBER(SEARCH("weak_legacy_content",'제외 후보'!P733)),'선정 규칙'!$B$21,0)</x:f>
        <x:v>5</x:v>
      </x:c>
      <x:c r="J733" s="11" t="n">
        <x:f>IF('제외 후보'!AC733&lt;&gt;"",'선정 규칙'!$B$22,0)</x:f>
        <x:v>0</x:v>
      </x:c>
      <x:c r="K733" s="11" t="n">
        <x:f>SUM(B733:J733)</x:f>
        <x:v>5</x:v>
      </x:c>
      <x:c r="L733" s="11" t="n">
        <x:f>'제외 후보'!N733</x:f>
        <x:v>5</x:v>
      </x:c>
      <x:c r="M733" s="2" t="str">
        <x:f>IF(K733=L733,"OK","MISMATCH")</x:f>
        <x:v>OK</x:v>
      </x:c>
    </x:row>
    <x:row r="734">
      <x:c r="A734" s="2" t="str">
        <x:f>'제외 후보'!G734</x:f>
        <x:v>w_677f6b2f9c117b31</x:v>
      </x:c>
      <x:c r="B734" s="11" t="n">
        <x:f>IF('제외 후보'!Q734&lt;&gt;"",'선정 규칙'!$B$4,0)</x:f>
        <x:v>0</x:v>
      </x:c>
      <x:c r="C734" s="11" t="n">
        <x:f>IF(ISNUMBER(SEARCH("jmdict_uncommon_or_irregular",'제외 후보'!P734)),'선정 규칙'!$B$5,IF(ISNUMBER(SEARCH("jmdict_rare_or_dated",'제외 후보'!P734)),'선정 규칙'!$B$6,0))</x:f>
        <x:v>0</x:v>
      </x:c>
      <x:c r="D734" s="11" t="n">
        <x:f>IF(ISNUMBER(SEARCH("jmdict_exact_pair_not_found",'제외 후보'!P734)),'선정 규칙'!$B$7,0)</x:f>
        <x:v>0</x:v>
      </x:c>
      <x:c r="E734" s="11" t="n">
        <x:f>IF(OR('제외 후보'!L734="",'제외 후보'!L734&lt;=0),'선정 규칙'!$B$8,IF('제외 후보'!L734&lt;=1.5,'선정 규칙'!$B$9,IF('제외 후보'!L734&lt;=2,'선정 규칙'!$B$10,IF('제외 후보'!L734&lt;=2.5,'선정 규칙'!$B$11,IF('제외 후보'!L734&lt;=3,'선정 규칙'!$B$12,IF('제외 후보'!L734&lt;=3.5,'선정 규칙'!$B$13,IF('제외 후보'!L734&gt;=4.5,'선정 규칙'!$B$14,0)))))))</x:f>
        <x:v>6</x:v>
      </x:c>
      <x:c r="F734" s="11" t="n">
        <x:f>IF('제외 후보'!Y734=0,'선정 규칙'!$B$15,IF('제외 후보'!Y734&gt;=100,'선정 규칙'!$B$16,'선정 규칙'!$B$17))</x:f>
        <x:v>-12</x:v>
      </x:c>
      <x:c r="G734" s="11" t="n">
        <x:f>IF('제외 후보'!M734="있음",'선정 규칙'!$B$18,'선정 규칙'!$B$19)</x:f>
        <x:v>6</x:v>
      </x:c>
      <x:c r="H734" s="11" t="n">
        <x:f>IF(ISNUMBER(SEARCH("freq-core",'제외 후보'!AD734)),'선정 규칙'!$B$20,0)</x:f>
        <x:v>0</x:v>
      </x:c>
      <x:c r="I734" s="11" t="n">
        <x:f>IF(ISNUMBER(SEARCH("weak_legacy_content",'제외 후보'!P734)),'선정 규칙'!$B$21,0)</x:f>
        <x:v>5</x:v>
      </x:c>
      <x:c r="J734" s="11" t="n">
        <x:f>IF('제외 후보'!AC734&lt;&gt;"",'선정 규칙'!$B$22,0)</x:f>
        <x:v>0</x:v>
      </x:c>
      <x:c r="K734" s="11" t="n">
        <x:f>SUM(B734:J734)</x:f>
        <x:v>5</x:v>
      </x:c>
      <x:c r="L734" s="11" t="n">
        <x:f>'제외 후보'!N734</x:f>
        <x:v>5</x:v>
      </x:c>
      <x:c r="M734" s="2" t="str">
        <x:f>IF(K734=L734,"OK","MISMATCH")</x:f>
        <x:v>OK</x:v>
      </x:c>
    </x:row>
    <x:row r="735">
      <x:c r="A735" s="2" t="str">
        <x:f>'제외 후보'!G735</x:f>
        <x:v>w_dd001d345d49bd00</x:v>
      </x:c>
      <x:c r="B735" s="11" t="n">
        <x:f>IF('제외 후보'!Q735&lt;&gt;"",'선정 규칙'!$B$4,0)</x:f>
        <x:v>0</x:v>
      </x:c>
      <x:c r="C735" s="11" t="n">
        <x:f>IF(ISNUMBER(SEARCH("jmdict_uncommon_or_irregular",'제외 후보'!P735)),'선정 규칙'!$B$5,IF(ISNUMBER(SEARCH("jmdict_rare_or_dated",'제외 후보'!P735)),'선정 규칙'!$B$6,0))</x:f>
        <x:v>0</x:v>
      </x:c>
      <x:c r="D735" s="11" t="n">
        <x:f>IF(ISNUMBER(SEARCH("jmdict_exact_pair_not_found",'제외 후보'!P735)),'선정 규칙'!$B$7,0)</x:f>
        <x:v>0</x:v>
      </x:c>
      <x:c r="E735" s="11" t="n">
        <x:f>IF(OR('제외 후보'!L735="",'제외 후보'!L735&lt;=0),'선정 규칙'!$B$8,IF('제외 후보'!L735&lt;=1.5,'선정 규칙'!$B$9,IF('제외 후보'!L735&lt;=2,'선정 규칙'!$B$10,IF('제외 후보'!L735&lt;=2.5,'선정 규칙'!$B$11,IF('제외 후보'!L735&lt;=3,'선정 규칙'!$B$12,IF('제외 후보'!L735&lt;=3.5,'선정 규칙'!$B$13,IF('제외 후보'!L735&gt;=4.5,'선정 규칙'!$B$14,0)))))))</x:f>
        <x:v>6</x:v>
      </x:c>
      <x:c r="F735" s="11" t="n">
        <x:f>IF('제외 후보'!Y735=0,'선정 규칙'!$B$15,IF('제외 후보'!Y735&gt;=100,'선정 규칙'!$B$16,'선정 규칙'!$B$17))</x:f>
        <x:v>-12</x:v>
      </x:c>
      <x:c r="G735" s="11" t="n">
        <x:f>IF('제외 후보'!M735="있음",'선정 규칙'!$B$18,'선정 규칙'!$B$19)</x:f>
        <x:v>6</x:v>
      </x:c>
      <x:c r="H735" s="11" t="n">
        <x:f>IF(ISNUMBER(SEARCH("freq-core",'제외 후보'!AD735)),'선정 규칙'!$B$20,0)</x:f>
        <x:v>0</x:v>
      </x:c>
      <x:c r="I735" s="11" t="n">
        <x:f>IF(ISNUMBER(SEARCH("weak_legacy_content",'제외 후보'!P735)),'선정 규칙'!$B$21,0)</x:f>
        <x:v>5</x:v>
      </x:c>
      <x:c r="J735" s="11" t="n">
        <x:f>IF('제외 후보'!AC735&lt;&gt;"",'선정 규칙'!$B$22,0)</x:f>
        <x:v>0</x:v>
      </x:c>
      <x:c r="K735" s="11" t="n">
        <x:f>SUM(B735:J735)</x:f>
        <x:v>5</x:v>
      </x:c>
      <x:c r="L735" s="11" t="n">
        <x:f>'제외 후보'!N735</x:f>
        <x:v>5</x:v>
      </x:c>
      <x:c r="M735" s="2" t="str">
        <x:f>IF(K735=L735,"OK","MISMATCH")</x:f>
        <x:v>OK</x:v>
      </x:c>
    </x:row>
    <x:row r="736">
      <x:c r="A736" s="2" t="str">
        <x:f>'제외 후보'!G736</x:f>
        <x:v>w_02dfbe8eece8d0fd</x:v>
      </x:c>
      <x:c r="B736" s="11" t="n">
        <x:f>IF('제외 후보'!Q736&lt;&gt;"",'선정 규칙'!$B$4,0)</x:f>
        <x:v>0</x:v>
      </x:c>
      <x:c r="C736" s="11" t="n">
        <x:f>IF(ISNUMBER(SEARCH("jmdict_uncommon_or_irregular",'제외 후보'!P736)),'선정 규칙'!$B$5,IF(ISNUMBER(SEARCH("jmdict_rare_or_dated",'제외 후보'!P736)),'선정 규칙'!$B$6,0))</x:f>
        <x:v>0</x:v>
      </x:c>
      <x:c r="D736" s="11" t="n">
        <x:f>IF(ISNUMBER(SEARCH("jmdict_exact_pair_not_found",'제외 후보'!P736)),'선정 규칙'!$B$7,0)</x:f>
        <x:v>0</x:v>
      </x:c>
      <x:c r="E736" s="11" t="n">
        <x:f>IF(OR('제외 후보'!L736="",'제외 후보'!L736&lt;=0),'선정 규칙'!$B$8,IF('제외 후보'!L736&lt;=1.5,'선정 규칙'!$B$9,IF('제외 후보'!L736&lt;=2,'선정 규칙'!$B$10,IF('제외 후보'!L736&lt;=2.5,'선정 규칙'!$B$11,IF('제외 후보'!L736&lt;=3,'선정 규칙'!$B$12,IF('제외 후보'!L736&lt;=3.5,'선정 규칙'!$B$13,IF('제외 후보'!L736&gt;=4.5,'선정 규칙'!$B$14,0)))))))</x:f>
        <x:v>6</x:v>
      </x:c>
      <x:c r="F736" s="11" t="n">
        <x:f>IF('제외 후보'!Y736=0,'선정 규칙'!$B$15,IF('제외 후보'!Y736&gt;=100,'선정 규칙'!$B$16,'선정 규칙'!$B$17))</x:f>
        <x:v>-12</x:v>
      </x:c>
      <x:c r="G736" s="11" t="n">
        <x:f>IF('제외 후보'!M736="있음",'선정 규칙'!$B$18,'선정 규칙'!$B$19)</x:f>
        <x:v>6</x:v>
      </x:c>
      <x:c r="H736" s="11" t="n">
        <x:f>IF(ISNUMBER(SEARCH("freq-core",'제외 후보'!AD736)),'선정 규칙'!$B$20,0)</x:f>
        <x:v>0</x:v>
      </x:c>
      <x:c r="I736" s="11" t="n">
        <x:f>IF(ISNUMBER(SEARCH("weak_legacy_content",'제외 후보'!P736)),'선정 규칙'!$B$21,0)</x:f>
        <x:v>5</x:v>
      </x:c>
      <x:c r="J736" s="11" t="n">
        <x:f>IF('제외 후보'!AC736&lt;&gt;"",'선정 규칙'!$B$22,0)</x:f>
        <x:v>0</x:v>
      </x:c>
      <x:c r="K736" s="11" t="n">
        <x:f>SUM(B736:J736)</x:f>
        <x:v>5</x:v>
      </x:c>
      <x:c r="L736" s="11" t="n">
        <x:f>'제외 후보'!N736</x:f>
        <x:v>5</x:v>
      </x:c>
      <x:c r="M736" s="2" t="str">
        <x:f>IF(K736=L736,"OK","MISMATCH")</x:f>
        <x:v>OK</x:v>
      </x:c>
    </x:row>
    <x:row r="737">
      <x:c r="A737" s="2" t="str">
        <x:f>'제외 후보'!G737</x:f>
        <x:v>w_b91c8af3d78e502d</x:v>
      </x:c>
      <x:c r="B737" s="11" t="n">
        <x:f>IF('제외 후보'!Q737&lt;&gt;"",'선정 규칙'!$B$4,0)</x:f>
        <x:v>0</x:v>
      </x:c>
      <x:c r="C737" s="11" t="n">
        <x:f>IF(ISNUMBER(SEARCH("jmdict_uncommon_or_irregular",'제외 후보'!P737)),'선정 규칙'!$B$5,IF(ISNUMBER(SEARCH("jmdict_rare_or_dated",'제외 후보'!P737)),'선정 규칙'!$B$6,0))</x:f>
        <x:v>0</x:v>
      </x:c>
      <x:c r="D737" s="11" t="n">
        <x:f>IF(ISNUMBER(SEARCH("jmdict_exact_pair_not_found",'제외 후보'!P737)),'선정 규칙'!$B$7,0)</x:f>
        <x:v>0</x:v>
      </x:c>
      <x:c r="E737" s="11" t="n">
        <x:f>IF(OR('제외 후보'!L737="",'제외 후보'!L737&lt;=0),'선정 규칙'!$B$8,IF('제외 후보'!L737&lt;=1.5,'선정 규칙'!$B$9,IF('제외 후보'!L737&lt;=2,'선정 규칙'!$B$10,IF('제외 후보'!L737&lt;=2.5,'선정 규칙'!$B$11,IF('제외 후보'!L737&lt;=3,'선정 규칙'!$B$12,IF('제외 후보'!L737&lt;=3.5,'선정 규칙'!$B$13,IF('제외 후보'!L737&gt;=4.5,'선정 규칙'!$B$14,0)))))))</x:f>
        <x:v>6</x:v>
      </x:c>
      <x:c r="F737" s="11" t="n">
        <x:f>IF('제외 후보'!Y737=0,'선정 규칙'!$B$15,IF('제외 후보'!Y737&gt;=100,'선정 규칙'!$B$16,'선정 규칙'!$B$17))</x:f>
        <x:v>-12</x:v>
      </x:c>
      <x:c r="G737" s="11" t="n">
        <x:f>IF('제외 후보'!M737="있음",'선정 규칙'!$B$18,'선정 규칙'!$B$19)</x:f>
        <x:v>6</x:v>
      </x:c>
      <x:c r="H737" s="11" t="n">
        <x:f>IF(ISNUMBER(SEARCH("freq-core",'제외 후보'!AD737)),'선정 규칙'!$B$20,0)</x:f>
        <x:v>0</x:v>
      </x:c>
      <x:c r="I737" s="11" t="n">
        <x:f>IF(ISNUMBER(SEARCH("weak_legacy_content",'제외 후보'!P737)),'선정 규칙'!$B$21,0)</x:f>
        <x:v>5</x:v>
      </x:c>
      <x:c r="J737" s="11" t="n">
        <x:f>IF('제외 후보'!AC737&lt;&gt;"",'선정 규칙'!$B$22,0)</x:f>
        <x:v>0</x:v>
      </x:c>
      <x:c r="K737" s="11" t="n">
        <x:f>SUM(B737:J737)</x:f>
        <x:v>5</x:v>
      </x:c>
      <x:c r="L737" s="11" t="n">
        <x:f>'제외 후보'!N737</x:f>
        <x:v>5</x:v>
      </x:c>
      <x:c r="M737" s="2" t="str">
        <x:f>IF(K737=L737,"OK","MISMATCH")</x:f>
        <x:v>OK</x:v>
      </x:c>
    </x:row>
    <x:row r="738">
      <x:c r="A738" s="2" t="str">
        <x:f>'제외 후보'!G738</x:f>
        <x:v>w_d3225d0f89f945b4</x:v>
      </x:c>
      <x:c r="B738" s="11" t="n">
        <x:f>IF('제외 후보'!Q738&lt;&gt;"",'선정 규칙'!$B$4,0)</x:f>
        <x:v>0</x:v>
      </x:c>
      <x:c r="C738" s="11" t="n">
        <x:f>IF(ISNUMBER(SEARCH("jmdict_uncommon_or_irregular",'제외 후보'!P738)),'선정 규칙'!$B$5,IF(ISNUMBER(SEARCH("jmdict_rare_or_dated",'제외 후보'!P738)),'선정 규칙'!$B$6,0))</x:f>
        <x:v>0</x:v>
      </x:c>
      <x:c r="D738" s="11" t="n">
        <x:f>IF(ISNUMBER(SEARCH("jmdict_exact_pair_not_found",'제외 후보'!P738)),'선정 규칙'!$B$7,0)</x:f>
        <x:v>0</x:v>
      </x:c>
      <x:c r="E738" s="11" t="n">
        <x:f>IF(OR('제외 후보'!L738="",'제외 후보'!L738&lt;=0),'선정 규칙'!$B$8,IF('제외 후보'!L738&lt;=1.5,'선정 규칙'!$B$9,IF('제외 후보'!L738&lt;=2,'선정 규칙'!$B$10,IF('제외 후보'!L738&lt;=2.5,'선정 규칙'!$B$11,IF('제외 후보'!L738&lt;=3,'선정 규칙'!$B$12,IF('제외 후보'!L738&lt;=3.5,'선정 규칙'!$B$13,IF('제외 후보'!L738&gt;=4.5,'선정 규칙'!$B$14,0)))))))</x:f>
        <x:v>6</x:v>
      </x:c>
      <x:c r="F738" s="11" t="n">
        <x:f>IF('제외 후보'!Y738=0,'선정 규칙'!$B$15,IF('제외 후보'!Y738&gt;=100,'선정 규칙'!$B$16,'선정 규칙'!$B$17))</x:f>
        <x:v>-12</x:v>
      </x:c>
      <x:c r="G738" s="11" t="n">
        <x:f>IF('제외 후보'!M738="있음",'선정 규칙'!$B$18,'선정 규칙'!$B$19)</x:f>
        <x:v>6</x:v>
      </x:c>
      <x:c r="H738" s="11" t="n">
        <x:f>IF(ISNUMBER(SEARCH("freq-core",'제외 후보'!AD738)),'선정 규칙'!$B$20,0)</x:f>
        <x:v>0</x:v>
      </x:c>
      <x:c r="I738" s="11" t="n">
        <x:f>IF(ISNUMBER(SEARCH("weak_legacy_content",'제외 후보'!P738)),'선정 규칙'!$B$21,0)</x:f>
        <x:v>5</x:v>
      </x:c>
      <x:c r="J738" s="11" t="n">
        <x:f>IF('제외 후보'!AC738&lt;&gt;"",'선정 규칙'!$B$22,0)</x:f>
        <x:v>0</x:v>
      </x:c>
      <x:c r="K738" s="11" t="n">
        <x:f>SUM(B738:J738)</x:f>
        <x:v>5</x:v>
      </x:c>
      <x:c r="L738" s="11" t="n">
        <x:f>'제외 후보'!N738</x:f>
        <x:v>5</x:v>
      </x:c>
      <x:c r="M738" s="2" t="str">
        <x:f>IF(K738=L738,"OK","MISMATCH")</x:f>
        <x:v>OK</x:v>
      </x:c>
    </x:row>
    <x:row r="739">
      <x:c r="A739" s="2" t="str">
        <x:f>'제외 후보'!G739</x:f>
        <x:v>w_07183669ce858f81</x:v>
      </x:c>
      <x:c r="B739" s="11" t="n">
        <x:f>IF('제외 후보'!Q739&lt;&gt;"",'선정 규칙'!$B$4,0)</x:f>
        <x:v>0</x:v>
      </x:c>
      <x:c r="C739" s="11" t="n">
        <x:f>IF(ISNUMBER(SEARCH("jmdict_uncommon_or_irregular",'제외 후보'!P739)),'선정 규칙'!$B$5,IF(ISNUMBER(SEARCH("jmdict_rare_or_dated",'제외 후보'!P739)),'선정 규칙'!$B$6,0))</x:f>
        <x:v>0</x:v>
      </x:c>
      <x:c r="D739" s="11" t="n">
        <x:f>IF(ISNUMBER(SEARCH("jmdict_exact_pair_not_found",'제외 후보'!P739)),'선정 규칙'!$B$7,0)</x:f>
        <x:v>0</x:v>
      </x:c>
      <x:c r="E739" s="11" t="n">
        <x:f>IF(OR('제외 후보'!L739="",'제외 후보'!L739&lt;=0),'선정 규칙'!$B$8,IF('제외 후보'!L739&lt;=1.5,'선정 규칙'!$B$9,IF('제외 후보'!L739&lt;=2,'선정 규칙'!$B$10,IF('제외 후보'!L739&lt;=2.5,'선정 규칙'!$B$11,IF('제외 후보'!L739&lt;=3,'선정 규칙'!$B$12,IF('제외 후보'!L739&lt;=3.5,'선정 규칙'!$B$13,IF('제외 후보'!L739&gt;=4.5,'선정 규칙'!$B$14,0)))))))</x:f>
        <x:v>6</x:v>
      </x:c>
      <x:c r="F739" s="11" t="n">
        <x:f>IF('제외 후보'!Y739=0,'선정 규칙'!$B$15,IF('제외 후보'!Y739&gt;=100,'선정 규칙'!$B$16,'선정 규칙'!$B$17))</x:f>
        <x:v>-12</x:v>
      </x:c>
      <x:c r="G739" s="11" t="n">
        <x:f>IF('제외 후보'!M739="있음",'선정 규칙'!$B$18,'선정 규칙'!$B$19)</x:f>
        <x:v>6</x:v>
      </x:c>
      <x:c r="H739" s="11" t="n">
        <x:f>IF(ISNUMBER(SEARCH("freq-core",'제외 후보'!AD739)),'선정 규칙'!$B$20,0)</x:f>
        <x:v>0</x:v>
      </x:c>
      <x:c r="I739" s="11" t="n">
        <x:f>IF(ISNUMBER(SEARCH("weak_legacy_content",'제외 후보'!P739)),'선정 규칙'!$B$21,0)</x:f>
        <x:v>5</x:v>
      </x:c>
      <x:c r="J739" s="11" t="n">
        <x:f>IF('제외 후보'!AC739&lt;&gt;"",'선정 규칙'!$B$22,0)</x:f>
        <x:v>0</x:v>
      </x:c>
      <x:c r="K739" s="11" t="n">
        <x:f>SUM(B739:J739)</x:f>
        <x:v>5</x:v>
      </x:c>
      <x:c r="L739" s="11" t="n">
        <x:f>'제외 후보'!N739</x:f>
        <x:v>5</x:v>
      </x:c>
      <x:c r="M739" s="2" t="str">
        <x:f>IF(K739=L739,"OK","MISMATCH")</x:f>
        <x:v>OK</x:v>
      </x:c>
    </x:row>
    <x:row r="740">
      <x:c r="A740" s="2" t="str">
        <x:f>'제외 후보'!G740</x:f>
        <x:v>w_a86c191519a1d223</x:v>
      </x:c>
      <x:c r="B740" s="11" t="n">
        <x:f>IF('제외 후보'!Q740&lt;&gt;"",'선정 규칙'!$B$4,0)</x:f>
        <x:v>0</x:v>
      </x:c>
      <x:c r="C740" s="11" t="n">
        <x:f>IF(ISNUMBER(SEARCH("jmdict_uncommon_or_irregular",'제외 후보'!P740)),'선정 규칙'!$B$5,IF(ISNUMBER(SEARCH("jmdict_rare_or_dated",'제외 후보'!P740)),'선정 규칙'!$B$6,0))</x:f>
        <x:v>0</x:v>
      </x:c>
      <x:c r="D740" s="11" t="n">
        <x:f>IF(ISNUMBER(SEARCH("jmdict_exact_pair_not_found",'제외 후보'!P740)),'선정 규칙'!$B$7,0)</x:f>
        <x:v>0</x:v>
      </x:c>
      <x:c r="E740" s="11" t="n">
        <x:f>IF(OR('제외 후보'!L740="",'제외 후보'!L740&lt;=0),'선정 규칙'!$B$8,IF('제외 후보'!L740&lt;=1.5,'선정 규칙'!$B$9,IF('제외 후보'!L740&lt;=2,'선정 규칙'!$B$10,IF('제외 후보'!L740&lt;=2.5,'선정 규칙'!$B$11,IF('제외 후보'!L740&lt;=3,'선정 규칙'!$B$12,IF('제외 후보'!L740&lt;=3.5,'선정 규칙'!$B$13,IF('제외 후보'!L740&gt;=4.5,'선정 규칙'!$B$14,0)))))))</x:f>
        <x:v>6</x:v>
      </x:c>
      <x:c r="F740" s="11" t="n">
        <x:f>IF('제외 후보'!Y740=0,'선정 규칙'!$B$15,IF('제외 후보'!Y740&gt;=100,'선정 규칙'!$B$16,'선정 규칙'!$B$17))</x:f>
        <x:v>-12</x:v>
      </x:c>
      <x:c r="G740" s="11" t="n">
        <x:f>IF('제외 후보'!M740="있음",'선정 규칙'!$B$18,'선정 규칙'!$B$19)</x:f>
        <x:v>6</x:v>
      </x:c>
      <x:c r="H740" s="11" t="n">
        <x:f>IF(ISNUMBER(SEARCH("freq-core",'제외 후보'!AD740)),'선정 규칙'!$B$20,0)</x:f>
        <x:v>0</x:v>
      </x:c>
      <x:c r="I740" s="11" t="n">
        <x:f>IF(ISNUMBER(SEARCH("weak_legacy_content",'제외 후보'!P740)),'선정 규칙'!$B$21,0)</x:f>
        <x:v>5</x:v>
      </x:c>
      <x:c r="J740" s="11" t="n">
        <x:f>IF('제외 후보'!AC740&lt;&gt;"",'선정 규칙'!$B$22,0)</x:f>
        <x:v>0</x:v>
      </x:c>
      <x:c r="K740" s="11" t="n">
        <x:f>SUM(B740:J740)</x:f>
        <x:v>5</x:v>
      </x:c>
      <x:c r="L740" s="11" t="n">
        <x:f>'제외 후보'!N740</x:f>
        <x:v>5</x:v>
      </x:c>
      <x:c r="M740" s="2" t="str">
        <x:f>IF(K740=L740,"OK","MISMATCH")</x:f>
        <x:v>OK</x:v>
      </x:c>
    </x:row>
    <x:row r="741">
      <x:c r="A741" s="2" t="str">
        <x:f>'제외 후보'!G741</x:f>
        <x:v>w_d060a6e4dbed8ad5</x:v>
      </x:c>
      <x:c r="B741" s="11" t="n">
        <x:f>IF('제외 후보'!Q741&lt;&gt;"",'선정 규칙'!$B$4,0)</x:f>
        <x:v>0</x:v>
      </x:c>
      <x:c r="C741" s="11" t="n">
        <x:f>IF(ISNUMBER(SEARCH("jmdict_uncommon_or_irregular",'제외 후보'!P741)),'선정 규칙'!$B$5,IF(ISNUMBER(SEARCH("jmdict_rare_or_dated",'제외 후보'!P741)),'선정 규칙'!$B$6,0))</x:f>
        <x:v>0</x:v>
      </x:c>
      <x:c r="D741" s="11" t="n">
        <x:f>IF(ISNUMBER(SEARCH("jmdict_exact_pair_not_found",'제외 후보'!P741)),'선정 규칙'!$B$7,0)</x:f>
        <x:v>0</x:v>
      </x:c>
      <x:c r="E741" s="11" t="n">
        <x:f>IF(OR('제외 후보'!L741="",'제외 후보'!L741&lt;=0),'선정 규칙'!$B$8,IF('제외 후보'!L741&lt;=1.5,'선정 규칙'!$B$9,IF('제외 후보'!L741&lt;=2,'선정 규칙'!$B$10,IF('제외 후보'!L741&lt;=2.5,'선정 규칙'!$B$11,IF('제외 후보'!L741&lt;=3,'선정 규칙'!$B$12,IF('제외 후보'!L741&lt;=3.5,'선정 규칙'!$B$13,IF('제외 후보'!L741&gt;=4.5,'선정 규칙'!$B$14,0)))))))</x:f>
        <x:v>6</x:v>
      </x:c>
      <x:c r="F741" s="11" t="n">
        <x:f>IF('제외 후보'!Y741=0,'선정 규칙'!$B$15,IF('제외 후보'!Y741&gt;=100,'선정 규칙'!$B$16,'선정 규칙'!$B$17))</x:f>
        <x:v>-12</x:v>
      </x:c>
      <x:c r="G741" s="11" t="n">
        <x:f>IF('제외 후보'!M741="있음",'선정 규칙'!$B$18,'선정 규칙'!$B$19)</x:f>
        <x:v>6</x:v>
      </x:c>
      <x:c r="H741" s="11" t="n">
        <x:f>IF(ISNUMBER(SEARCH("freq-core",'제외 후보'!AD741)),'선정 규칙'!$B$20,0)</x:f>
        <x:v>0</x:v>
      </x:c>
      <x:c r="I741" s="11" t="n">
        <x:f>IF(ISNUMBER(SEARCH("weak_legacy_content",'제외 후보'!P741)),'선정 규칙'!$B$21,0)</x:f>
        <x:v>5</x:v>
      </x:c>
      <x:c r="J741" s="11" t="n">
        <x:f>IF('제외 후보'!AC741&lt;&gt;"",'선정 규칙'!$B$22,0)</x:f>
        <x:v>0</x:v>
      </x:c>
      <x:c r="K741" s="11" t="n">
        <x:f>SUM(B741:J741)</x:f>
        <x:v>5</x:v>
      </x:c>
      <x:c r="L741" s="11" t="n">
        <x:f>'제외 후보'!N741</x:f>
        <x:v>5</x:v>
      </x:c>
      <x:c r="M741" s="2" t="str">
        <x:f>IF(K741=L741,"OK","MISMATCH")</x:f>
        <x:v>OK</x:v>
      </x:c>
    </x:row>
    <x:row r="742">
      <x:c r="A742" s="2" t="str">
        <x:f>'제외 후보'!G742</x:f>
        <x:v>w_5d541a4b700b811d</x:v>
      </x:c>
      <x:c r="B742" s="11" t="n">
        <x:f>IF('제외 후보'!Q742&lt;&gt;"",'선정 규칙'!$B$4,0)</x:f>
        <x:v>0</x:v>
      </x:c>
      <x:c r="C742" s="11" t="n">
        <x:f>IF(ISNUMBER(SEARCH("jmdict_uncommon_or_irregular",'제외 후보'!P742)),'선정 규칙'!$B$5,IF(ISNUMBER(SEARCH("jmdict_rare_or_dated",'제외 후보'!P742)),'선정 규칙'!$B$6,0))</x:f>
        <x:v>0</x:v>
      </x:c>
      <x:c r="D742" s="11" t="n">
        <x:f>IF(ISNUMBER(SEARCH("jmdict_exact_pair_not_found",'제외 후보'!P742)),'선정 규칙'!$B$7,0)</x:f>
        <x:v>0</x:v>
      </x:c>
      <x:c r="E742" s="11" t="n">
        <x:f>IF(OR('제외 후보'!L742="",'제외 후보'!L742&lt;=0),'선정 규칙'!$B$8,IF('제외 후보'!L742&lt;=1.5,'선정 규칙'!$B$9,IF('제외 후보'!L742&lt;=2,'선정 규칙'!$B$10,IF('제외 후보'!L742&lt;=2.5,'선정 규칙'!$B$11,IF('제외 후보'!L742&lt;=3,'선정 규칙'!$B$12,IF('제외 후보'!L742&lt;=3.5,'선정 규칙'!$B$13,IF('제외 후보'!L742&gt;=4.5,'선정 규칙'!$B$14,0)))))))</x:f>
        <x:v>6</x:v>
      </x:c>
      <x:c r="F742" s="11" t="n">
        <x:f>IF('제외 후보'!Y742=0,'선정 규칙'!$B$15,IF('제외 후보'!Y742&gt;=100,'선정 규칙'!$B$16,'선정 규칙'!$B$17))</x:f>
        <x:v>-12</x:v>
      </x:c>
      <x:c r="G742" s="11" t="n">
        <x:f>IF('제외 후보'!M742="있음",'선정 규칙'!$B$18,'선정 규칙'!$B$19)</x:f>
        <x:v>6</x:v>
      </x:c>
      <x:c r="H742" s="11" t="n">
        <x:f>IF(ISNUMBER(SEARCH("freq-core",'제외 후보'!AD742)),'선정 규칙'!$B$20,0)</x:f>
        <x:v>0</x:v>
      </x:c>
      <x:c r="I742" s="11" t="n">
        <x:f>IF(ISNUMBER(SEARCH("weak_legacy_content",'제외 후보'!P742)),'선정 규칙'!$B$21,0)</x:f>
        <x:v>5</x:v>
      </x:c>
      <x:c r="J742" s="11" t="n">
        <x:f>IF('제외 후보'!AC742&lt;&gt;"",'선정 규칙'!$B$22,0)</x:f>
        <x:v>0</x:v>
      </x:c>
      <x:c r="K742" s="11" t="n">
        <x:f>SUM(B742:J742)</x:f>
        <x:v>5</x:v>
      </x:c>
      <x:c r="L742" s="11" t="n">
        <x:f>'제외 후보'!N742</x:f>
        <x:v>5</x:v>
      </x:c>
      <x:c r="M742" s="2" t="str">
        <x:f>IF(K742=L742,"OK","MISMATCH")</x:f>
        <x:v>OK</x:v>
      </x:c>
    </x:row>
    <x:row r="743">
      <x:c r="A743" s="2" t="str">
        <x:f>'제외 후보'!G743</x:f>
        <x:v>w_931fdf57163ecd84</x:v>
      </x:c>
      <x:c r="B743" s="11" t="n">
        <x:f>IF('제외 후보'!Q743&lt;&gt;"",'선정 규칙'!$B$4,0)</x:f>
        <x:v>0</x:v>
      </x:c>
      <x:c r="C743" s="11" t="n">
        <x:f>IF(ISNUMBER(SEARCH("jmdict_uncommon_or_irregular",'제외 후보'!P743)),'선정 규칙'!$B$5,IF(ISNUMBER(SEARCH("jmdict_rare_or_dated",'제외 후보'!P743)),'선정 규칙'!$B$6,0))</x:f>
        <x:v>0</x:v>
      </x:c>
      <x:c r="D743" s="11" t="n">
        <x:f>IF(ISNUMBER(SEARCH("jmdict_exact_pair_not_found",'제외 후보'!P743)),'선정 규칙'!$B$7,0)</x:f>
        <x:v>0</x:v>
      </x:c>
      <x:c r="E743" s="11" t="n">
        <x:f>IF(OR('제외 후보'!L743="",'제외 후보'!L743&lt;=0),'선정 규칙'!$B$8,IF('제외 후보'!L743&lt;=1.5,'선정 규칙'!$B$9,IF('제외 후보'!L743&lt;=2,'선정 규칙'!$B$10,IF('제외 후보'!L743&lt;=2.5,'선정 규칙'!$B$11,IF('제외 후보'!L743&lt;=3,'선정 규칙'!$B$12,IF('제외 후보'!L743&lt;=3.5,'선정 규칙'!$B$13,IF('제외 후보'!L743&gt;=4.5,'선정 규칙'!$B$14,0)))))))</x:f>
        <x:v>6</x:v>
      </x:c>
      <x:c r="F743" s="11" t="n">
        <x:f>IF('제외 후보'!Y743=0,'선정 규칙'!$B$15,IF('제외 후보'!Y743&gt;=100,'선정 규칙'!$B$16,'선정 규칙'!$B$17))</x:f>
        <x:v>-12</x:v>
      </x:c>
      <x:c r="G743" s="11" t="n">
        <x:f>IF('제외 후보'!M743="있음",'선정 규칙'!$B$18,'선정 규칙'!$B$19)</x:f>
        <x:v>6</x:v>
      </x:c>
      <x:c r="H743" s="11" t="n">
        <x:f>IF(ISNUMBER(SEARCH("freq-core",'제외 후보'!AD743)),'선정 규칙'!$B$20,0)</x:f>
        <x:v>0</x:v>
      </x:c>
      <x:c r="I743" s="11" t="n">
        <x:f>IF(ISNUMBER(SEARCH("weak_legacy_content",'제외 후보'!P743)),'선정 규칙'!$B$21,0)</x:f>
        <x:v>5</x:v>
      </x:c>
      <x:c r="J743" s="11" t="n">
        <x:f>IF('제외 후보'!AC743&lt;&gt;"",'선정 규칙'!$B$22,0)</x:f>
        <x:v>0</x:v>
      </x:c>
      <x:c r="K743" s="11" t="n">
        <x:f>SUM(B743:J743)</x:f>
        <x:v>5</x:v>
      </x:c>
      <x:c r="L743" s="11" t="n">
        <x:f>'제외 후보'!N743</x:f>
        <x:v>5</x:v>
      </x:c>
      <x:c r="M743" s="2" t="str">
        <x:f>IF(K743=L743,"OK","MISMATCH")</x:f>
        <x:v>OK</x:v>
      </x:c>
    </x:row>
    <x:row r="744">
      <x:c r="A744" s="2" t="str">
        <x:f>'제외 후보'!G744</x:f>
        <x:v>w_845ddd24252f0cf9</x:v>
      </x:c>
      <x:c r="B744" s="11" t="n">
        <x:f>IF('제외 후보'!Q744&lt;&gt;"",'선정 규칙'!$B$4,0)</x:f>
        <x:v>0</x:v>
      </x:c>
      <x:c r="C744" s="11" t="n">
        <x:f>IF(ISNUMBER(SEARCH("jmdict_uncommon_or_irregular",'제외 후보'!P744)),'선정 규칙'!$B$5,IF(ISNUMBER(SEARCH("jmdict_rare_or_dated",'제외 후보'!P744)),'선정 규칙'!$B$6,0))</x:f>
        <x:v>0</x:v>
      </x:c>
      <x:c r="D744" s="11" t="n">
        <x:f>IF(ISNUMBER(SEARCH("jmdict_exact_pair_not_found",'제외 후보'!P744)),'선정 규칙'!$B$7,0)</x:f>
        <x:v>0</x:v>
      </x:c>
      <x:c r="E744" s="11" t="n">
        <x:f>IF(OR('제외 후보'!L744="",'제외 후보'!L744&lt;=0),'선정 규칙'!$B$8,IF('제외 후보'!L744&lt;=1.5,'선정 규칙'!$B$9,IF('제외 후보'!L744&lt;=2,'선정 규칙'!$B$10,IF('제외 후보'!L744&lt;=2.5,'선정 규칙'!$B$11,IF('제외 후보'!L744&lt;=3,'선정 규칙'!$B$12,IF('제외 후보'!L744&lt;=3.5,'선정 규칙'!$B$13,IF('제외 후보'!L744&gt;=4.5,'선정 규칙'!$B$14,0)))))))</x:f>
        <x:v>6</x:v>
      </x:c>
      <x:c r="F744" s="11" t="n">
        <x:f>IF('제외 후보'!Y744=0,'선정 규칙'!$B$15,IF('제외 후보'!Y744&gt;=100,'선정 규칙'!$B$16,'선정 규칙'!$B$17))</x:f>
        <x:v>-12</x:v>
      </x:c>
      <x:c r="G744" s="11" t="n">
        <x:f>IF('제외 후보'!M744="있음",'선정 규칙'!$B$18,'선정 규칙'!$B$19)</x:f>
        <x:v>6</x:v>
      </x:c>
      <x:c r="H744" s="11" t="n">
        <x:f>IF(ISNUMBER(SEARCH("freq-core",'제외 후보'!AD744)),'선정 규칙'!$B$20,0)</x:f>
        <x:v>0</x:v>
      </x:c>
      <x:c r="I744" s="11" t="n">
        <x:f>IF(ISNUMBER(SEARCH("weak_legacy_content",'제외 후보'!P744)),'선정 규칙'!$B$21,0)</x:f>
        <x:v>5</x:v>
      </x:c>
      <x:c r="J744" s="11" t="n">
        <x:f>IF('제외 후보'!AC744&lt;&gt;"",'선정 규칙'!$B$22,0)</x:f>
        <x:v>0</x:v>
      </x:c>
      <x:c r="K744" s="11" t="n">
        <x:f>SUM(B744:J744)</x:f>
        <x:v>5</x:v>
      </x:c>
      <x:c r="L744" s="11" t="n">
        <x:f>'제외 후보'!N744</x:f>
        <x:v>5</x:v>
      </x:c>
      <x:c r="M744" s="2" t="str">
        <x:f>IF(K744=L744,"OK","MISMATCH")</x:f>
        <x:v>OK</x:v>
      </x:c>
    </x:row>
    <x:row r="745">
      <x:c r="A745" s="2" t="str">
        <x:f>'제외 후보'!G745</x:f>
        <x:v>w_fb6e50e1bc66f099</x:v>
      </x:c>
      <x:c r="B745" s="11" t="n">
        <x:f>IF('제외 후보'!Q745&lt;&gt;"",'선정 규칙'!$B$4,0)</x:f>
        <x:v>0</x:v>
      </x:c>
      <x:c r="C745" s="11" t="n">
        <x:f>IF(ISNUMBER(SEARCH("jmdict_uncommon_or_irregular",'제외 후보'!P745)),'선정 규칙'!$B$5,IF(ISNUMBER(SEARCH("jmdict_rare_or_dated",'제외 후보'!P745)),'선정 규칙'!$B$6,0))</x:f>
        <x:v>0</x:v>
      </x:c>
      <x:c r="D745" s="11" t="n">
        <x:f>IF(ISNUMBER(SEARCH("jmdict_exact_pair_not_found",'제외 후보'!P745)),'선정 규칙'!$B$7,0)</x:f>
        <x:v>0</x:v>
      </x:c>
      <x:c r="E745" s="11" t="n">
        <x:f>IF(OR('제외 후보'!L745="",'제외 후보'!L745&lt;=0),'선정 규칙'!$B$8,IF('제외 후보'!L745&lt;=1.5,'선정 규칙'!$B$9,IF('제외 후보'!L745&lt;=2,'선정 규칙'!$B$10,IF('제외 후보'!L745&lt;=2.5,'선정 규칙'!$B$11,IF('제외 후보'!L745&lt;=3,'선정 규칙'!$B$12,IF('제외 후보'!L745&lt;=3.5,'선정 규칙'!$B$13,IF('제외 후보'!L745&gt;=4.5,'선정 규칙'!$B$14,0)))))))</x:f>
        <x:v>6</x:v>
      </x:c>
      <x:c r="F745" s="11" t="n">
        <x:f>IF('제외 후보'!Y745=0,'선정 규칙'!$B$15,IF('제외 후보'!Y745&gt;=100,'선정 규칙'!$B$16,'선정 규칙'!$B$17))</x:f>
        <x:v>-12</x:v>
      </x:c>
      <x:c r="G745" s="11" t="n">
        <x:f>IF('제외 후보'!M745="있음",'선정 규칙'!$B$18,'선정 규칙'!$B$19)</x:f>
        <x:v>6</x:v>
      </x:c>
      <x:c r="H745" s="11" t="n">
        <x:f>IF(ISNUMBER(SEARCH("freq-core",'제외 후보'!AD745)),'선정 규칙'!$B$20,0)</x:f>
        <x:v>0</x:v>
      </x:c>
      <x:c r="I745" s="11" t="n">
        <x:f>IF(ISNUMBER(SEARCH("weak_legacy_content",'제외 후보'!P745)),'선정 규칙'!$B$21,0)</x:f>
        <x:v>5</x:v>
      </x:c>
      <x:c r="J745" s="11" t="n">
        <x:f>IF('제외 후보'!AC745&lt;&gt;"",'선정 규칙'!$B$22,0)</x:f>
        <x:v>0</x:v>
      </x:c>
      <x:c r="K745" s="11" t="n">
        <x:f>SUM(B745:J745)</x:f>
        <x:v>5</x:v>
      </x:c>
      <x:c r="L745" s="11" t="n">
        <x:f>'제외 후보'!N745</x:f>
        <x:v>5</x:v>
      </x:c>
      <x:c r="M745" s="2" t="str">
        <x:f>IF(K745=L745,"OK","MISMATCH")</x:f>
        <x:v>OK</x:v>
      </x:c>
    </x:row>
    <x:row r="746">
      <x:c r="A746" s="2" t="str">
        <x:f>'제외 후보'!G746</x:f>
        <x:v>w_5606783d7f22cc07</x:v>
      </x:c>
      <x:c r="B746" s="11" t="n">
        <x:f>IF('제외 후보'!Q746&lt;&gt;"",'선정 규칙'!$B$4,0)</x:f>
        <x:v>0</x:v>
      </x:c>
      <x:c r="C746" s="11" t="n">
        <x:f>IF(ISNUMBER(SEARCH("jmdict_uncommon_or_irregular",'제외 후보'!P746)),'선정 규칙'!$B$5,IF(ISNUMBER(SEARCH("jmdict_rare_or_dated",'제외 후보'!P746)),'선정 규칙'!$B$6,0))</x:f>
        <x:v>0</x:v>
      </x:c>
      <x:c r="D746" s="11" t="n">
        <x:f>IF(ISNUMBER(SEARCH("jmdict_exact_pair_not_found",'제외 후보'!P746)),'선정 규칙'!$B$7,0)</x:f>
        <x:v>0</x:v>
      </x:c>
      <x:c r="E746" s="11" t="n">
        <x:f>IF(OR('제외 후보'!L746="",'제외 후보'!L746&lt;=0),'선정 규칙'!$B$8,IF('제외 후보'!L746&lt;=1.5,'선정 규칙'!$B$9,IF('제외 후보'!L746&lt;=2,'선정 규칙'!$B$10,IF('제외 후보'!L746&lt;=2.5,'선정 규칙'!$B$11,IF('제외 후보'!L746&lt;=3,'선정 규칙'!$B$12,IF('제외 후보'!L746&lt;=3.5,'선정 규칙'!$B$13,IF('제외 후보'!L746&gt;=4.5,'선정 규칙'!$B$14,0)))))))</x:f>
        <x:v>6</x:v>
      </x:c>
      <x:c r="F746" s="11" t="n">
        <x:f>IF('제외 후보'!Y746=0,'선정 규칙'!$B$15,IF('제외 후보'!Y746&gt;=100,'선정 규칙'!$B$16,'선정 규칙'!$B$17))</x:f>
        <x:v>-12</x:v>
      </x:c>
      <x:c r="G746" s="11" t="n">
        <x:f>IF('제외 후보'!M746="있음",'선정 규칙'!$B$18,'선정 규칙'!$B$19)</x:f>
        <x:v>6</x:v>
      </x:c>
      <x:c r="H746" s="11" t="n">
        <x:f>IF(ISNUMBER(SEARCH("freq-core",'제외 후보'!AD746)),'선정 규칙'!$B$20,0)</x:f>
        <x:v>0</x:v>
      </x:c>
      <x:c r="I746" s="11" t="n">
        <x:f>IF(ISNUMBER(SEARCH("weak_legacy_content",'제외 후보'!P746)),'선정 규칙'!$B$21,0)</x:f>
        <x:v>5</x:v>
      </x:c>
      <x:c r="J746" s="11" t="n">
        <x:f>IF('제외 후보'!AC746&lt;&gt;"",'선정 규칙'!$B$22,0)</x:f>
        <x:v>0</x:v>
      </x:c>
      <x:c r="K746" s="11" t="n">
        <x:f>SUM(B746:J746)</x:f>
        <x:v>5</x:v>
      </x:c>
      <x:c r="L746" s="11" t="n">
        <x:f>'제외 후보'!N746</x:f>
        <x:v>5</x:v>
      </x:c>
      <x:c r="M746" s="2" t="str">
        <x:f>IF(K746=L746,"OK","MISMATCH")</x:f>
        <x:v>OK</x:v>
      </x:c>
    </x:row>
    <x:row r="747">
      <x:c r="A747" s="2" t="str">
        <x:f>'제외 후보'!G747</x:f>
        <x:v>w_9ba5cbd4b3f88eaf</x:v>
      </x:c>
      <x:c r="B747" s="11" t="n">
        <x:f>IF('제외 후보'!Q747&lt;&gt;"",'선정 규칙'!$B$4,0)</x:f>
        <x:v>0</x:v>
      </x:c>
      <x:c r="C747" s="11" t="n">
        <x:f>IF(ISNUMBER(SEARCH("jmdict_uncommon_or_irregular",'제외 후보'!P747)),'선정 규칙'!$B$5,IF(ISNUMBER(SEARCH("jmdict_rare_or_dated",'제외 후보'!P747)),'선정 규칙'!$B$6,0))</x:f>
        <x:v>0</x:v>
      </x:c>
      <x:c r="D747" s="11" t="n">
        <x:f>IF(ISNUMBER(SEARCH("jmdict_exact_pair_not_found",'제외 후보'!P747)),'선정 규칙'!$B$7,0)</x:f>
        <x:v>0</x:v>
      </x:c>
      <x:c r="E747" s="11" t="n">
        <x:f>IF(OR('제외 후보'!L747="",'제외 후보'!L747&lt;=0),'선정 규칙'!$B$8,IF('제외 후보'!L747&lt;=1.5,'선정 규칙'!$B$9,IF('제외 후보'!L747&lt;=2,'선정 규칙'!$B$10,IF('제외 후보'!L747&lt;=2.5,'선정 규칙'!$B$11,IF('제외 후보'!L747&lt;=3,'선정 규칙'!$B$12,IF('제외 후보'!L747&lt;=3.5,'선정 규칙'!$B$13,IF('제외 후보'!L747&gt;=4.5,'선정 규칙'!$B$14,0)))))))</x:f>
        <x:v>6</x:v>
      </x:c>
      <x:c r="F747" s="11" t="n">
        <x:f>IF('제외 후보'!Y747=0,'선정 규칙'!$B$15,IF('제외 후보'!Y747&gt;=100,'선정 규칙'!$B$16,'선정 규칙'!$B$17))</x:f>
        <x:v>-12</x:v>
      </x:c>
      <x:c r="G747" s="11" t="n">
        <x:f>IF('제외 후보'!M747="있음",'선정 규칙'!$B$18,'선정 규칙'!$B$19)</x:f>
        <x:v>6</x:v>
      </x:c>
      <x:c r="H747" s="11" t="n">
        <x:f>IF(ISNUMBER(SEARCH("freq-core",'제외 후보'!AD747)),'선정 규칙'!$B$20,0)</x:f>
        <x:v>0</x:v>
      </x:c>
      <x:c r="I747" s="11" t="n">
        <x:f>IF(ISNUMBER(SEARCH("weak_legacy_content",'제외 후보'!P747)),'선정 규칙'!$B$21,0)</x:f>
        <x:v>5</x:v>
      </x:c>
      <x:c r="J747" s="11" t="n">
        <x:f>IF('제외 후보'!AC747&lt;&gt;"",'선정 규칙'!$B$22,0)</x:f>
        <x:v>0</x:v>
      </x:c>
      <x:c r="K747" s="11" t="n">
        <x:f>SUM(B747:J747)</x:f>
        <x:v>5</x:v>
      </x:c>
      <x:c r="L747" s="11" t="n">
        <x:f>'제외 후보'!N747</x:f>
        <x:v>5</x:v>
      </x:c>
      <x:c r="M747" s="2" t="str">
        <x:f>IF(K747=L747,"OK","MISMATCH")</x:f>
        <x:v>OK</x:v>
      </x:c>
    </x:row>
    <x:row r="748">
      <x:c r="A748" s="2" t="str">
        <x:f>'제외 후보'!G748</x:f>
        <x:v>w_6d62fb914342d125</x:v>
      </x:c>
      <x:c r="B748" s="11" t="n">
        <x:f>IF('제외 후보'!Q748&lt;&gt;"",'선정 규칙'!$B$4,0)</x:f>
        <x:v>0</x:v>
      </x:c>
      <x:c r="C748" s="11" t="n">
        <x:f>IF(ISNUMBER(SEARCH("jmdict_uncommon_or_irregular",'제외 후보'!P748)),'선정 규칙'!$B$5,IF(ISNUMBER(SEARCH("jmdict_rare_or_dated",'제외 후보'!P748)),'선정 규칙'!$B$6,0))</x:f>
        <x:v>50</x:v>
      </x:c>
      <x:c r="D748" s="11" t="n">
        <x:f>IF(ISNUMBER(SEARCH("jmdict_exact_pair_not_found",'제외 후보'!P748)),'선정 규칙'!$B$7,0)</x:f>
        <x:v>0</x:v>
      </x:c>
      <x:c r="E748" s="11" t="n">
        <x:f>IF(OR('제외 후보'!L748="",'제외 후보'!L748&lt;=0),'선정 규칙'!$B$8,IF('제외 후보'!L748&lt;=1.5,'선정 규칙'!$B$9,IF('제외 후보'!L748&lt;=2,'선정 규칙'!$B$10,IF('제외 후보'!L748&lt;=2.5,'선정 규칙'!$B$11,IF('제외 후보'!L748&lt;=3,'선정 규칙'!$B$12,IF('제외 후보'!L748&lt;=3.5,'선정 규칙'!$B$13,IF('제외 후보'!L748&gt;=4.5,'선정 규칙'!$B$14,0)))))))</x:f>
        <x:v>0</x:v>
      </x:c>
      <x:c r="F748" s="11" t="n">
        <x:f>IF('제외 후보'!Y748=0,'선정 규칙'!$B$15,IF('제외 후보'!Y748&gt;=100,'선정 규칙'!$B$16,'선정 규칙'!$B$17))</x:f>
        <x:v>-25</x:v>
      </x:c>
      <x:c r="G748" s="11" t="n">
        <x:f>IF('제외 후보'!M748="있음",'선정 규칙'!$B$18,'선정 규칙'!$B$19)</x:f>
        <x:v>-25</x:v>
      </x:c>
      <x:c r="H748" s="11" t="n">
        <x:f>IF(ISNUMBER(SEARCH("freq-core",'제외 후보'!AD748)),'선정 규칙'!$B$20,0)</x:f>
        <x:v>0</x:v>
      </x:c>
      <x:c r="I748" s="11" t="n">
        <x:f>IF(ISNUMBER(SEARCH("weak_legacy_content",'제외 후보'!P748)),'선정 규칙'!$B$21,0)</x:f>
        <x:v>5</x:v>
      </x:c>
      <x:c r="J748" s="11" t="n">
        <x:f>IF('제외 후보'!AC748&lt;&gt;"",'선정 규칙'!$B$22,0)</x:f>
        <x:v>0</x:v>
      </x:c>
      <x:c r="K748" s="11" t="n">
        <x:f>SUM(B748:J748)</x:f>
        <x:v>5</x:v>
      </x:c>
      <x:c r="L748" s="11" t="n">
        <x:f>'제외 후보'!N748</x:f>
        <x:v>5</x:v>
      </x:c>
      <x:c r="M748" s="2" t="str">
        <x:f>IF(K748=L748,"OK","MISMATCH")</x:f>
        <x:v>OK</x:v>
      </x:c>
    </x:row>
    <x:row r="749">
      <x:c r="A749" s="2" t="str">
        <x:f>'제외 후보'!G749</x:f>
        <x:v>w_808bf4bf0edd9943</x:v>
      </x:c>
      <x:c r="B749" s="11" t="n">
        <x:f>IF('제외 후보'!Q749&lt;&gt;"",'선정 규칙'!$B$4,0)</x:f>
        <x:v>0</x:v>
      </x:c>
      <x:c r="C749" s="11" t="n">
        <x:f>IF(ISNUMBER(SEARCH("jmdict_uncommon_or_irregular",'제외 후보'!P749)),'선정 규칙'!$B$5,IF(ISNUMBER(SEARCH("jmdict_rare_or_dated",'제외 후보'!P749)),'선정 규칙'!$B$6,0))</x:f>
        <x:v>0</x:v>
      </x:c>
      <x:c r="D749" s="11" t="n">
        <x:f>IF(ISNUMBER(SEARCH("jmdict_exact_pair_not_found",'제외 후보'!P749)),'선정 규칙'!$B$7,0)</x:f>
        <x:v>0</x:v>
      </x:c>
      <x:c r="E749" s="11" t="n">
        <x:f>IF(OR('제외 후보'!L749="",'제외 후보'!L749&lt;=0),'선정 규칙'!$B$8,IF('제외 후보'!L749&lt;=1.5,'선정 규칙'!$B$9,IF('제외 후보'!L749&lt;=2,'선정 규칙'!$B$10,IF('제외 후보'!L749&lt;=2.5,'선정 규칙'!$B$11,IF('제외 후보'!L749&lt;=3,'선정 규칙'!$B$12,IF('제외 후보'!L749&lt;=3.5,'선정 규칙'!$B$13,IF('제외 후보'!L749&gt;=4.5,'선정 규칙'!$B$14,0)))))))</x:f>
        <x:v>12</x:v>
      </x:c>
      <x:c r="F749" s="11" t="n">
        <x:f>IF('제외 후보'!Y749=0,'선정 규칙'!$B$15,IF('제외 후보'!Y749&gt;=100,'선정 규칙'!$B$16,'선정 규칙'!$B$17))</x:f>
        <x:v>12</x:v>
      </x:c>
      <x:c r="G749" s="11" t="n">
        <x:f>IF('제외 후보'!M749="있음",'선정 규칙'!$B$18,'선정 규칙'!$B$19)</x:f>
        <x:v>-25</x:v>
      </x:c>
      <x:c r="H749" s="11" t="n">
        <x:f>IF(ISNUMBER(SEARCH("freq-core",'제외 후보'!AD749)),'선정 규칙'!$B$20,0)</x:f>
        <x:v>0</x:v>
      </x:c>
      <x:c r="I749" s="11" t="n">
        <x:f>IF(ISNUMBER(SEARCH("weak_legacy_content",'제외 후보'!P749)),'선정 규칙'!$B$21,0)</x:f>
        <x:v>5</x:v>
      </x:c>
      <x:c r="J749" s="11" t="n">
        <x:f>IF('제외 후보'!AC749&lt;&gt;"",'선정 규칙'!$B$22,0)</x:f>
        <x:v>0</x:v>
      </x:c>
      <x:c r="K749" s="11" t="n">
        <x:f>SUM(B749:J749)</x:f>
        <x:v>4</x:v>
      </x:c>
      <x:c r="L749" s="11" t="n">
        <x:f>'제외 후보'!N749</x:f>
        <x:v>4</x:v>
      </x:c>
      <x:c r="M749" s="2" t="str">
        <x:f>IF(K749=L749,"OK","MISMATCH")</x:f>
        <x:v>OK</x:v>
      </x:c>
    </x:row>
    <x:row r="750">
      <x:c r="A750" s="2" t="str">
        <x:f>'제외 후보'!G750</x:f>
        <x:v>w_dccafa7233121f28</x:v>
      </x:c>
      <x:c r="B750" s="11" t="n">
        <x:f>IF('제외 후보'!Q750&lt;&gt;"",'선정 규칙'!$B$4,0)</x:f>
        <x:v>0</x:v>
      </x:c>
      <x:c r="C750" s="11" t="n">
        <x:f>IF(ISNUMBER(SEARCH("jmdict_uncommon_or_irregular",'제외 후보'!P750)),'선정 규칙'!$B$5,IF(ISNUMBER(SEARCH("jmdict_rare_or_dated",'제외 후보'!P750)),'선정 규칙'!$B$6,0))</x:f>
        <x:v>0</x:v>
      </x:c>
      <x:c r="D750" s="11" t="n">
        <x:f>IF(ISNUMBER(SEARCH("jmdict_exact_pair_not_found",'제외 후보'!P750)),'선정 규칙'!$B$7,0)</x:f>
        <x:v>0</x:v>
      </x:c>
      <x:c r="E750" s="11" t="n">
        <x:f>IF(OR('제외 후보'!L750="",'제외 후보'!L750&lt;=0),'선정 규칙'!$B$8,IF('제외 후보'!L750&lt;=1.5,'선정 규칙'!$B$9,IF('제외 후보'!L750&lt;=2,'선정 규칙'!$B$10,IF('제외 후보'!L750&lt;=2.5,'선정 규칙'!$B$11,IF('제외 후보'!L750&lt;=3,'선정 규칙'!$B$12,IF('제외 후보'!L750&lt;=3.5,'선정 규칙'!$B$13,IF('제외 후보'!L750&gt;=4.5,'선정 규칙'!$B$14,0)))))))</x:f>
        <x:v>12</x:v>
      </x:c>
      <x:c r="F750" s="11" t="n">
        <x:f>IF('제외 후보'!Y750=0,'선정 규칙'!$B$15,IF('제외 후보'!Y750&gt;=100,'선정 규칙'!$B$16,'선정 규칙'!$B$17))</x:f>
        <x:v>12</x:v>
      </x:c>
      <x:c r="G750" s="11" t="n">
        <x:f>IF('제외 후보'!M750="있음",'선정 규칙'!$B$18,'선정 규칙'!$B$19)</x:f>
        <x:v>-25</x:v>
      </x:c>
      <x:c r="H750" s="11" t="n">
        <x:f>IF(ISNUMBER(SEARCH("freq-core",'제외 후보'!AD750)),'선정 규칙'!$B$20,0)</x:f>
        <x:v>0</x:v>
      </x:c>
      <x:c r="I750" s="11" t="n">
        <x:f>IF(ISNUMBER(SEARCH("weak_legacy_content",'제외 후보'!P750)),'선정 규칙'!$B$21,0)</x:f>
        <x:v>5</x:v>
      </x:c>
      <x:c r="J750" s="11" t="n">
        <x:f>IF('제외 후보'!AC750&lt;&gt;"",'선정 규칙'!$B$22,0)</x:f>
        <x:v>0</x:v>
      </x:c>
      <x:c r="K750" s="11" t="n">
        <x:f>SUM(B750:J750)</x:f>
        <x:v>4</x:v>
      </x:c>
      <x:c r="L750" s="11" t="n">
        <x:f>'제외 후보'!N750</x:f>
        <x:v>4</x:v>
      </x:c>
      <x:c r="M750" s="2" t="str">
        <x:f>IF(K750=L750,"OK","MISMATCH")</x:f>
        <x:v>OK</x:v>
      </x:c>
    </x:row>
    <x:row r="751">
      <x:c r="A751" s="2" t="str">
        <x:f>'제외 후보'!G751</x:f>
        <x:v>w_a172145e6a7a76d8</x:v>
      </x:c>
      <x:c r="B751" s="11" t="n">
        <x:f>IF('제외 후보'!Q751&lt;&gt;"",'선정 규칙'!$B$4,0)</x:f>
        <x:v>0</x:v>
      </x:c>
      <x:c r="C751" s="11" t="n">
        <x:f>IF(ISNUMBER(SEARCH("jmdict_uncommon_or_irregular",'제외 후보'!P751)),'선정 규칙'!$B$5,IF(ISNUMBER(SEARCH("jmdict_rare_or_dated",'제외 후보'!P751)),'선정 규칙'!$B$6,0))</x:f>
        <x:v>0</x:v>
      </x:c>
      <x:c r="D751" s="11" t="n">
        <x:f>IF(ISNUMBER(SEARCH("jmdict_exact_pair_not_found",'제외 후보'!P751)),'선정 규칙'!$B$7,0)</x:f>
        <x:v>0</x:v>
      </x:c>
      <x:c r="E751" s="11" t="n">
        <x:f>IF(OR('제외 후보'!L751="",'제외 후보'!L751&lt;=0),'선정 규칙'!$B$8,IF('제외 후보'!L751&lt;=1.5,'선정 규칙'!$B$9,IF('제외 후보'!L751&lt;=2,'선정 규칙'!$B$10,IF('제외 후보'!L751&lt;=2.5,'선정 규칙'!$B$11,IF('제외 후보'!L751&lt;=3,'선정 규칙'!$B$12,IF('제외 후보'!L751&lt;=3.5,'선정 규칙'!$B$13,IF('제외 후보'!L751&gt;=4.5,'선정 규칙'!$B$14,0)))))))</x:f>
        <x:v>12</x:v>
      </x:c>
      <x:c r="F751" s="11" t="n">
        <x:f>IF('제외 후보'!Y751=0,'선정 규칙'!$B$15,IF('제외 후보'!Y751&gt;=100,'선정 규칙'!$B$16,'선정 규칙'!$B$17))</x:f>
        <x:v>12</x:v>
      </x:c>
      <x:c r="G751" s="11" t="n">
        <x:f>IF('제외 후보'!M751="있음",'선정 규칙'!$B$18,'선정 규칙'!$B$19)</x:f>
        <x:v>-25</x:v>
      </x:c>
      <x:c r="H751" s="11" t="n">
        <x:f>IF(ISNUMBER(SEARCH("freq-core",'제외 후보'!AD751)),'선정 규칙'!$B$20,0)</x:f>
        <x:v>0</x:v>
      </x:c>
      <x:c r="I751" s="11" t="n">
        <x:f>IF(ISNUMBER(SEARCH("weak_legacy_content",'제외 후보'!P751)),'선정 규칙'!$B$21,0)</x:f>
        <x:v>5</x:v>
      </x:c>
      <x:c r="J751" s="11" t="n">
        <x:f>IF('제외 후보'!AC751&lt;&gt;"",'선정 규칙'!$B$22,0)</x:f>
        <x:v>0</x:v>
      </x:c>
      <x:c r="K751" s="11" t="n">
        <x:f>SUM(B751:J751)</x:f>
        <x:v>4</x:v>
      </x:c>
      <x:c r="L751" s="11" t="n">
        <x:f>'제외 후보'!N751</x:f>
        <x:v>4</x:v>
      </x:c>
      <x:c r="M751" s="2" t="str">
        <x:f>IF(K751=L751,"OK","MISMATCH")</x:f>
        <x:v>OK</x:v>
      </x:c>
    </x:row>
    <x:row r="752">
      <x:c r="A752" s="2" t="str">
        <x:f>'제외 후보'!G752</x:f>
        <x:v>w_74d7cc3819066b87</x:v>
      </x:c>
      <x:c r="B752" s="11" t="n">
        <x:f>IF('제외 후보'!Q752&lt;&gt;"",'선정 규칙'!$B$4,0)</x:f>
        <x:v>0</x:v>
      </x:c>
      <x:c r="C752" s="11" t="n">
        <x:f>IF(ISNUMBER(SEARCH("jmdict_uncommon_or_irregular",'제외 후보'!P752)),'선정 규칙'!$B$5,IF(ISNUMBER(SEARCH("jmdict_rare_or_dated",'제외 후보'!P752)),'선정 규칙'!$B$6,0))</x:f>
        <x:v>0</x:v>
      </x:c>
      <x:c r="D752" s="11" t="n">
        <x:f>IF(ISNUMBER(SEARCH("jmdict_exact_pair_not_found",'제외 후보'!P752)),'선정 규칙'!$B$7,0)</x:f>
        <x:v>0</x:v>
      </x:c>
      <x:c r="E752" s="11" t="n">
        <x:f>IF(OR('제외 후보'!L752="",'제외 후보'!L752&lt;=0),'선정 규칙'!$B$8,IF('제외 후보'!L752&lt;=1.5,'선정 규칙'!$B$9,IF('제외 후보'!L752&lt;=2,'선정 규칙'!$B$10,IF('제외 후보'!L752&lt;=2.5,'선정 규칙'!$B$11,IF('제외 후보'!L752&lt;=3,'선정 규칙'!$B$12,IF('제외 후보'!L752&lt;=3.5,'선정 규칙'!$B$13,IF('제외 후보'!L752&gt;=4.5,'선정 규칙'!$B$14,0)))))))</x:f>
        <x:v>12</x:v>
      </x:c>
      <x:c r="F752" s="11" t="n">
        <x:f>IF('제외 후보'!Y752=0,'선정 규칙'!$B$15,IF('제외 후보'!Y752&gt;=100,'선정 규칙'!$B$16,'선정 규칙'!$B$17))</x:f>
        <x:v>12</x:v>
      </x:c>
      <x:c r="G752" s="11" t="n">
        <x:f>IF('제외 후보'!M752="있음",'선정 규칙'!$B$18,'선정 규칙'!$B$19)</x:f>
        <x:v>-25</x:v>
      </x:c>
      <x:c r="H752" s="11" t="n">
        <x:f>IF(ISNUMBER(SEARCH("freq-core",'제외 후보'!AD752)),'선정 규칙'!$B$20,0)</x:f>
        <x:v>0</x:v>
      </x:c>
      <x:c r="I752" s="11" t="n">
        <x:f>IF(ISNUMBER(SEARCH("weak_legacy_content",'제외 후보'!P752)),'선정 규칙'!$B$21,0)</x:f>
        <x:v>5</x:v>
      </x:c>
      <x:c r="J752" s="11" t="n">
        <x:f>IF('제외 후보'!AC752&lt;&gt;"",'선정 규칙'!$B$22,0)</x:f>
        <x:v>0</x:v>
      </x:c>
      <x:c r="K752" s="11" t="n">
        <x:f>SUM(B752:J752)</x:f>
        <x:v>4</x:v>
      </x:c>
      <x:c r="L752" s="11" t="n">
        <x:f>'제외 후보'!N752</x:f>
        <x:v>4</x:v>
      </x:c>
      <x:c r="M752" s="2" t="str">
        <x:f>IF(K752=L752,"OK","MISMATCH")</x:f>
        <x:v>OK</x:v>
      </x:c>
    </x:row>
    <x:row r="753">
      <x:c r="A753" s="2" t="str">
        <x:f>'제외 후보'!G753</x:f>
        <x:v>w_f109f753b8d58a39</x:v>
      </x:c>
      <x:c r="B753" s="11" t="n">
        <x:f>IF('제외 후보'!Q753&lt;&gt;"",'선정 규칙'!$B$4,0)</x:f>
        <x:v>0</x:v>
      </x:c>
      <x:c r="C753" s="11" t="n">
        <x:f>IF(ISNUMBER(SEARCH("jmdict_uncommon_or_irregular",'제외 후보'!P753)),'선정 규칙'!$B$5,IF(ISNUMBER(SEARCH("jmdict_rare_or_dated",'제외 후보'!P753)),'선정 규칙'!$B$6,0))</x:f>
        <x:v>0</x:v>
      </x:c>
      <x:c r="D753" s="11" t="n">
        <x:f>IF(ISNUMBER(SEARCH("jmdict_exact_pair_not_found",'제외 후보'!P753)),'선정 규칙'!$B$7,0)</x:f>
        <x:v>0</x:v>
      </x:c>
      <x:c r="E753" s="11" t="n">
        <x:f>IF(OR('제외 후보'!L753="",'제외 후보'!L753&lt;=0),'선정 규칙'!$B$8,IF('제외 후보'!L753&lt;=1.5,'선정 규칙'!$B$9,IF('제외 후보'!L753&lt;=2,'선정 규칙'!$B$10,IF('제외 후보'!L753&lt;=2.5,'선정 규칙'!$B$11,IF('제외 후보'!L753&lt;=3,'선정 규칙'!$B$12,IF('제외 후보'!L753&lt;=3.5,'선정 규칙'!$B$13,IF('제외 후보'!L753&gt;=4.5,'선정 규칙'!$B$14,0)))))))</x:f>
        <x:v>12</x:v>
      </x:c>
      <x:c r="F753" s="11" t="n">
        <x:f>IF('제외 후보'!Y753=0,'선정 규칙'!$B$15,IF('제외 후보'!Y753&gt;=100,'선정 규칙'!$B$16,'선정 규칙'!$B$17))</x:f>
        <x:v>12</x:v>
      </x:c>
      <x:c r="G753" s="11" t="n">
        <x:f>IF('제외 후보'!M753="있음",'선정 규칙'!$B$18,'선정 규칙'!$B$19)</x:f>
        <x:v>-25</x:v>
      </x:c>
      <x:c r="H753" s="11" t="n">
        <x:f>IF(ISNUMBER(SEARCH("freq-core",'제외 후보'!AD753)),'선정 규칙'!$B$20,0)</x:f>
        <x:v>0</x:v>
      </x:c>
      <x:c r="I753" s="11" t="n">
        <x:f>IF(ISNUMBER(SEARCH("weak_legacy_content",'제외 후보'!P753)),'선정 규칙'!$B$21,0)</x:f>
        <x:v>5</x:v>
      </x:c>
      <x:c r="J753" s="11" t="n">
        <x:f>IF('제외 후보'!AC753&lt;&gt;"",'선정 규칙'!$B$22,0)</x:f>
        <x:v>0</x:v>
      </x:c>
      <x:c r="K753" s="11" t="n">
        <x:f>SUM(B753:J753)</x:f>
        <x:v>4</x:v>
      </x:c>
      <x:c r="L753" s="11" t="n">
        <x:f>'제외 후보'!N753</x:f>
        <x:v>4</x:v>
      </x:c>
      <x:c r="M753" s="2" t="str">
        <x:f>IF(K753=L753,"OK","MISMATCH")</x:f>
        <x:v>OK</x:v>
      </x:c>
    </x:row>
    <x:row r="754">
      <x:c r="A754" s="2" t="str">
        <x:f>'제외 후보'!G754</x:f>
        <x:v>w_8055df2a8ee6ed9e</x:v>
      </x:c>
      <x:c r="B754" s="11" t="n">
        <x:f>IF('제외 후보'!Q754&lt;&gt;"",'선정 규칙'!$B$4,0)</x:f>
        <x:v>0</x:v>
      </x:c>
      <x:c r="C754" s="11" t="n">
        <x:f>IF(ISNUMBER(SEARCH("jmdict_uncommon_or_irregular",'제외 후보'!P754)),'선정 규칙'!$B$5,IF(ISNUMBER(SEARCH("jmdict_rare_or_dated",'제외 후보'!P754)),'선정 규칙'!$B$6,0))</x:f>
        <x:v>0</x:v>
      </x:c>
      <x:c r="D754" s="11" t="n">
        <x:f>IF(ISNUMBER(SEARCH("jmdict_exact_pair_not_found",'제외 후보'!P754)),'선정 규칙'!$B$7,0)</x:f>
        <x:v>0</x:v>
      </x:c>
      <x:c r="E754" s="11" t="n">
        <x:f>IF(OR('제외 후보'!L754="",'제외 후보'!L754&lt;=0),'선정 규칙'!$B$8,IF('제외 후보'!L754&lt;=1.5,'선정 규칙'!$B$9,IF('제외 후보'!L754&lt;=2,'선정 규칙'!$B$10,IF('제외 후보'!L754&lt;=2.5,'선정 규칙'!$B$11,IF('제외 후보'!L754&lt;=3,'선정 규칙'!$B$12,IF('제외 후보'!L754&lt;=3.5,'선정 규칙'!$B$13,IF('제외 후보'!L754&gt;=4.5,'선정 규칙'!$B$14,0)))))))</x:f>
        <x:v>12</x:v>
      </x:c>
      <x:c r="F754" s="11" t="n">
        <x:f>IF('제외 후보'!Y754=0,'선정 규칙'!$B$15,IF('제외 후보'!Y754&gt;=100,'선정 규칙'!$B$16,'선정 규칙'!$B$17))</x:f>
        <x:v>12</x:v>
      </x:c>
      <x:c r="G754" s="11" t="n">
        <x:f>IF('제외 후보'!M754="있음",'선정 규칙'!$B$18,'선정 규칙'!$B$19)</x:f>
        <x:v>-25</x:v>
      </x:c>
      <x:c r="H754" s="11" t="n">
        <x:f>IF(ISNUMBER(SEARCH("freq-core",'제외 후보'!AD754)),'선정 규칙'!$B$20,0)</x:f>
        <x:v>0</x:v>
      </x:c>
      <x:c r="I754" s="11" t="n">
        <x:f>IF(ISNUMBER(SEARCH("weak_legacy_content",'제외 후보'!P754)),'선정 규칙'!$B$21,0)</x:f>
        <x:v>5</x:v>
      </x:c>
      <x:c r="J754" s="11" t="n">
        <x:f>IF('제외 후보'!AC754&lt;&gt;"",'선정 규칙'!$B$22,0)</x:f>
        <x:v>0</x:v>
      </x:c>
      <x:c r="K754" s="11" t="n">
        <x:f>SUM(B754:J754)</x:f>
        <x:v>4</x:v>
      </x:c>
      <x:c r="L754" s="11" t="n">
        <x:f>'제외 후보'!N754</x:f>
        <x:v>4</x:v>
      </x:c>
      <x:c r="M754" s="2" t="str">
        <x:f>IF(K754=L754,"OK","MISMATCH")</x:f>
        <x:v>OK</x:v>
      </x:c>
    </x:row>
    <x:row r="755">
      <x:c r="A755" s="2" t="str">
        <x:f>'제외 후보'!G755</x:f>
        <x:v>w_ca1206ba76e163ac</x:v>
      </x:c>
      <x:c r="B755" s="11" t="n">
        <x:f>IF('제외 후보'!Q755&lt;&gt;"",'선정 규칙'!$B$4,0)</x:f>
        <x:v>0</x:v>
      </x:c>
      <x:c r="C755" s="11" t="n">
        <x:f>IF(ISNUMBER(SEARCH("jmdict_uncommon_or_irregular",'제외 후보'!P755)),'선정 규칙'!$B$5,IF(ISNUMBER(SEARCH("jmdict_rare_or_dated",'제외 후보'!P755)),'선정 규칙'!$B$6,0))</x:f>
        <x:v>0</x:v>
      </x:c>
      <x:c r="D755" s="11" t="n">
        <x:f>IF(ISNUMBER(SEARCH("jmdict_exact_pair_not_found",'제외 후보'!P755)),'선정 규칙'!$B$7,0)</x:f>
        <x:v>0</x:v>
      </x:c>
      <x:c r="E755" s="11" t="n">
        <x:f>IF(OR('제외 후보'!L755="",'제외 후보'!L755&lt;=0),'선정 규칙'!$B$8,IF('제외 후보'!L755&lt;=1.5,'선정 규칙'!$B$9,IF('제외 후보'!L755&lt;=2,'선정 규칙'!$B$10,IF('제외 후보'!L755&lt;=2.5,'선정 규칙'!$B$11,IF('제외 후보'!L755&lt;=3,'선정 규칙'!$B$12,IF('제외 후보'!L755&lt;=3.5,'선정 규칙'!$B$13,IF('제외 후보'!L755&gt;=4.5,'선정 규칙'!$B$14,0)))))))</x:f>
        <x:v>12</x:v>
      </x:c>
      <x:c r="F755" s="11" t="n">
        <x:f>IF('제외 후보'!Y755=0,'선정 규칙'!$B$15,IF('제외 후보'!Y755&gt;=100,'선정 규칙'!$B$16,'선정 규칙'!$B$17))</x:f>
        <x:v>12</x:v>
      </x:c>
      <x:c r="G755" s="11" t="n">
        <x:f>IF('제외 후보'!M755="있음",'선정 규칙'!$B$18,'선정 규칙'!$B$19)</x:f>
        <x:v>-25</x:v>
      </x:c>
      <x:c r="H755" s="11" t="n">
        <x:f>IF(ISNUMBER(SEARCH("freq-core",'제외 후보'!AD755)),'선정 규칙'!$B$20,0)</x:f>
        <x:v>0</x:v>
      </x:c>
      <x:c r="I755" s="11" t="n">
        <x:f>IF(ISNUMBER(SEARCH("weak_legacy_content",'제외 후보'!P755)),'선정 규칙'!$B$21,0)</x:f>
        <x:v>5</x:v>
      </x:c>
      <x:c r="J755" s="11" t="n">
        <x:f>IF('제외 후보'!AC755&lt;&gt;"",'선정 규칙'!$B$22,0)</x:f>
        <x:v>0</x:v>
      </x:c>
      <x:c r="K755" s="11" t="n">
        <x:f>SUM(B755:J755)</x:f>
        <x:v>4</x:v>
      </x:c>
      <x:c r="L755" s="11" t="n">
        <x:f>'제외 후보'!N755</x:f>
        <x:v>4</x:v>
      </x:c>
      <x:c r="M755" s="2" t="str">
        <x:f>IF(K755=L755,"OK","MISMATCH")</x:f>
        <x:v>OK</x:v>
      </x:c>
    </x:row>
    <x:row r="756">
      <x:c r="A756" s="2" t="str">
        <x:f>'제외 후보'!G756</x:f>
        <x:v>w_f96ea49c4898698b</x:v>
      </x:c>
      <x:c r="B756" s="11" t="n">
        <x:f>IF('제외 후보'!Q756&lt;&gt;"",'선정 규칙'!$B$4,0)</x:f>
        <x:v>0</x:v>
      </x:c>
      <x:c r="C756" s="11" t="n">
        <x:f>IF(ISNUMBER(SEARCH("jmdict_uncommon_or_irregular",'제외 후보'!P756)),'선정 규칙'!$B$5,IF(ISNUMBER(SEARCH("jmdict_rare_or_dated",'제외 후보'!P756)),'선정 규칙'!$B$6,0))</x:f>
        <x:v>0</x:v>
      </x:c>
      <x:c r="D756" s="11" t="n">
        <x:f>IF(ISNUMBER(SEARCH("jmdict_exact_pair_not_found",'제외 후보'!P756)),'선정 규칙'!$B$7,0)</x:f>
        <x:v>0</x:v>
      </x:c>
      <x:c r="E756" s="11" t="n">
        <x:f>IF(OR('제외 후보'!L756="",'제외 후보'!L756&lt;=0),'선정 규칙'!$B$8,IF('제외 후보'!L756&lt;=1.5,'선정 규칙'!$B$9,IF('제외 후보'!L756&lt;=2,'선정 규칙'!$B$10,IF('제외 후보'!L756&lt;=2.5,'선정 규칙'!$B$11,IF('제외 후보'!L756&lt;=3,'선정 규칙'!$B$12,IF('제외 후보'!L756&lt;=3.5,'선정 규칙'!$B$13,IF('제외 후보'!L756&gt;=4.5,'선정 규칙'!$B$14,0)))))))</x:f>
        <x:v>12</x:v>
      </x:c>
      <x:c r="F756" s="11" t="n">
        <x:f>IF('제외 후보'!Y756=0,'선정 규칙'!$B$15,IF('제외 후보'!Y756&gt;=100,'선정 규칙'!$B$16,'선정 규칙'!$B$17))</x:f>
        <x:v>12</x:v>
      </x:c>
      <x:c r="G756" s="11" t="n">
        <x:f>IF('제외 후보'!M756="있음",'선정 규칙'!$B$18,'선정 규칙'!$B$19)</x:f>
        <x:v>-25</x:v>
      </x:c>
      <x:c r="H756" s="11" t="n">
        <x:f>IF(ISNUMBER(SEARCH("freq-core",'제외 후보'!AD756)),'선정 규칙'!$B$20,0)</x:f>
        <x:v>0</x:v>
      </x:c>
      <x:c r="I756" s="11" t="n">
        <x:f>IF(ISNUMBER(SEARCH("weak_legacy_content",'제외 후보'!P756)),'선정 규칙'!$B$21,0)</x:f>
        <x:v>5</x:v>
      </x:c>
      <x:c r="J756" s="11" t="n">
        <x:f>IF('제외 후보'!AC756&lt;&gt;"",'선정 규칙'!$B$22,0)</x:f>
        <x:v>0</x:v>
      </x:c>
      <x:c r="K756" s="11" t="n">
        <x:f>SUM(B756:J756)</x:f>
        <x:v>4</x:v>
      </x:c>
      <x:c r="L756" s="11" t="n">
        <x:f>'제외 후보'!N756</x:f>
        <x:v>4</x:v>
      </x:c>
      <x:c r="M756" s="2" t="str">
        <x:f>IF(K756=L756,"OK","MISMATCH")</x:f>
        <x:v>OK</x:v>
      </x:c>
    </x:row>
    <x:row r="757">
      <x:c r="A757" s="2" t="str">
        <x:f>'제외 후보'!G757</x:f>
        <x:v>w_5ef13c5777b12129</x:v>
      </x:c>
      <x:c r="B757" s="11" t="n">
        <x:f>IF('제외 후보'!Q757&lt;&gt;"",'선정 규칙'!$B$4,0)</x:f>
        <x:v>0</x:v>
      </x:c>
      <x:c r="C757" s="11" t="n">
        <x:f>IF(ISNUMBER(SEARCH("jmdict_uncommon_or_irregular",'제외 후보'!P757)),'선정 규칙'!$B$5,IF(ISNUMBER(SEARCH("jmdict_rare_or_dated",'제외 후보'!P757)),'선정 규칙'!$B$6,0))</x:f>
        <x:v>0</x:v>
      </x:c>
      <x:c r="D757" s="11" t="n">
        <x:f>IF(ISNUMBER(SEARCH("jmdict_exact_pair_not_found",'제외 후보'!P757)),'선정 규칙'!$B$7,0)</x:f>
        <x:v>0</x:v>
      </x:c>
      <x:c r="E757" s="11" t="n">
        <x:f>IF(OR('제외 후보'!L757="",'제외 후보'!L757&lt;=0),'선정 규칙'!$B$8,IF('제외 후보'!L757&lt;=1.5,'선정 규칙'!$B$9,IF('제외 후보'!L757&lt;=2,'선정 규칙'!$B$10,IF('제외 후보'!L757&lt;=2.5,'선정 규칙'!$B$11,IF('제외 후보'!L757&lt;=3,'선정 규칙'!$B$12,IF('제외 후보'!L757&lt;=3.5,'선정 규칙'!$B$13,IF('제외 후보'!L757&gt;=4.5,'선정 규칙'!$B$14,0)))))))</x:f>
        <x:v>12</x:v>
      </x:c>
      <x:c r="F757" s="11" t="n">
        <x:f>IF('제외 후보'!Y757=0,'선정 규칙'!$B$15,IF('제외 후보'!Y757&gt;=100,'선정 규칙'!$B$16,'선정 규칙'!$B$17))</x:f>
        <x:v>12</x:v>
      </x:c>
      <x:c r="G757" s="11" t="n">
        <x:f>IF('제외 후보'!M757="있음",'선정 규칙'!$B$18,'선정 규칙'!$B$19)</x:f>
        <x:v>-25</x:v>
      </x:c>
      <x:c r="H757" s="11" t="n">
        <x:f>IF(ISNUMBER(SEARCH("freq-core",'제외 후보'!AD757)),'선정 규칙'!$B$20,0)</x:f>
        <x:v>0</x:v>
      </x:c>
      <x:c r="I757" s="11" t="n">
        <x:f>IF(ISNUMBER(SEARCH("weak_legacy_content",'제외 후보'!P757)),'선정 규칙'!$B$21,0)</x:f>
        <x:v>5</x:v>
      </x:c>
      <x:c r="J757" s="11" t="n">
        <x:f>IF('제외 후보'!AC757&lt;&gt;"",'선정 규칙'!$B$22,0)</x:f>
        <x:v>0</x:v>
      </x:c>
      <x:c r="K757" s="11" t="n">
        <x:f>SUM(B757:J757)</x:f>
        <x:v>4</x:v>
      </x:c>
      <x:c r="L757" s="11" t="n">
        <x:f>'제외 후보'!N757</x:f>
        <x:v>4</x:v>
      </x:c>
      <x:c r="M757" s="2" t="str">
        <x:f>IF(K757=L757,"OK","MISMATCH")</x:f>
        <x:v>OK</x:v>
      </x:c>
    </x:row>
    <x:row r="758">
      <x:c r="A758" s="2" t="str">
        <x:f>'제외 후보'!G758</x:f>
        <x:v>w_bbab9ac7568abe75</x:v>
      </x:c>
      <x:c r="B758" s="11" t="n">
        <x:f>IF('제외 후보'!Q758&lt;&gt;"",'선정 규칙'!$B$4,0)</x:f>
        <x:v>0</x:v>
      </x:c>
      <x:c r="C758" s="11" t="n">
        <x:f>IF(ISNUMBER(SEARCH("jmdict_uncommon_or_irregular",'제외 후보'!P758)),'선정 규칙'!$B$5,IF(ISNUMBER(SEARCH("jmdict_rare_or_dated",'제외 후보'!P758)),'선정 규칙'!$B$6,0))</x:f>
        <x:v>0</x:v>
      </x:c>
      <x:c r="D758" s="11" t="n">
        <x:f>IF(ISNUMBER(SEARCH("jmdict_exact_pair_not_found",'제외 후보'!P758)),'선정 규칙'!$B$7,0)</x:f>
        <x:v>0</x:v>
      </x:c>
      <x:c r="E758" s="11" t="n">
        <x:f>IF(OR('제외 후보'!L758="",'제외 후보'!L758&lt;=0),'선정 규칙'!$B$8,IF('제외 후보'!L758&lt;=1.5,'선정 규칙'!$B$9,IF('제외 후보'!L758&lt;=2,'선정 규칙'!$B$10,IF('제외 후보'!L758&lt;=2.5,'선정 규칙'!$B$11,IF('제외 후보'!L758&lt;=3,'선정 규칙'!$B$12,IF('제외 후보'!L758&lt;=3.5,'선정 규칙'!$B$13,IF('제외 후보'!L758&gt;=4.5,'선정 규칙'!$B$14,0)))))))</x:f>
        <x:v>12</x:v>
      </x:c>
      <x:c r="F758" s="11" t="n">
        <x:f>IF('제외 후보'!Y758=0,'선정 규칙'!$B$15,IF('제외 후보'!Y758&gt;=100,'선정 규칙'!$B$16,'선정 규칙'!$B$17))</x:f>
        <x:v>12</x:v>
      </x:c>
      <x:c r="G758" s="11" t="n">
        <x:f>IF('제외 후보'!M758="있음",'선정 규칙'!$B$18,'선정 규칙'!$B$19)</x:f>
        <x:v>-25</x:v>
      </x:c>
      <x:c r="H758" s="11" t="n">
        <x:f>IF(ISNUMBER(SEARCH("freq-core",'제외 후보'!AD758)),'선정 규칙'!$B$20,0)</x:f>
        <x:v>0</x:v>
      </x:c>
      <x:c r="I758" s="11" t="n">
        <x:f>IF(ISNUMBER(SEARCH("weak_legacy_content",'제외 후보'!P758)),'선정 규칙'!$B$21,0)</x:f>
        <x:v>5</x:v>
      </x:c>
      <x:c r="J758" s="11" t="n">
        <x:f>IF('제외 후보'!AC758&lt;&gt;"",'선정 규칙'!$B$22,0)</x:f>
        <x:v>0</x:v>
      </x:c>
      <x:c r="K758" s="11" t="n">
        <x:f>SUM(B758:J758)</x:f>
        <x:v>4</x:v>
      </x:c>
      <x:c r="L758" s="11" t="n">
        <x:f>'제외 후보'!N758</x:f>
        <x:v>4</x:v>
      </x:c>
      <x:c r="M758" s="2" t="str">
        <x:f>IF(K758=L758,"OK","MISMATCH")</x:f>
        <x:v>OK</x:v>
      </x:c>
    </x:row>
    <x:row r="759">
      <x:c r="A759" s="2" t="str">
        <x:f>'제외 후보'!G759</x:f>
        <x:v>w_ed86d3d08d22d18b</x:v>
      </x:c>
      <x:c r="B759" s="11" t="n">
        <x:f>IF('제외 후보'!Q759&lt;&gt;"",'선정 규칙'!$B$4,0)</x:f>
        <x:v>0</x:v>
      </x:c>
      <x:c r="C759" s="11" t="n">
        <x:f>IF(ISNUMBER(SEARCH("jmdict_uncommon_or_irregular",'제외 후보'!P759)),'선정 규칙'!$B$5,IF(ISNUMBER(SEARCH("jmdict_rare_or_dated",'제외 후보'!P759)),'선정 규칙'!$B$6,0))</x:f>
        <x:v>0</x:v>
      </x:c>
      <x:c r="D759" s="11" t="n">
        <x:f>IF(ISNUMBER(SEARCH("jmdict_exact_pair_not_found",'제외 후보'!P759)),'선정 규칙'!$B$7,0)</x:f>
        <x:v>0</x:v>
      </x:c>
      <x:c r="E759" s="11" t="n">
        <x:f>IF(OR('제외 후보'!L759="",'제외 후보'!L759&lt;=0),'선정 규칙'!$B$8,IF('제외 후보'!L759&lt;=1.5,'선정 규칙'!$B$9,IF('제외 후보'!L759&lt;=2,'선정 규칙'!$B$10,IF('제외 후보'!L759&lt;=2.5,'선정 규칙'!$B$11,IF('제외 후보'!L759&lt;=3,'선정 규칙'!$B$12,IF('제외 후보'!L759&lt;=3.5,'선정 규칙'!$B$13,IF('제외 후보'!L759&gt;=4.5,'선정 규칙'!$B$14,0)))))))</x:f>
        <x:v>12</x:v>
      </x:c>
      <x:c r="F759" s="11" t="n">
        <x:f>IF('제외 후보'!Y759=0,'선정 규칙'!$B$15,IF('제외 후보'!Y759&gt;=100,'선정 규칙'!$B$16,'선정 규칙'!$B$17))</x:f>
        <x:v>12</x:v>
      </x:c>
      <x:c r="G759" s="11" t="n">
        <x:f>IF('제외 후보'!M759="있음",'선정 규칙'!$B$18,'선정 규칙'!$B$19)</x:f>
        <x:v>-25</x:v>
      </x:c>
      <x:c r="H759" s="11" t="n">
        <x:f>IF(ISNUMBER(SEARCH("freq-core",'제외 후보'!AD759)),'선정 규칙'!$B$20,0)</x:f>
        <x:v>0</x:v>
      </x:c>
      <x:c r="I759" s="11" t="n">
        <x:f>IF(ISNUMBER(SEARCH("weak_legacy_content",'제외 후보'!P759)),'선정 규칙'!$B$21,0)</x:f>
        <x:v>5</x:v>
      </x:c>
      <x:c r="J759" s="11" t="n">
        <x:f>IF('제외 후보'!AC759&lt;&gt;"",'선정 규칙'!$B$22,0)</x:f>
        <x:v>0</x:v>
      </x:c>
      <x:c r="K759" s="11" t="n">
        <x:f>SUM(B759:J759)</x:f>
        <x:v>4</x:v>
      </x:c>
      <x:c r="L759" s="11" t="n">
        <x:f>'제외 후보'!N759</x:f>
        <x:v>4</x:v>
      </x:c>
      <x:c r="M759" s="2" t="str">
        <x:f>IF(K759=L759,"OK","MISMATCH")</x:f>
        <x:v>OK</x:v>
      </x:c>
    </x:row>
    <x:row r="760">
      <x:c r="A760" s="2" t="str">
        <x:f>'제외 후보'!G760</x:f>
        <x:v>w_92993006c5583d81</x:v>
      </x:c>
      <x:c r="B760" s="11" t="n">
        <x:f>IF('제외 후보'!Q760&lt;&gt;"",'선정 규칙'!$B$4,0)</x:f>
        <x:v>0</x:v>
      </x:c>
      <x:c r="C760" s="11" t="n">
        <x:f>IF(ISNUMBER(SEARCH("jmdict_uncommon_or_irregular",'제외 후보'!P760)),'선정 규칙'!$B$5,IF(ISNUMBER(SEARCH("jmdict_rare_or_dated",'제외 후보'!P760)),'선정 규칙'!$B$6,0))</x:f>
        <x:v>0</x:v>
      </x:c>
      <x:c r="D760" s="11" t="n">
        <x:f>IF(ISNUMBER(SEARCH("jmdict_exact_pair_not_found",'제외 후보'!P760)),'선정 규칙'!$B$7,0)</x:f>
        <x:v>0</x:v>
      </x:c>
      <x:c r="E760" s="11" t="n">
        <x:f>IF(OR('제외 후보'!L760="",'제외 후보'!L760&lt;=0),'선정 규칙'!$B$8,IF('제외 후보'!L760&lt;=1.5,'선정 규칙'!$B$9,IF('제외 후보'!L760&lt;=2,'선정 규칙'!$B$10,IF('제외 후보'!L760&lt;=2.5,'선정 규칙'!$B$11,IF('제외 후보'!L760&lt;=3,'선정 규칙'!$B$12,IF('제외 후보'!L760&lt;=3.5,'선정 규칙'!$B$13,IF('제외 후보'!L760&gt;=4.5,'선정 규칙'!$B$14,0)))))))</x:f>
        <x:v>12</x:v>
      </x:c>
      <x:c r="F760" s="11" t="n">
        <x:f>IF('제외 후보'!Y760=0,'선정 규칙'!$B$15,IF('제외 후보'!Y760&gt;=100,'선정 규칙'!$B$16,'선정 규칙'!$B$17))</x:f>
        <x:v>12</x:v>
      </x:c>
      <x:c r="G760" s="11" t="n">
        <x:f>IF('제외 후보'!M760="있음",'선정 규칙'!$B$18,'선정 규칙'!$B$19)</x:f>
        <x:v>-25</x:v>
      </x:c>
      <x:c r="H760" s="11" t="n">
        <x:f>IF(ISNUMBER(SEARCH("freq-core",'제외 후보'!AD760)),'선정 규칙'!$B$20,0)</x:f>
        <x:v>0</x:v>
      </x:c>
      <x:c r="I760" s="11" t="n">
        <x:f>IF(ISNUMBER(SEARCH("weak_legacy_content",'제외 후보'!P760)),'선정 규칙'!$B$21,0)</x:f>
        <x:v>5</x:v>
      </x:c>
      <x:c r="J760" s="11" t="n">
        <x:f>IF('제외 후보'!AC760&lt;&gt;"",'선정 규칙'!$B$22,0)</x:f>
        <x:v>0</x:v>
      </x:c>
      <x:c r="K760" s="11" t="n">
        <x:f>SUM(B760:J760)</x:f>
        <x:v>4</x:v>
      </x:c>
      <x:c r="L760" s="11" t="n">
        <x:f>'제외 후보'!N760</x:f>
        <x:v>4</x:v>
      </x:c>
      <x:c r="M760" s="2" t="str">
        <x:f>IF(K760=L760,"OK","MISMATCH")</x:f>
        <x:v>OK</x:v>
      </x:c>
    </x:row>
    <x:row r="761">
      <x:c r="A761" s="2" t="str">
        <x:f>'제외 후보'!G761</x:f>
        <x:v>w_24f78b7b84fbad86</x:v>
      </x:c>
      <x:c r="B761" s="11" t="n">
        <x:f>IF('제외 후보'!Q761&lt;&gt;"",'선정 규칙'!$B$4,0)</x:f>
        <x:v>0</x:v>
      </x:c>
      <x:c r="C761" s="11" t="n">
        <x:f>IF(ISNUMBER(SEARCH("jmdict_uncommon_or_irregular",'제외 후보'!P761)),'선정 규칙'!$B$5,IF(ISNUMBER(SEARCH("jmdict_rare_or_dated",'제외 후보'!P761)),'선정 규칙'!$B$6,0))</x:f>
        <x:v>0</x:v>
      </x:c>
      <x:c r="D761" s="11" t="n">
        <x:f>IF(ISNUMBER(SEARCH("jmdict_exact_pair_not_found",'제외 후보'!P761)),'선정 규칙'!$B$7,0)</x:f>
        <x:v>0</x:v>
      </x:c>
      <x:c r="E761" s="11" t="n">
        <x:f>IF(OR('제외 후보'!L761="",'제외 후보'!L761&lt;=0),'선정 규칙'!$B$8,IF('제외 후보'!L761&lt;=1.5,'선정 규칙'!$B$9,IF('제외 후보'!L761&lt;=2,'선정 규칙'!$B$10,IF('제외 후보'!L761&lt;=2.5,'선정 규칙'!$B$11,IF('제외 후보'!L761&lt;=3,'선정 규칙'!$B$12,IF('제외 후보'!L761&lt;=3.5,'선정 규칙'!$B$13,IF('제외 후보'!L761&gt;=4.5,'선정 규칙'!$B$14,0)))))))</x:f>
        <x:v>12</x:v>
      </x:c>
      <x:c r="F761" s="11" t="n">
        <x:f>IF('제외 후보'!Y761=0,'선정 규칙'!$B$15,IF('제외 후보'!Y761&gt;=100,'선정 규칙'!$B$16,'선정 규칙'!$B$17))</x:f>
        <x:v>12</x:v>
      </x:c>
      <x:c r="G761" s="11" t="n">
        <x:f>IF('제외 후보'!M761="있음",'선정 규칙'!$B$18,'선정 규칙'!$B$19)</x:f>
        <x:v>-25</x:v>
      </x:c>
      <x:c r="H761" s="11" t="n">
        <x:f>IF(ISNUMBER(SEARCH("freq-core",'제외 후보'!AD761)),'선정 규칙'!$B$20,0)</x:f>
        <x:v>0</x:v>
      </x:c>
      <x:c r="I761" s="11" t="n">
        <x:f>IF(ISNUMBER(SEARCH("weak_legacy_content",'제외 후보'!P761)),'선정 규칙'!$B$21,0)</x:f>
        <x:v>5</x:v>
      </x:c>
      <x:c r="J761" s="11" t="n">
        <x:f>IF('제외 후보'!AC761&lt;&gt;"",'선정 규칙'!$B$22,0)</x:f>
        <x:v>0</x:v>
      </x:c>
      <x:c r="K761" s="11" t="n">
        <x:f>SUM(B761:J761)</x:f>
        <x:v>4</x:v>
      </x:c>
      <x:c r="L761" s="11" t="n">
        <x:f>'제외 후보'!N761</x:f>
        <x:v>4</x:v>
      </x:c>
      <x:c r="M761" s="2" t="str">
        <x:f>IF(K761=L761,"OK","MISMATCH")</x:f>
        <x:v>OK</x:v>
      </x:c>
    </x:row>
    <x:row r="762">
      <x:c r="A762" s="2" t="str">
        <x:f>'제외 후보'!G762</x:f>
        <x:v>w_27580d886b879a64</x:v>
      </x:c>
      <x:c r="B762" s="11" t="n">
        <x:f>IF('제외 후보'!Q762&lt;&gt;"",'선정 규칙'!$B$4,0)</x:f>
        <x:v>0</x:v>
      </x:c>
      <x:c r="C762" s="11" t="n">
        <x:f>IF(ISNUMBER(SEARCH("jmdict_uncommon_or_irregular",'제외 후보'!P762)),'선정 규칙'!$B$5,IF(ISNUMBER(SEARCH("jmdict_rare_or_dated",'제외 후보'!P762)),'선정 규칙'!$B$6,0))</x:f>
        <x:v>0</x:v>
      </x:c>
      <x:c r="D762" s="11" t="n">
        <x:f>IF(ISNUMBER(SEARCH("jmdict_exact_pair_not_found",'제외 후보'!P762)),'선정 규칙'!$B$7,0)</x:f>
        <x:v>0</x:v>
      </x:c>
      <x:c r="E762" s="11" t="n">
        <x:f>IF(OR('제외 후보'!L762="",'제외 후보'!L762&lt;=0),'선정 규칙'!$B$8,IF('제외 후보'!L762&lt;=1.5,'선정 규칙'!$B$9,IF('제외 후보'!L762&lt;=2,'선정 규칙'!$B$10,IF('제외 후보'!L762&lt;=2.5,'선정 규칙'!$B$11,IF('제외 후보'!L762&lt;=3,'선정 규칙'!$B$12,IF('제외 후보'!L762&lt;=3.5,'선정 규칙'!$B$13,IF('제외 후보'!L762&gt;=4.5,'선정 규칙'!$B$14,0)))))))</x:f>
        <x:v>12</x:v>
      </x:c>
      <x:c r="F762" s="11" t="n">
        <x:f>IF('제외 후보'!Y762=0,'선정 규칙'!$B$15,IF('제외 후보'!Y762&gt;=100,'선정 규칙'!$B$16,'선정 규칙'!$B$17))</x:f>
        <x:v>12</x:v>
      </x:c>
      <x:c r="G762" s="11" t="n">
        <x:f>IF('제외 후보'!M762="있음",'선정 규칙'!$B$18,'선정 규칙'!$B$19)</x:f>
        <x:v>-25</x:v>
      </x:c>
      <x:c r="H762" s="11" t="n">
        <x:f>IF(ISNUMBER(SEARCH("freq-core",'제외 후보'!AD762)),'선정 규칙'!$B$20,0)</x:f>
        <x:v>0</x:v>
      </x:c>
      <x:c r="I762" s="11" t="n">
        <x:f>IF(ISNUMBER(SEARCH("weak_legacy_content",'제외 후보'!P762)),'선정 규칙'!$B$21,0)</x:f>
        <x:v>5</x:v>
      </x:c>
      <x:c r="J762" s="11" t="n">
        <x:f>IF('제외 후보'!AC762&lt;&gt;"",'선정 규칙'!$B$22,0)</x:f>
        <x:v>0</x:v>
      </x:c>
      <x:c r="K762" s="11" t="n">
        <x:f>SUM(B762:J762)</x:f>
        <x:v>4</x:v>
      </x:c>
      <x:c r="L762" s="11" t="n">
        <x:f>'제외 후보'!N762</x:f>
        <x:v>4</x:v>
      </x:c>
      <x:c r="M762" s="2" t="str">
        <x:f>IF(K762=L762,"OK","MISMATCH")</x:f>
        <x:v>OK</x:v>
      </x:c>
    </x:row>
    <x:row r="763">
      <x:c r="A763" s="2" t="str">
        <x:f>'제외 후보'!G763</x:f>
        <x:v>w_4b8574e4cbd2e533</x:v>
      </x:c>
      <x:c r="B763" s="11" t="n">
        <x:f>IF('제외 후보'!Q763&lt;&gt;"",'선정 규칙'!$B$4,0)</x:f>
        <x:v>0</x:v>
      </x:c>
      <x:c r="C763" s="11" t="n">
        <x:f>IF(ISNUMBER(SEARCH("jmdict_uncommon_or_irregular",'제외 후보'!P763)),'선정 규칙'!$B$5,IF(ISNUMBER(SEARCH("jmdict_rare_or_dated",'제외 후보'!P763)),'선정 규칙'!$B$6,0))</x:f>
        <x:v>0</x:v>
      </x:c>
      <x:c r="D763" s="11" t="n">
        <x:f>IF(ISNUMBER(SEARCH("jmdict_exact_pair_not_found",'제외 후보'!P763)),'선정 규칙'!$B$7,0)</x:f>
        <x:v>0</x:v>
      </x:c>
      <x:c r="E763" s="11" t="n">
        <x:f>IF(OR('제외 후보'!L763="",'제외 후보'!L763&lt;=0),'선정 규칙'!$B$8,IF('제외 후보'!L763&lt;=1.5,'선정 규칙'!$B$9,IF('제외 후보'!L763&lt;=2,'선정 규칙'!$B$10,IF('제외 후보'!L763&lt;=2.5,'선정 규칙'!$B$11,IF('제외 후보'!L763&lt;=3,'선정 규칙'!$B$12,IF('제외 후보'!L763&lt;=3.5,'선정 규칙'!$B$13,IF('제외 후보'!L763&gt;=4.5,'선정 규칙'!$B$14,0)))))))</x:f>
        <x:v>12</x:v>
      </x:c>
      <x:c r="F763" s="11" t="n">
        <x:f>IF('제외 후보'!Y763=0,'선정 규칙'!$B$15,IF('제외 후보'!Y763&gt;=100,'선정 규칙'!$B$16,'선정 규칙'!$B$17))</x:f>
        <x:v>12</x:v>
      </x:c>
      <x:c r="G763" s="11" t="n">
        <x:f>IF('제외 후보'!M763="있음",'선정 규칙'!$B$18,'선정 규칙'!$B$19)</x:f>
        <x:v>-25</x:v>
      </x:c>
      <x:c r="H763" s="11" t="n">
        <x:f>IF(ISNUMBER(SEARCH("freq-core",'제외 후보'!AD763)),'선정 규칙'!$B$20,0)</x:f>
        <x:v>0</x:v>
      </x:c>
      <x:c r="I763" s="11" t="n">
        <x:f>IF(ISNUMBER(SEARCH("weak_legacy_content",'제외 후보'!P763)),'선정 규칙'!$B$21,0)</x:f>
        <x:v>5</x:v>
      </x:c>
      <x:c r="J763" s="11" t="n">
        <x:f>IF('제외 후보'!AC763&lt;&gt;"",'선정 규칙'!$B$22,0)</x:f>
        <x:v>0</x:v>
      </x:c>
      <x:c r="K763" s="11" t="n">
        <x:f>SUM(B763:J763)</x:f>
        <x:v>4</x:v>
      </x:c>
      <x:c r="L763" s="11" t="n">
        <x:f>'제외 후보'!N763</x:f>
        <x:v>4</x:v>
      </x:c>
      <x:c r="M763" s="2" t="str">
        <x:f>IF(K763=L763,"OK","MISMATCH")</x:f>
        <x:v>OK</x:v>
      </x:c>
    </x:row>
    <x:row r="764">
      <x:c r="A764" s="2" t="str">
        <x:f>'제외 후보'!G764</x:f>
        <x:v>w_0513d7c7e92231c6</x:v>
      </x:c>
      <x:c r="B764" s="11" t="n">
        <x:f>IF('제외 후보'!Q764&lt;&gt;"",'선정 규칙'!$B$4,0)</x:f>
        <x:v>0</x:v>
      </x:c>
      <x:c r="C764" s="11" t="n">
        <x:f>IF(ISNUMBER(SEARCH("jmdict_uncommon_or_irregular",'제외 후보'!P764)),'선정 규칙'!$B$5,IF(ISNUMBER(SEARCH("jmdict_rare_or_dated",'제외 후보'!P764)),'선정 규칙'!$B$6,0))</x:f>
        <x:v>0</x:v>
      </x:c>
      <x:c r="D764" s="11" t="n">
        <x:f>IF(ISNUMBER(SEARCH("jmdict_exact_pair_not_found",'제외 후보'!P764)),'선정 규칙'!$B$7,0)</x:f>
        <x:v>0</x:v>
      </x:c>
      <x:c r="E764" s="11" t="n">
        <x:f>IF(OR('제외 후보'!L764="",'제외 후보'!L764&lt;=0),'선정 규칙'!$B$8,IF('제외 후보'!L764&lt;=1.5,'선정 규칙'!$B$9,IF('제외 후보'!L764&lt;=2,'선정 규칙'!$B$10,IF('제외 후보'!L764&lt;=2.5,'선정 규칙'!$B$11,IF('제외 후보'!L764&lt;=3,'선정 규칙'!$B$12,IF('제외 후보'!L764&lt;=3.5,'선정 규칙'!$B$13,IF('제외 후보'!L764&gt;=4.5,'선정 규칙'!$B$14,0)))))))</x:f>
        <x:v>-20</x:v>
      </x:c>
      <x:c r="F764" s="11" t="n">
        <x:f>IF('제외 후보'!Y764=0,'선정 규칙'!$B$15,IF('제외 후보'!Y764&gt;=100,'선정 규칙'!$B$16,'선정 규칙'!$B$17))</x:f>
        <x:v>12</x:v>
      </x:c>
      <x:c r="G764" s="11" t="n">
        <x:f>IF('제외 후보'!M764="있음",'선정 규칙'!$B$18,'선정 규칙'!$B$19)</x:f>
        <x:v>6</x:v>
      </x:c>
      <x:c r="H764" s="11" t="n">
        <x:f>IF(ISNUMBER(SEARCH("freq-core",'제외 후보'!AD764)),'선정 규칙'!$B$20,0)</x:f>
        <x:v>0</x:v>
      </x:c>
      <x:c r="I764" s="11" t="n">
        <x:f>IF(ISNUMBER(SEARCH("weak_legacy_content",'제외 후보'!P764)),'선정 규칙'!$B$21,0)</x:f>
        <x:v>5</x:v>
      </x:c>
      <x:c r="J764" s="11" t="n">
        <x:f>IF('제외 후보'!AC764&lt;&gt;"",'선정 규칙'!$B$22,0)</x:f>
        <x:v>0</x:v>
      </x:c>
      <x:c r="K764" s="11" t="n">
        <x:f>SUM(B764:J764)</x:f>
        <x:v>3</x:v>
      </x:c>
      <x:c r="L764" s="11" t="n">
        <x:f>'제외 후보'!N764</x:f>
        <x:v>3</x:v>
      </x:c>
      <x:c r="M764" s="2" t="str">
        <x:f>IF(K764=L764,"OK","MISMATCH")</x:f>
        <x:v>OK</x:v>
      </x:c>
    </x:row>
    <x:row r="765">
      <x:c r="A765" s="2" t="str">
        <x:f>'제외 후보'!G765</x:f>
        <x:v>w_320433fac64d8f72</x:v>
      </x:c>
      <x:c r="B765" s="11" t="n">
        <x:f>IF('제외 후보'!Q765&lt;&gt;"",'선정 규칙'!$B$4,0)</x:f>
        <x:v>0</x:v>
      </x:c>
      <x:c r="C765" s="11" t="n">
        <x:f>IF(ISNUMBER(SEARCH("jmdict_uncommon_or_irregular",'제외 후보'!P765)),'선정 규칙'!$B$5,IF(ISNUMBER(SEARCH("jmdict_rare_or_dated",'제외 후보'!P765)),'선정 규칙'!$B$6,0))</x:f>
        <x:v>0</x:v>
      </x:c>
      <x:c r="D765" s="11" t="n">
        <x:f>IF(ISNUMBER(SEARCH("jmdict_exact_pair_not_found",'제외 후보'!P765)),'선정 규칙'!$B$7,0)</x:f>
        <x:v>0</x:v>
      </x:c>
      <x:c r="E765" s="11" t="n">
        <x:f>IF(OR('제외 후보'!L765="",'제외 후보'!L765&lt;=0),'선정 규칙'!$B$8,IF('제외 후보'!L765&lt;=1.5,'선정 규칙'!$B$9,IF('제외 후보'!L765&lt;=2,'선정 규칙'!$B$10,IF('제외 후보'!L765&lt;=2.5,'선정 규칙'!$B$11,IF('제외 후보'!L765&lt;=3,'선정 규칙'!$B$12,IF('제외 후보'!L765&lt;=3.5,'선정 규칙'!$B$13,IF('제외 후보'!L765&gt;=4.5,'선정 규칙'!$B$14,0)))))))</x:f>
        <x:v>-20</x:v>
      </x:c>
      <x:c r="F765" s="11" t="n">
        <x:f>IF('제외 후보'!Y765=0,'선정 규칙'!$B$15,IF('제외 후보'!Y765&gt;=100,'선정 규칙'!$B$16,'선정 규칙'!$B$17))</x:f>
        <x:v>12</x:v>
      </x:c>
      <x:c r="G765" s="11" t="n">
        <x:f>IF('제외 후보'!M765="있음",'선정 규칙'!$B$18,'선정 규칙'!$B$19)</x:f>
        <x:v>6</x:v>
      </x:c>
      <x:c r="H765" s="11" t="n">
        <x:f>IF(ISNUMBER(SEARCH("freq-core",'제외 후보'!AD765)),'선정 규칙'!$B$20,0)</x:f>
        <x:v>0</x:v>
      </x:c>
      <x:c r="I765" s="11" t="n">
        <x:f>IF(ISNUMBER(SEARCH("weak_legacy_content",'제외 후보'!P765)),'선정 규칙'!$B$21,0)</x:f>
        <x:v>5</x:v>
      </x:c>
      <x:c r="J765" s="11" t="n">
        <x:f>IF('제외 후보'!AC765&lt;&gt;"",'선정 규칙'!$B$22,0)</x:f>
        <x:v>0</x:v>
      </x:c>
      <x:c r="K765" s="11" t="n">
        <x:f>SUM(B765:J765)</x:f>
        <x:v>3</x:v>
      </x:c>
      <x:c r="L765" s="11" t="n">
        <x:f>'제외 후보'!N765</x:f>
        <x:v>3</x:v>
      </x:c>
      <x:c r="M765" s="2" t="str">
        <x:f>IF(K765=L765,"OK","MISMATCH")</x:f>
        <x:v>OK</x:v>
      </x:c>
    </x:row>
    <x:row r="766">
      <x:c r="A766" s="2" t="str">
        <x:f>'제외 후보'!G766</x:f>
        <x:v>w_2f22a51db540eabf</x:v>
      </x:c>
      <x:c r="B766" s="11" t="n">
        <x:f>IF('제외 후보'!Q766&lt;&gt;"",'선정 규칙'!$B$4,0)</x:f>
        <x:v>0</x:v>
      </x:c>
      <x:c r="C766" s="11" t="n">
        <x:f>IF(ISNUMBER(SEARCH("jmdict_uncommon_or_irregular",'제외 후보'!P766)),'선정 규칙'!$B$5,IF(ISNUMBER(SEARCH("jmdict_rare_or_dated",'제외 후보'!P766)),'선정 규칙'!$B$6,0))</x:f>
        <x:v>0</x:v>
      </x:c>
      <x:c r="D766" s="11" t="n">
        <x:f>IF(ISNUMBER(SEARCH("jmdict_exact_pair_not_found",'제외 후보'!P766)),'선정 규칙'!$B$7,0)</x:f>
        <x:v>0</x:v>
      </x:c>
      <x:c r="E766" s="11" t="n">
        <x:f>IF(OR('제외 후보'!L766="",'제외 후보'!L766&lt;=0),'선정 규칙'!$B$8,IF('제외 후보'!L766&lt;=1.5,'선정 규칙'!$B$9,IF('제외 후보'!L766&lt;=2,'선정 규칙'!$B$10,IF('제외 후보'!L766&lt;=2.5,'선정 규칙'!$B$11,IF('제외 후보'!L766&lt;=3,'선정 규칙'!$B$12,IF('제외 후보'!L766&lt;=3.5,'선정 규칙'!$B$13,IF('제외 후보'!L766&gt;=4.5,'선정 규칙'!$B$14,0)))))))</x:f>
        <x:v>-20</x:v>
      </x:c>
      <x:c r="F766" s="11" t="n">
        <x:f>IF('제외 후보'!Y766=0,'선정 규칙'!$B$15,IF('제외 후보'!Y766&gt;=100,'선정 규칙'!$B$16,'선정 규칙'!$B$17))</x:f>
        <x:v>12</x:v>
      </x:c>
      <x:c r="G766" s="11" t="n">
        <x:f>IF('제외 후보'!M766="있음",'선정 규칙'!$B$18,'선정 규칙'!$B$19)</x:f>
        <x:v>6</x:v>
      </x:c>
      <x:c r="H766" s="11" t="n">
        <x:f>IF(ISNUMBER(SEARCH("freq-core",'제외 후보'!AD766)),'선정 규칙'!$B$20,0)</x:f>
        <x:v>0</x:v>
      </x:c>
      <x:c r="I766" s="11" t="n">
        <x:f>IF(ISNUMBER(SEARCH("weak_legacy_content",'제외 후보'!P766)),'선정 규칙'!$B$21,0)</x:f>
        <x:v>5</x:v>
      </x:c>
      <x:c r="J766" s="11" t="n">
        <x:f>IF('제외 후보'!AC766&lt;&gt;"",'선정 규칙'!$B$22,0)</x:f>
        <x:v>0</x:v>
      </x:c>
      <x:c r="K766" s="11" t="n">
        <x:f>SUM(B766:J766)</x:f>
        <x:v>3</x:v>
      </x:c>
      <x:c r="L766" s="11" t="n">
        <x:f>'제외 후보'!N766</x:f>
        <x:v>3</x:v>
      </x:c>
      <x:c r="M766" s="2" t="str">
        <x:f>IF(K766=L766,"OK","MISMATCH")</x:f>
        <x:v>OK</x:v>
      </x:c>
    </x:row>
    <x:row r="767">
      <x:c r="A767" s="2" t="str">
        <x:f>'제외 후보'!G767</x:f>
        <x:v>w_8794ea0733093080</x:v>
      </x:c>
      <x:c r="B767" s="11" t="n">
        <x:f>IF('제외 후보'!Q767&lt;&gt;"",'선정 규칙'!$B$4,0)</x:f>
        <x:v>0</x:v>
      </x:c>
      <x:c r="C767" s="11" t="n">
        <x:f>IF(ISNUMBER(SEARCH("jmdict_uncommon_or_irregular",'제외 후보'!P767)),'선정 규칙'!$B$5,IF(ISNUMBER(SEARCH("jmdict_rare_or_dated",'제외 후보'!P767)),'선정 규칙'!$B$6,0))</x:f>
        <x:v>0</x:v>
      </x:c>
      <x:c r="D767" s="11" t="n">
        <x:f>IF(ISNUMBER(SEARCH("jmdict_exact_pair_not_found",'제외 후보'!P767)),'선정 규칙'!$B$7,0)</x:f>
        <x:v>0</x:v>
      </x:c>
      <x:c r="E767" s="11" t="n">
        <x:f>IF(OR('제외 후보'!L767="",'제외 후보'!L767&lt;=0),'선정 규칙'!$B$8,IF('제외 후보'!L767&lt;=1.5,'선정 규칙'!$B$9,IF('제외 후보'!L767&lt;=2,'선정 규칙'!$B$10,IF('제외 후보'!L767&lt;=2.5,'선정 규칙'!$B$11,IF('제외 후보'!L767&lt;=3,'선정 규칙'!$B$12,IF('제외 후보'!L767&lt;=3.5,'선정 규칙'!$B$13,IF('제외 후보'!L767&gt;=4.5,'선정 규칙'!$B$14,0)))))))</x:f>
        <x:v>-20</x:v>
      </x:c>
      <x:c r="F767" s="11" t="n">
        <x:f>IF('제외 후보'!Y767=0,'선정 규칙'!$B$15,IF('제외 후보'!Y767&gt;=100,'선정 규칙'!$B$16,'선정 규칙'!$B$17))</x:f>
        <x:v>12</x:v>
      </x:c>
      <x:c r="G767" s="11" t="n">
        <x:f>IF('제외 후보'!M767="있음",'선정 규칙'!$B$18,'선정 규칙'!$B$19)</x:f>
        <x:v>6</x:v>
      </x:c>
      <x:c r="H767" s="11" t="n">
        <x:f>IF(ISNUMBER(SEARCH("freq-core",'제외 후보'!AD767)),'선정 규칙'!$B$20,0)</x:f>
        <x:v>0</x:v>
      </x:c>
      <x:c r="I767" s="11" t="n">
        <x:f>IF(ISNUMBER(SEARCH("weak_legacy_content",'제외 후보'!P767)),'선정 규칙'!$B$21,0)</x:f>
        <x:v>5</x:v>
      </x:c>
      <x:c r="J767" s="11" t="n">
        <x:f>IF('제외 후보'!AC767&lt;&gt;"",'선정 규칙'!$B$22,0)</x:f>
        <x:v>0</x:v>
      </x:c>
      <x:c r="K767" s="11" t="n">
        <x:f>SUM(B767:J767)</x:f>
        <x:v>3</x:v>
      </x:c>
      <x:c r="L767" s="11" t="n">
        <x:f>'제외 후보'!N767</x:f>
        <x:v>3</x:v>
      </x:c>
      <x:c r="M767" s="2" t="str">
        <x:f>IF(K767=L767,"OK","MISMATCH")</x:f>
        <x:v>OK</x:v>
      </x:c>
    </x:row>
    <x:row r="768">
      <x:c r="A768" s="2" t="str">
        <x:f>'제외 후보'!G768</x:f>
        <x:v>w_338ee5e182c16518</x:v>
      </x:c>
      <x:c r="B768" s="11" t="n">
        <x:f>IF('제외 후보'!Q768&lt;&gt;"",'선정 규칙'!$B$4,0)</x:f>
        <x:v>0</x:v>
      </x:c>
      <x:c r="C768" s="11" t="n">
        <x:f>IF(ISNUMBER(SEARCH("jmdict_uncommon_or_irregular",'제외 후보'!P768)),'선정 규칙'!$B$5,IF(ISNUMBER(SEARCH("jmdict_rare_or_dated",'제외 후보'!P768)),'선정 규칙'!$B$6,0))</x:f>
        <x:v>0</x:v>
      </x:c>
      <x:c r="D768" s="11" t="n">
        <x:f>IF(ISNUMBER(SEARCH("jmdict_exact_pair_not_found",'제외 후보'!P768)),'선정 규칙'!$B$7,0)</x:f>
        <x:v>0</x:v>
      </x:c>
      <x:c r="E768" s="11" t="n">
        <x:f>IF(OR('제외 후보'!L768="",'제외 후보'!L768&lt;=0),'선정 규칙'!$B$8,IF('제외 후보'!L768&lt;=1.5,'선정 규칙'!$B$9,IF('제외 후보'!L768&lt;=2,'선정 규칙'!$B$10,IF('제외 후보'!L768&lt;=2.5,'선정 규칙'!$B$11,IF('제외 후보'!L768&lt;=3,'선정 규칙'!$B$12,IF('제외 후보'!L768&lt;=3.5,'선정 규칙'!$B$13,IF('제외 후보'!L768&gt;=4.5,'선정 규칙'!$B$14,0)))))))</x:f>
        <x:v>-20</x:v>
      </x:c>
      <x:c r="F768" s="11" t="n">
        <x:f>IF('제외 후보'!Y768=0,'선정 규칙'!$B$15,IF('제외 후보'!Y768&gt;=100,'선정 규칙'!$B$16,'선정 규칙'!$B$17))</x:f>
        <x:v>12</x:v>
      </x:c>
      <x:c r="G768" s="11" t="n">
        <x:f>IF('제외 후보'!M768="있음",'선정 규칙'!$B$18,'선정 규칙'!$B$19)</x:f>
        <x:v>6</x:v>
      </x:c>
      <x:c r="H768" s="11" t="n">
        <x:f>IF(ISNUMBER(SEARCH("freq-core",'제외 후보'!AD768)),'선정 규칙'!$B$20,0)</x:f>
        <x:v>0</x:v>
      </x:c>
      <x:c r="I768" s="11" t="n">
        <x:f>IF(ISNUMBER(SEARCH("weak_legacy_content",'제외 후보'!P768)),'선정 규칙'!$B$21,0)</x:f>
        <x:v>5</x:v>
      </x:c>
      <x:c r="J768" s="11" t="n">
        <x:f>IF('제외 후보'!AC768&lt;&gt;"",'선정 규칙'!$B$22,0)</x:f>
        <x:v>0</x:v>
      </x:c>
      <x:c r="K768" s="11" t="n">
        <x:f>SUM(B768:J768)</x:f>
        <x:v>3</x:v>
      </x:c>
      <x:c r="L768" s="11" t="n">
        <x:f>'제외 후보'!N768</x:f>
        <x:v>3</x:v>
      </x:c>
      <x:c r="M768" s="2" t="str">
        <x:f>IF(K768=L768,"OK","MISMATCH")</x:f>
        <x:v>OK</x:v>
      </x:c>
    </x:row>
    <x:row r="769">
      <x:c r="A769" s="2" t="str">
        <x:f>'제외 후보'!G769</x:f>
        <x:v>w_0f0130a63fc69529</x:v>
      </x:c>
      <x:c r="B769" s="11" t="n">
        <x:f>IF('제외 후보'!Q769&lt;&gt;"",'선정 규칙'!$B$4,0)</x:f>
        <x:v>0</x:v>
      </x:c>
      <x:c r="C769" s="11" t="n">
        <x:f>IF(ISNUMBER(SEARCH("jmdict_uncommon_or_irregular",'제외 후보'!P769)),'선정 규칙'!$B$5,IF(ISNUMBER(SEARCH("jmdict_rare_or_dated",'제외 후보'!P769)),'선정 규칙'!$B$6,0))</x:f>
        <x:v>0</x:v>
      </x:c>
      <x:c r="D769" s="11" t="n">
        <x:f>IF(ISNUMBER(SEARCH("jmdict_exact_pair_not_found",'제외 후보'!P769)),'선정 규칙'!$B$7,0)</x:f>
        <x:v>0</x:v>
      </x:c>
      <x:c r="E769" s="11" t="n">
        <x:f>IF(OR('제외 후보'!L769="",'제외 후보'!L769&lt;=0),'선정 규칙'!$B$8,IF('제외 후보'!L769&lt;=1.5,'선정 규칙'!$B$9,IF('제외 후보'!L769&lt;=2,'선정 규칙'!$B$10,IF('제외 후보'!L769&lt;=2.5,'선정 규칙'!$B$11,IF('제외 후보'!L769&lt;=3,'선정 규칙'!$B$12,IF('제외 후보'!L769&lt;=3.5,'선정 규칙'!$B$13,IF('제외 후보'!L769&gt;=4.5,'선정 규칙'!$B$14,0)))))))</x:f>
        <x:v>-20</x:v>
      </x:c>
      <x:c r="F769" s="11" t="n">
        <x:f>IF('제외 후보'!Y769=0,'선정 규칙'!$B$15,IF('제외 후보'!Y769&gt;=100,'선정 규칙'!$B$16,'선정 규칙'!$B$17))</x:f>
        <x:v>12</x:v>
      </x:c>
      <x:c r="G769" s="11" t="n">
        <x:f>IF('제외 후보'!M769="있음",'선정 규칙'!$B$18,'선정 규칙'!$B$19)</x:f>
        <x:v>6</x:v>
      </x:c>
      <x:c r="H769" s="11" t="n">
        <x:f>IF(ISNUMBER(SEARCH("freq-core",'제외 후보'!AD769)),'선정 규칙'!$B$20,0)</x:f>
        <x:v>0</x:v>
      </x:c>
      <x:c r="I769" s="11" t="n">
        <x:f>IF(ISNUMBER(SEARCH("weak_legacy_content",'제외 후보'!P769)),'선정 규칙'!$B$21,0)</x:f>
        <x:v>5</x:v>
      </x:c>
      <x:c r="J769" s="11" t="n">
        <x:f>IF('제외 후보'!AC769&lt;&gt;"",'선정 규칙'!$B$22,0)</x:f>
        <x:v>0</x:v>
      </x:c>
      <x:c r="K769" s="11" t="n">
        <x:f>SUM(B769:J769)</x:f>
        <x:v>3</x:v>
      </x:c>
      <x:c r="L769" s="11" t="n">
        <x:f>'제외 후보'!N769</x:f>
        <x:v>3</x:v>
      </x:c>
      <x:c r="M769" s="2" t="str">
        <x:f>IF(K769=L769,"OK","MISMATCH")</x:f>
        <x:v>OK</x:v>
      </x:c>
    </x:row>
    <x:row r="770">
      <x:c r="A770" s="2" t="str">
        <x:f>'제외 후보'!G770</x:f>
        <x:v>w_6a8b9fc35622cafd</x:v>
      </x:c>
      <x:c r="B770" s="11" t="n">
        <x:f>IF('제외 후보'!Q770&lt;&gt;"",'선정 규칙'!$B$4,0)</x:f>
        <x:v>0</x:v>
      </x:c>
      <x:c r="C770" s="11" t="n">
        <x:f>IF(ISNUMBER(SEARCH("jmdict_uncommon_or_irregular",'제외 후보'!P770)),'선정 규칙'!$B$5,IF(ISNUMBER(SEARCH("jmdict_rare_or_dated",'제외 후보'!P770)),'선정 규칙'!$B$6,0))</x:f>
        <x:v>0</x:v>
      </x:c>
      <x:c r="D770" s="11" t="n">
        <x:f>IF(ISNUMBER(SEARCH("jmdict_exact_pair_not_found",'제외 후보'!P770)),'선정 규칙'!$B$7,0)</x:f>
        <x:v>0</x:v>
      </x:c>
      <x:c r="E770" s="11" t="n">
        <x:f>IF(OR('제외 후보'!L770="",'제외 후보'!L770&lt;=0),'선정 규칙'!$B$8,IF('제외 후보'!L770&lt;=1.5,'선정 규칙'!$B$9,IF('제외 후보'!L770&lt;=2,'선정 규칙'!$B$10,IF('제외 후보'!L770&lt;=2.5,'선정 규칙'!$B$11,IF('제외 후보'!L770&lt;=3,'선정 규칙'!$B$12,IF('제외 후보'!L770&lt;=3.5,'선정 규칙'!$B$13,IF('제외 후보'!L770&gt;=4.5,'선정 규칙'!$B$14,0)))))))</x:f>
        <x:v>-20</x:v>
      </x:c>
      <x:c r="F770" s="11" t="n">
        <x:f>IF('제외 후보'!Y770=0,'선정 규칙'!$B$15,IF('제외 후보'!Y770&gt;=100,'선정 규칙'!$B$16,'선정 규칙'!$B$17))</x:f>
        <x:v>12</x:v>
      </x:c>
      <x:c r="G770" s="11" t="n">
        <x:f>IF('제외 후보'!M770="있음",'선정 규칙'!$B$18,'선정 규칙'!$B$19)</x:f>
        <x:v>6</x:v>
      </x:c>
      <x:c r="H770" s="11" t="n">
        <x:f>IF(ISNUMBER(SEARCH("freq-core",'제외 후보'!AD770)),'선정 규칙'!$B$20,0)</x:f>
        <x:v>0</x:v>
      </x:c>
      <x:c r="I770" s="11" t="n">
        <x:f>IF(ISNUMBER(SEARCH("weak_legacy_content",'제외 후보'!P770)),'선정 규칙'!$B$21,0)</x:f>
        <x:v>5</x:v>
      </x:c>
      <x:c r="J770" s="11" t="n">
        <x:f>IF('제외 후보'!AC770&lt;&gt;"",'선정 규칙'!$B$22,0)</x:f>
        <x:v>0</x:v>
      </x:c>
      <x:c r="K770" s="11" t="n">
        <x:f>SUM(B770:J770)</x:f>
        <x:v>3</x:v>
      </x:c>
      <x:c r="L770" s="11" t="n">
        <x:f>'제외 후보'!N770</x:f>
        <x:v>3</x:v>
      </x:c>
      <x:c r="M770" s="2" t="str">
        <x:f>IF(K770=L770,"OK","MISMATCH")</x:f>
        <x:v>OK</x:v>
      </x:c>
    </x:row>
    <x:row r="771">
      <x:c r="A771" s="2" t="str">
        <x:f>'제외 후보'!G771</x:f>
        <x:v>w_abbb0d75fda64d06</x:v>
      </x:c>
      <x:c r="B771" s="11" t="n">
        <x:f>IF('제외 후보'!Q771&lt;&gt;"",'선정 규칙'!$B$4,0)</x:f>
        <x:v>0</x:v>
      </x:c>
      <x:c r="C771" s="11" t="n">
        <x:f>IF(ISNUMBER(SEARCH("jmdict_uncommon_or_irregular",'제외 후보'!P771)),'선정 규칙'!$B$5,IF(ISNUMBER(SEARCH("jmdict_rare_or_dated",'제외 후보'!P771)),'선정 규칙'!$B$6,0))</x:f>
        <x:v>0</x:v>
      </x:c>
      <x:c r="D771" s="11" t="n">
        <x:f>IF(ISNUMBER(SEARCH("jmdict_exact_pair_not_found",'제외 후보'!P771)),'선정 규칙'!$B$7,0)</x:f>
        <x:v>0</x:v>
      </x:c>
      <x:c r="E771" s="11" t="n">
        <x:f>IF(OR('제외 후보'!L771="",'제외 후보'!L771&lt;=0),'선정 규칙'!$B$8,IF('제외 후보'!L771&lt;=1.5,'선정 규칙'!$B$9,IF('제외 후보'!L771&lt;=2,'선정 규칙'!$B$10,IF('제외 후보'!L771&lt;=2.5,'선정 규칙'!$B$11,IF('제외 후보'!L771&lt;=3,'선정 규칙'!$B$12,IF('제외 후보'!L771&lt;=3.5,'선정 규칙'!$B$13,IF('제외 후보'!L771&gt;=4.5,'선정 규칙'!$B$14,0)))))))</x:f>
        <x:v>-20</x:v>
      </x:c>
      <x:c r="F771" s="11" t="n">
        <x:f>IF('제외 후보'!Y771=0,'선정 규칙'!$B$15,IF('제외 후보'!Y771&gt;=100,'선정 규칙'!$B$16,'선정 규칙'!$B$17))</x:f>
        <x:v>12</x:v>
      </x:c>
      <x:c r="G771" s="11" t="n">
        <x:f>IF('제외 후보'!M771="있음",'선정 규칙'!$B$18,'선정 규칙'!$B$19)</x:f>
        <x:v>6</x:v>
      </x:c>
      <x:c r="H771" s="11" t="n">
        <x:f>IF(ISNUMBER(SEARCH("freq-core",'제외 후보'!AD771)),'선정 규칙'!$B$20,0)</x:f>
        <x:v>0</x:v>
      </x:c>
      <x:c r="I771" s="11" t="n">
        <x:f>IF(ISNUMBER(SEARCH("weak_legacy_content",'제외 후보'!P771)),'선정 규칙'!$B$21,0)</x:f>
        <x:v>5</x:v>
      </x:c>
      <x:c r="J771" s="11" t="n">
        <x:f>IF('제외 후보'!AC771&lt;&gt;"",'선정 규칙'!$B$22,0)</x:f>
        <x:v>0</x:v>
      </x:c>
      <x:c r="K771" s="11" t="n">
        <x:f>SUM(B771:J771)</x:f>
        <x:v>3</x:v>
      </x:c>
      <x:c r="L771" s="11" t="n">
        <x:f>'제외 후보'!N771</x:f>
        <x:v>3</x:v>
      </x:c>
      <x:c r="M771" s="2" t="str">
        <x:f>IF(K771=L771,"OK","MISMATCH")</x:f>
        <x:v>OK</x:v>
      </x:c>
    </x:row>
    <x:row r="772">
      <x:c r="A772" s="2" t="str">
        <x:f>'제외 후보'!G772</x:f>
        <x:v>w_becb668d42acc36a</x:v>
      </x:c>
      <x:c r="B772" s="11" t="n">
        <x:f>IF('제외 후보'!Q772&lt;&gt;"",'선정 규칙'!$B$4,0)</x:f>
        <x:v>0</x:v>
      </x:c>
      <x:c r="C772" s="11" t="n">
        <x:f>IF(ISNUMBER(SEARCH("jmdict_uncommon_or_irregular",'제외 후보'!P772)),'선정 규칙'!$B$5,IF(ISNUMBER(SEARCH("jmdict_rare_or_dated",'제외 후보'!P772)),'선정 규칙'!$B$6,0))</x:f>
        <x:v>0</x:v>
      </x:c>
      <x:c r="D772" s="11" t="n">
        <x:f>IF(ISNUMBER(SEARCH("jmdict_exact_pair_not_found",'제외 후보'!P772)),'선정 규칙'!$B$7,0)</x:f>
        <x:v>0</x:v>
      </x:c>
      <x:c r="E772" s="11" t="n">
        <x:f>IF(OR('제외 후보'!L772="",'제외 후보'!L772&lt;=0),'선정 규칙'!$B$8,IF('제외 후보'!L772&lt;=1.5,'선정 규칙'!$B$9,IF('제외 후보'!L772&lt;=2,'선정 규칙'!$B$10,IF('제외 후보'!L772&lt;=2.5,'선정 규칙'!$B$11,IF('제외 후보'!L772&lt;=3,'선정 규칙'!$B$12,IF('제외 후보'!L772&lt;=3.5,'선정 규칙'!$B$13,IF('제외 후보'!L772&gt;=4.5,'선정 규칙'!$B$14,0)))))))</x:f>
        <x:v>-20</x:v>
      </x:c>
      <x:c r="F772" s="11" t="n">
        <x:f>IF('제외 후보'!Y772=0,'선정 규칙'!$B$15,IF('제외 후보'!Y772&gt;=100,'선정 규칙'!$B$16,'선정 규칙'!$B$17))</x:f>
        <x:v>12</x:v>
      </x:c>
      <x:c r="G772" s="11" t="n">
        <x:f>IF('제외 후보'!M772="있음",'선정 규칙'!$B$18,'선정 규칙'!$B$19)</x:f>
        <x:v>6</x:v>
      </x:c>
      <x:c r="H772" s="11" t="n">
        <x:f>IF(ISNUMBER(SEARCH("freq-core",'제외 후보'!AD772)),'선정 규칙'!$B$20,0)</x:f>
        <x:v>0</x:v>
      </x:c>
      <x:c r="I772" s="11" t="n">
        <x:f>IF(ISNUMBER(SEARCH("weak_legacy_content",'제외 후보'!P772)),'선정 규칙'!$B$21,0)</x:f>
        <x:v>5</x:v>
      </x:c>
      <x:c r="J772" s="11" t="n">
        <x:f>IF('제외 후보'!AC772&lt;&gt;"",'선정 규칙'!$B$22,0)</x:f>
        <x:v>0</x:v>
      </x:c>
      <x:c r="K772" s="11" t="n">
        <x:f>SUM(B772:J772)</x:f>
        <x:v>3</x:v>
      </x:c>
      <x:c r="L772" s="11" t="n">
        <x:f>'제외 후보'!N772</x:f>
        <x:v>3</x:v>
      </x:c>
      <x:c r="M772" s="2" t="str">
        <x:f>IF(K772=L772,"OK","MISMATCH")</x:f>
        <x:v>OK</x:v>
      </x:c>
    </x:row>
    <x:row r="773">
      <x:c r="A773" s="2" t="str">
        <x:f>'제외 후보'!G773</x:f>
        <x:v>w_abe8ce16dbbe2552</x:v>
      </x:c>
      <x:c r="B773" s="11" t="n">
        <x:f>IF('제외 후보'!Q773&lt;&gt;"",'선정 규칙'!$B$4,0)</x:f>
        <x:v>0</x:v>
      </x:c>
      <x:c r="C773" s="11" t="n">
        <x:f>IF(ISNUMBER(SEARCH("jmdict_uncommon_or_irregular",'제외 후보'!P773)),'선정 규칙'!$B$5,IF(ISNUMBER(SEARCH("jmdict_rare_or_dated",'제외 후보'!P773)),'선정 규칙'!$B$6,0))</x:f>
        <x:v>0</x:v>
      </x:c>
      <x:c r="D773" s="11" t="n">
        <x:f>IF(ISNUMBER(SEARCH("jmdict_exact_pair_not_found",'제외 후보'!P773)),'선정 규칙'!$B$7,0)</x:f>
        <x:v>0</x:v>
      </x:c>
      <x:c r="E773" s="11" t="n">
        <x:f>IF(OR('제외 후보'!L773="",'제외 후보'!L773&lt;=0),'선정 규칙'!$B$8,IF('제외 후보'!L773&lt;=1.5,'선정 규칙'!$B$9,IF('제외 후보'!L773&lt;=2,'선정 규칙'!$B$10,IF('제외 후보'!L773&lt;=2.5,'선정 규칙'!$B$11,IF('제외 후보'!L773&lt;=3,'선정 규칙'!$B$12,IF('제외 후보'!L773&lt;=3.5,'선정 규칙'!$B$13,IF('제외 후보'!L773&gt;=4.5,'선정 규칙'!$B$14,0)))))))</x:f>
        <x:v>-20</x:v>
      </x:c>
      <x:c r="F773" s="11" t="n">
        <x:f>IF('제외 후보'!Y773=0,'선정 규칙'!$B$15,IF('제외 후보'!Y773&gt;=100,'선정 규칙'!$B$16,'선정 규칙'!$B$17))</x:f>
        <x:v>12</x:v>
      </x:c>
      <x:c r="G773" s="11" t="n">
        <x:f>IF('제외 후보'!M773="있음",'선정 규칙'!$B$18,'선정 규칙'!$B$19)</x:f>
        <x:v>6</x:v>
      </x:c>
      <x:c r="H773" s="11" t="n">
        <x:f>IF(ISNUMBER(SEARCH("freq-core",'제외 후보'!AD773)),'선정 규칙'!$B$20,0)</x:f>
        <x:v>0</x:v>
      </x:c>
      <x:c r="I773" s="11" t="n">
        <x:f>IF(ISNUMBER(SEARCH("weak_legacy_content",'제외 후보'!P773)),'선정 규칙'!$B$21,0)</x:f>
        <x:v>5</x:v>
      </x:c>
      <x:c r="J773" s="11" t="n">
        <x:f>IF('제외 후보'!AC773&lt;&gt;"",'선정 규칙'!$B$22,0)</x:f>
        <x:v>0</x:v>
      </x:c>
      <x:c r="K773" s="11" t="n">
        <x:f>SUM(B773:J773)</x:f>
        <x:v>3</x:v>
      </x:c>
      <x:c r="L773" s="11" t="n">
        <x:f>'제외 후보'!N773</x:f>
        <x:v>3</x:v>
      </x:c>
      <x:c r="M773" s="2" t="str">
        <x:f>IF(K773=L773,"OK","MISMATCH")</x:f>
        <x:v>OK</x:v>
      </x:c>
    </x:row>
    <x:row r="774">
      <x:c r="A774" s="2" t="str">
        <x:f>'제외 후보'!G774</x:f>
        <x:v>w_e431b1a6abf799bf</x:v>
      </x:c>
      <x:c r="B774" s="11" t="n">
        <x:f>IF('제외 후보'!Q774&lt;&gt;"",'선정 규칙'!$B$4,0)</x:f>
        <x:v>0</x:v>
      </x:c>
      <x:c r="C774" s="11" t="n">
        <x:f>IF(ISNUMBER(SEARCH("jmdict_uncommon_or_irregular",'제외 후보'!P774)),'선정 규칙'!$B$5,IF(ISNUMBER(SEARCH("jmdict_rare_or_dated",'제외 후보'!P774)),'선정 규칙'!$B$6,0))</x:f>
        <x:v>0</x:v>
      </x:c>
      <x:c r="D774" s="11" t="n">
        <x:f>IF(ISNUMBER(SEARCH("jmdict_exact_pair_not_found",'제외 후보'!P774)),'선정 규칙'!$B$7,0)</x:f>
        <x:v>0</x:v>
      </x:c>
      <x:c r="E774" s="11" t="n">
        <x:f>IF(OR('제외 후보'!L774="",'제외 후보'!L774&lt;=0),'선정 규칙'!$B$8,IF('제외 후보'!L774&lt;=1.5,'선정 규칙'!$B$9,IF('제외 후보'!L774&lt;=2,'선정 규칙'!$B$10,IF('제외 후보'!L774&lt;=2.5,'선정 규칙'!$B$11,IF('제외 후보'!L774&lt;=3,'선정 규칙'!$B$12,IF('제외 후보'!L774&lt;=3.5,'선정 규칙'!$B$13,IF('제외 후보'!L774&gt;=4.5,'선정 규칙'!$B$14,0)))))))</x:f>
        <x:v>-20</x:v>
      </x:c>
      <x:c r="F774" s="11" t="n">
        <x:f>IF('제외 후보'!Y774=0,'선정 규칙'!$B$15,IF('제외 후보'!Y774&gt;=100,'선정 규칙'!$B$16,'선정 규칙'!$B$17))</x:f>
        <x:v>12</x:v>
      </x:c>
      <x:c r="G774" s="11" t="n">
        <x:f>IF('제외 후보'!M774="있음",'선정 규칙'!$B$18,'선정 규칙'!$B$19)</x:f>
        <x:v>6</x:v>
      </x:c>
      <x:c r="H774" s="11" t="n">
        <x:f>IF(ISNUMBER(SEARCH("freq-core",'제외 후보'!AD774)),'선정 규칙'!$B$20,0)</x:f>
        <x:v>0</x:v>
      </x:c>
      <x:c r="I774" s="11" t="n">
        <x:f>IF(ISNUMBER(SEARCH("weak_legacy_content",'제외 후보'!P774)),'선정 규칙'!$B$21,0)</x:f>
        <x:v>5</x:v>
      </x:c>
      <x:c r="J774" s="11" t="n">
        <x:f>IF('제외 후보'!AC774&lt;&gt;"",'선정 규칙'!$B$22,0)</x:f>
        <x:v>0</x:v>
      </x:c>
      <x:c r="K774" s="11" t="n">
        <x:f>SUM(B774:J774)</x:f>
        <x:v>3</x:v>
      </x:c>
      <x:c r="L774" s="11" t="n">
        <x:f>'제외 후보'!N774</x:f>
        <x:v>3</x:v>
      </x:c>
      <x:c r="M774" s="2" t="str">
        <x:f>IF(K774=L774,"OK","MISMATCH")</x:f>
        <x:v>OK</x:v>
      </x:c>
    </x:row>
    <x:row r="775">
      <x:c r="A775" s="2" t="str">
        <x:f>'제외 후보'!G775</x:f>
        <x:v>w_ca920ef451a01aa8</x:v>
      </x:c>
      <x:c r="B775" s="11" t="n">
        <x:f>IF('제외 후보'!Q775&lt;&gt;"",'선정 규칙'!$B$4,0)</x:f>
        <x:v>0</x:v>
      </x:c>
      <x:c r="C775" s="11" t="n">
        <x:f>IF(ISNUMBER(SEARCH("jmdict_uncommon_or_irregular",'제외 후보'!P775)),'선정 규칙'!$B$5,IF(ISNUMBER(SEARCH("jmdict_rare_or_dated",'제외 후보'!P775)),'선정 규칙'!$B$6,0))</x:f>
        <x:v>0</x:v>
      </x:c>
      <x:c r="D775" s="11" t="n">
        <x:f>IF(ISNUMBER(SEARCH("jmdict_exact_pair_not_found",'제외 후보'!P775)),'선정 규칙'!$B$7,0)</x:f>
        <x:v>0</x:v>
      </x:c>
      <x:c r="E775" s="11" t="n">
        <x:f>IF(OR('제외 후보'!L775="",'제외 후보'!L775&lt;=0),'선정 규칙'!$B$8,IF('제외 후보'!L775&lt;=1.5,'선정 규칙'!$B$9,IF('제외 후보'!L775&lt;=2,'선정 규칙'!$B$10,IF('제외 후보'!L775&lt;=2.5,'선정 규칙'!$B$11,IF('제외 후보'!L775&lt;=3,'선정 규칙'!$B$12,IF('제외 후보'!L775&lt;=3.5,'선정 규칙'!$B$13,IF('제외 후보'!L775&gt;=4.5,'선정 규칙'!$B$14,0)))))))</x:f>
        <x:v>-20</x:v>
      </x:c>
      <x:c r="F775" s="11" t="n">
        <x:f>IF('제외 후보'!Y775=0,'선정 규칙'!$B$15,IF('제외 후보'!Y775&gt;=100,'선정 규칙'!$B$16,'선정 규칙'!$B$17))</x:f>
        <x:v>12</x:v>
      </x:c>
      <x:c r="G775" s="11" t="n">
        <x:f>IF('제외 후보'!M775="있음",'선정 규칙'!$B$18,'선정 규칙'!$B$19)</x:f>
        <x:v>6</x:v>
      </x:c>
      <x:c r="H775" s="11" t="n">
        <x:f>IF(ISNUMBER(SEARCH("freq-core",'제외 후보'!AD775)),'선정 규칙'!$B$20,0)</x:f>
        <x:v>0</x:v>
      </x:c>
      <x:c r="I775" s="11" t="n">
        <x:f>IF(ISNUMBER(SEARCH("weak_legacy_content",'제외 후보'!P775)),'선정 규칙'!$B$21,0)</x:f>
        <x:v>5</x:v>
      </x:c>
      <x:c r="J775" s="11" t="n">
        <x:f>IF('제외 후보'!AC775&lt;&gt;"",'선정 규칙'!$B$22,0)</x:f>
        <x:v>0</x:v>
      </x:c>
      <x:c r="K775" s="11" t="n">
        <x:f>SUM(B775:J775)</x:f>
        <x:v>3</x:v>
      </x:c>
      <x:c r="L775" s="11" t="n">
        <x:f>'제외 후보'!N775</x:f>
        <x:v>3</x:v>
      </x:c>
      <x:c r="M775" s="2" t="str">
        <x:f>IF(K775=L775,"OK","MISMATCH")</x:f>
        <x:v>OK</x:v>
      </x:c>
    </x:row>
    <x:row r="776">
      <x:c r="A776" s="2" t="str">
        <x:f>'제외 후보'!G776</x:f>
        <x:v>w_44f5a21a231cf355</x:v>
      </x:c>
      <x:c r="B776" s="11" t="n">
        <x:f>IF('제외 후보'!Q776&lt;&gt;"",'선정 규칙'!$B$4,0)</x:f>
        <x:v>0</x:v>
      </x:c>
      <x:c r="C776" s="11" t="n">
        <x:f>IF(ISNUMBER(SEARCH("jmdict_uncommon_or_irregular",'제외 후보'!P776)),'선정 규칙'!$B$5,IF(ISNUMBER(SEARCH("jmdict_rare_or_dated",'제외 후보'!P776)),'선정 규칙'!$B$6,0))</x:f>
        <x:v>0</x:v>
      </x:c>
      <x:c r="D776" s="11" t="n">
        <x:f>IF(ISNUMBER(SEARCH("jmdict_exact_pair_not_found",'제외 후보'!P776)),'선정 규칙'!$B$7,0)</x:f>
        <x:v>0</x:v>
      </x:c>
      <x:c r="E776" s="11" t="n">
        <x:f>IF(OR('제외 후보'!L776="",'제외 후보'!L776&lt;=0),'선정 규칙'!$B$8,IF('제외 후보'!L776&lt;=1.5,'선정 규칙'!$B$9,IF('제외 후보'!L776&lt;=2,'선정 규칙'!$B$10,IF('제외 후보'!L776&lt;=2.5,'선정 규칙'!$B$11,IF('제외 후보'!L776&lt;=3,'선정 규칙'!$B$12,IF('제외 후보'!L776&lt;=3.5,'선정 규칙'!$B$13,IF('제외 후보'!L776&gt;=4.5,'선정 규칙'!$B$14,0)))))))</x:f>
        <x:v>-20</x:v>
      </x:c>
      <x:c r="F776" s="11" t="n">
        <x:f>IF('제외 후보'!Y776=0,'선정 규칙'!$B$15,IF('제외 후보'!Y776&gt;=100,'선정 규칙'!$B$16,'선정 규칙'!$B$17))</x:f>
        <x:v>12</x:v>
      </x:c>
      <x:c r="G776" s="11" t="n">
        <x:f>IF('제외 후보'!M776="있음",'선정 규칙'!$B$18,'선정 규칙'!$B$19)</x:f>
        <x:v>6</x:v>
      </x:c>
      <x:c r="H776" s="11" t="n">
        <x:f>IF(ISNUMBER(SEARCH("freq-core",'제외 후보'!AD776)),'선정 규칙'!$B$20,0)</x:f>
        <x:v>0</x:v>
      </x:c>
      <x:c r="I776" s="11" t="n">
        <x:f>IF(ISNUMBER(SEARCH("weak_legacy_content",'제외 후보'!P776)),'선정 규칙'!$B$21,0)</x:f>
        <x:v>5</x:v>
      </x:c>
      <x:c r="J776" s="11" t="n">
        <x:f>IF('제외 후보'!AC776&lt;&gt;"",'선정 규칙'!$B$22,0)</x:f>
        <x:v>0</x:v>
      </x:c>
      <x:c r="K776" s="11" t="n">
        <x:f>SUM(B776:J776)</x:f>
        <x:v>3</x:v>
      </x:c>
      <x:c r="L776" s="11" t="n">
        <x:f>'제외 후보'!N776</x:f>
        <x:v>3</x:v>
      </x:c>
      <x:c r="M776" s="2" t="str">
        <x:f>IF(K776=L776,"OK","MISMATCH")</x:f>
        <x:v>OK</x:v>
      </x:c>
    </x:row>
    <x:row r="777">
      <x:c r="A777" s="2" t="str">
        <x:f>'제외 후보'!G777</x:f>
        <x:v>w_42e0c253cb34d45b</x:v>
      </x:c>
      <x:c r="B777" s="11" t="n">
        <x:f>IF('제외 후보'!Q777&lt;&gt;"",'선정 규칙'!$B$4,0)</x:f>
        <x:v>0</x:v>
      </x:c>
      <x:c r="C777" s="11" t="n">
        <x:f>IF(ISNUMBER(SEARCH("jmdict_uncommon_or_irregular",'제외 후보'!P777)),'선정 규칙'!$B$5,IF(ISNUMBER(SEARCH("jmdict_rare_or_dated",'제외 후보'!P777)),'선정 규칙'!$B$6,0))</x:f>
        <x:v>0</x:v>
      </x:c>
      <x:c r="D777" s="11" t="n">
        <x:f>IF(ISNUMBER(SEARCH("jmdict_exact_pair_not_found",'제외 후보'!P777)),'선정 규칙'!$B$7,0)</x:f>
        <x:v>0</x:v>
      </x:c>
      <x:c r="E777" s="11" t="n">
        <x:f>IF(OR('제외 후보'!L777="",'제외 후보'!L777&lt;=0),'선정 규칙'!$B$8,IF('제외 후보'!L777&lt;=1.5,'선정 규칙'!$B$9,IF('제외 후보'!L777&lt;=2,'선정 규칙'!$B$10,IF('제외 후보'!L777&lt;=2.5,'선정 규칙'!$B$11,IF('제외 후보'!L777&lt;=3,'선정 규칙'!$B$12,IF('제외 후보'!L777&lt;=3.5,'선정 규칙'!$B$13,IF('제외 후보'!L777&gt;=4.5,'선정 규칙'!$B$14,0)))))))</x:f>
        <x:v>-20</x:v>
      </x:c>
      <x:c r="F777" s="11" t="n">
        <x:f>IF('제외 후보'!Y777=0,'선정 규칙'!$B$15,IF('제외 후보'!Y777&gt;=100,'선정 규칙'!$B$16,'선정 규칙'!$B$17))</x:f>
        <x:v>12</x:v>
      </x:c>
      <x:c r="G777" s="11" t="n">
        <x:f>IF('제외 후보'!M777="있음",'선정 규칙'!$B$18,'선정 규칙'!$B$19)</x:f>
        <x:v>6</x:v>
      </x:c>
      <x:c r="H777" s="11" t="n">
        <x:f>IF(ISNUMBER(SEARCH("freq-core",'제외 후보'!AD777)),'선정 규칙'!$B$20,0)</x:f>
        <x:v>0</x:v>
      </x:c>
      <x:c r="I777" s="11" t="n">
        <x:f>IF(ISNUMBER(SEARCH("weak_legacy_content",'제외 후보'!P777)),'선정 규칙'!$B$21,0)</x:f>
        <x:v>5</x:v>
      </x:c>
      <x:c r="J777" s="11" t="n">
        <x:f>IF('제외 후보'!AC777&lt;&gt;"",'선정 규칙'!$B$22,0)</x:f>
        <x:v>0</x:v>
      </x:c>
      <x:c r="K777" s="11" t="n">
        <x:f>SUM(B777:J777)</x:f>
        <x:v>3</x:v>
      </x:c>
      <x:c r="L777" s="11" t="n">
        <x:f>'제외 후보'!N777</x:f>
        <x:v>3</x:v>
      </x:c>
      <x:c r="M777" s="2" t="str">
        <x:f>IF(K777=L777,"OK","MISMATCH")</x:f>
        <x:v>OK</x:v>
      </x:c>
    </x:row>
    <x:row r="778">
      <x:c r="A778" s="2" t="str">
        <x:f>'제외 후보'!G778</x:f>
        <x:v>w_10bb84681c578e93</x:v>
      </x:c>
      <x:c r="B778" s="11" t="n">
        <x:f>IF('제외 후보'!Q778&lt;&gt;"",'선정 규칙'!$B$4,0)</x:f>
        <x:v>0</x:v>
      </x:c>
      <x:c r="C778" s="11" t="n">
        <x:f>IF(ISNUMBER(SEARCH("jmdict_uncommon_or_irregular",'제외 후보'!P778)),'선정 규칙'!$B$5,IF(ISNUMBER(SEARCH("jmdict_rare_or_dated",'제외 후보'!P778)),'선정 규칙'!$B$6,0))</x:f>
        <x:v>0</x:v>
      </x:c>
      <x:c r="D778" s="11" t="n">
        <x:f>IF(ISNUMBER(SEARCH("jmdict_exact_pair_not_found",'제외 후보'!P778)),'선정 규칙'!$B$7,0)</x:f>
        <x:v>0</x:v>
      </x:c>
      <x:c r="E778" s="11" t="n">
        <x:f>IF(OR('제외 후보'!L778="",'제외 후보'!L778&lt;=0),'선정 규칙'!$B$8,IF('제외 후보'!L778&lt;=1.5,'선정 규칙'!$B$9,IF('제외 후보'!L778&lt;=2,'선정 규칙'!$B$10,IF('제외 후보'!L778&lt;=2.5,'선정 규칙'!$B$11,IF('제외 후보'!L778&lt;=3,'선정 규칙'!$B$12,IF('제외 후보'!L778&lt;=3.5,'선정 규칙'!$B$13,IF('제외 후보'!L778&gt;=4.5,'선정 규칙'!$B$14,0)))))))</x:f>
        <x:v>-20</x:v>
      </x:c>
      <x:c r="F778" s="11" t="n">
        <x:f>IF('제외 후보'!Y778=0,'선정 규칙'!$B$15,IF('제외 후보'!Y778&gt;=100,'선정 규칙'!$B$16,'선정 규칙'!$B$17))</x:f>
        <x:v>12</x:v>
      </x:c>
      <x:c r="G778" s="11" t="n">
        <x:f>IF('제외 후보'!M778="있음",'선정 규칙'!$B$18,'선정 규칙'!$B$19)</x:f>
        <x:v>6</x:v>
      </x:c>
      <x:c r="H778" s="11" t="n">
        <x:f>IF(ISNUMBER(SEARCH("freq-core",'제외 후보'!AD778)),'선정 규칙'!$B$20,0)</x:f>
        <x:v>0</x:v>
      </x:c>
      <x:c r="I778" s="11" t="n">
        <x:f>IF(ISNUMBER(SEARCH("weak_legacy_content",'제외 후보'!P778)),'선정 규칙'!$B$21,0)</x:f>
        <x:v>5</x:v>
      </x:c>
      <x:c r="J778" s="11" t="n">
        <x:f>IF('제외 후보'!AC778&lt;&gt;"",'선정 규칙'!$B$22,0)</x:f>
        <x:v>0</x:v>
      </x:c>
      <x:c r="K778" s="11" t="n">
        <x:f>SUM(B778:J778)</x:f>
        <x:v>3</x:v>
      </x:c>
      <x:c r="L778" s="11" t="n">
        <x:f>'제외 후보'!N778</x:f>
        <x:v>3</x:v>
      </x:c>
      <x:c r="M778" s="2" t="str">
        <x:f>IF(K778=L778,"OK","MISMATCH")</x:f>
        <x:v>OK</x:v>
      </x:c>
    </x:row>
    <x:row r="779">
      <x:c r="A779" s="2" t="str">
        <x:f>'제외 후보'!G779</x:f>
        <x:v>w_45ab19ce71cbb933</x:v>
      </x:c>
      <x:c r="B779" s="11" t="n">
        <x:f>IF('제외 후보'!Q779&lt;&gt;"",'선정 규칙'!$B$4,0)</x:f>
        <x:v>0</x:v>
      </x:c>
      <x:c r="C779" s="11" t="n">
        <x:f>IF(ISNUMBER(SEARCH("jmdict_uncommon_or_irregular",'제외 후보'!P779)),'선정 규칙'!$B$5,IF(ISNUMBER(SEARCH("jmdict_rare_or_dated",'제외 후보'!P779)),'선정 규칙'!$B$6,0))</x:f>
        <x:v>0</x:v>
      </x:c>
      <x:c r="D779" s="11" t="n">
        <x:f>IF(ISNUMBER(SEARCH("jmdict_exact_pair_not_found",'제외 후보'!P779)),'선정 규칙'!$B$7,0)</x:f>
        <x:v>0</x:v>
      </x:c>
      <x:c r="E779" s="11" t="n">
        <x:f>IF(OR('제외 후보'!L779="",'제외 후보'!L779&lt;=0),'선정 규칙'!$B$8,IF('제외 후보'!L779&lt;=1.5,'선정 규칙'!$B$9,IF('제외 후보'!L779&lt;=2,'선정 규칙'!$B$10,IF('제외 후보'!L779&lt;=2.5,'선정 규칙'!$B$11,IF('제외 후보'!L779&lt;=3,'선정 규칙'!$B$12,IF('제외 후보'!L779&lt;=3.5,'선정 규칙'!$B$13,IF('제외 후보'!L779&gt;=4.5,'선정 규칙'!$B$14,0)))))))</x:f>
        <x:v>-20</x:v>
      </x:c>
      <x:c r="F779" s="11" t="n">
        <x:f>IF('제외 후보'!Y779=0,'선정 규칙'!$B$15,IF('제외 후보'!Y779&gt;=100,'선정 규칙'!$B$16,'선정 규칙'!$B$17))</x:f>
        <x:v>12</x:v>
      </x:c>
      <x:c r="G779" s="11" t="n">
        <x:f>IF('제외 후보'!M779="있음",'선정 규칙'!$B$18,'선정 규칙'!$B$19)</x:f>
        <x:v>6</x:v>
      </x:c>
      <x:c r="H779" s="11" t="n">
        <x:f>IF(ISNUMBER(SEARCH("freq-core",'제외 후보'!AD779)),'선정 규칙'!$B$20,0)</x:f>
        <x:v>0</x:v>
      </x:c>
      <x:c r="I779" s="11" t="n">
        <x:f>IF(ISNUMBER(SEARCH("weak_legacy_content",'제외 후보'!P779)),'선정 규칙'!$B$21,0)</x:f>
        <x:v>5</x:v>
      </x:c>
      <x:c r="J779" s="11" t="n">
        <x:f>IF('제외 후보'!AC779&lt;&gt;"",'선정 규칙'!$B$22,0)</x:f>
        <x:v>0</x:v>
      </x:c>
      <x:c r="K779" s="11" t="n">
        <x:f>SUM(B779:J779)</x:f>
        <x:v>3</x:v>
      </x:c>
      <x:c r="L779" s="11" t="n">
        <x:f>'제외 후보'!N779</x:f>
        <x:v>3</x:v>
      </x:c>
      <x:c r="M779" s="2" t="str">
        <x:f>IF(K779=L779,"OK","MISMATCH")</x:f>
        <x:v>OK</x:v>
      </x:c>
    </x:row>
    <x:row r="780">
      <x:c r="A780" s="2" t="str">
        <x:f>'제외 후보'!G780</x:f>
        <x:v>w_a2adf1cb9c70191e</x:v>
      </x:c>
      <x:c r="B780" s="11" t="n">
        <x:f>IF('제외 후보'!Q780&lt;&gt;"",'선정 규칙'!$B$4,0)</x:f>
        <x:v>0</x:v>
      </x:c>
      <x:c r="C780" s="11" t="n">
        <x:f>IF(ISNUMBER(SEARCH("jmdict_uncommon_or_irregular",'제외 후보'!P780)),'선정 규칙'!$B$5,IF(ISNUMBER(SEARCH("jmdict_rare_or_dated",'제외 후보'!P780)),'선정 규칙'!$B$6,0))</x:f>
        <x:v>0</x:v>
      </x:c>
      <x:c r="D780" s="11" t="n">
        <x:f>IF(ISNUMBER(SEARCH("jmdict_exact_pair_not_found",'제외 후보'!P780)),'선정 규칙'!$B$7,0)</x:f>
        <x:v>0</x:v>
      </x:c>
      <x:c r="E780" s="11" t="n">
        <x:f>IF(OR('제외 후보'!L780="",'제외 후보'!L780&lt;=0),'선정 규칙'!$B$8,IF('제외 후보'!L780&lt;=1.5,'선정 규칙'!$B$9,IF('제외 후보'!L780&lt;=2,'선정 규칙'!$B$10,IF('제외 후보'!L780&lt;=2.5,'선정 규칙'!$B$11,IF('제외 후보'!L780&lt;=3,'선정 규칙'!$B$12,IF('제외 후보'!L780&lt;=3.5,'선정 규칙'!$B$13,IF('제외 후보'!L780&gt;=4.5,'선정 규칙'!$B$14,0)))))))</x:f>
        <x:v>-20</x:v>
      </x:c>
      <x:c r="F780" s="11" t="n">
        <x:f>IF('제외 후보'!Y780=0,'선정 규칙'!$B$15,IF('제외 후보'!Y780&gt;=100,'선정 규칙'!$B$16,'선정 규칙'!$B$17))</x:f>
        <x:v>12</x:v>
      </x:c>
      <x:c r="G780" s="11" t="n">
        <x:f>IF('제외 후보'!M780="있음",'선정 규칙'!$B$18,'선정 규칙'!$B$19)</x:f>
        <x:v>6</x:v>
      </x:c>
      <x:c r="H780" s="11" t="n">
        <x:f>IF(ISNUMBER(SEARCH("freq-core",'제외 후보'!AD780)),'선정 규칙'!$B$20,0)</x:f>
        <x:v>0</x:v>
      </x:c>
      <x:c r="I780" s="11" t="n">
        <x:f>IF(ISNUMBER(SEARCH("weak_legacy_content",'제외 후보'!P780)),'선정 규칙'!$B$21,0)</x:f>
        <x:v>5</x:v>
      </x:c>
      <x:c r="J780" s="11" t="n">
        <x:f>IF('제외 후보'!AC780&lt;&gt;"",'선정 규칙'!$B$22,0)</x:f>
        <x:v>0</x:v>
      </x:c>
      <x:c r="K780" s="11" t="n">
        <x:f>SUM(B780:J780)</x:f>
        <x:v>3</x:v>
      </x:c>
      <x:c r="L780" s="11" t="n">
        <x:f>'제외 후보'!N780</x:f>
        <x:v>3</x:v>
      </x:c>
      <x:c r="M780" s="2" t="str">
        <x:f>IF(K780=L780,"OK","MISMATCH")</x:f>
        <x:v>OK</x:v>
      </x:c>
    </x:row>
    <x:row r="781">
      <x:c r="A781" s="2" t="str">
        <x:f>'제외 후보'!G781</x:f>
        <x:v>w_ff1cb7abea5c169d</x:v>
      </x:c>
      <x:c r="B781" s="11" t="n">
        <x:f>IF('제외 후보'!Q781&lt;&gt;"",'선정 규칙'!$B$4,0)</x:f>
        <x:v>0</x:v>
      </x:c>
      <x:c r="C781" s="11" t="n">
        <x:f>IF(ISNUMBER(SEARCH("jmdict_uncommon_or_irregular",'제외 후보'!P781)),'선정 규칙'!$B$5,IF(ISNUMBER(SEARCH("jmdict_rare_or_dated",'제외 후보'!P781)),'선정 규칙'!$B$6,0))</x:f>
        <x:v>0</x:v>
      </x:c>
      <x:c r="D781" s="11" t="n">
        <x:f>IF(ISNUMBER(SEARCH("jmdict_exact_pair_not_found",'제외 후보'!P781)),'선정 규칙'!$B$7,0)</x:f>
        <x:v>0</x:v>
      </x:c>
      <x:c r="E781" s="11" t="n">
        <x:f>IF(OR('제외 후보'!L781="",'제외 후보'!L781&lt;=0),'선정 규칙'!$B$8,IF('제외 후보'!L781&lt;=1.5,'선정 규칙'!$B$9,IF('제외 후보'!L781&lt;=2,'선정 규칙'!$B$10,IF('제외 후보'!L781&lt;=2.5,'선정 규칙'!$B$11,IF('제외 후보'!L781&lt;=3,'선정 규칙'!$B$12,IF('제외 후보'!L781&lt;=3.5,'선정 규칙'!$B$13,IF('제외 후보'!L781&gt;=4.5,'선정 규칙'!$B$14,0)))))))</x:f>
        <x:v>-20</x:v>
      </x:c>
      <x:c r="F781" s="11" t="n">
        <x:f>IF('제외 후보'!Y781=0,'선정 규칙'!$B$15,IF('제외 후보'!Y781&gt;=100,'선정 규칙'!$B$16,'선정 규칙'!$B$17))</x:f>
        <x:v>12</x:v>
      </x:c>
      <x:c r="G781" s="11" t="n">
        <x:f>IF('제외 후보'!M781="있음",'선정 규칙'!$B$18,'선정 규칙'!$B$19)</x:f>
        <x:v>6</x:v>
      </x:c>
      <x:c r="H781" s="11" t="n">
        <x:f>IF(ISNUMBER(SEARCH("freq-core",'제외 후보'!AD781)),'선정 규칙'!$B$20,0)</x:f>
        <x:v>0</x:v>
      </x:c>
      <x:c r="I781" s="11" t="n">
        <x:f>IF(ISNUMBER(SEARCH("weak_legacy_content",'제외 후보'!P781)),'선정 규칙'!$B$21,0)</x:f>
        <x:v>5</x:v>
      </x:c>
      <x:c r="J781" s="11" t="n">
        <x:f>IF('제외 후보'!AC781&lt;&gt;"",'선정 규칙'!$B$22,0)</x:f>
        <x:v>0</x:v>
      </x:c>
      <x:c r="K781" s="11" t="n">
        <x:f>SUM(B781:J781)</x:f>
        <x:v>3</x:v>
      </x:c>
      <x:c r="L781" s="11" t="n">
        <x:f>'제외 후보'!N781</x:f>
        <x:v>3</x:v>
      </x:c>
      <x:c r="M781" s="2" t="str">
        <x:f>IF(K781=L781,"OK","MISMATCH")</x:f>
        <x:v>OK</x:v>
      </x:c>
    </x:row>
    <x:row r="782">
      <x:c r="A782" s="2" t="str">
        <x:f>'제외 후보'!G782</x:f>
        <x:v>w_0f985655aefb7416</x:v>
      </x:c>
      <x:c r="B782" s="11" t="n">
        <x:f>IF('제외 후보'!Q782&lt;&gt;"",'선정 규칙'!$B$4,0)</x:f>
        <x:v>0</x:v>
      </x:c>
      <x:c r="C782" s="11" t="n">
        <x:f>IF(ISNUMBER(SEARCH("jmdict_uncommon_or_irregular",'제외 후보'!P782)),'선정 규칙'!$B$5,IF(ISNUMBER(SEARCH("jmdict_rare_or_dated",'제외 후보'!P782)),'선정 규칙'!$B$6,0))</x:f>
        <x:v>0</x:v>
      </x:c>
      <x:c r="D782" s="11" t="n">
        <x:f>IF(ISNUMBER(SEARCH("jmdict_exact_pair_not_found",'제외 후보'!P782)),'선정 규칙'!$B$7,0)</x:f>
        <x:v>0</x:v>
      </x:c>
      <x:c r="E782" s="11" t="n">
        <x:f>IF(OR('제외 후보'!L782="",'제외 후보'!L782&lt;=0),'선정 규칙'!$B$8,IF('제외 후보'!L782&lt;=1.5,'선정 규칙'!$B$9,IF('제외 후보'!L782&lt;=2,'선정 규칙'!$B$10,IF('제외 후보'!L782&lt;=2.5,'선정 규칙'!$B$11,IF('제외 후보'!L782&lt;=3,'선정 규칙'!$B$12,IF('제외 후보'!L782&lt;=3.5,'선정 규칙'!$B$13,IF('제외 후보'!L782&gt;=4.5,'선정 규칙'!$B$14,0)))))))</x:f>
        <x:v>-20</x:v>
      </x:c>
      <x:c r="F782" s="11" t="n">
        <x:f>IF('제외 후보'!Y782=0,'선정 규칙'!$B$15,IF('제외 후보'!Y782&gt;=100,'선정 규칙'!$B$16,'선정 규칙'!$B$17))</x:f>
        <x:v>12</x:v>
      </x:c>
      <x:c r="G782" s="11" t="n">
        <x:f>IF('제외 후보'!M782="있음",'선정 규칙'!$B$18,'선정 규칙'!$B$19)</x:f>
        <x:v>6</x:v>
      </x:c>
      <x:c r="H782" s="11" t="n">
        <x:f>IF(ISNUMBER(SEARCH("freq-core",'제외 후보'!AD782)),'선정 규칙'!$B$20,0)</x:f>
        <x:v>0</x:v>
      </x:c>
      <x:c r="I782" s="11" t="n">
        <x:f>IF(ISNUMBER(SEARCH("weak_legacy_content",'제외 후보'!P782)),'선정 규칙'!$B$21,0)</x:f>
        <x:v>5</x:v>
      </x:c>
      <x:c r="J782" s="11" t="n">
        <x:f>IF('제외 후보'!AC782&lt;&gt;"",'선정 규칙'!$B$22,0)</x:f>
        <x:v>0</x:v>
      </x:c>
      <x:c r="K782" s="11" t="n">
        <x:f>SUM(B782:J782)</x:f>
        <x:v>3</x:v>
      </x:c>
      <x:c r="L782" s="11" t="n">
        <x:f>'제외 후보'!N782</x:f>
        <x:v>3</x:v>
      </x:c>
      <x:c r="M782" s="2" t="str">
        <x:f>IF(K782=L782,"OK","MISMATCH")</x:f>
        <x:v>OK</x:v>
      </x:c>
    </x:row>
    <x:row r="783">
      <x:c r="A783" s="2" t="str">
        <x:f>'제외 후보'!G783</x:f>
        <x:v>w_7f53883dfec13912</x:v>
      </x:c>
      <x:c r="B783" s="11" t="n">
        <x:f>IF('제외 후보'!Q783&lt;&gt;"",'선정 규칙'!$B$4,0)</x:f>
        <x:v>0</x:v>
      </x:c>
      <x:c r="C783" s="11" t="n">
        <x:f>IF(ISNUMBER(SEARCH("jmdict_uncommon_or_irregular",'제외 후보'!P783)),'선정 규칙'!$B$5,IF(ISNUMBER(SEARCH("jmdict_rare_or_dated",'제외 후보'!P783)),'선정 규칙'!$B$6,0))</x:f>
        <x:v>0</x:v>
      </x:c>
      <x:c r="D783" s="11" t="n">
        <x:f>IF(ISNUMBER(SEARCH("jmdict_exact_pair_not_found",'제외 후보'!P783)),'선정 규칙'!$B$7,0)</x:f>
        <x:v>0</x:v>
      </x:c>
      <x:c r="E783" s="11" t="n">
        <x:f>IF(OR('제외 후보'!L783="",'제외 후보'!L783&lt;=0),'선정 규칙'!$B$8,IF('제외 후보'!L783&lt;=1.5,'선정 규칙'!$B$9,IF('제외 후보'!L783&lt;=2,'선정 규칙'!$B$10,IF('제외 후보'!L783&lt;=2.5,'선정 규칙'!$B$11,IF('제외 후보'!L783&lt;=3,'선정 규칙'!$B$12,IF('제외 후보'!L783&lt;=3.5,'선정 규칙'!$B$13,IF('제외 후보'!L783&gt;=4.5,'선정 규칙'!$B$14,0)))))))</x:f>
        <x:v>-20</x:v>
      </x:c>
      <x:c r="F783" s="11" t="n">
        <x:f>IF('제외 후보'!Y783=0,'선정 규칙'!$B$15,IF('제외 후보'!Y783&gt;=100,'선정 규칙'!$B$16,'선정 규칙'!$B$17))</x:f>
        <x:v>12</x:v>
      </x:c>
      <x:c r="G783" s="11" t="n">
        <x:f>IF('제외 후보'!M783="있음",'선정 규칙'!$B$18,'선정 규칙'!$B$19)</x:f>
        <x:v>6</x:v>
      </x:c>
      <x:c r="H783" s="11" t="n">
        <x:f>IF(ISNUMBER(SEARCH("freq-core",'제외 후보'!AD783)),'선정 규칙'!$B$20,0)</x:f>
        <x:v>0</x:v>
      </x:c>
      <x:c r="I783" s="11" t="n">
        <x:f>IF(ISNUMBER(SEARCH("weak_legacy_content",'제외 후보'!P783)),'선정 규칙'!$B$21,0)</x:f>
        <x:v>5</x:v>
      </x:c>
      <x:c r="J783" s="11" t="n">
        <x:f>IF('제외 후보'!AC783&lt;&gt;"",'선정 규칙'!$B$22,0)</x:f>
        <x:v>0</x:v>
      </x:c>
      <x:c r="K783" s="11" t="n">
        <x:f>SUM(B783:J783)</x:f>
        <x:v>3</x:v>
      </x:c>
      <x:c r="L783" s="11" t="n">
        <x:f>'제외 후보'!N783</x:f>
        <x:v>3</x:v>
      </x:c>
      <x:c r="M783" s="2" t="str">
        <x:f>IF(K783=L783,"OK","MISMATCH")</x:f>
        <x:v>OK</x:v>
      </x:c>
    </x:row>
    <x:row r="784">
      <x:c r="A784" s="2" t="str">
        <x:f>'제외 후보'!G784</x:f>
        <x:v>w_ee8feeec8a1af066</x:v>
      </x:c>
      <x:c r="B784" s="11" t="n">
        <x:f>IF('제외 후보'!Q784&lt;&gt;"",'선정 규칙'!$B$4,0)</x:f>
        <x:v>0</x:v>
      </x:c>
      <x:c r="C784" s="11" t="n">
        <x:f>IF(ISNUMBER(SEARCH("jmdict_uncommon_or_irregular",'제외 후보'!P784)),'선정 규칙'!$B$5,IF(ISNUMBER(SEARCH("jmdict_rare_or_dated",'제외 후보'!P784)),'선정 규칙'!$B$6,0))</x:f>
        <x:v>0</x:v>
      </x:c>
      <x:c r="D784" s="11" t="n">
        <x:f>IF(ISNUMBER(SEARCH("jmdict_exact_pair_not_found",'제외 후보'!P784)),'선정 규칙'!$B$7,0)</x:f>
        <x:v>0</x:v>
      </x:c>
      <x:c r="E784" s="11" t="n">
        <x:f>IF(OR('제외 후보'!L784="",'제외 후보'!L784&lt;=0),'선정 규칙'!$B$8,IF('제외 후보'!L784&lt;=1.5,'선정 규칙'!$B$9,IF('제외 후보'!L784&lt;=2,'선정 규칙'!$B$10,IF('제외 후보'!L784&lt;=2.5,'선정 규칙'!$B$11,IF('제외 후보'!L784&lt;=3,'선정 규칙'!$B$12,IF('제외 후보'!L784&lt;=3.5,'선정 규칙'!$B$13,IF('제외 후보'!L784&gt;=4.5,'선정 규칙'!$B$14,0)))))))</x:f>
        <x:v>-20</x:v>
      </x:c>
      <x:c r="F784" s="11" t="n">
        <x:f>IF('제외 후보'!Y784=0,'선정 규칙'!$B$15,IF('제외 후보'!Y784&gt;=100,'선정 규칙'!$B$16,'선정 규칙'!$B$17))</x:f>
        <x:v>12</x:v>
      </x:c>
      <x:c r="G784" s="11" t="n">
        <x:f>IF('제외 후보'!M784="있음",'선정 규칙'!$B$18,'선정 규칙'!$B$19)</x:f>
        <x:v>6</x:v>
      </x:c>
      <x:c r="H784" s="11" t="n">
        <x:f>IF(ISNUMBER(SEARCH("freq-core",'제외 후보'!AD784)),'선정 규칙'!$B$20,0)</x:f>
        <x:v>0</x:v>
      </x:c>
      <x:c r="I784" s="11" t="n">
        <x:f>IF(ISNUMBER(SEARCH("weak_legacy_content",'제외 후보'!P784)),'선정 규칙'!$B$21,0)</x:f>
        <x:v>5</x:v>
      </x:c>
      <x:c r="J784" s="11" t="n">
        <x:f>IF('제외 후보'!AC784&lt;&gt;"",'선정 규칙'!$B$22,0)</x:f>
        <x:v>0</x:v>
      </x:c>
      <x:c r="K784" s="11" t="n">
        <x:f>SUM(B784:J784)</x:f>
        <x:v>3</x:v>
      </x:c>
      <x:c r="L784" s="11" t="n">
        <x:f>'제외 후보'!N784</x:f>
        <x:v>3</x:v>
      </x:c>
      <x:c r="M784" s="2" t="str">
        <x:f>IF(K784=L784,"OK","MISMATCH")</x:f>
        <x:v>OK</x:v>
      </x:c>
    </x:row>
    <x:row r="785">
      <x:c r="A785" s="2" t="str">
        <x:f>'제외 후보'!G785</x:f>
        <x:v>w_adac5888a59ff412</x:v>
      </x:c>
      <x:c r="B785" s="11" t="n">
        <x:f>IF('제외 후보'!Q785&lt;&gt;"",'선정 규칙'!$B$4,0)</x:f>
        <x:v>0</x:v>
      </x:c>
      <x:c r="C785" s="11" t="n">
        <x:f>IF(ISNUMBER(SEARCH("jmdict_uncommon_or_irregular",'제외 후보'!P785)),'선정 규칙'!$B$5,IF(ISNUMBER(SEARCH("jmdict_rare_or_dated",'제외 후보'!P785)),'선정 규칙'!$B$6,0))</x:f>
        <x:v>0</x:v>
      </x:c>
      <x:c r="D785" s="11" t="n">
        <x:f>IF(ISNUMBER(SEARCH("jmdict_exact_pair_not_found",'제외 후보'!P785)),'선정 규칙'!$B$7,0)</x:f>
        <x:v>0</x:v>
      </x:c>
      <x:c r="E785" s="11" t="n">
        <x:f>IF(OR('제외 후보'!L785="",'제외 후보'!L785&lt;=0),'선정 규칙'!$B$8,IF('제외 후보'!L785&lt;=1.5,'선정 규칙'!$B$9,IF('제외 후보'!L785&lt;=2,'선정 규칙'!$B$10,IF('제외 후보'!L785&lt;=2.5,'선정 규칙'!$B$11,IF('제외 후보'!L785&lt;=3,'선정 규칙'!$B$12,IF('제외 후보'!L785&lt;=3.5,'선정 규칙'!$B$13,IF('제외 후보'!L785&gt;=4.5,'선정 규칙'!$B$14,0)))))))</x:f>
        <x:v>-20</x:v>
      </x:c>
      <x:c r="F785" s="11" t="n">
        <x:f>IF('제외 후보'!Y785=0,'선정 규칙'!$B$15,IF('제외 후보'!Y785&gt;=100,'선정 규칙'!$B$16,'선정 규칙'!$B$17))</x:f>
        <x:v>12</x:v>
      </x:c>
      <x:c r="G785" s="11" t="n">
        <x:f>IF('제외 후보'!M785="있음",'선정 규칙'!$B$18,'선정 규칙'!$B$19)</x:f>
        <x:v>6</x:v>
      </x:c>
      <x:c r="H785" s="11" t="n">
        <x:f>IF(ISNUMBER(SEARCH("freq-core",'제외 후보'!AD785)),'선정 규칙'!$B$20,0)</x:f>
        <x:v>0</x:v>
      </x:c>
      <x:c r="I785" s="11" t="n">
        <x:f>IF(ISNUMBER(SEARCH("weak_legacy_content",'제외 후보'!P785)),'선정 규칙'!$B$21,0)</x:f>
        <x:v>5</x:v>
      </x:c>
      <x:c r="J785" s="11" t="n">
        <x:f>IF('제외 후보'!AC785&lt;&gt;"",'선정 규칙'!$B$22,0)</x:f>
        <x:v>0</x:v>
      </x:c>
      <x:c r="K785" s="11" t="n">
        <x:f>SUM(B785:J785)</x:f>
        <x:v>3</x:v>
      </x:c>
      <x:c r="L785" s="11" t="n">
        <x:f>'제외 후보'!N785</x:f>
        <x:v>3</x:v>
      </x:c>
      <x:c r="M785" s="2" t="str">
        <x:f>IF(K785=L785,"OK","MISMATCH")</x:f>
        <x:v>OK</x:v>
      </x:c>
    </x:row>
    <x:row r="786">
      <x:c r="A786" s="2" t="str">
        <x:f>'제외 후보'!G786</x:f>
        <x:v>w_64df6e045aa7c770</x:v>
      </x:c>
      <x:c r="B786" s="11" t="n">
        <x:f>IF('제외 후보'!Q786&lt;&gt;"",'선정 규칙'!$B$4,0)</x:f>
        <x:v>0</x:v>
      </x:c>
      <x:c r="C786" s="11" t="n">
        <x:f>IF(ISNUMBER(SEARCH("jmdict_uncommon_or_irregular",'제외 후보'!P786)),'선정 규칙'!$B$5,IF(ISNUMBER(SEARCH("jmdict_rare_or_dated",'제외 후보'!P786)),'선정 규칙'!$B$6,0))</x:f>
        <x:v>0</x:v>
      </x:c>
      <x:c r="D786" s="11" t="n">
        <x:f>IF(ISNUMBER(SEARCH("jmdict_exact_pair_not_found",'제외 후보'!P786)),'선정 규칙'!$B$7,0)</x:f>
        <x:v>0</x:v>
      </x:c>
      <x:c r="E786" s="11" t="n">
        <x:f>IF(OR('제외 후보'!L786="",'제외 후보'!L786&lt;=0),'선정 규칙'!$B$8,IF('제외 후보'!L786&lt;=1.5,'선정 규칙'!$B$9,IF('제외 후보'!L786&lt;=2,'선정 규칙'!$B$10,IF('제외 후보'!L786&lt;=2.5,'선정 규칙'!$B$11,IF('제외 후보'!L786&lt;=3,'선정 규칙'!$B$12,IF('제외 후보'!L786&lt;=3.5,'선정 규칙'!$B$13,IF('제외 후보'!L786&gt;=4.5,'선정 규칙'!$B$14,0)))))))</x:f>
        <x:v>-20</x:v>
      </x:c>
      <x:c r="F786" s="11" t="n">
        <x:f>IF('제외 후보'!Y786=0,'선정 규칙'!$B$15,IF('제외 후보'!Y786&gt;=100,'선정 규칙'!$B$16,'선정 규칙'!$B$17))</x:f>
        <x:v>12</x:v>
      </x:c>
      <x:c r="G786" s="11" t="n">
        <x:f>IF('제외 후보'!M786="있음",'선정 규칙'!$B$18,'선정 규칙'!$B$19)</x:f>
        <x:v>6</x:v>
      </x:c>
      <x:c r="H786" s="11" t="n">
        <x:f>IF(ISNUMBER(SEARCH("freq-core",'제외 후보'!AD786)),'선정 규칙'!$B$20,0)</x:f>
        <x:v>0</x:v>
      </x:c>
      <x:c r="I786" s="11" t="n">
        <x:f>IF(ISNUMBER(SEARCH("weak_legacy_content",'제외 후보'!P786)),'선정 규칙'!$B$21,0)</x:f>
        <x:v>5</x:v>
      </x:c>
      <x:c r="J786" s="11" t="n">
        <x:f>IF('제외 후보'!AC786&lt;&gt;"",'선정 규칙'!$B$22,0)</x:f>
        <x:v>0</x:v>
      </x:c>
      <x:c r="K786" s="11" t="n">
        <x:f>SUM(B786:J786)</x:f>
        <x:v>3</x:v>
      </x:c>
      <x:c r="L786" s="11" t="n">
        <x:f>'제외 후보'!N786</x:f>
        <x:v>3</x:v>
      </x:c>
      <x:c r="M786" s="2" t="str">
        <x:f>IF(K786=L786,"OK","MISMATCH")</x:f>
        <x:v>OK</x:v>
      </x:c>
    </x:row>
    <x:row r="787">
      <x:c r="A787" s="2" t="str">
        <x:f>'제외 후보'!G787</x:f>
        <x:v>w_0fdee89d4ad3a5cd</x:v>
      </x:c>
      <x:c r="B787" s="11" t="n">
        <x:f>IF('제외 후보'!Q787&lt;&gt;"",'선정 규칙'!$B$4,0)</x:f>
        <x:v>0</x:v>
      </x:c>
      <x:c r="C787" s="11" t="n">
        <x:f>IF(ISNUMBER(SEARCH("jmdict_uncommon_or_irregular",'제외 후보'!P787)),'선정 규칙'!$B$5,IF(ISNUMBER(SEARCH("jmdict_rare_or_dated",'제외 후보'!P787)),'선정 규칙'!$B$6,0))</x:f>
        <x:v>0</x:v>
      </x:c>
      <x:c r="D787" s="11" t="n">
        <x:f>IF(ISNUMBER(SEARCH("jmdict_exact_pair_not_found",'제외 후보'!P787)),'선정 규칙'!$B$7,0)</x:f>
        <x:v>0</x:v>
      </x:c>
      <x:c r="E787" s="11" t="n">
        <x:f>IF(OR('제외 후보'!L787="",'제외 후보'!L787&lt;=0),'선정 규칙'!$B$8,IF('제외 후보'!L787&lt;=1.5,'선정 규칙'!$B$9,IF('제외 후보'!L787&lt;=2,'선정 규칙'!$B$10,IF('제외 후보'!L787&lt;=2.5,'선정 규칙'!$B$11,IF('제외 후보'!L787&lt;=3,'선정 규칙'!$B$12,IF('제외 후보'!L787&lt;=3.5,'선정 규칙'!$B$13,IF('제외 후보'!L787&gt;=4.5,'선정 규칙'!$B$14,0)))))))</x:f>
        <x:v>-20</x:v>
      </x:c>
      <x:c r="F787" s="11" t="n">
        <x:f>IF('제외 후보'!Y787=0,'선정 규칙'!$B$15,IF('제외 후보'!Y787&gt;=100,'선정 규칙'!$B$16,'선정 규칙'!$B$17))</x:f>
        <x:v>12</x:v>
      </x:c>
      <x:c r="G787" s="11" t="n">
        <x:f>IF('제외 후보'!M787="있음",'선정 규칙'!$B$18,'선정 규칙'!$B$19)</x:f>
        <x:v>6</x:v>
      </x:c>
      <x:c r="H787" s="11" t="n">
        <x:f>IF(ISNUMBER(SEARCH("freq-core",'제외 후보'!AD787)),'선정 규칙'!$B$20,0)</x:f>
        <x:v>0</x:v>
      </x:c>
      <x:c r="I787" s="11" t="n">
        <x:f>IF(ISNUMBER(SEARCH("weak_legacy_content",'제외 후보'!P787)),'선정 규칙'!$B$21,0)</x:f>
        <x:v>5</x:v>
      </x:c>
      <x:c r="J787" s="11" t="n">
        <x:f>IF('제외 후보'!AC787&lt;&gt;"",'선정 규칙'!$B$22,0)</x:f>
        <x:v>0</x:v>
      </x:c>
      <x:c r="K787" s="11" t="n">
        <x:f>SUM(B787:J787)</x:f>
        <x:v>3</x:v>
      </x:c>
      <x:c r="L787" s="11" t="n">
        <x:f>'제외 후보'!N787</x:f>
        <x:v>3</x:v>
      </x:c>
      <x:c r="M787" s="2" t="str">
        <x:f>IF(K787=L787,"OK","MISMATCH")</x:f>
        <x:v>OK</x:v>
      </x:c>
    </x:row>
    <x:row r="788">
      <x:c r="A788" s="2" t="str">
        <x:f>'제외 후보'!G788</x:f>
        <x:v>w_be72fb5e742abac1</x:v>
      </x:c>
      <x:c r="B788" s="11" t="n">
        <x:f>IF('제외 후보'!Q788&lt;&gt;"",'선정 규칙'!$B$4,0)</x:f>
        <x:v>0</x:v>
      </x:c>
      <x:c r="C788" s="11" t="n">
        <x:f>IF(ISNUMBER(SEARCH("jmdict_uncommon_or_irregular",'제외 후보'!P788)),'선정 규칙'!$B$5,IF(ISNUMBER(SEARCH("jmdict_rare_or_dated",'제외 후보'!P788)),'선정 규칙'!$B$6,0))</x:f>
        <x:v>0</x:v>
      </x:c>
      <x:c r="D788" s="11" t="n">
        <x:f>IF(ISNUMBER(SEARCH("jmdict_exact_pair_not_found",'제외 후보'!P788)),'선정 규칙'!$B$7,0)</x:f>
        <x:v>0</x:v>
      </x:c>
      <x:c r="E788" s="11" t="n">
        <x:f>IF(OR('제외 후보'!L788="",'제외 후보'!L788&lt;=0),'선정 규칙'!$B$8,IF('제외 후보'!L788&lt;=1.5,'선정 규칙'!$B$9,IF('제외 후보'!L788&lt;=2,'선정 규칙'!$B$10,IF('제외 후보'!L788&lt;=2.5,'선정 규칙'!$B$11,IF('제외 후보'!L788&lt;=3,'선정 규칙'!$B$12,IF('제외 후보'!L788&lt;=3.5,'선정 규칙'!$B$13,IF('제외 후보'!L788&gt;=4.5,'선정 규칙'!$B$14,0)))))))</x:f>
        <x:v>-20</x:v>
      </x:c>
      <x:c r="F788" s="11" t="n">
        <x:f>IF('제외 후보'!Y788=0,'선정 규칙'!$B$15,IF('제외 후보'!Y788&gt;=100,'선정 규칙'!$B$16,'선정 규칙'!$B$17))</x:f>
        <x:v>12</x:v>
      </x:c>
      <x:c r="G788" s="11" t="n">
        <x:f>IF('제외 후보'!M788="있음",'선정 규칙'!$B$18,'선정 규칙'!$B$19)</x:f>
        <x:v>6</x:v>
      </x:c>
      <x:c r="H788" s="11" t="n">
        <x:f>IF(ISNUMBER(SEARCH("freq-core",'제외 후보'!AD788)),'선정 규칙'!$B$20,0)</x:f>
        <x:v>0</x:v>
      </x:c>
      <x:c r="I788" s="11" t="n">
        <x:f>IF(ISNUMBER(SEARCH("weak_legacy_content",'제외 후보'!P788)),'선정 규칙'!$B$21,0)</x:f>
        <x:v>5</x:v>
      </x:c>
      <x:c r="J788" s="11" t="n">
        <x:f>IF('제외 후보'!AC788&lt;&gt;"",'선정 규칙'!$B$22,0)</x:f>
        <x:v>0</x:v>
      </x:c>
      <x:c r="K788" s="11" t="n">
        <x:f>SUM(B788:J788)</x:f>
        <x:v>3</x:v>
      </x:c>
      <x:c r="L788" s="11" t="n">
        <x:f>'제외 후보'!N788</x:f>
        <x:v>3</x:v>
      </x:c>
      <x:c r="M788" s="2" t="str">
        <x:f>IF(K788=L788,"OK","MISMATCH")</x:f>
        <x:v>OK</x:v>
      </x:c>
    </x:row>
    <x:row r="789">
      <x:c r="A789" s="2" t="str">
        <x:f>'제외 후보'!G789</x:f>
        <x:v>w_155335c07d28c16f</x:v>
      </x:c>
      <x:c r="B789" s="11" t="n">
        <x:f>IF('제외 후보'!Q789&lt;&gt;"",'선정 규칙'!$B$4,0)</x:f>
        <x:v>0</x:v>
      </x:c>
      <x:c r="C789" s="11" t="n">
        <x:f>IF(ISNUMBER(SEARCH("jmdict_uncommon_or_irregular",'제외 후보'!P789)),'선정 규칙'!$B$5,IF(ISNUMBER(SEARCH("jmdict_rare_or_dated",'제외 후보'!P789)),'선정 규칙'!$B$6,0))</x:f>
        <x:v>0</x:v>
      </x:c>
      <x:c r="D789" s="11" t="n">
        <x:f>IF(ISNUMBER(SEARCH("jmdict_exact_pair_not_found",'제외 후보'!P789)),'선정 규칙'!$B$7,0)</x:f>
        <x:v>0</x:v>
      </x:c>
      <x:c r="E789" s="11" t="n">
        <x:f>IF(OR('제외 후보'!L789="",'제외 후보'!L789&lt;=0),'선정 규칙'!$B$8,IF('제외 후보'!L789&lt;=1.5,'선정 규칙'!$B$9,IF('제외 후보'!L789&lt;=2,'선정 규칙'!$B$10,IF('제외 후보'!L789&lt;=2.5,'선정 규칙'!$B$11,IF('제외 후보'!L789&lt;=3,'선정 규칙'!$B$12,IF('제외 후보'!L789&lt;=3.5,'선정 규칙'!$B$13,IF('제외 후보'!L789&gt;=4.5,'선정 규칙'!$B$14,0)))))))</x:f>
        <x:v>-20</x:v>
      </x:c>
      <x:c r="F789" s="11" t="n">
        <x:f>IF('제외 후보'!Y789=0,'선정 규칙'!$B$15,IF('제외 후보'!Y789&gt;=100,'선정 규칙'!$B$16,'선정 규칙'!$B$17))</x:f>
        <x:v>12</x:v>
      </x:c>
      <x:c r="G789" s="11" t="n">
        <x:f>IF('제외 후보'!M789="있음",'선정 규칙'!$B$18,'선정 규칙'!$B$19)</x:f>
        <x:v>6</x:v>
      </x:c>
      <x:c r="H789" s="11" t="n">
        <x:f>IF(ISNUMBER(SEARCH("freq-core",'제외 후보'!AD789)),'선정 규칙'!$B$20,0)</x:f>
        <x:v>0</x:v>
      </x:c>
      <x:c r="I789" s="11" t="n">
        <x:f>IF(ISNUMBER(SEARCH("weak_legacy_content",'제외 후보'!P789)),'선정 규칙'!$B$21,0)</x:f>
        <x:v>5</x:v>
      </x:c>
      <x:c r="J789" s="11" t="n">
        <x:f>IF('제외 후보'!AC789&lt;&gt;"",'선정 규칙'!$B$22,0)</x:f>
        <x:v>0</x:v>
      </x:c>
      <x:c r="K789" s="11" t="n">
        <x:f>SUM(B789:J789)</x:f>
        <x:v>3</x:v>
      </x:c>
      <x:c r="L789" s="11" t="n">
        <x:f>'제외 후보'!N789</x:f>
        <x:v>3</x:v>
      </x:c>
      <x:c r="M789" s="2" t="str">
        <x:f>IF(K789=L789,"OK","MISMATCH")</x:f>
        <x:v>OK</x:v>
      </x:c>
    </x:row>
    <x:row r="790">
      <x:c r="A790" s="2" t="str">
        <x:f>'제외 후보'!G790</x:f>
        <x:v>w_292817345462763f</x:v>
      </x:c>
      <x:c r="B790" s="11" t="n">
        <x:f>IF('제외 후보'!Q790&lt;&gt;"",'선정 규칙'!$B$4,0)</x:f>
        <x:v>0</x:v>
      </x:c>
      <x:c r="C790" s="11" t="n">
        <x:f>IF(ISNUMBER(SEARCH("jmdict_uncommon_or_irregular",'제외 후보'!P790)),'선정 규칙'!$B$5,IF(ISNUMBER(SEARCH("jmdict_rare_or_dated",'제외 후보'!P790)),'선정 규칙'!$B$6,0))</x:f>
        <x:v>0</x:v>
      </x:c>
      <x:c r="D790" s="11" t="n">
        <x:f>IF(ISNUMBER(SEARCH("jmdict_exact_pair_not_found",'제외 후보'!P790)),'선정 규칙'!$B$7,0)</x:f>
        <x:v>0</x:v>
      </x:c>
      <x:c r="E790" s="11" t="n">
        <x:f>IF(OR('제외 후보'!L790="",'제외 후보'!L790&lt;=0),'선정 규칙'!$B$8,IF('제외 후보'!L790&lt;=1.5,'선정 규칙'!$B$9,IF('제외 후보'!L790&lt;=2,'선정 규칙'!$B$10,IF('제외 후보'!L790&lt;=2.5,'선정 규칙'!$B$11,IF('제외 후보'!L790&lt;=3,'선정 규칙'!$B$12,IF('제외 후보'!L790&lt;=3.5,'선정 규칙'!$B$13,IF('제외 후보'!L790&gt;=4.5,'선정 규칙'!$B$14,0)))))))</x:f>
        <x:v>-20</x:v>
      </x:c>
      <x:c r="F790" s="11" t="n">
        <x:f>IF('제외 후보'!Y790=0,'선정 규칙'!$B$15,IF('제외 후보'!Y790&gt;=100,'선정 규칙'!$B$16,'선정 규칙'!$B$17))</x:f>
        <x:v>12</x:v>
      </x:c>
      <x:c r="G790" s="11" t="n">
        <x:f>IF('제외 후보'!M790="있음",'선정 규칙'!$B$18,'선정 규칙'!$B$19)</x:f>
        <x:v>6</x:v>
      </x:c>
      <x:c r="H790" s="11" t="n">
        <x:f>IF(ISNUMBER(SEARCH("freq-core",'제외 후보'!AD790)),'선정 규칙'!$B$20,0)</x:f>
        <x:v>0</x:v>
      </x:c>
      <x:c r="I790" s="11" t="n">
        <x:f>IF(ISNUMBER(SEARCH("weak_legacy_content",'제외 후보'!P790)),'선정 규칙'!$B$21,0)</x:f>
        <x:v>5</x:v>
      </x:c>
      <x:c r="J790" s="11" t="n">
        <x:f>IF('제외 후보'!AC790&lt;&gt;"",'선정 규칙'!$B$22,0)</x:f>
        <x:v>0</x:v>
      </x:c>
      <x:c r="K790" s="11" t="n">
        <x:f>SUM(B790:J790)</x:f>
        <x:v>3</x:v>
      </x:c>
      <x:c r="L790" s="11" t="n">
        <x:f>'제외 후보'!N790</x:f>
        <x:v>3</x:v>
      </x:c>
      <x:c r="M790" s="2" t="str">
        <x:f>IF(K790=L790,"OK","MISMATCH")</x:f>
        <x:v>OK</x:v>
      </x:c>
    </x:row>
    <x:row r="791">
      <x:c r="A791" s="2" t="str">
        <x:f>'제외 후보'!G791</x:f>
        <x:v>w_f007df3b1f8867ce</x:v>
      </x:c>
      <x:c r="B791" s="11" t="n">
        <x:f>IF('제외 후보'!Q791&lt;&gt;"",'선정 규칙'!$B$4,0)</x:f>
        <x:v>0</x:v>
      </x:c>
      <x:c r="C791" s="11" t="n">
        <x:f>IF(ISNUMBER(SEARCH("jmdict_uncommon_or_irregular",'제외 후보'!P791)),'선정 규칙'!$B$5,IF(ISNUMBER(SEARCH("jmdict_rare_or_dated",'제외 후보'!P791)),'선정 규칙'!$B$6,0))</x:f>
        <x:v>0</x:v>
      </x:c>
      <x:c r="D791" s="11" t="n">
        <x:f>IF(ISNUMBER(SEARCH("jmdict_exact_pair_not_found",'제외 후보'!P791)),'선정 규칙'!$B$7,0)</x:f>
        <x:v>0</x:v>
      </x:c>
      <x:c r="E791" s="11" t="n">
        <x:f>IF(OR('제외 후보'!L791="",'제외 후보'!L791&lt;=0),'선정 규칙'!$B$8,IF('제외 후보'!L791&lt;=1.5,'선정 규칙'!$B$9,IF('제외 후보'!L791&lt;=2,'선정 규칙'!$B$10,IF('제외 후보'!L791&lt;=2.5,'선정 규칙'!$B$11,IF('제외 후보'!L791&lt;=3,'선정 규칙'!$B$12,IF('제외 후보'!L791&lt;=3.5,'선정 규칙'!$B$13,IF('제외 후보'!L791&gt;=4.5,'선정 규칙'!$B$14,0)))))))</x:f>
        <x:v>-20</x:v>
      </x:c>
      <x:c r="F791" s="11" t="n">
        <x:f>IF('제외 후보'!Y791=0,'선정 규칙'!$B$15,IF('제외 후보'!Y791&gt;=100,'선정 규칙'!$B$16,'선정 규칙'!$B$17))</x:f>
        <x:v>12</x:v>
      </x:c>
      <x:c r="G791" s="11" t="n">
        <x:f>IF('제외 후보'!M791="있음",'선정 규칙'!$B$18,'선정 규칙'!$B$19)</x:f>
        <x:v>6</x:v>
      </x:c>
      <x:c r="H791" s="11" t="n">
        <x:f>IF(ISNUMBER(SEARCH("freq-core",'제외 후보'!AD791)),'선정 규칙'!$B$20,0)</x:f>
        <x:v>0</x:v>
      </x:c>
      <x:c r="I791" s="11" t="n">
        <x:f>IF(ISNUMBER(SEARCH("weak_legacy_content",'제외 후보'!P791)),'선정 규칙'!$B$21,0)</x:f>
        <x:v>5</x:v>
      </x:c>
      <x:c r="J791" s="11" t="n">
        <x:f>IF('제외 후보'!AC791&lt;&gt;"",'선정 규칙'!$B$22,0)</x:f>
        <x:v>0</x:v>
      </x:c>
      <x:c r="K791" s="11" t="n">
        <x:f>SUM(B791:J791)</x:f>
        <x:v>3</x:v>
      </x:c>
      <x:c r="L791" s="11" t="n">
        <x:f>'제외 후보'!N791</x:f>
        <x:v>3</x:v>
      </x:c>
      <x:c r="M791" s="2" t="str">
        <x:f>IF(K791=L791,"OK","MISMATCH")</x:f>
        <x:v>OK</x:v>
      </x:c>
    </x:row>
    <x:row r="792">
      <x:c r="A792" s="2" t="str">
        <x:f>'제외 후보'!G792</x:f>
        <x:v>w_e2e3863ce345255f</x:v>
      </x:c>
      <x:c r="B792" s="11" t="n">
        <x:f>IF('제외 후보'!Q792&lt;&gt;"",'선정 규칙'!$B$4,0)</x:f>
        <x:v>0</x:v>
      </x:c>
      <x:c r="C792" s="11" t="n">
        <x:f>IF(ISNUMBER(SEARCH("jmdict_uncommon_or_irregular",'제외 후보'!P792)),'선정 규칙'!$B$5,IF(ISNUMBER(SEARCH("jmdict_rare_or_dated",'제외 후보'!P792)),'선정 규칙'!$B$6,0))</x:f>
        <x:v>0</x:v>
      </x:c>
      <x:c r="D792" s="11" t="n">
        <x:f>IF(ISNUMBER(SEARCH("jmdict_exact_pair_not_found",'제외 후보'!P792)),'선정 규칙'!$B$7,0)</x:f>
        <x:v>0</x:v>
      </x:c>
      <x:c r="E792" s="11" t="n">
        <x:f>IF(OR('제외 후보'!L792="",'제외 후보'!L792&lt;=0),'선정 규칙'!$B$8,IF('제외 후보'!L792&lt;=1.5,'선정 규칙'!$B$9,IF('제외 후보'!L792&lt;=2,'선정 규칙'!$B$10,IF('제외 후보'!L792&lt;=2.5,'선정 규칙'!$B$11,IF('제외 후보'!L792&lt;=3,'선정 규칙'!$B$12,IF('제외 후보'!L792&lt;=3.5,'선정 규칙'!$B$13,IF('제외 후보'!L792&gt;=4.5,'선정 규칙'!$B$14,0)))))))</x:f>
        <x:v>-20</x:v>
      </x:c>
      <x:c r="F792" s="11" t="n">
        <x:f>IF('제외 후보'!Y792=0,'선정 규칙'!$B$15,IF('제외 후보'!Y792&gt;=100,'선정 규칙'!$B$16,'선정 규칙'!$B$17))</x:f>
        <x:v>12</x:v>
      </x:c>
      <x:c r="G792" s="11" t="n">
        <x:f>IF('제외 후보'!M792="있음",'선정 규칙'!$B$18,'선정 규칙'!$B$19)</x:f>
        <x:v>6</x:v>
      </x:c>
      <x:c r="H792" s="11" t="n">
        <x:f>IF(ISNUMBER(SEARCH("freq-core",'제외 후보'!AD792)),'선정 규칙'!$B$20,0)</x:f>
        <x:v>0</x:v>
      </x:c>
      <x:c r="I792" s="11" t="n">
        <x:f>IF(ISNUMBER(SEARCH("weak_legacy_content",'제외 후보'!P792)),'선정 규칙'!$B$21,0)</x:f>
        <x:v>5</x:v>
      </x:c>
      <x:c r="J792" s="11" t="n">
        <x:f>IF('제외 후보'!AC792&lt;&gt;"",'선정 규칙'!$B$22,0)</x:f>
        <x:v>0</x:v>
      </x:c>
      <x:c r="K792" s="11" t="n">
        <x:f>SUM(B792:J792)</x:f>
        <x:v>3</x:v>
      </x:c>
      <x:c r="L792" s="11" t="n">
        <x:f>'제외 후보'!N792</x:f>
        <x:v>3</x:v>
      </x:c>
      <x:c r="M792" s="2" t="str">
        <x:f>IF(K792=L792,"OK","MISMATCH")</x:f>
        <x:v>OK</x:v>
      </x:c>
    </x:row>
    <x:row r="793">
      <x:c r="A793" s="2" t="str">
        <x:f>'제외 후보'!G793</x:f>
        <x:v>w_c1fa05de22c8bc5d</x:v>
      </x:c>
      <x:c r="B793" s="11" t="n">
        <x:f>IF('제외 후보'!Q793&lt;&gt;"",'선정 규칙'!$B$4,0)</x:f>
        <x:v>0</x:v>
      </x:c>
      <x:c r="C793" s="11" t="n">
        <x:f>IF(ISNUMBER(SEARCH("jmdict_uncommon_or_irregular",'제외 후보'!P793)),'선정 규칙'!$B$5,IF(ISNUMBER(SEARCH("jmdict_rare_or_dated",'제외 후보'!P793)),'선정 규칙'!$B$6,0))</x:f>
        <x:v>0</x:v>
      </x:c>
      <x:c r="D793" s="11" t="n">
        <x:f>IF(ISNUMBER(SEARCH("jmdict_exact_pair_not_found",'제외 후보'!P793)),'선정 규칙'!$B$7,0)</x:f>
        <x:v>0</x:v>
      </x:c>
      <x:c r="E793" s="11" t="n">
        <x:f>IF(OR('제외 후보'!L793="",'제외 후보'!L793&lt;=0),'선정 규칙'!$B$8,IF('제외 후보'!L793&lt;=1.5,'선정 규칙'!$B$9,IF('제외 후보'!L793&lt;=2,'선정 규칙'!$B$10,IF('제외 후보'!L793&lt;=2.5,'선정 규칙'!$B$11,IF('제외 후보'!L793&lt;=3,'선정 규칙'!$B$12,IF('제외 후보'!L793&lt;=3.5,'선정 규칙'!$B$13,IF('제외 후보'!L793&gt;=4.5,'선정 규칙'!$B$14,0)))))))</x:f>
        <x:v>-20</x:v>
      </x:c>
      <x:c r="F793" s="11" t="n">
        <x:f>IF('제외 후보'!Y793=0,'선정 규칙'!$B$15,IF('제외 후보'!Y793&gt;=100,'선정 규칙'!$B$16,'선정 규칙'!$B$17))</x:f>
        <x:v>12</x:v>
      </x:c>
      <x:c r="G793" s="11" t="n">
        <x:f>IF('제외 후보'!M793="있음",'선정 규칙'!$B$18,'선정 규칙'!$B$19)</x:f>
        <x:v>6</x:v>
      </x:c>
      <x:c r="H793" s="11" t="n">
        <x:f>IF(ISNUMBER(SEARCH("freq-core",'제외 후보'!AD793)),'선정 규칙'!$B$20,0)</x:f>
        <x:v>0</x:v>
      </x:c>
      <x:c r="I793" s="11" t="n">
        <x:f>IF(ISNUMBER(SEARCH("weak_legacy_content",'제외 후보'!P793)),'선정 규칙'!$B$21,0)</x:f>
        <x:v>5</x:v>
      </x:c>
      <x:c r="J793" s="11" t="n">
        <x:f>IF('제외 후보'!AC793&lt;&gt;"",'선정 규칙'!$B$22,0)</x:f>
        <x:v>0</x:v>
      </x:c>
      <x:c r="K793" s="11" t="n">
        <x:f>SUM(B793:J793)</x:f>
        <x:v>3</x:v>
      </x:c>
      <x:c r="L793" s="11" t="n">
        <x:f>'제외 후보'!N793</x:f>
        <x:v>3</x:v>
      </x:c>
      <x:c r="M793" s="2" t="str">
        <x:f>IF(K793=L793,"OK","MISMATCH")</x:f>
        <x:v>OK</x:v>
      </x:c>
    </x:row>
    <x:row r="794">
      <x:c r="A794" s="2" t="str">
        <x:f>'제외 후보'!G794</x:f>
        <x:v>w_d137de623e1e1eed</x:v>
      </x:c>
      <x:c r="B794" s="11" t="n">
        <x:f>IF('제외 후보'!Q794&lt;&gt;"",'선정 규칙'!$B$4,0)</x:f>
        <x:v>0</x:v>
      </x:c>
      <x:c r="C794" s="11" t="n">
        <x:f>IF(ISNUMBER(SEARCH("jmdict_uncommon_or_irregular",'제외 후보'!P794)),'선정 규칙'!$B$5,IF(ISNUMBER(SEARCH("jmdict_rare_or_dated",'제외 후보'!P794)),'선정 규칙'!$B$6,0))</x:f>
        <x:v>0</x:v>
      </x:c>
      <x:c r="D794" s="11" t="n">
        <x:f>IF(ISNUMBER(SEARCH("jmdict_exact_pair_not_found",'제외 후보'!P794)),'선정 규칙'!$B$7,0)</x:f>
        <x:v>0</x:v>
      </x:c>
      <x:c r="E794" s="11" t="n">
        <x:f>IF(OR('제외 후보'!L794="",'제외 후보'!L794&lt;=0),'선정 규칙'!$B$8,IF('제외 후보'!L794&lt;=1.5,'선정 규칙'!$B$9,IF('제외 후보'!L794&lt;=2,'선정 규칙'!$B$10,IF('제외 후보'!L794&lt;=2.5,'선정 규칙'!$B$11,IF('제외 후보'!L794&lt;=3,'선정 규칙'!$B$12,IF('제외 후보'!L794&lt;=3.5,'선정 규칙'!$B$13,IF('제외 후보'!L794&gt;=4.5,'선정 규칙'!$B$14,0)))))))</x:f>
        <x:v>-20</x:v>
      </x:c>
      <x:c r="F794" s="11" t="n">
        <x:f>IF('제외 후보'!Y794=0,'선정 규칙'!$B$15,IF('제외 후보'!Y794&gt;=100,'선정 규칙'!$B$16,'선정 규칙'!$B$17))</x:f>
        <x:v>12</x:v>
      </x:c>
      <x:c r="G794" s="11" t="n">
        <x:f>IF('제외 후보'!M794="있음",'선정 규칙'!$B$18,'선정 규칙'!$B$19)</x:f>
        <x:v>6</x:v>
      </x:c>
      <x:c r="H794" s="11" t="n">
        <x:f>IF(ISNUMBER(SEARCH("freq-core",'제외 후보'!AD794)),'선정 규칙'!$B$20,0)</x:f>
        <x:v>0</x:v>
      </x:c>
      <x:c r="I794" s="11" t="n">
        <x:f>IF(ISNUMBER(SEARCH("weak_legacy_content",'제외 후보'!P794)),'선정 규칙'!$B$21,0)</x:f>
        <x:v>5</x:v>
      </x:c>
      <x:c r="J794" s="11" t="n">
        <x:f>IF('제외 후보'!AC794&lt;&gt;"",'선정 규칙'!$B$22,0)</x:f>
        <x:v>0</x:v>
      </x:c>
      <x:c r="K794" s="11" t="n">
        <x:f>SUM(B794:J794)</x:f>
        <x:v>3</x:v>
      </x:c>
      <x:c r="L794" s="11" t="n">
        <x:f>'제외 후보'!N794</x:f>
        <x:v>3</x:v>
      </x:c>
      <x:c r="M794" s="2" t="str">
        <x:f>IF(K794=L794,"OK","MISMATCH")</x:f>
        <x:v>OK</x:v>
      </x:c>
    </x:row>
    <x:row r="795">
      <x:c r="A795" s="2" t="str">
        <x:f>'제외 후보'!G795</x:f>
        <x:v>w_918c3022ec6cc0f1</x:v>
      </x:c>
      <x:c r="B795" s="11" t="n">
        <x:f>IF('제외 후보'!Q795&lt;&gt;"",'선정 규칙'!$B$4,0)</x:f>
        <x:v>0</x:v>
      </x:c>
      <x:c r="C795" s="11" t="n">
        <x:f>IF(ISNUMBER(SEARCH("jmdict_uncommon_or_irregular",'제외 후보'!P795)),'선정 규칙'!$B$5,IF(ISNUMBER(SEARCH("jmdict_rare_or_dated",'제외 후보'!P795)),'선정 규칙'!$B$6,0))</x:f>
        <x:v>0</x:v>
      </x:c>
      <x:c r="D795" s="11" t="n">
        <x:f>IF(ISNUMBER(SEARCH("jmdict_exact_pair_not_found",'제외 후보'!P795)),'선정 규칙'!$B$7,0)</x:f>
        <x:v>0</x:v>
      </x:c>
      <x:c r="E795" s="11" t="n">
        <x:f>IF(OR('제외 후보'!L795="",'제외 후보'!L795&lt;=0),'선정 규칙'!$B$8,IF('제외 후보'!L795&lt;=1.5,'선정 규칙'!$B$9,IF('제외 후보'!L795&lt;=2,'선정 규칙'!$B$10,IF('제외 후보'!L795&lt;=2.5,'선정 규칙'!$B$11,IF('제외 후보'!L795&lt;=3,'선정 규칙'!$B$12,IF('제외 후보'!L795&lt;=3.5,'선정 규칙'!$B$13,IF('제외 후보'!L795&gt;=4.5,'선정 규칙'!$B$14,0)))))))</x:f>
        <x:v>-20</x:v>
      </x:c>
      <x:c r="F795" s="11" t="n">
        <x:f>IF('제외 후보'!Y795=0,'선정 규칙'!$B$15,IF('제외 후보'!Y795&gt;=100,'선정 규칙'!$B$16,'선정 규칙'!$B$17))</x:f>
        <x:v>12</x:v>
      </x:c>
      <x:c r="G795" s="11" t="n">
        <x:f>IF('제외 후보'!M795="있음",'선정 규칙'!$B$18,'선정 규칙'!$B$19)</x:f>
        <x:v>6</x:v>
      </x:c>
      <x:c r="H795" s="11" t="n">
        <x:f>IF(ISNUMBER(SEARCH("freq-core",'제외 후보'!AD795)),'선정 규칙'!$B$20,0)</x:f>
        <x:v>0</x:v>
      </x:c>
      <x:c r="I795" s="11" t="n">
        <x:f>IF(ISNUMBER(SEARCH("weak_legacy_content",'제외 후보'!P795)),'선정 규칙'!$B$21,0)</x:f>
        <x:v>5</x:v>
      </x:c>
      <x:c r="J795" s="11" t="n">
        <x:f>IF('제외 후보'!AC795&lt;&gt;"",'선정 규칙'!$B$22,0)</x:f>
        <x:v>0</x:v>
      </x:c>
      <x:c r="K795" s="11" t="n">
        <x:f>SUM(B795:J795)</x:f>
        <x:v>3</x:v>
      </x:c>
      <x:c r="L795" s="11" t="n">
        <x:f>'제외 후보'!N795</x:f>
        <x:v>3</x:v>
      </x:c>
      <x:c r="M795" s="2" t="str">
        <x:f>IF(K795=L795,"OK","MISMATCH")</x:f>
        <x:v>OK</x:v>
      </x:c>
    </x:row>
    <x:row r="796">
      <x:c r="A796" s="2" t="str">
        <x:f>'제외 후보'!G796</x:f>
        <x:v>w_dfb409211ee33e05</x:v>
      </x:c>
      <x:c r="B796" s="11" t="n">
        <x:f>IF('제외 후보'!Q796&lt;&gt;"",'선정 규칙'!$B$4,0)</x:f>
        <x:v>0</x:v>
      </x:c>
      <x:c r="C796" s="11" t="n">
        <x:f>IF(ISNUMBER(SEARCH("jmdict_uncommon_or_irregular",'제외 후보'!P796)),'선정 규칙'!$B$5,IF(ISNUMBER(SEARCH("jmdict_rare_or_dated",'제외 후보'!P796)),'선정 규칙'!$B$6,0))</x:f>
        <x:v>0</x:v>
      </x:c>
      <x:c r="D796" s="11" t="n">
        <x:f>IF(ISNUMBER(SEARCH("jmdict_exact_pair_not_found",'제외 후보'!P796)),'선정 규칙'!$B$7,0)</x:f>
        <x:v>0</x:v>
      </x:c>
      <x:c r="E796" s="11" t="n">
        <x:f>IF(OR('제외 후보'!L796="",'제외 후보'!L796&lt;=0),'선정 규칙'!$B$8,IF('제외 후보'!L796&lt;=1.5,'선정 규칙'!$B$9,IF('제외 후보'!L796&lt;=2,'선정 규칙'!$B$10,IF('제외 후보'!L796&lt;=2.5,'선정 규칙'!$B$11,IF('제외 후보'!L796&lt;=3,'선정 규칙'!$B$12,IF('제외 후보'!L796&lt;=3.5,'선정 규칙'!$B$13,IF('제외 후보'!L796&gt;=4.5,'선정 규칙'!$B$14,0)))))))</x:f>
        <x:v>-20</x:v>
      </x:c>
      <x:c r="F796" s="11" t="n">
        <x:f>IF('제외 후보'!Y796=0,'선정 규칙'!$B$15,IF('제외 후보'!Y796&gt;=100,'선정 규칙'!$B$16,'선정 규칙'!$B$17))</x:f>
        <x:v>12</x:v>
      </x:c>
      <x:c r="G796" s="11" t="n">
        <x:f>IF('제외 후보'!M796="있음",'선정 규칙'!$B$18,'선정 규칙'!$B$19)</x:f>
        <x:v>6</x:v>
      </x:c>
      <x:c r="H796" s="11" t="n">
        <x:f>IF(ISNUMBER(SEARCH("freq-core",'제외 후보'!AD796)),'선정 규칙'!$B$20,0)</x:f>
        <x:v>0</x:v>
      </x:c>
      <x:c r="I796" s="11" t="n">
        <x:f>IF(ISNUMBER(SEARCH("weak_legacy_content",'제외 후보'!P796)),'선정 규칙'!$B$21,0)</x:f>
        <x:v>5</x:v>
      </x:c>
      <x:c r="J796" s="11" t="n">
        <x:f>IF('제외 후보'!AC796&lt;&gt;"",'선정 규칙'!$B$22,0)</x:f>
        <x:v>0</x:v>
      </x:c>
      <x:c r="K796" s="11" t="n">
        <x:f>SUM(B796:J796)</x:f>
        <x:v>3</x:v>
      </x:c>
      <x:c r="L796" s="11" t="n">
        <x:f>'제외 후보'!N796</x:f>
        <x:v>3</x:v>
      </x:c>
      <x:c r="M796" s="2" t="str">
        <x:f>IF(K796=L796,"OK","MISMATCH")</x:f>
        <x:v>OK</x:v>
      </x:c>
    </x:row>
    <x:row r="797">
      <x:c r="A797" s="2" t="str">
        <x:f>'제외 후보'!G797</x:f>
        <x:v>w_45e6afe394050228</x:v>
      </x:c>
      <x:c r="B797" s="11" t="n">
        <x:f>IF('제외 후보'!Q797&lt;&gt;"",'선정 규칙'!$B$4,0)</x:f>
        <x:v>0</x:v>
      </x:c>
      <x:c r="C797" s="11" t="n">
        <x:f>IF(ISNUMBER(SEARCH("jmdict_uncommon_or_irregular",'제외 후보'!P797)),'선정 규칙'!$B$5,IF(ISNUMBER(SEARCH("jmdict_rare_or_dated",'제외 후보'!P797)),'선정 규칙'!$B$6,0))</x:f>
        <x:v>0</x:v>
      </x:c>
      <x:c r="D797" s="11" t="n">
        <x:f>IF(ISNUMBER(SEARCH("jmdict_exact_pair_not_found",'제외 후보'!P797)),'선정 규칙'!$B$7,0)</x:f>
        <x:v>0</x:v>
      </x:c>
      <x:c r="E797" s="11" t="n">
        <x:f>IF(OR('제외 후보'!L797="",'제외 후보'!L797&lt;=0),'선정 규칙'!$B$8,IF('제외 후보'!L797&lt;=1.5,'선정 규칙'!$B$9,IF('제외 후보'!L797&lt;=2,'선정 규칙'!$B$10,IF('제외 후보'!L797&lt;=2.5,'선정 규칙'!$B$11,IF('제외 후보'!L797&lt;=3,'선정 규칙'!$B$12,IF('제외 후보'!L797&lt;=3.5,'선정 규칙'!$B$13,IF('제외 후보'!L797&gt;=4.5,'선정 규칙'!$B$14,0)))))))</x:f>
        <x:v>-20</x:v>
      </x:c>
      <x:c r="F797" s="11" t="n">
        <x:f>IF('제외 후보'!Y797=0,'선정 규칙'!$B$15,IF('제외 후보'!Y797&gt;=100,'선정 규칙'!$B$16,'선정 규칙'!$B$17))</x:f>
        <x:v>12</x:v>
      </x:c>
      <x:c r="G797" s="11" t="n">
        <x:f>IF('제외 후보'!M797="있음",'선정 규칙'!$B$18,'선정 규칙'!$B$19)</x:f>
        <x:v>6</x:v>
      </x:c>
      <x:c r="H797" s="11" t="n">
        <x:f>IF(ISNUMBER(SEARCH("freq-core",'제외 후보'!AD797)),'선정 규칙'!$B$20,0)</x:f>
        <x:v>0</x:v>
      </x:c>
      <x:c r="I797" s="11" t="n">
        <x:f>IF(ISNUMBER(SEARCH("weak_legacy_content",'제외 후보'!P797)),'선정 규칙'!$B$21,0)</x:f>
        <x:v>5</x:v>
      </x:c>
      <x:c r="J797" s="11" t="n">
        <x:f>IF('제외 후보'!AC797&lt;&gt;"",'선정 규칙'!$B$22,0)</x:f>
        <x:v>0</x:v>
      </x:c>
      <x:c r="K797" s="11" t="n">
        <x:f>SUM(B797:J797)</x:f>
        <x:v>3</x:v>
      </x:c>
      <x:c r="L797" s="11" t="n">
        <x:f>'제외 후보'!N797</x:f>
        <x:v>3</x:v>
      </x:c>
      <x:c r="M797" s="2" t="str">
        <x:f>IF(K797=L797,"OK","MISMATCH")</x:f>
        <x:v>OK</x:v>
      </x:c>
    </x:row>
    <x:row r="798">
      <x:c r="A798" s="2" t="str">
        <x:f>'제외 후보'!G798</x:f>
        <x:v>w_2c6e4aba3ed37abd</x:v>
      </x:c>
      <x:c r="B798" s="11" t="n">
        <x:f>IF('제외 후보'!Q798&lt;&gt;"",'선정 규칙'!$B$4,0)</x:f>
        <x:v>0</x:v>
      </x:c>
      <x:c r="C798" s="11" t="n">
        <x:f>IF(ISNUMBER(SEARCH("jmdict_uncommon_or_irregular",'제외 후보'!P798)),'선정 규칙'!$B$5,IF(ISNUMBER(SEARCH("jmdict_rare_or_dated",'제외 후보'!P798)),'선정 규칙'!$B$6,0))</x:f>
        <x:v>0</x:v>
      </x:c>
      <x:c r="D798" s="11" t="n">
        <x:f>IF(ISNUMBER(SEARCH("jmdict_exact_pair_not_found",'제외 후보'!P798)),'선정 규칙'!$B$7,0)</x:f>
        <x:v>0</x:v>
      </x:c>
      <x:c r="E798" s="11" t="n">
        <x:f>IF(OR('제외 후보'!L798="",'제외 후보'!L798&lt;=0),'선정 규칙'!$B$8,IF('제외 후보'!L798&lt;=1.5,'선정 규칙'!$B$9,IF('제외 후보'!L798&lt;=2,'선정 규칙'!$B$10,IF('제외 후보'!L798&lt;=2.5,'선정 규칙'!$B$11,IF('제외 후보'!L798&lt;=3,'선정 규칙'!$B$12,IF('제외 후보'!L798&lt;=3.5,'선정 규칙'!$B$13,IF('제외 후보'!L798&gt;=4.5,'선정 규칙'!$B$14,0)))))))</x:f>
        <x:v>-20</x:v>
      </x:c>
      <x:c r="F798" s="11" t="n">
        <x:f>IF('제외 후보'!Y798=0,'선정 규칙'!$B$15,IF('제외 후보'!Y798&gt;=100,'선정 규칙'!$B$16,'선정 규칙'!$B$17))</x:f>
        <x:v>12</x:v>
      </x:c>
      <x:c r="G798" s="11" t="n">
        <x:f>IF('제외 후보'!M798="있음",'선정 규칙'!$B$18,'선정 규칙'!$B$19)</x:f>
        <x:v>6</x:v>
      </x:c>
      <x:c r="H798" s="11" t="n">
        <x:f>IF(ISNUMBER(SEARCH("freq-core",'제외 후보'!AD798)),'선정 규칙'!$B$20,0)</x:f>
        <x:v>0</x:v>
      </x:c>
      <x:c r="I798" s="11" t="n">
        <x:f>IF(ISNUMBER(SEARCH("weak_legacy_content",'제외 후보'!P798)),'선정 규칙'!$B$21,0)</x:f>
        <x:v>5</x:v>
      </x:c>
      <x:c r="J798" s="11" t="n">
        <x:f>IF('제외 후보'!AC798&lt;&gt;"",'선정 규칙'!$B$22,0)</x:f>
        <x:v>0</x:v>
      </x:c>
      <x:c r="K798" s="11" t="n">
        <x:f>SUM(B798:J798)</x:f>
        <x:v>3</x:v>
      </x:c>
      <x:c r="L798" s="11" t="n">
        <x:f>'제외 후보'!N798</x:f>
        <x:v>3</x:v>
      </x:c>
      <x:c r="M798" s="2" t="str">
        <x:f>IF(K798=L798,"OK","MISMATCH")</x:f>
        <x:v>OK</x:v>
      </x:c>
    </x:row>
    <x:row r="799">
      <x:c r="A799" s="2" t="str">
        <x:f>'제외 후보'!G799</x:f>
        <x:v>w_0f16fd59d0e6a997</x:v>
      </x:c>
      <x:c r="B799" s="11" t="n">
        <x:f>IF('제외 후보'!Q799&lt;&gt;"",'선정 규칙'!$B$4,0)</x:f>
        <x:v>0</x:v>
      </x:c>
      <x:c r="C799" s="11" t="n">
        <x:f>IF(ISNUMBER(SEARCH("jmdict_uncommon_or_irregular",'제외 후보'!P799)),'선정 규칙'!$B$5,IF(ISNUMBER(SEARCH("jmdict_rare_or_dated",'제외 후보'!P799)),'선정 규칙'!$B$6,0))</x:f>
        <x:v>0</x:v>
      </x:c>
      <x:c r="D799" s="11" t="n">
        <x:f>IF(ISNUMBER(SEARCH("jmdict_exact_pair_not_found",'제외 후보'!P799)),'선정 규칙'!$B$7,0)</x:f>
        <x:v>0</x:v>
      </x:c>
      <x:c r="E799" s="11" t="n">
        <x:f>IF(OR('제외 후보'!L799="",'제외 후보'!L799&lt;=0),'선정 규칙'!$B$8,IF('제외 후보'!L799&lt;=1.5,'선정 규칙'!$B$9,IF('제외 후보'!L799&lt;=2,'선정 규칙'!$B$10,IF('제외 후보'!L799&lt;=2.5,'선정 규칙'!$B$11,IF('제외 후보'!L799&lt;=3,'선정 규칙'!$B$12,IF('제외 후보'!L799&lt;=3.5,'선정 규칙'!$B$13,IF('제외 후보'!L799&gt;=4.5,'선정 규칙'!$B$14,0)))))))</x:f>
        <x:v>-20</x:v>
      </x:c>
      <x:c r="F799" s="11" t="n">
        <x:f>IF('제외 후보'!Y799=0,'선정 규칙'!$B$15,IF('제외 후보'!Y799&gt;=100,'선정 규칙'!$B$16,'선정 규칙'!$B$17))</x:f>
        <x:v>12</x:v>
      </x:c>
      <x:c r="G799" s="11" t="n">
        <x:f>IF('제외 후보'!M799="있음",'선정 규칙'!$B$18,'선정 규칙'!$B$19)</x:f>
        <x:v>6</x:v>
      </x:c>
      <x:c r="H799" s="11" t="n">
        <x:f>IF(ISNUMBER(SEARCH("freq-core",'제외 후보'!AD799)),'선정 규칙'!$B$20,0)</x:f>
        <x:v>0</x:v>
      </x:c>
      <x:c r="I799" s="11" t="n">
        <x:f>IF(ISNUMBER(SEARCH("weak_legacy_content",'제외 후보'!P799)),'선정 규칙'!$B$21,0)</x:f>
        <x:v>5</x:v>
      </x:c>
      <x:c r="J799" s="11" t="n">
        <x:f>IF('제외 후보'!AC799&lt;&gt;"",'선정 규칙'!$B$22,0)</x:f>
        <x:v>0</x:v>
      </x:c>
      <x:c r="K799" s="11" t="n">
        <x:f>SUM(B799:J799)</x:f>
        <x:v>3</x:v>
      </x:c>
      <x:c r="L799" s="11" t="n">
        <x:f>'제외 후보'!N799</x:f>
        <x:v>3</x:v>
      </x:c>
      <x:c r="M799" s="2" t="str">
        <x:f>IF(K799=L799,"OK","MISMATCH")</x:f>
        <x:v>OK</x:v>
      </x:c>
    </x:row>
    <x:row r="800">
      <x:c r="A800" s="2" t="str">
        <x:f>'제외 후보'!G800</x:f>
        <x:v>w_a9187b269305746d</x:v>
      </x:c>
      <x:c r="B800" s="11" t="n">
        <x:f>IF('제외 후보'!Q800&lt;&gt;"",'선정 규칙'!$B$4,0)</x:f>
        <x:v>0</x:v>
      </x:c>
      <x:c r="C800" s="11" t="n">
        <x:f>IF(ISNUMBER(SEARCH("jmdict_uncommon_or_irregular",'제외 후보'!P800)),'선정 규칙'!$B$5,IF(ISNUMBER(SEARCH("jmdict_rare_or_dated",'제외 후보'!P800)),'선정 규칙'!$B$6,0))</x:f>
        <x:v>0</x:v>
      </x:c>
      <x:c r="D800" s="11" t="n">
        <x:f>IF(ISNUMBER(SEARCH("jmdict_exact_pair_not_found",'제외 후보'!P800)),'선정 규칙'!$B$7,0)</x:f>
        <x:v>0</x:v>
      </x:c>
      <x:c r="E800" s="11" t="n">
        <x:f>IF(OR('제외 후보'!L800="",'제외 후보'!L800&lt;=0),'선정 규칙'!$B$8,IF('제외 후보'!L800&lt;=1.5,'선정 규칙'!$B$9,IF('제외 후보'!L800&lt;=2,'선정 규칙'!$B$10,IF('제외 후보'!L800&lt;=2.5,'선정 규칙'!$B$11,IF('제외 후보'!L800&lt;=3,'선정 규칙'!$B$12,IF('제외 후보'!L800&lt;=3.5,'선정 규칙'!$B$13,IF('제외 후보'!L800&gt;=4.5,'선정 규칙'!$B$14,0)))))))</x:f>
        <x:v>-20</x:v>
      </x:c>
      <x:c r="F800" s="11" t="n">
        <x:f>IF('제외 후보'!Y800=0,'선정 규칙'!$B$15,IF('제외 후보'!Y800&gt;=100,'선정 규칙'!$B$16,'선정 규칙'!$B$17))</x:f>
        <x:v>12</x:v>
      </x:c>
      <x:c r="G800" s="11" t="n">
        <x:f>IF('제외 후보'!M800="있음",'선정 규칙'!$B$18,'선정 규칙'!$B$19)</x:f>
        <x:v>6</x:v>
      </x:c>
      <x:c r="H800" s="11" t="n">
        <x:f>IF(ISNUMBER(SEARCH("freq-core",'제외 후보'!AD800)),'선정 규칙'!$B$20,0)</x:f>
        <x:v>0</x:v>
      </x:c>
      <x:c r="I800" s="11" t="n">
        <x:f>IF(ISNUMBER(SEARCH("weak_legacy_content",'제외 후보'!P800)),'선정 규칙'!$B$21,0)</x:f>
        <x:v>5</x:v>
      </x:c>
      <x:c r="J800" s="11" t="n">
        <x:f>IF('제외 후보'!AC800&lt;&gt;"",'선정 규칙'!$B$22,0)</x:f>
        <x:v>0</x:v>
      </x:c>
      <x:c r="K800" s="11" t="n">
        <x:f>SUM(B800:J800)</x:f>
        <x:v>3</x:v>
      </x:c>
      <x:c r="L800" s="11" t="n">
        <x:f>'제외 후보'!N800</x:f>
        <x:v>3</x:v>
      </x:c>
      <x:c r="M800" s="2" t="str">
        <x:f>IF(K800=L800,"OK","MISMATCH")</x:f>
        <x:v>OK</x:v>
      </x:c>
    </x:row>
    <x:row r="801">
      <x:c r="A801" s="2" t="str">
        <x:f>'제외 후보'!G801</x:f>
        <x:v>w_c41c1b47224d5c11</x:v>
      </x:c>
      <x:c r="B801" s="11" t="n">
        <x:f>IF('제외 후보'!Q801&lt;&gt;"",'선정 규칙'!$B$4,0)</x:f>
        <x:v>0</x:v>
      </x:c>
      <x:c r="C801" s="11" t="n">
        <x:f>IF(ISNUMBER(SEARCH("jmdict_uncommon_or_irregular",'제외 후보'!P801)),'선정 규칙'!$B$5,IF(ISNUMBER(SEARCH("jmdict_rare_or_dated",'제외 후보'!P801)),'선정 규칙'!$B$6,0))</x:f>
        <x:v>0</x:v>
      </x:c>
      <x:c r="D801" s="11" t="n">
        <x:f>IF(ISNUMBER(SEARCH("jmdict_exact_pair_not_found",'제외 후보'!P801)),'선정 규칙'!$B$7,0)</x:f>
        <x:v>0</x:v>
      </x:c>
      <x:c r="E801" s="11" t="n">
        <x:f>IF(OR('제외 후보'!L801="",'제외 후보'!L801&lt;=0),'선정 규칙'!$B$8,IF('제외 후보'!L801&lt;=1.5,'선정 규칙'!$B$9,IF('제외 후보'!L801&lt;=2,'선정 규칙'!$B$10,IF('제외 후보'!L801&lt;=2.5,'선정 규칙'!$B$11,IF('제외 후보'!L801&lt;=3,'선정 규칙'!$B$12,IF('제외 후보'!L801&lt;=3.5,'선정 규칙'!$B$13,IF('제외 후보'!L801&gt;=4.5,'선정 규칙'!$B$14,0)))))))</x:f>
        <x:v>-20</x:v>
      </x:c>
      <x:c r="F801" s="11" t="n">
        <x:f>IF('제외 후보'!Y801=0,'선정 규칙'!$B$15,IF('제외 후보'!Y801&gt;=100,'선정 규칙'!$B$16,'선정 규칙'!$B$17))</x:f>
        <x:v>12</x:v>
      </x:c>
      <x:c r="G801" s="11" t="n">
        <x:f>IF('제외 후보'!M801="있음",'선정 규칙'!$B$18,'선정 규칙'!$B$19)</x:f>
        <x:v>6</x:v>
      </x:c>
      <x:c r="H801" s="11" t="n">
        <x:f>IF(ISNUMBER(SEARCH("freq-core",'제외 후보'!AD801)),'선정 규칙'!$B$20,0)</x:f>
        <x:v>0</x:v>
      </x:c>
      <x:c r="I801" s="11" t="n">
        <x:f>IF(ISNUMBER(SEARCH("weak_legacy_content",'제외 후보'!P801)),'선정 규칙'!$B$21,0)</x:f>
        <x:v>5</x:v>
      </x:c>
      <x:c r="J801" s="11" t="n">
        <x:f>IF('제외 후보'!AC801&lt;&gt;"",'선정 규칙'!$B$22,0)</x:f>
        <x:v>0</x:v>
      </x:c>
      <x:c r="K801" s="11" t="n">
        <x:f>SUM(B801:J801)</x:f>
        <x:v>3</x:v>
      </x:c>
      <x:c r="L801" s="11" t="n">
        <x:f>'제외 후보'!N801</x:f>
        <x:v>3</x:v>
      </x:c>
      <x:c r="M801" s="2" t="str">
        <x:f>IF(K801=L801,"OK","MISMATCH")</x:f>
        <x:v>OK</x:v>
      </x:c>
    </x:row>
    <x:row r="802">
      <x:c r="A802" s="2" t="str">
        <x:f>'제외 후보'!G802</x:f>
        <x:v>w_cd21637b9647fa3c</x:v>
      </x:c>
      <x:c r="B802" s="11" t="n">
        <x:f>IF('제외 후보'!Q802&lt;&gt;"",'선정 규칙'!$B$4,0)</x:f>
        <x:v>0</x:v>
      </x:c>
      <x:c r="C802" s="11" t="n">
        <x:f>IF(ISNUMBER(SEARCH("jmdict_uncommon_or_irregular",'제외 후보'!P802)),'선정 규칙'!$B$5,IF(ISNUMBER(SEARCH("jmdict_rare_or_dated",'제외 후보'!P802)),'선정 규칙'!$B$6,0))</x:f>
        <x:v>0</x:v>
      </x:c>
      <x:c r="D802" s="11" t="n">
        <x:f>IF(ISNUMBER(SEARCH("jmdict_exact_pair_not_found",'제외 후보'!P802)),'선정 규칙'!$B$7,0)</x:f>
        <x:v>0</x:v>
      </x:c>
      <x:c r="E802" s="11" t="n">
        <x:f>IF(OR('제외 후보'!L802="",'제외 후보'!L802&lt;=0),'선정 규칙'!$B$8,IF('제외 후보'!L802&lt;=1.5,'선정 규칙'!$B$9,IF('제외 후보'!L802&lt;=2,'선정 규칙'!$B$10,IF('제외 후보'!L802&lt;=2.5,'선정 규칙'!$B$11,IF('제외 후보'!L802&lt;=3,'선정 규칙'!$B$12,IF('제외 후보'!L802&lt;=3.5,'선정 규칙'!$B$13,IF('제외 후보'!L802&gt;=4.5,'선정 규칙'!$B$14,0)))))))</x:f>
        <x:v>-20</x:v>
      </x:c>
      <x:c r="F802" s="11" t="n">
        <x:f>IF('제외 후보'!Y802=0,'선정 규칙'!$B$15,IF('제외 후보'!Y802&gt;=100,'선정 규칙'!$B$16,'선정 규칙'!$B$17))</x:f>
        <x:v>12</x:v>
      </x:c>
      <x:c r="G802" s="11" t="n">
        <x:f>IF('제외 후보'!M802="있음",'선정 규칙'!$B$18,'선정 규칙'!$B$19)</x:f>
        <x:v>6</x:v>
      </x:c>
      <x:c r="H802" s="11" t="n">
        <x:f>IF(ISNUMBER(SEARCH("freq-core",'제외 후보'!AD802)),'선정 규칙'!$B$20,0)</x:f>
        <x:v>0</x:v>
      </x:c>
      <x:c r="I802" s="11" t="n">
        <x:f>IF(ISNUMBER(SEARCH("weak_legacy_content",'제외 후보'!P802)),'선정 규칙'!$B$21,0)</x:f>
        <x:v>5</x:v>
      </x:c>
      <x:c r="J802" s="11" t="n">
        <x:f>IF('제외 후보'!AC802&lt;&gt;"",'선정 규칙'!$B$22,0)</x:f>
        <x:v>0</x:v>
      </x:c>
      <x:c r="K802" s="11" t="n">
        <x:f>SUM(B802:J802)</x:f>
        <x:v>3</x:v>
      </x:c>
      <x:c r="L802" s="11" t="n">
        <x:f>'제외 후보'!N802</x:f>
        <x:v>3</x:v>
      </x:c>
      <x:c r="M802" s="2" t="str">
        <x:f>IF(K802=L802,"OK","MISMATCH")</x:f>
        <x:v>OK</x:v>
      </x:c>
    </x:row>
    <x:row r="803">
      <x:c r="A803" s="2" t="str">
        <x:f>'제외 후보'!G803</x:f>
        <x:v>w_5c91c9030e80a0f2</x:v>
      </x:c>
      <x:c r="B803" s="11" t="n">
        <x:f>IF('제외 후보'!Q803&lt;&gt;"",'선정 규칙'!$B$4,0)</x:f>
        <x:v>0</x:v>
      </x:c>
      <x:c r="C803" s="11" t="n">
        <x:f>IF(ISNUMBER(SEARCH("jmdict_uncommon_or_irregular",'제외 후보'!P803)),'선정 규칙'!$B$5,IF(ISNUMBER(SEARCH("jmdict_rare_or_dated",'제외 후보'!P803)),'선정 규칙'!$B$6,0))</x:f>
        <x:v>0</x:v>
      </x:c>
      <x:c r="D803" s="11" t="n">
        <x:f>IF(ISNUMBER(SEARCH("jmdict_exact_pair_not_found",'제외 후보'!P803)),'선정 규칙'!$B$7,0)</x:f>
        <x:v>0</x:v>
      </x:c>
      <x:c r="E803" s="11" t="n">
        <x:f>IF(OR('제외 후보'!L803="",'제외 후보'!L803&lt;=0),'선정 규칙'!$B$8,IF('제외 후보'!L803&lt;=1.5,'선정 규칙'!$B$9,IF('제외 후보'!L803&lt;=2,'선정 규칙'!$B$10,IF('제외 후보'!L803&lt;=2.5,'선정 규칙'!$B$11,IF('제외 후보'!L803&lt;=3,'선정 규칙'!$B$12,IF('제외 후보'!L803&lt;=3.5,'선정 규칙'!$B$13,IF('제외 후보'!L803&gt;=4.5,'선정 규칙'!$B$14,0)))))))</x:f>
        <x:v>-20</x:v>
      </x:c>
      <x:c r="F803" s="11" t="n">
        <x:f>IF('제외 후보'!Y803=0,'선정 규칙'!$B$15,IF('제외 후보'!Y803&gt;=100,'선정 규칙'!$B$16,'선정 규칙'!$B$17))</x:f>
        <x:v>12</x:v>
      </x:c>
      <x:c r="G803" s="11" t="n">
        <x:f>IF('제외 후보'!M803="있음",'선정 규칙'!$B$18,'선정 규칙'!$B$19)</x:f>
        <x:v>6</x:v>
      </x:c>
      <x:c r="H803" s="11" t="n">
        <x:f>IF(ISNUMBER(SEARCH("freq-core",'제외 후보'!AD803)),'선정 규칙'!$B$20,0)</x:f>
        <x:v>0</x:v>
      </x:c>
      <x:c r="I803" s="11" t="n">
        <x:f>IF(ISNUMBER(SEARCH("weak_legacy_content",'제외 후보'!P803)),'선정 규칙'!$B$21,0)</x:f>
        <x:v>5</x:v>
      </x:c>
      <x:c r="J803" s="11" t="n">
        <x:f>IF('제외 후보'!AC803&lt;&gt;"",'선정 규칙'!$B$22,0)</x:f>
        <x:v>0</x:v>
      </x:c>
      <x:c r="K803" s="11" t="n">
        <x:f>SUM(B803:J803)</x:f>
        <x:v>3</x:v>
      </x:c>
      <x:c r="L803" s="11" t="n">
        <x:f>'제외 후보'!N803</x:f>
        <x:v>3</x:v>
      </x:c>
      <x:c r="M803" s="2" t="str">
        <x:f>IF(K803=L803,"OK","MISMATCH")</x:f>
        <x:v>OK</x:v>
      </x:c>
    </x:row>
    <x:row r="804">
      <x:c r="A804" s="2" t="str">
        <x:f>'제외 후보'!G804</x:f>
        <x:v>w_cd1baf088a8d0ce8</x:v>
      </x:c>
      <x:c r="B804" s="11" t="n">
        <x:f>IF('제외 후보'!Q804&lt;&gt;"",'선정 규칙'!$B$4,0)</x:f>
        <x:v>0</x:v>
      </x:c>
      <x:c r="C804" s="11" t="n">
        <x:f>IF(ISNUMBER(SEARCH("jmdict_uncommon_or_irregular",'제외 후보'!P804)),'선정 규칙'!$B$5,IF(ISNUMBER(SEARCH("jmdict_rare_or_dated",'제외 후보'!P804)),'선정 규칙'!$B$6,0))</x:f>
        <x:v>0</x:v>
      </x:c>
      <x:c r="D804" s="11" t="n">
        <x:f>IF(ISNUMBER(SEARCH("jmdict_exact_pair_not_found",'제외 후보'!P804)),'선정 규칙'!$B$7,0)</x:f>
        <x:v>0</x:v>
      </x:c>
      <x:c r="E804" s="11" t="n">
        <x:f>IF(OR('제외 후보'!L804="",'제외 후보'!L804&lt;=0),'선정 규칙'!$B$8,IF('제외 후보'!L804&lt;=1.5,'선정 규칙'!$B$9,IF('제외 후보'!L804&lt;=2,'선정 규칙'!$B$10,IF('제외 후보'!L804&lt;=2.5,'선정 규칙'!$B$11,IF('제외 후보'!L804&lt;=3,'선정 규칙'!$B$12,IF('제외 후보'!L804&lt;=3.5,'선정 규칙'!$B$13,IF('제외 후보'!L804&gt;=4.5,'선정 규칙'!$B$14,0)))))))</x:f>
        <x:v>-20</x:v>
      </x:c>
      <x:c r="F804" s="11" t="n">
        <x:f>IF('제외 후보'!Y804=0,'선정 규칙'!$B$15,IF('제외 후보'!Y804&gt;=100,'선정 규칙'!$B$16,'선정 규칙'!$B$17))</x:f>
        <x:v>12</x:v>
      </x:c>
      <x:c r="G804" s="11" t="n">
        <x:f>IF('제외 후보'!M804="있음",'선정 규칙'!$B$18,'선정 규칙'!$B$19)</x:f>
        <x:v>6</x:v>
      </x:c>
      <x:c r="H804" s="11" t="n">
        <x:f>IF(ISNUMBER(SEARCH("freq-core",'제외 후보'!AD804)),'선정 규칙'!$B$20,0)</x:f>
        <x:v>0</x:v>
      </x:c>
      <x:c r="I804" s="11" t="n">
        <x:f>IF(ISNUMBER(SEARCH("weak_legacy_content",'제외 후보'!P804)),'선정 규칙'!$B$21,0)</x:f>
        <x:v>5</x:v>
      </x:c>
      <x:c r="J804" s="11" t="n">
        <x:f>IF('제외 후보'!AC804&lt;&gt;"",'선정 규칙'!$B$22,0)</x:f>
        <x:v>0</x:v>
      </x:c>
      <x:c r="K804" s="11" t="n">
        <x:f>SUM(B804:J804)</x:f>
        <x:v>3</x:v>
      </x:c>
      <x:c r="L804" s="11" t="n">
        <x:f>'제외 후보'!N804</x:f>
        <x:v>3</x:v>
      </x:c>
      <x:c r="M804" s="2" t="str">
        <x:f>IF(K804=L804,"OK","MISMATCH")</x:f>
        <x:v>OK</x:v>
      </x:c>
    </x:row>
    <x:row r="805">
      <x:c r="A805" s="2" t="str">
        <x:f>'제외 후보'!G805</x:f>
        <x:v>w_7e06d636660c15e5</x:v>
      </x:c>
      <x:c r="B805" s="11" t="n">
        <x:f>IF('제외 후보'!Q805&lt;&gt;"",'선정 규칙'!$B$4,0)</x:f>
        <x:v>0</x:v>
      </x:c>
      <x:c r="C805" s="11" t="n">
        <x:f>IF(ISNUMBER(SEARCH("jmdict_uncommon_or_irregular",'제외 후보'!P805)),'선정 규칙'!$B$5,IF(ISNUMBER(SEARCH("jmdict_rare_or_dated",'제외 후보'!P805)),'선정 규칙'!$B$6,0))</x:f>
        <x:v>0</x:v>
      </x:c>
      <x:c r="D805" s="11" t="n">
        <x:f>IF(ISNUMBER(SEARCH("jmdict_exact_pair_not_found",'제외 후보'!P805)),'선정 규칙'!$B$7,0)</x:f>
        <x:v>0</x:v>
      </x:c>
      <x:c r="E805" s="11" t="n">
        <x:f>IF(OR('제외 후보'!L805="",'제외 후보'!L805&lt;=0),'선정 규칙'!$B$8,IF('제외 후보'!L805&lt;=1.5,'선정 규칙'!$B$9,IF('제외 후보'!L805&lt;=2,'선정 규칙'!$B$10,IF('제외 후보'!L805&lt;=2.5,'선정 규칙'!$B$11,IF('제외 후보'!L805&lt;=3,'선정 규칙'!$B$12,IF('제외 후보'!L805&lt;=3.5,'선정 규칙'!$B$13,IF('제외 후보'!L805&gt;=4.5,'선정 규칙'!$B$14,0)))))))</x:f>
        <x:v>6</x:v>
      </x:c>
      <x:c r="F805" s="11" t="n">
        <x:f>IF('제외 후보'!Y805=0,'선정 규칙'!$B$15,IF('제외 후보'!Y805&gt;=100,'선정 규칙'!$B$16,'선정 규칙'!$B$17))</x:f>
        <x:v>-25</x:v>
      </x:c>
      <x:c r="G805" s="11" t="n">
        <x:f>IF('제외 후보'!M805="있음",'선정 규칙'!$B$18,'선정 규칙'!$B$19)</x:f>
        <x:v>6</x:v>
      </x:c>
      <x:c r="H805" s="11" t="n">
        <x:f>IF(ISNUMBER(SEARCH("freq-core",'제외 후보'!AD805)),'선정 규칙'!$B$20,0)</x:f>
        <x:v>0</x:v>
      </x:c>
      <x:c r="I805" s="11" t="n">
        <x:f>IF(ISNUMBER(SEARCH("weak_legacy_content",'제외 후보'!P805)),'선정 규칙'!$B$21,0)</x:f>
        <x:v>5</x:v>
      </x:c>
      <x:c r="J805" s="11" t="n">
        <x:f>IF('제외 후보'!AC805&lt;&gt;"",'선정 규칙'!$B$22,0)</x:f>
        <x:v>10</x:v>
      </x:c>
      <x:c r="K805" s="11" t="n">
        <x:f>SUM(B805:J805)</x:f>
        <x:v>2</x:v>
      </x:c>
      <x:c r="L805" s="11" t="n">
        <x:f>'제외 후보'!N805</x:f>
        <x:v>2</x:v>
      </x:c>
      <x:c r="M805" s="2" t="str">
        <x:f>IF(K805=L805,"OK","MISMATCH")</x:f>
        <x:v>OK</x:v>
      </x:c>
    </x:row>
    <x:row r="806">
      <x:c r="A806" s="2" t="str">
        <x:f>'제외 후보'!G806</x:f>
        <x:v>w_34785a47420da59e</x:v>
      </x:c>
      <x:c r="B806" s="11" t="n">
        <x:f>IF('제외 후보'!Q806&lt;&gt;"",'선정 규칙'!$B$4,0)</x:f>
        <x:v>0</x:v>
      </x:c>
      <x:c r="C806" s="11" t="n">
        <x:f>IF(ISNUMBER(SEARCH("jmdict_uncommon_or_irregular",'제외 후보'!P806)),'선정 규칙'!$B$5,IF(ISNUMBER(SEARCH("jmdict_rare_or_dated",'제외 후보'!P806)),'선정 규칙'!$B$6,0))</x:f>
        <x:v>0</x:v>
      </x:c>
      <x:c r="D806" s="11" t="n">
        <x:f>IF(ISNUMBER(SEARCH("jmdict_exact_pair_not_found",'제외 후보'!P806)),'선정 규칙'!$B$7,0)</x:f>
        <x:v>0</x:v>
      </x:c>
      <x:c r="E806" s="11" t="n">
        <x:f>IF(OR('제외 후보'!L806="",'제외 후보'!L806&lt;=0),'선정 규칙'!$B$8,IF('제외 후보'!L806&lt;=1.5,'선정 규칙'!$B$9,IF('제외 후보'!L806&lt;=2,'선정 규칙'!$B$10,IF('제외 후보'!L806&lt;=2.5,'선정 규칙'!$B$11,IF('제외 후보'!L806&lt;=3,'선정 규칙'!$B$12,IF('제외 후보'!L806&lt;=3.5,'선정 규칙'!$B$13,IF('제외 후보'!L806&gt;=4.5,'선정 규칙'!$B$14,0)))))))</x:f>
        <x:v>6</x:v>
      </x:c>
      <x:c r="F806" s="11" t="n">
        <x:f>IF('제외 후보'!Y806=0,'선정 규칙'!$B$15,IF('제외 후보'!Y806&gt;=100,'선정 규칙'!$B$16,'선정 규칙'!$B$17))</x:f>
        <x:v>-25</x:v>
      </x:c>
      <x:c r="G806" s="11" t="n">
        <x:f>IF('제외 후보'!M806="있음",'선정 규칙'!$B$18,'선정 규칙'!$B$19)</x:f>
        <x:v>6</x:v>
      </x:c>
      <x:c r="H806" s="11" t="n">
        <x:f>IF(ISNUMBER(SEARCH("freq-core",'제외 후보'!AD806)),'선정 규칙'!$B$20,0)</x:f>
        <x:v>0</x:v>
      </x:c>
      <x:c r="I806" s="11" t="n">
        <x:f>IF(ISNUMBER(SEARCH("weak_legacy_content",'제외 후보'!P806)),'선정 규칙'!$B$21,0)</x:f>
        <x:v>5</x:v>
      </x:c>
      <x:c r="J806" s="11" t="n">
        <x:f>IF('제외 후보'!AC806&lt;&gt;"",'선정 규칙'!$B$22,0)</x:f>
        <x:v>10</x:v>
      </x:c>
      <x:c r="K806" s="11" t="n">
        <x:f>SUM(B806:J806)</x:f>
        <x:v>2</x:v>
      </x:c>
      <x:c r="L806" s="11" t="n">
        <x:f>'제외 후보'!N806</x:f>
        <x:v>2</x:v>
      </x:c>
      <x:c r="M806" s="2" t="str">
        <x:f>IF(K806=L806,"OK","MISMATCH")</x:f>
        <x:v>OK</x:v>
      </x:c>
    </x:row>
    <x:row r="807">
      <x:c r="A807" s="2" t="str">
        <x:f>'제외 후보'!G807</x:f>
        <x:v>w_c4b5090294066033</x:v>
      </x:c>
      <x:c r="B807" s="11" t="n">
        <x:f>IF('제외 후보'!Q807&lt;&gt;"",'선정 규칙'!$B$4,0)</x:f>
        <x:v>0</x:v>
      </x:c>
      <x:c r="C807" s="11" t="n">
        <x:f>IF(ISNUMBER(SEARCH("jmdict_uncommon_or_irregular",'제외 후보'!P807)),'선정 규칙'!$B$5,IF(ISNUMBER(SEARCH("jmdict_rare_or_dated",'제외 후보'!P807)),'선정 규칙'!$B$6,0))</x:f>
        <x:v>0</x:v>
      </x:c>
      <x:c r="D807" s="11" t="n">
        <x:f>IF(ISNUMBER(SEARCH("jmdict_exact_pair_not_found",'제외 후보'!P807)),'선정 규칙'!$B$7,0)</x:f>
        <x:v>0</x:v>
      </x:c>
      <x:c r="E807" s="11" t="n">
        <x:f>IF(OR('제외 후보'!L807="",'제외 후보'!L807&lt;=0),'선정 규칙'!$B$8,IF('제외 후보'!L807&lt;=1.5,'선정 규칙'!$B$9,IF('제외 후보'!L807&lt;=2,'선정 규칙'!$B$10,IF('제외 후보'!L807&lt;=2.5,'선정 규칙'!$B$11,IF('제외 후보'!L807&lt;=3,'선정 규칙'!$B$12,IF('제외 후보'!L807&lt;=3.5,'선정 규칙'!$B$13,IF('제외 후보'!L807&gt;=4.5,'선정 규칙'!$B$14,0)))))))</x:f>
        <x:v>6</x:v>
      </x:c>
      <x:c r="F807" s="11" t="n">
        <x:f>IF('제외 후보'!Y807=0,'선정 규칙'!$B$15,IF('제외 후보'!Y807&gt;=100,'선정 규칙'!$B$16,'선정 규칙'!$B$17))</x:f>
        <x:v>-25</x:v>
      </x:c>
      <x:c r="G807" s="11" t="n">
        <x:f>IF('제외 후보'!M807="있음",'선정 규칙'!$B$18,'선정 규칙'!$B$19)</x:f>
        <x:v>6</x:v>
      </x:c>
      <x:c r="H807" s="11" t="n">
        <x:f>IF(ISNUMBER(SEARCH("freq-core",'제외 후보'!AD807)),'선정 규칙'!$B$20,0)</x:f>
        <x:v>0</x:v>
      </x:c>
      <x:c r="I807" s="11" t="n">
        <x:f>IF(ISNUMBER(SEARCH("weak_legacy_content",'제외 후보'!P807)),'선정 규칙'!$B$21,0)</x:f>
        <x:v>5</x:v>
      </x:c>
      <x:c r="J807" s="11" t="n">
        <x:f>IF('제외 후보'!AC807&lt;&gt;"",'선정 규칙'!$B$22,0)</x:f>
        <x:v>10</x:v>
      </x:c>
      <x:c r="K807" s="11" t="n">
        <x:f>SUM(B807:J807)</x:f>
        <x:v>2</x:v>
      </x:c>
      <x:c r="L807" s="11" t="n">
        <x:f>'제외 후보'!N807</x:f>
        <x:v>2</x:v>
      </x:c>
      <x:c r="M807" s="2" t="str">
        <x:f>IF(K807=L807,"OK","MISMATCH")</x:f>
        <x:v>OK</x:v>
      </x:c>
    </x:row>
    <x:row r="808">
      <x:c r="A808" s="2" t="str">
        <x:f>'제외 후보'!G808</x:f>
        <x:v>w_88265cfe3e5a8b9b</x:v>
      </x:c>
      <x:c r="B808" s="11" t="n">
        <x:f>IF('제외 후보'!Q808&lt;&gt;"",'선정 규칙'!$B$4,0)</x:f>
        <x:v>0</x:v>
      </x:c>
      <x:c r="C808" s="11" t="n">
        <x:f>IF(ISNUMBER(SEARCH("jmdict_uncommon_or_irregular",'제외 후보'!P808)),'선정 규칙'!$B$5,IF(ISNUMBER(SEARCH("jmdict_rare_or_dated",'제외 후보'!P808)),'선정 규칙'!$B$6,0))</x:f>
        <x:v>0</x:v>
      </x:c>
      <x:c r="D808" s="11" t="n">
        <x:f>IF(ISNUMBER(SEARCH("jmdict_exact_pair_not_found",'제외 후보'!P808)),'선정 규칙'!$B$7,0)</x:f>
        <x:v>0</x:v>
      </x:c>
      <x:c r="E808" s="11" t="n">
        <x:f>IF(OR('제외 후보'!L808="",'제외 후보'!L808&lt;=0),'선정 규칙'!$B$8,IF('제외 후보'!L808&lt;=1.5,'선정 규칙'!$B$9,IF('제외 후보'!L808&lt;=2,'선정 규칙'!$B$10,IF('제외 후보'!L808&lt;=2.5,'선정 규칙'!$B$11,IF('제외 후보'!L808&lt;=3,'선정 규칙'!$B$12,IF('제외 후보'!L808&lt;=3.5,'선정 규칙'!$B$13,IF('제외 후보'!L808&gt;=4.5,'선정 규칙'!$B$14,0)))))))</x:f>
        <x:v>6</x:v>
      </x:c>
      <x:c r="F808" s="11" t="n">
        <x:f>IF('제외 후보'!Y808=0,'선정 규칙'!$B$15,IF('제외 후보'!Y808&gt;=100,'선정 규칙'!$B$16,'선정 규칙'!$B$17))</x:f>
        <x:v>-25</x:v>
      </x:c>
      <x:c r="G808" s="11" t="n">
        <x:f>IF('제외 후보'!M808="있음",'선정 규칙'!$B$18,'선정 규칙'!$B$19)</x:f>
        <x:v>6</x:v>
      </x:c>
      <x:c r="H808" s="11" t="n">
        <x:f>IF(ISNUMBER(SEARCH("freq-core",'제외 후보'!AD808)),'선정 규칙'!$B$20,0)</x:f>
        <x:v>0</x:v>
      </x:c>
      <x:c r="I808" s="11" t="n">
        <x:f>IF(ISNUMBER(SEARCH("weak_legacy_content",'제외 후보'!P808)),'선정 규칙'!$B$21,0)</x:f>
        <x:v>5</x:v>
      </x:c>
      <x:c r="J808" s="11" t="n">
        <x:f>IF('제외 후보'!AC808&lt;&gt;"",'선정 규칙'!$B$22,0)</x:f>
        <x:v>10</x:v>
      </x:c>
      <x:c r="K808" s="11" t="n">
        <x:f>SUM(B808:J808)</x:f>
        <x:v>2</x:v>
      </x:c>
      <x:c r="L808" s="11" t="n">
        <x:f>'제외 후보'!N808</x:f>
        <x:v>2</x:v>
      </x:c>
      <x:c r="M808" s="2" t="str">
        <x:f>IF(K808=L808,"OK","MISMATCH")</x:f>
        <x:v>OK</x:v>
      </x:c>
    </x:row>
    <x:row r="809">
      <x:c r="A809" s="2" t="str">
        <x:f>'제외 후보'!G809</x:f>
        <x:v>w_863ee6ef1cf05126</x:v>
      </x:c>
      <x:c r="B809" s="11" t="n">
        <x:f>IF('제외 후보'!Q809&lt;&gt;"",'선정 규칙'!$B$4,0)</x:f>
        <x:v>0</x:v>
      </x:c>
      <x:c r="C809" s="11" t="n">
        <x:f>IF(ISNUMBER(SEARCH("jmdict_uncommon_or_irregular",'제외 후보'!P809)),'선정 규칙'!$B$5,IF(ISNUMBER(SEARCH("jmdict_rare_or_dated",'제외 후보'!P809)),'선정 규칙'!$B$6,0))</x:f>
        <x:v>0</x:v>
      </x:c>
      <x:c r="D809" s="11" t="n">
        <x:f>IF(ISNUMBER(SEARCH("jmdict_exact_pair_not_found",'제외 후보'!P809)),'선정 규칙'!$B$7,0)</x:f>
        <x:v>0</x:v>
      </x:c>
      <x:c r="E809" s="11" t="n">
        <x:f>IF(OR('제외 후보'!L809="",'제외 후보'!L809&lt;=0),'선정 규칙'!$B$8,IF('제외 후보'!L809&lt;=1.5,'선정 규칙'!$B$9,IF('제외 후보'!L809&lt;=2,'선정 규칙'!$B$10,IF('제외 후보'!L809&lt;=2.5,'선정 규칙'!$B$11,IF('제외 후보'!L809&lt;=3,'선정 규칙'!$B$12,IF('제외 후보'!L809&lt;=3.5,'선정 규칙'!$B$13,IF('제외 후보'!L809&gt;=4.5,'선정 규칙'!$B$14,0)))))))</x:f>
        <x:v>6</x:v>
      </x:c>
      <x:c r="F809" s="11" t="n">
        <x:f>IF('제외 후보'!Y809=0,'선정 규칙'!$B$15,IF('제외 후보'!Y809&gt;=100,'선정 규칙'!$B$16,'선정 규칙'!$B$17))</x:f>
        <x:v>-25</x:v>
      </x:c>
      <x:c r="G809" s="11" t="n">
        <x:f>IF('제외 후보'!M809="있음",'선정 규칙'!$B$18,'선정 규칙'!$B$19)</x:f>
        <x:v>6</x:v>
      </x:c>
      <x:c r="H809" s="11" t="n">
        <x:f>IF(ISNUMBER(SEARCH("freq-core",'제외 후보'!AD809)),'선정 규칙'!$B$20,0)</x:f>
        <x:v>0</x:v>
      </x:c>
      <x:c r="I809" s="11" t="n">
        <x:f>IF(ISNUMBER(SEARCH("weak_legacy_content",'제외 후보'!P809)),'선정 규칙'!$B$21,0)</x:f>
        <x:v>5</x:v>
      </x:c>
      <x:c r="J809" s="11" t="n">
        <x:f>IF('제외 후보'!AC809&lt;&gt;"",'선정 규칙'!$B$22,0)</x:f>
        <x:v>10</x:v>
      </x:c>
      <x:c r="K809" s="11" t="n">
        <x:f>SUM(B809:J809)</x:f>
        <x:v>2</x:v>
      </x:c>
      <x:c r="L809" s="11" t="n">
        <x:f>'제외 후보'!N809</x:f>
        <x:v>2</x:v>
      </x:c>
      <x:c r="M809" s="2" t="str">
        <x:f>IF(K809=L809,"OK","MISMATCH")</x:f>
        <x:v>OK</x:v>
      </x:c>
    </x:row>
    <x:row r="810">
      <x:c r="A810" s="2" t="str">
        <x:f>'제외 후보'!G810</x:f>
        <x:v>w_0dd587a4b8e102a2</x:v>
      </x:c>
      <x:c r="B810" s="11" t="n">
        <x:f>IF('제외 후보'!Q810&lt;&gt;"",'선정 규칙'!$B$4,0)</x:f>
        <x:v>0</x:v>
      </x:c>
      <x:c r="C810" s="11" t="n">
        <x:f>IF(ISNUMBER(SEARCH("jmdict_uncommon_or_irregular",'제외 후보'!P810)),'선정 규칙'!$B$5,IF(ISNUMBER(SEARCH("jmdict_rare_or_dated",'제외 후보'!P810)),'선정 규칙'!$B$6,0))</x:f>
        <x:v>0</x:v>
      </x:c>
      <x:c r="D810" s="11" t="n">
        <x:f>IF(ISNUMBER(SEARCH("jmdict_exact_pair_not_found",'제외 후보'!P810)),'선정 규칙'!$B$7,0)</x:f>
        <x:v>0</x:v>
      </x:c>
      <x:c r="E810" s="11" t="n">
        <x:f>IF(OR('제외 후보'!L810="",'제외 후보'!L810&lt;=0),'선정 규칙'!$B$8,IF('제외 후보'!L810&lt;=1.5,'선정 규칙'!$B$9,IF('제외 후보'!L810&lt;=2,'선정 규칙'!$B$10,IF('제외 후보'!L810&lt;=2.5,'선정 규칙'!$B$11,IF('제외 후보'!L810&lt;=3,'선정 규칙'!$B$12,IF('제외 후보'!L810&lt;=3.5,'선정 규칙'!$B$13,IF('제외 후보'!L810&gt;=4.5,'선정 규칙'!$B$14,0)))))))</x:f>
        <x:v>6</x:v>
      </x:c>
      <x:c r="F810" s="11" t="n">
        <x:f>IF('제외 후보'!Y810=0,'선정 규칙'!$B$15,IF('제외 후보'!Y810&gt;=100,'선정 규칙'!$B$16,'선정 규칙'!$B$17))</x:f>
        <x:v>-25</x:v>
      </x:c>
      <x:c r="G810" s="11" t="n">
        <x:f>IF('제외 후보'!M810="있음",'선정 규칙'!$B$18,'선정 규칙'!$B$19)</x:f>
        <x:v>6</x:v>
      </x:c>
      <x:c r="H810" s="11" t="n">
        <x:f>IF(ISNUMBER(SEARCH("freq-core",'제외 후보'!AD810)),'선정 규칙'!$B$20,0)</x:f>
        <x:v>0</x:v>
      </x:c>
      <x:c r="I810" s="11" t="n">
        <x:f>IF(ISNUMBER(SEARCH("weak_legacy_content",'제외 후보'!P810)),'선정 규칙'!$B$21,0)</x:f>
        <x:v>5</x:v>
      </x:c>
      <x:c r="J810" s="11" t="n">
        <x:f>IF('제외 후보'!AC810&lt;&gt;"",'선정 규칙'!$B$22,0)</x:f>
        <x:v>10</x:v>
      </x:c>
      <x:c r="K810" s="11" t="n">
        <x:f>SUM(B810:J810)</x:f>
        <x:v>2</x:v>
      </x:c>
      <x:c r="L810" s="11" t="n">
        <x:f>'제외 후보'!N810</x:f>
        <x:v>2</x:v>
      </x:c>
      <x:c r="M810" s="2" t="str">
        <x:f>IF(K810=L810,"OK","MISMATCH")</x:f>
        <x:v>OK</x:v>
      </x:c>
    </x:row>
    <x:row r="811">
      <x:c r="A811" s="2" t="str">
        <x:f>'제외 후보'!G811</x:f>
        <x:v>w_1340936be90e14b2</x:v>
      </x:c>
      <x:c r="B811" s="11" t="n">
        <x:f>IF('제외 후보'!Q811&lt;&gt;"",'선정 규칙'!$B$4,0)</x:f>
        <x:v>0</x:v>
      </x:c>
      <x:c r="C811" s="11" t="n">
        <x:f>IF(ISNUMBER(SEARCH("jmdict_uncommon_or_irregular",'제외 후보'!P811)),'선정 규칙'!$B$5,IF(ISNUMBER(SEARCH("jmdict_rare_or_dated",'제외 후보'!P811)),'선정 규칙'!$B$6,0))</x:f>
        <x:v>0</x:v>
      </x:c>
      <x:c r="D811" s="11" t="n">
        <x:f>IF(ISNUMBER(SEARCH("jmdict_exact_pair_not_found",'제외 후보'!P811)),'선정 규칙'!$B$7,0)</x:f>
        <x:v>0</x:v>
      </x:c>
      <x:c r="E811" s="11" t="n">
        <x:f>IF(OR('제외 후보'!L811="",'제외 후보'!L811&lt;=0),'선정 규칙'!$B$8,IF('제외 후보'!L811&lt;=1.5,'선정 규칙'!$B$9,IF('제외 후보'!L811&lt;=2,'선정 규칙'!$B$10,IF('제외 후보'!L811&lt;=2.5,'선정 규칙'!$B$11,IF('제외 후보'!L811&lt;=3,'선정 규칙'!$B$12,IF('제외 후보'!L811&lt;=3.5,'선정 규칙'!$B$13,IF('제외 후보'!L811&gt;=4.5,'선정 규칙'!$B$14,0)))))))</x:f>
        <x:v>6</x:v>
      </x:c>
      <x:c r="F811" s="11" t="n">
        <x:f>IF('제외 후보'!Y811=0,'선정 규칙'!$B$15,IF('제외 후보'!Y811&gt;=100,'선정 규칙'!$B$16,'선정 규칙'!$B$17))</x:f>
        <x:v>-25</x:v>
      </x:c>
      <x:c r="G811" s="11" t="n">
        <x:f>IF('제외 후보'!M811="있음",'선정 규칙'!$B$18,'선정 규칙'!$B$19)</x:f>
        <x:v>6</x:v>
      </x:c>
      <x:c r="H811" s="11" t="n">
        <x:f>IF(ISNUMBER(SEARCH("freq-core",'제외 후보'!AD811)),'선정 규칙'!$B$20,0)</x:f>
        <x:v>0</x:v>
      </x:c>
      <x:c r="I811" s="11" t="n">
        <x:f>IF(ISNUMBER(SEARCH("weak_legacy_content",'제외 후보'!P811)),'선정 규칙'!$B$21,0)</x:f>
        <x:v>5</x:v>
      </x:c>
      <x:c r="J811" s="11" t="n">
        <x:f>IF('제외 후보'!AC811&lt;&gt;"",'선정 규칙'!$B$22,0)</x:f>
        <x:v>10</x:v>
      </x:c>
      <x:c r="K811" s="11" t="n">
        <x:f>SUM(B811:J811)</x:f>
        <x:v>2</x:v>
      </x:c>
      <x:c r="L811" s="11" t="n">
        <x:f>'제외 후보'!N811</x:f>
        <x:v>2</x:v>
      </x:c>
      <x:c r="M811" s="2" t="str">
        <x:f>IF(K811=L811,"OK","MISMATCH")</x:f>
        <x:v>OK</x:v>
      </x:c>
    </x:row>
    <x:row r="812">
      <x:c r="A812" s="2" t="str">
        <x:f>'제외 후보'!G812</x:f>
        <x:v>w_98a30bc24aee4f5b</x:v>
      </x:c>
      <x:c r="B812" s="11" t="n">
        <x:f>IF('제외 후보'!Q812&lt;&gt;"",'선정 규칙'!$B$4,0)</x:f>
        <x:v>0</x:v>
      </x:c>
      <x:c r="C812" s="11" t="n">
        <x:f>IF(ISNUMBER(SEARCH("jmdict_uncommon_or_irregular",'제외 후보'!P812)),'선정 규칙'!$B$5,IF(ISNUMBER(SEARCH("jmdict_rare_or_dated",'제외 후보'!P812)),'선정 규칙'!$B$6,0))</x:f>
        <x:v>0</x:v>
      </x:c>
      <x:c r="D812" s="11" t="n">
        <x:f>IF(ISNUMBER(SEARCH("jmdict_exact_pair_not_found",'제외 후보'!P812)),'선정 규칙'!$B$7,0)</x:f>
        <x:v>0</x:v>
      </x:c>
      <x:c r="E812" s="11" t="n">
        <x:f>IF(OR('제외 후보'!L812="",'제외 후보'!L812&lt;=0),'선정 규칙'!$B$8,IF('제외 후보'!L812&lt;=1.5,'선정 규칙'!$B$9,IF('제외 후보'!L812&lt;=2,'선정 규칙'!$B$10,IF('제외 후보'!L812&lt;=2.5,'선정 규칙'!$B$11,IF('제외 후보'!L812&lt;=3,'선정 규칙'!$B$12,IF('제외 후보'!L812&lt;=3.5,'선정 규칙'!$B$13,IF('제외 후보'!L812&gt;=4.5,'선정 규칙'!$B$14,0)))))))</x:f>
        <x:v>6</x:v>
      </x:c>
      <x:c r="F812" s="11" t="n">
        <x:f>IF('제외 후보'!Y812=0,'선정 규칙'!$B$15,IF('제외 후보'!Y812&gt;=100,'선정 규칙'!$B$16,'선정 규칙'!$B$17))</x:f>
        <x:v>-25</x:v>
      </x:c>
      <x:c r="G812" s="11" t="n">
        <x:f>IF('제외 후보'!M812="있음",'선정 규칙'!$B$18,'선정 규칙'!$B$19)</x:f>
        <x:v>6</x:v>
      </x:c>
      <x:c r="H812" s="11" t="n">
        <x:f>IF(ISNUMBER(SEARCH("freq-core",'제외 후보'!AD812)),'선정 규칙'!$B$20,0)</x:f>
        <x:v>0</x:v>
      </x:c>
      <x:c r="I812" s="11" t="n">
        <x:f>IF(ISNUMBER(SEARCH("weak_legacy_content",'제외 후보'!P812)),'선정 규칙'!$B$21,0)</x:f>
        <x:v>5</x:v>
      </x:c>
      <x:c r="J812" s="11" t="n">
        <x:f>IF('제외 후보'!AC812&lt;&gt;"",'선정 규칙'!$B$22,0)</x:f>
        <x:v>10</x:v>
      </x:c>
      <x:c r="K812" s="11" t="n">
        <x:f>SUM(B812:J812)</x:f>
        <x:v>2</x:v>
      </x:c>
      <x:c r="L812" s="11" t="n">
        <x:f>'제외 후보'!N812</x:f>
        <x:v>2</x:v>
      </x:c>
      <x:c r="M812" s="2" t="str">
        <x:f>IF(K812=L812,"OK","MISMATCH")</x:f>
        <x:v>OK</x:v>
      </x:c>
    </x:row>
    <x:row r="813">
      <x:c r="A813" s="2" t="str">
        <x:f>'제외 후보'!G813</x:f>
        <x:v>w_626544665cf3723b</x:v>
      </x:c>
      <x:c r="B813" s="11" t="n">
        <x:f>IF('제외 후보'!Q813&lt;&gt;"",'선정 규칙'!$B$4,0)</x:f>
        <x:v>0</x:v>
      </x:c>
      <x:c r="C813" s="11" t="n">
        <x:f>IF(ISNUMBER(SEARCH("jmdict_uncommon_or_irregular",'제외 후보'!P813)),'선정 규칙'!$B$5,IF(ISNUMBER(SEARCH("jmdict_rare_or_dated",'제외 후보'!P813)),'선정 규칙'!$B$6,0))</x:f>
        <x:v>0</x:v>
      </x:c>
      <x:c r="D813" s="11" t="n">
        <x:f>IF(ISNUMBER(SEARCH("jmdict_exact_pair_not_found",'제외 후보'!P813)),'선정 규칙'!$B$7,0)</x:f>
        <x:v>0</x:v>
      </x:c>
      <x:c r="E813" s="11" t="n">
        <x:f>IF(OR('제외 후보'!L813="",'제외 후보'!L813&lt;=0),'선정 규칙'!$B$8,IF('제외 후보'!L813&lt;=1.5,'선정 규칙'!$B$9,IF('제외 후보'!L813&lt;=2,'선정 규칙'!$B$10,IF('제외 후보'!L813&lt;=2.5,'선정 규칙'!$B$11,IF('제외 후보'!L813&lt;=3,'선정 규칙'!$B$12,IF('제외 후보'!L813&lt;=3.5,'선정 규칙'!$B$13,IF('제외 후보'!L813&gt;=4.5,'선정 규칙'!$B$14,0)))))))</x:f>
        <x:v>6</x:v>
      </x:c>
      <x:c r="F813" s="11" t="n">
        <x:f>IF('제외 후보'!Y813=0,'선정 규칙'!$B$15,IF('제외 후보'!Y813&gt;=100,'선정 규칙'!$B$16,'선정 규칙'!$B$17))</x:f>
        <x:v>-25</x:v>
      </x:c>
      <x:c r="G813" s="11" t="n">
        <x:f>IF('제외 후보'!M813="있음",'선정 규칙'!$B$18,'선정 규칙'!$B$19)</x:f>
        <x:v>6</x:v>
      </x:c>
      <x:c r="H813" s="11" t="n">
        <x:f>IF(ISNUMBER(SEARCH("freq-core",'제외 후보'!AD813)),'선정 규칙'!$B$20,0)</x:f>
        <x:v>0</x:v>
      </x:c>
      <x:c r="I813" s="11" t="n">
        <x:f>IF(ISNUMBER(SEARCH("weak_legacy_content",'제외 후보'!P813)),'선정 규칙'!$B$21,0)</x:f>
        <x:v>5</x:v>
      </x:c>
      <x:c r="J813" s="11" t="n">
        <x:f>IF('제외 후보'!AC813&lt;&gt;"",'선정 규칙'!$B$22,0)</x:f>
        <x:v>10</x:v>
      </x:c>
      <x:c r="K813" s="11" t="n">
        <x:f>SUM(B813:J813)</x:f>
        <x:v>2</x:v>
      </x:c>
      <x:c r="L813" s="11" t="n">
        <x:f>'제외 후보'!N813</x:f>
        <x:v>2</x:v>
      </x:c>
      <x:c r="M813" s="2" t="str">
        <x:f>IF(K813=L813,"OK","MISMATCH")</x:f>
        <x:v>OK</x:v>
      </x:c>
    </x:row>
    <x:row r="814">
      <x:c r="A814" s="2" t="str">
        <x:f>'제외 후보'!G814</x:f>
        <x:v>w_f619074e36479304</x:v>
      </x:c>
      <x:c r="B814" s="11" t="n">
        <x:f>IF('제외 후보'!Q814&lt;&gt;"",'선정 규칙'!$B$4,0)</x:f>
        <x:v>0</x:v>
      </x:c>
      <x:c r="C814" s="11" t="n">
        <x:f>IF(ISNUMBER(SEARCH("jmdict_uncommon_or_irregular",'제외 후보'!P814)),'선정 규칙'!$B$5,IF(ISNUMBER(SEARCH("jmdict_rare_or_dated",'제외 후보'!P814)),'선정 규칙'!$B$6,0))</x:f>
        <x:v>0</x:v>
      </x:c>
      <x:c r="D814" s="11" t="n">
        <x:f>IF(ISNUMBER(SEARCH("jmdict_exact_pair_not_found",'제외 후보'!P814)),'선정 규칙'!$B$7,0)</x:f>
        <x:v>0</x:v>
      </x:c>
      <x:c r="E814" s="11" t="n">
        <x:f>IF(OR('제외 후보'!L814="",'제외 후보'!L814&lt;=0),'선정 규칙'!$B$8,IF('제외 후보'!L814&lt;=1.5,'선정 규칙'!$B$9,IF('제외 후보'!L814&lt;=2,'선정 규칙'!$B$10,IF('제외 후보'!L814&lt;=2.5,'선정 규칙'!$B$11,IF('제외 후보'!L814&lt;=3,'선정 규칙'!$B$12,IF('제외 후보'!L814&lt;=3.5,'선정 규칙'!$B$13,IF('제외 후보'!L814&gt;=4.5,'선정 규칙'!$B$14,0)))))))</x:f>
        <x:v>6</x:v>
      </x:c>
      <x:c r="F814" s="11" t="n">
        <x:f>IF('제외 후보'!Y814=0,'선정 규칙'!$B$15,IF('제외 후보'!Y814&gt;=100,'선정 규칙'!$B$16,'선정 규칙'!$B$17))</x:f>
        <x:v>-25</x:v>
      </x:c>
      <x:c r="G814" s="11" t="n">
        <x:f>IF('제외 후보'!M814="있음",'선정 규칙'!$B$18,'선정 규칙'!$B$19)</x:f>
        <x:v>6</x:v>
      </x:c>
      <x:c r="H814" s="11" t="n">
        <x:f>IF(ISNUMBER(SEARCH("freq-core",'제외 후보'!AD814)),'선정 규칙'!$B$20,0)</x:f>
        <x:v>0</x:v>
      </x:c>
      <x:c r="I814" s="11" t="n">
        <x:f>IF(ISNUMBER(SEARCH("weak_legacy_content",'제외 후보'!P814)),'선정 규칙'!$B$21,0)</x:f>
        <x:v>5</x:v>
      </x:c>
      <x:c r="J814" s="11" t="n">
        <x:f>IF('제외 후보'!AC814&lt;&gt;"",'선정 규칙'!$B$22,0)</x:f>
        <x:v>10</x:v>
      </x:c>
      <x:c r="K814" s="11" t="n">
        <x:f>SUM(B814:J814)</x:f>
        <x:v>2</x:v>
      </x:c>
      <x:c r="L814" s="11" t="n">
        <x:f>'제외 후보'!N814</x:f>
        <x:v>2</x:v>
      </x:c>
      <x:c r="M814" s="2" t="str">
        <x:f>IF(K814=L814,"OK","MISMATCH")</x:f>
        <x:v>OK</x:v>
      </x:c>
    </x:row>
    <x:row r="815">
      <x:c r="A815" s="2" t="str">
        <x:f>'제외 후보'!G815</x:f>
        <x:v>w_1c68b9052519d4ce</x:v>
      </x:c>
      <x:c r="B815" s="11" t="n">
        <x:f>IF('제외 후보'!Q815&lt;&gt;"",'선정 규칙'!$B$4,0)</x:f>
        <x:v>0</x:v>
      </x:c>
      <x:c r="C815" s="11" t="n">
        <x:f>IF(ISNUMBER(SEARCH("jmdict_uncommon_or_irregular",'제외 후보'!P815)),'선정 규칙'!$B$5,IF(ISNUMBER(SEARCH("jmdict_rare_or_dated",'제외 후보'!P815)),'선정 규칙'!$B$6,0))</x:f>
        <x:v>0</x:v>
      </x:c>
      <x:c r="D815" s="11" t="n">
        <x:f>IF(ISNUMBER(SEARCH("jmdict_exact_pair_not_found",'제외 후보'!P815)),'선정 규칙'!$B$7,0)</x:f>
        <x:v>0</x:v>
      </x:c>
      <x:c r="E815" s="11" t="n">
        <x:f>IF(OR('제외 후보'!L815="",'제외 후보'!L815&lt;=0),'선정 규칙'!$B$8,IF('제외 후보'!L815&lt;=1.5,'선정 규칙'!$B$9,IF('제외 후보'!L815&lt;=2,'선정 규칙'!$B$10,IF('제외 후보'!L815&lt;=2.5,'선정 규칙'!$B$11,IF('제외 후보'!L815&lt;=3,'선정 규칙'!$B$12,IF('제외 후보'!L815&lt;=3.5,'선정 규칙'!$B$13,IF('제외 후보'!L815&gt;=4.5,'선정 규칙'!$B$14,0)))))))</x:f>
        <x:v>6</x:v>
      </x:c>
      <x:c r="F815" s="11" t="n">
        <x:f>IF('제외 후보'!Y815=0,'선정 규칙'!$B$15,IF('제외 후보'!Y815&gt;=100,'선정 규칙'!$B$16,'선정 규칙'!$B$17))</x:f>
        <x:v>-25</x:v>
      </x:c>
      <x:c r="G815" s="11" t="n">
        <x:f>IF('제외 후보'!M815="있음",'선정 규칙'!$B$18,'선정 규칙'!$B$19)</x:f>
        <x:v>6</x:v>
      </x:c>
      <x:c r="H815" s="11" t="n">
        <x:f>IF(ISNUMBER(SEARCH("freq-core",'제외 후보'!AD815)),'선정 규칙'!$B$20,0)</x:f>
        <x:v>0</x:v>
      </x:c>
      <x:c r="I815" s="11" t="n">
        <x:f>IF(ISNUMBER(SEARCH("weak_legacy_content",'제외 후보'!P815)),'선정 규칙'!$B$21,0)</x:f>
        <x:v>5</x:v>
      </x:c>
      <x:c r="J815" s="11" t="n">
        <x:f>IF('제외 후보'!AC815&lt;&gt;"",'선정 규칙'!$B$22,0)</x:f>
        <x:v>10</x:v>
      </x:c>
      <x:c r="K815" s="11" t="n">
        <x:f>SUM(B815:J815)</x:f>
        <x:v>2</x:v>
      </x:c>
      <x:c r="L815" s="11" t="n">
        <x:f>'제외 후보'!N815</x:f>
        <x:v>2</x:v>
      </x:c>
      <x:c r="M815" s="2" t="str">
        <x:f>IF(K815=L815,"OK","MISMATCH")</x:f>
        <x:v>OK</x:v>
      </x:c>
    </x:row>
    <x:row r="816">
      <x:c r="A816" s="2" t="str">
        <x:f>'제외 후보'!G816</x:f>
        <x:v>w_d1c5867c499e5ff4</x:v>
      </x:c>
      <x:c r="B816" s="11" t="n">
        <x:f>IF('제외 후보'!Q816&lt;&gt;"",'선정 규칙'!$B$4,0)</x:f>
        <x:v>0</x:v>
      </x:c>
      <x:c r="C816" s="11" t="n">
        <x:f>IF(ISNUMBER(SEARCH("jmdict_uncommon_or_irregular",'제외 후보'!P816)),'선정 규칙'!$B$5,IF(ISNUMBER(SEARCH("jmdict_rare_or_dated",'제외 후보'!P816)),'선정 규칙'!$B$6,0))</x:f>
        <x:v>0</x:v>
      </x:c>
      <x:c r="D816" s="11" t="n">
        <x:f>IF(ISNUMBER(SEARCH("jmdict_exact_pair_not_found",'제외 후보'!P816)),'선정 규칙'!$B$7,0)</x:f>
        <x:v>0</x:v>
      </x:c>
      <x:c r="E816" s="11" t="n">
        <x:f>IF(OR('제외 후보'!L816="",'제외 후보'!L816&lt;=0),'선정 규칙'!$B$8,IF('제외 후보'!L816&lt;=1.5,'선정 규칙'!$B$9,IF('제외 후보'!L816&lt;=2,'선정 규칙'!$B$10,IF('제외 후보'!L816&lt;=2.5,'선정 규칙'!$B$11,IF('제외 후보'!L816&lt;=3,'선정 규칙'!$B$12,IF('제외 후보'!L816&lt;=3.5,'선정 규칙'!$B$13,IF('제외 후보'!L816&gt;=4.5,'선정 규칙'!$B$14,0)))))))</x:f>
        <x:v>6</x:v>
      </x:c>
      <x:c r="F816" s="11" t="n">
        <x:f>IF('제외 후보'!Y816=0,'선정 규칙'!$B$15,IF('제외 후보'!Y816&gt;=100,'선정 규칙'!$B$16,'선정 규칙'!$B$17))</x:f>
        <x:v>-25</x:v>
      </x:c>
      <x:c r="G816" s="11" t="n">
        <x:f>IF('제외 후보'!M816="있음",'선정 규칙'!$B$18,'선정 규칙'!$B$19)</x:f>
        <x:v>6</x:v>
      </x:c>
      <x:c r="H816" s="11" t="n">
        <x:f>IF(ISNUMBER(SEARCH("freq-core",'제외 후보'!AD816)),'선정 규칙'!$B$20,0)</x:f>
        <x:v>0</x:v>
      </x:c>
      <x:c r="I816" s="11" t="n">
        <x:f>IF(ISNUMBER(SEARCH("weak_legacy_content",'제외 후보'!P816)),'선정 규칙'!$B$21,0)</x:f>
        <x:v>5</x:v>
      </x:c>
      <x:c r="J816" s="11" t="n">
        <x:f>IF('제외 후보'!AC816&lt;&gt;"",'선정 규칙'!$B$22,0)</x:f>
        <x:v>10</x:v>
      </x:c>
      <x:c r="K816" s="11" t="n">
        <x:f>SUM(B816:J816)</x:f>
        <x:v>2</x:v>
      </x:c>
      <x:c r="L816" s="11" t="n">
        <x:f>'제외 후보'!N816</x:f>
        <x:v>2</x:v>
      </x:c>
      <x:c r="M816" s="2" t="str">
        <x:f>IF(K816=L816,"OK","MISMATCH")</x:f>
        <x:v>OK</x:v>
      </x:c>
    </x:row>
    <x:row r="817">
      <x:c r="A817" s="2" t="str">
        <x:f>'제외 후보'!G817</x:f>
        <x:v>w_449e41c672fbe255</x:v>
      </x:c>
      <x:c r="B817" s="11" t="n">
        <x:f>IF('제외 후보'!Q817&lt;&gt;"",'선정 규칙'!$B$4,0)</x:f>
        <x:v>0</x:v>
      </x:c>
      <x:c r="C817" s="11" t="n">
        <x:f>IF(ISNUMBER(SEARCH("jmdict_uncommon_or_irregular",'제외 후보'!P817)),'선정 규칙'!$B$5,IF(ISNUMBER(SEARCH("jmdict_rare_or_dated",'제외 후보'!P817)),'선정 규칙'!$B$6,0))</x:f>
        <x:v>0</x:v>
      </x:c>
      <x:c r="D817" s="11" t="n">
        <x:f>IF(ISNUMBER(SEARCH("jmdict_exact_pair_not_found",'제외 후보'!P817)),'선정 규칙'!$B$7,0)</x:f>
        <x:v>0</x:v>
      </x:c>
      <x:c r="E817" s="11" t="n">
        <x:f>IF(OR('제외 후보'!L817="",'제외 후보'!L817&lt;=0),'선정 규칙'!$B$8,IF('제외 후보'!L817&lt;=1.5,'선정 규칙'!$B$9,IF('제외 후보'!L817&lt;=2,'선정 규칙'!$B$10,IF('제외 후보'!L817&lt;=2.5,'선정 규칙'!$B$11,IF('제외 후보'!L817&lt;=3,'선정 규칙'!$B$12,IF('제외 후보'!L817&lt;=3.5,'선정 규칙'!$B$13,IF('제외 후보'!L817&gt;=4.5,'선정 규칙'!$B$14,0)))))))</x:f>
        <x:v>6</x:v>
      </x:c>
      <x:c r="F817" s="11" t="n">
        <x:f>IF('제외 후보'!Y817=0,'선정 규칙'!$B$15,IF('제외 후보'!Y817&gt;=100,'선정 규칙'!$B$16,'선정 규칙'!$B$17))</x:f>
        <x:v>-25</x:v>
      </x:c>
      <x:c r="G817" s="11" t="n">
        <x:f>IF('제외 후보'!M817="있음",'선정 규칙'!$B$18,'선정 규칙'!$B$19)</x:f>
        <x:v>6</x:v>
      </x:c>
      <x:c r="H817" s="11" t="n">
        <x:f>IF(ISNUMBER(SEARCH("freq-core",'제외 후보'!AD817)),'선정 규칙'!$B$20,0)</x:f>
        <x:v>0</x:v>
      </x:c>
      <x:c r="I817" s="11" t="n">
        <x:f>IF(ISNUMBER(SEARCH("weak_legacy_content",'제외 후보'!P817)),'선정 규칙'!$B$21,0)</x:f>
        <x:v>5</x:v>
      </x:c>
      <x:c r="J817" s="11" t="n">
        <x:f>IF('제외 후보'!AC817&lt;&gt;"",'선정 규칙'!$B$22,0)</x:f>
        <x:v>10</x:v>
      </x:c>
      <x:c r="K817" s="11" t="n">
        <x:f>SUM(B817:J817)</x:f>
        <x:v>2</x:v>
      </x:c>
      <x:c r="L817" s="11" t="n">
        <x:f>'제외 후보'!N817</x:f>
        <x:v>2</x:v>
      </x:c>
      <x:c r="M817" s="2" t="str">
        <x:f>IF(K817=L817,"OK","MISMATCH")</x:f>
        <x:v>OK</x:v>
      </x:c>
    </x:row>
    <x:row r="818">
      <x:c r="A818" s="2" t="str">
        <x:f>'제외 후보'!G818</x:f>
        <x:v>w_73be56cf8562b4e2</x:v>
      </x:c>
      <x:c r="B818" s="11" t="n">
        <x:f>IF('제외 후보'!Q818&lt;&gt;"",'선정 규칙'!$B$4,0)</x:f>
        <x:v>0</x:v>
      </x:c>
      <x:c r="C818" s="11" t="n">
        <x:f>IF(ISNUMBER(SEARCH("jmdict_uncommon_or_irregular",'제외 후보'!P818)),'선정 규칙'!$B$5,IF(ISNUMBER(SEARCH("jmdict_rare_or_dated",'제외 후보'!P818)),'선정 규칙'!$B$6,0))</x:f>
        <x:v>0</x:v>
      </x:c>
      <x:c r="D818" s="11" t="n">
        <x:f>IF(ISNUMBER(SEARCH("jmdict_exact_pair_not_found",'제외 후보'!P818)),'선정 규칙'!$B$7,0)</x:f>
        <x:v>0</x:v>
      </x:c>
      <x:c r="E818" s="11" t="n">
        <x:f>IF(OR('제외 후보'!L818="",'제외 후보'!L818&lt;=0),'선정 규칙'!$B$8,IF('제외 후보'!L818&lt;=1.5,'선정 규칙'!$B$9,IF('제외 후보'!L818&lt;=2,'선정 규칙'!$B$10,IF('제외 후보'!L818&lt;=2.5,'선정 규칙'!$B$11,IF('제외 후보'!L818&lt;=3,'선정 규칙'!$B$12,IF('제외 후보'!L818&lt;=3.5,'선정 규칙'!$B$13,IF('제외 후보'!L818&gt;=4.5,'선정 규칙'!$B$14,0)))))))</x:f>
        <x:v>6</x:v>
      </x:c>
      <x:c r="F818" s="11" t="n">
        <x:f>IF('제외 후보'!Y818=0,'선정 규칙'!$B$15,IF('제외 후보'!Y818&gt;=100,'선정 규칙'!$B$16,'선정 규칙'!$B$17))</x:f>
        <x:v>-25</x:v>
      </x:c>
      <x:c r="G818" s="11" t="n">
        <x:f>IF('제외 후보'!M818="있음",'선정 규칙'!$B$18,'선정 규칙'!$B$19)</x:f>
        <x:v>6</x:v>
      </x:c>
      <x:c r="H818" s="11" t="n">
        <x:f>IF(ISNUMBER(SEARCH("freq-core",'제외 후보'!AD818)),'선정 규칙'!$B$20,0)</x:f>
        <x:v>0</x:v>
      </x:c>
      <x:c r="I818" s="11" t="n">
        <x:f>IF(ISNUMBER(SEARCH("weak_legacy_content",'제외 후보'!P818)),'선정 규칙'!$B$21,0)</x:f>
        <x:v>5</x:v>
      </x:c>
      <x:c r="J818" s="11" t="n">
        <x:f>IF('제외 후보'!AC818&lt;&gt;"",'선정 규칙'!$B$22,0)</x:f>
        <x:v>10</x:v>
      </x:c>
      <x:c r="K818" s="11" t="n">
        <x:f>SUM(B818:J818)</x:f>
        <x:v>2</x:v>
      </x:c>
      <x:c r="L818" s="11" t="n">
        <x:f>'제외 후보'!N818</x:f>
        <x:v>2</x:v>
      </x:c>
      <x:c r="M818" s="2" t="str">
        <x:f>IF(K818=L818,"OK","MISMATCH")</x:f>
        <x:v>OK</x:v>
      </x:c>
    </x:row>
    <x:row r="819">
      <x:c r="A819" s="2" t="str">
        <x:f>'제외 후보'!G819</x:f>
        <x:v>w_79c722fa85d82de1</x:v>
      </x:c>
      <x:c r="B819" s="11" t="n">
        <x:f>IF('제외 후보'!Q819&lt;&gt;"",'선정 규칙'!$B$4,0)</x:f>
        <x:v>0</x:v>
      </x:c>
      <x:c r="C819" s="11" t="n">
        <x:f>IF(ISNUMBER(SEARCH("jmdict_uncommon_or_irregular",'제외 후보'!P819)),'선정 규칙'!$B$5,IF(ISNUMBER(SEARCH("jmdict_rare_or_dated",'제외 후보'!P819)),'선정 규칙'!$B$6,0))</x:f>
        <x:v>0</x:v>
      </x:c>
      <x:c r="D819" s="11" t="n">
        <x:f>IF(ISNUMBER(SEARCH("jmdict_exact_pair_not_found",'제외 후보'!P819)),'선정 규칙'!$B$7,0)</x:f>
        <x:v>0</x:v>
      </x:c>
      <x:c r="E819" s="11" t="n">
        <x:f>IF(OR('제외 후보'!L819="",'제외 후보'!L819&lt;=0),'선정 규칙'!$B$8,IF('제외 후보'!L819&lt;=1.5,'선정 규칙'!$B$9,IF('제외 후보'!L819&lt;=2,'선정 규칙'!$B$10,IF('제외 후보'!L819&lt;=2.5,'선정 규칙'!$B$11,IF('제외 후보'!L819&lt;=3,'선정 규칙'!$B$12,IF('제외 후보'!L819&lt;=3.5,'선정 규칙'!$B$13,IF('제외 후보'!L819&gt;=4.5,'선정 규칙'!$B$14,0)))))))</x:f>
        <x:v>6</x:v>
      </x:c>
      <x:c r="F819" s="11" t="n">
        <x:f>IF('제외 후보'!Y819=0,'선정 규칙'!$B$15,IF('제외 후보'!Y819&gt;=100,'선정 규칙'!$B$16,'선정 규칙'!$B$17))</x:f>
        <x:v>-25</x:v>
      </x:c>
      <x:c r="G819" s="11" t="n">
        <x:f>IF('제외 후보'!M819="있음",'선정 규칙'!$B$18,'선정 규칙'!$B$19)</x:f>
        <x:v>6</x:v>
      </x:c>
      <x:c r="H819" s="11" t="n">
        <x:f>IF(ISNUMBER(SEARCH("freq-core",'제외 후보'!AD819)),'선정 규칙'!$B$20,0)</x:f>
        <x:v>0</x:v>
      </x:c>
      <x:c r="I819" s="11" t="n">
        <x:f>IF(ISNUMBER(SEARCH("weak_legacy_content",'제외 후보'!P819)),'선정 규칙'!$B$21,0)</x:f>
        <x:v>5</x:v>
      </x:c>
      <x:c r="J819" s="11" t="n">
        <x:f>IF('제외 후보'!AC819&lt;&gt;"",'선정 규칙'!$B$22,0)</x:f>
        <x:v>10</x:v>
      </x:c>
      <x:c r="K819" s="11" t="n">
        <x:f>SUM(B819:J819)</x:f>
        <x:v>2</x:v>
      </x:c>
      <x:c r="L819" s="11" t="n">
        <x:f>'제외 후보'!N819</x:f>
        <x:v>2</x:v>
      </x:c>
      <x:c r="M819" s="2" t="str">
        <x:f>IF(K819=L819,"OK","MISMATCH")</x:f>
        <x:v>OK</x:v>
      </x:c>
    </x:row>
    <x:row r="820">
      <x:c r="A820" s="2" t="str">
        <x:f>'제외 후보'!G820</x:f>
        <x:v>w_6b0ec202d642a276</x:v>
      </x:c>
      <x:c r="B820" s="11" t="n">
        <x:f>IF('제외 후보'!Q820&lt;&gt;"",'선정 규칙'!$B$4,0)</x:f>
        <x:v>0</x:v>
      </x:c>
      <x:c r="C820" s="11" t="n">
        <x:f>IF(ISNUMBER(SEARCH("jmdict_uncommon_or_irregular",'제외 후보'!P820)),'선정 규칙'!$B$5,IF(ISNUMBER(SEARCH("jmdict_rare_or_dated",'제외 후보'!P820)),'선정 규칙'!$B$6,0))</x:f>
        <x:v>0</x:v>
      </x:c>
      <x:c r="D820" s="11" t="n">
        <x:f>IF(ISNUMBER(SEARCH("jmdict_exact_pair_not_found",'제외 후보'!P820)),'선정 규칙'!$B$7,0)</x:f>
        <x:v>0</x:v>
      </x:c>
      <x:c r="E820" s="11" t="n">
        <x:f>IF(OR('제외 후보'!L820="",'제외 후보'!L820&lt;=0),'선정 규칙'!$B$8,IF('제외 후보'!L820&lt;=1.5,'선정 규칙'!$B$9,IF('제외 후보'!L820&lt;=2,'선정 규칙'!$B$10,IF('제외 후보'!L820&lt;=2.5,'선정 규칙'!$B$11,IF('제외 후보'!L820&lt;=3,'선정 규칙'!$B$12,IF('제외 후보'!L820&lt;=3.5,'선정 규칙'!$B$13,IF('제외 후보'!L820&gt;=4.5,'선정 규칙'!$B$14,0)))))))</x:f>
        <x:v>6</x:v>
      </x:c>
      <x:c r="F820" s="11" t="n">
        <x:f>IF('제외 후보'!Y820=0,'선정 규칙'!$B$15,IF('제외 후보'!Y820&gt;=100,'선정 규칙'!$B$16,'선정 규칙'!$B$17))</x:f>
        <x:v>-25</x:v>
      </x:c>
      <x:c r="G820" s="11" t="n">
        <x:f>IF('제외 후보'!M820="있음",'선정 규칙'!$B$18,'선정 규칙'!$B$19)</x:f>
        <x:v>6</x:v>
      </x:c>
      <x:c r="H820" s="11" t="n">
        <x:f>IF(ISNUMBER(SEARCH("freq-core",'제외 후보'!AD820)),'선정 규칙'!$B$20,0)</x:f>
        <x:v>0</x:v>
      </x:c>
      <x:c r="I820" s="11" t="n">
        <x:f>IF(ISNUMBER(SEARCH("weak_legacy_content",'제외 후보'!P820)),'선정 규칙'!$B$21,0)</x:f>
        <x:v>5</x:v>
      </x:c>
      <x:c r="J820" s="11" t="n">
        <x:f>IF('제외 후보'!AC820&lt;&gt;"",'선정 규칙'!$B$22,0)</x:f>
        <x:v>10</x:v>
      </x:c>
      <x:c r="K820" s="11" t="n">
        <x:f>SUM(B820:J820)</x:f>
        <x:v>2</x:v>
      </x:c>
      <x:c r="L820" s="11" t="n">
        <x:f>'제외 후보'!N820</x:f>
        <x:v>2</x:v>
      </x:c>
      <x:c r="M820" s="2" t="str">
        <x:f>IF(K820=L820,"OK","MISMATCH")</x:f>
        <x:v>OK</x:v>
      </x:c>
    </x:row>
    <x:row r="821">
      <x:c r="A821" s="2" t="str">
        <x:f>'제외 후보'!G821</x:f>
        <x:v>w_f63f959c0ec9f805</x:v>
      </x:c>
      <x:c r="B821" s="11" t="n">
        <x:f>IF('제외 후보'!Q821&lt;&gt;"",'선정 규칙'!$B$4,0)</x:f>
        <x:v>0</x:v>
      </x:c>
      <x:c r="C821" s="11" t="n">
        <x:f>IF(ISNUMBER(SEARCH("jmdict_uncommon_or_irregular",'제외 후보'!P821)),'선정 규칙'!$B$5,IF(ISNUMBER(SEARCH("jmdict_rare_or_dated",'제외 후보'!P821)),'선정 규칙'!$B$6,0))</x:f>
        <x:v>0</x:v>
      </x:c>
      <x:c r="D821" s="11" t="n">
        <x:f>IF(ISNUMBER(SEARCH("jmdict_exact_pair_not_found",'제외 후보'!P821)),'선정 규칙'!$B$7,0)</x:f>
        <x:v>0</x:v>
      </x:c>
      <x:c r="E821" s="11" t="n">
        <x:f>IF(OR('제외 후보'!L821="",'제외 후보'!L821&lt;=0),'선정 규칙'!$B$8,IF('제외 후보'!L821&lt;=1.5,'선정 규칙'!$B$9,IF('제외 후보'!L821&lt;=2,'선정 규칙'!$B$10,IF('제외 후보'!L821&lt;=2.5,'선정 규칙'!$B$11,IF('제외 후보'!L821&lt;=3,'선정 규칙'!$B$12,IF('제외 후보'!L821&lt;=3.5,'선정 규칙'!$B$13,IF('제외 후보'!L821&gt;=4.5,'선정 규칙'!$B$14,0)))))))</x:f>
        <x:v>6</x:v>
      </x:c>
      <x:c r="F821" s="11" t="n">
        <x:f>IF('제외 후보'!Y821=0,'선정 규칙'!$B$15,IF('제외 후보'!Y821&gt;=100,'선정 규칙'!$B$16,'선정 규칙'!$B$17))</x:f>
        <x:v>-25</x:v>
      </x:c>
      <x:c r="G821" s="11" t="n">
        <x:f>IF('제외 후보'!M821="있음",'선정 규칙'!$B$18,'선정 규칙'!$B$19)</x:f>
        <x:v>6</x:v>
      </x:c>
      <x:c r="H821" s="11" t="n">
        <x:f>IF(ISNUMBER(SEARCH("freq-core",'제외 후보'!AD821)),'선정 규칙'!$B$20,0)</x:f>
        <x:v>0</x:v>
      </x:c>
      <x:c r="I821" s="11" t="n">
        <x:f>IF(ISNUMBER(SEARCH("weak_legacy_content",'제외 후보'!P821)),'선정 규칙'!$B$21,0)</x:f>
        <x:v>5</x:v>
      </x:c>
      <x:c r="J821" s="11" t="n">
        <x:f>IF('제외 후보'!AC821&lt;&gt;"",'선정 규칙'!$B$22,0)</x:f>
        <x:v>10</x:v>
      </x:c>
      <x:c r="K821" s="11" t="n">
        <x:f>SUM(B821:J821)</x:f>
        <x:v>2</x:v>
      </x:c>
      <x:c r="L821" s="11" t="n">
        <x:f>'제외 후보'!N821</x:f>
        <x:v>2</x:v>
      </x:c>
      <x:c r="M821" s="2" t="str">
        <x:f>IF(K821=L821,"OK","MISMATCH")</x:f>
        <x:v>OK</x:v>
      </x:c>
    </x:row>
    <x:row r="822">
      <x:c r="A822" s="2" t="str">
        <x:f>'제외 후보'!G822</x:f>
        <x:v>w_b392850d12884036</x:v>
      </x:c>
      <x:c r="B822" s="11" t="n">
        <x:f>IF('제외 후보'!Q822&lt;&gt;"",'선정 규칙'!$B$4,0)</x:f>
        <x:v>0</x:v>
      </x:c>
      <x:c r="C822" s="11" t="n">
        <x:f>IF(ISNUMBER(SEARCH("jmdict_uncommon_or_irregular",'제외 후보'!P822)),'선정 규칙'!$B$5,IF(ISNUMBER(SEARCH("jmdict_rare_or_dated",'제외 후보'!P822)),'선정 규칙'!$B$6,0))</x:f>
        <x:v>0</x:v>
      </x:c>
      <x:c r="D822" s="11" t="n">
        <x:f>IF(ISNUMBER(SEARCH("jmdict_exact_pair_not_found",'제외 후보'!P822)),'선정 규칙'!$B$7,0)</x:f>
        <x:v>0</x:v>
      </x:c>
      <x:c r="E822" s="11" t="n">
        <x:f>IF(OR('제외 후보'!L822="",'제외 후보'!L822&lt;=0),'선정 규칙'!$B$8,IF('제외 후보'!L822&lt;=1.5,'선정 규칙'!$B$9,IF('제외 후보'!L822&lt;=2,'선정 규칙'!$B$10,IF('제외 후보'!L822&lt;=2.5,'선정 규칙'!$B$11,IF('제외 후보'!L822&lt;=3,'선정 규칙'!$B$12,IF('제외 후보'!L822&lt;=3.5,'선정 규칙'!$B$13,IF('제외 후보'!L822&gt;=4.5,'선정 규칙'!$B$14,0)))))))</x:f>
        <x:v>6</x:v>
      </x:c>
      <x:c r="F822" s="11" t="n">
        <x:f>IF('제외 후보'!Y822=0,'선정 규칙'!$B$15,IF('제외 후보'!Y822&gt;=100,'선정 규칙'!$B$16,'선정 규칙'!$B$17))</x:f>
        <x:v>-25</x:v>
      </x:c>
      <x:c r="G822" s="11" t="n">
        <x:f>IF('제외 후보'!M822="있음",'선정 규칙'!$B$18,'선정 규칙'!$B$19)</x:f>
        <x:v>6</x:v>
      </x:c>
      <x:c r="H822" s="11" t="n">
        <x:f>IF(ISNUMBER(SEARCH("freq-core",'제외 후보'!AD822)),'선정 규칙'!$B$20,0)</x:f>
        <x:v>0</x:v>
      </x:c>
      <x:c r="I822" s="11" t="n">
        <x:f>IF(ISNUMBER(SEARCH("weak_legacy_content",'제외 후보'!P822)),'선정 규칙'!$B$21,0)</x:f>
        <x:v>5</x:v>
      </x:c>
      <x:c r="J822" s="11" t="n">
        <x:f>IF('제외 후보'!AC822&lt;&gt;"",'선정 규칙'!$B$22,0)</x:f>
        <x:v>10</x:v>
      </x:c>
      <x:c r="K822" s="11" t="n">
        <x:f>SUM(B822:J822)</x:f>
        <x:v>2</x:v>
      </x:c>
      <x:c r="L822" s="11" t="n">
        <x:f>'제외 후보'!N822</x:f>
        <x:v>2</x:v>
      </x:c>
      <x:c r="M822" s="2" t="str">
        <x:f>IF(K822=L822,"OK","MISMATCH")</x:f>
        <x:v>OK</x:v>
      </x:c>
    </x:row>
    <x:row r="823">
      <x:c r="A823" s="2" t="str">
        <x:f>'제외 후보'!G823</x:f>
        <x:v>w_9a9021b246621aca</x:v>
      </x:c>
      <x:c r="B823" s="11" t="n">
        <x:f>IF('제외 후보'!Q823&lt;&gt;"",'선정 규칙'!$B$4,0)</x:f>
        <x:v>0</x:v>
      </x:c>
      <x:c r="C823" s="11" t="n">
        <x:f>IF(ISNUMBER(SEARCH("jmdict_uncommon_or_irregular",'제외 후보'!P823)),'선정 규칙'!$B$5,IF(ISNUMBER(SEARCH("jmdict_rare_or_dated",'제외 후보'!P823)),'선정 규칙'!$B$6,0))</x:f>
        <x:v>0</x:v>
      </x:c>
      <x:c r="D823" s="11" t="n">
        <x:f>IF(ISNUMBER(SEARCH("jmdict_exact_pair_not_found",'제외 후보'!P823)),'선정 규칙'!$B$7,0)</x:f>
        <x:v>0</x:v>
      </x:c>
      <x:c r="E823" s="11" t="n">
        <x:f>IF(OR('제외 후보'!L823="",'제외 후보'!L823&lt;=0),'선정 규칙'!$B$8,IF('제외 후보'!L823&lt;=1.5,'선정 규칙'!$B$9,IF('제외 후보'!L823&lt;=2,'선정 규칙'!$B$10,IF('제외 후보'!L823&lt;=2.5,'선정 규칙'!$B$11,IF('제외 후보'!L823&lt;=3,'선정 규칙'!$B$12,IF('제외 후보'!L823&lt;=3.5,'선정 규칙'!$B$13,IF('제외 후보'!L823&gt;=4.5,'선정 규칙'!$B$14,0)))))))</x:f>
        <x:v>6</x:v>
      </x:c>
      <x:c r="F823" s="11" t="n">
        <x:f>IF('제외 후보'!Y823=0,'선정 규칙'!$B$15,IF('제외 후보'!Y823&gt;=100,'선정 규칙'!$B$16,'선정 규칙'!$B$17))</x:f>
        <x:v>-25</x:v>
      </x:c>
      <x:c r="G823" s="11" t="n">
        <x:f>IF('제외 후보'!M823="있음",'선정 규칙'!$B$18,'선정 규칙'!$B$19)</x:f>
        <x:v>6</x:v>
      </x:c>
      <x:c r="H823" s="11" t="n">
        <x:f>IF(ISNUMBER(SEARCH("freq-core",'제외 후보'!AD823)),'선정 규칙'!$B$20,0)</x:f>
        <x:v>0</x:v>
      </x:c>
      <x:c r="I823" s="11" t="n">
        <x:f>IF(ISNUMBER(SEARCH("weak_legacy_content",'제외 후보'!P823)),'선정 규칙'!$B$21,0)</x:f>
        <x:v>5</x:v>
      </x:c>
      <x:c r="J823" s="11" t="n">
        <x:f>IF('제외 후보'!AC823&lt;&gt;"",'선정 규칙'!$B$22,0)</x:f>
        <x:v>10</x:v>
      </x:c>
      <x:c r="K823" s="11" t="n">
        <x:f>SUM(B823:J823)</x:f>
        <x:v>2</x:v>
      </x:c>
      <x:c r="L823" s="11" t="n">
        <x:f>'제외 후보'!N823</x:f>
        <x:v>2</x:v>
      </x:c>
      <x:c r="M823" s="2" t="str">
        <x:f>IF(K823=L823,"OK","MISMATCH")</x:f>
        <x:v>OK</x:v>
      </x:c>
    </x:row>
    <x:row r="824">
      <x:c r="A824" s="2" t="str">
        <x:f>'제외 후보'!G824</x:f>
        <x:v>w_65741a2d9cd1b73b</x:v>
      </x:c>
      <x:c r="B824" s="11" t="n">
        <x:f>IF('제외 후보'!Q824&lt;&gt;"",'선정 규칙'!$B$4,0)</x:f>
        <x:v>0</x:v>
      </x:c>
      <x:c r="C824" s="11" t="n">
        <x:f>IF(ISNUMBER(SEARCH("jmdict_uncommon_or_irregular",'제외 후보'!P824)),'선정 규칙'!$B$5,IF(ISNUMBER(SEARCH("jmdict_rare_or_dated",'제외 후보'!P824)),'선정 규칙'!$B$6,0))</x:f>
        <x:v>0</x:v>
      </x:c>
      <x:c r="D824" s="11" t="n">
        <x:f>IF(ISNUMBER(SEARCH("jmdict_exact_pair_not_found",'제외 후보'!P824)),'선정 규칙'!$B$7,0)</x:f>
        <x:v>0</x:v>
      </x:c>
      <x:c r="E824" s="11" t="n">
        <x:f>IF(OR('제외 후보'!L824="",'제외 후보'!L824&lt;=0),'선정 규칙'!$B$8,IF('제외 후보'!L824&lt;=1.5,'선정 규칙'!$B$9,IF('제외 후보'!L824&lt;=2,'선정 규칙'!$B$10,IF('제외 후보'!L824&lt;=2.5,'선정 규칙'!$B$11,IF('제외 후보'!L824&lt;=3,'선정 규칙'!$B$12,IF('제외 후보'!L824&lt;=3.5,'선정 규칙'!$B$13,IF('제외 후보'!L824&gt;=4.5,'선정 규칙'!$B$14,0)))))))</x:f>
        <x:v>6</x:v>
      </x:c>
      <x:c r="F824" s="11" t="n">
        <x:f>IF('제외 후보'!Y824=0,'선정 규칙'!$B$15,IF('제외 후보'!Y824&gt;=100,'선정 규칙'!$B$16,'선정 규칙'!$B$17))</x:f>
        <x:v>-25</x:v>
      </x:c>
      <x:c r="G824" s="11" t="n">
        <x:f>IF('제외 후보'!M824="있음",'선정 규칙'!$B$18,'선정 규칙'!$B$19)</x:f>
        <x:v>6</x:v>
      </x:c>
      <x:c r="H824" s="11" t="n">
        <x:f>IF(ISNUMBER(SEARCH("freq-core",'제외 후보'!AD824)),'선정 규칙'!$B$20,0)</x:f>
        <x:v>0</x:v>
      </x:c>
      <x:c r="I824" s="11" t="n">
        <x:f>IF(ISNUMBER(SEARCH("weak_legacy_content",'제외 후보'!P824)),'선정 규칙'!$B$21,0)</x:f>
        <x:v>5</x:v>
      </x:c>
      <x:c r="J824" s="11" t="n">
        <x:f>IF('제외 후보'!AC824&lt;&gt;"",'선정 규칙'!$B$22,0)</x:f>
        <x:v>10</x:v>
      </x:c>
      <x:c r="K824" s="11" t="n">
        <x:f>SUM(B824:J824)</x:f>
        <x:v>2</x:v>
      </x:c>
      <x:c r="L824" s="11" t="n">
        <x:f>'제외 후보'!N824</x:f>
        <x:v>2</x:v>
      </x:c>
      <x:c r="M824" s="2" t="str">
        <x:f>IF(K824=L824,"OK","MISMATCH")</x:f>
        <x:v>OK</x:v>
      </x:c>
    </x:row>
    <x:row r="825">
      <x:c r="A825" s="2" t="str">
        <x:f>'제외 후보'!G825</x:f>
        <x:v>w_69e2159df1fe1017</x:v>
      </x:c>
      <x:c r="B825" s="11" t="n">
        <x:f>IF('제외 후보'!Q825&lt;&gt;"",'선정 규칙'!$B$4,0)</x:f>
        <x:v>0</x:v>
      </x:c>
      <x:c r="C825" s="11" t="n">
        <x:f>IF(ISNUMBER(SEARCH("jmdict_uncommon_or_irregular",'제외 후보'!P825)),'선정 규칙'!$B$5,IF(ISNUMBER(SEARCH("jmdict_rare_or_dated",'제외 후보'!P825)),'선정 규칙'!$B$6,0))</x:f>
        <x:v>0</x:v>
      </x:c>
      <x:c r="D825" s="11" t="n">
        <x:f>IF(ISNUMBER(SEARCH("jmdict_exact_pair_not_found",'제외 후보'!P825)),'선정 규칙'!$B$7,0)</x:f>
        <x:v>0</x:v>
      </x:c>
      <x:c r="E825" s="11" t="n">
        <x:f>IF(OR('제외 후보'!L825="",'제외 후보'!L825&lt;=0),'선정 규칙'!$B$8,IF('제외 후보'!L825&lt;=1.5,'선정 규칙'!$B$9,IF('제외 후보'!L825&lt;=2,'선정 규칙'!$B$10,IF('제외 후보'!L825&lt;=2.5,'선정 규칙'!$B$11,IF('제외 후보'!L825&lt;=3,'선정 규칙'!$B$12,IF('제외 후보'!L825&lt;=3.5,'선정 규칙'!$B$13,IF('제외 후보'!L825&gt;=4.5,'선정 규칙'!$B$14,0)))))))</x:f>
        <x:v>6</x:v>
      </x:c>
      <x:c r="F825" s="11" t="n">
        <x:f>IF('제외 후보'!Y825=0,'선정 규칙'!$B$15,IF('제외 후보'!Y825&gt;=100,'선정 규칙'!$B$16,'선정 규칙'!$B$17))</x:f>
        <x:v>-25</x:v>
      </x:c>
      <x:c r="G825" s="11" t="n">
        <x:f>IF('제외 후보'!M825="있음",'선정 규칙'!$B$18,'선정 규칙'!$B$19)</x:f>
        <x:v>6</x:v>
      </x:c>
      <x:c r="H825" s="11" t="n">
        <x:f>IF(ISNUMBER(SEARCH("freq-core",'제외 후보'!AD825)),'선정 규칙'!$B$20,0)</x:f>
        <x:v>0</x:v>
      </x:c>
      <x:c r="I825" s="11" t="n">
        <x:f>IF(ISNUMBER(SEARCH("weak_legacy_content",'제외 후보'!P825)),'선정 규칙'!$B$21,0)</x:f>
        <x:v>5</x:v>
      </x:c>
      <x:c r="J825" s="11" t="n">
        <x:f>IF('제외 후보'!AC825&lt;&gt;"",'선정 규칙'!$B$22,0)</x:f>
        <x:v>10</x:v>
      </x:c>
      <x:c r="K825" s="11" t="n">
        <x:f>SUM(B825:J825)</x:f>
        <x:v>2</x:v>
      </x:c>
      <x:c r="L825" s="11" t="n">
        <x:f>'제외 후보'!N825</x:f>
        <x:v>2</x:v>
      </x:c>
      <x:c r="M825" s="2" t="str">
        <x:f>IF(K825=L825,"OK","MISMATCH")</x:f>
        <x:v>OK</x:v>
      </x:c>
    </x:row>
    <x:row r="826">
      <x:c r="A826" s="2" t="str">
        <x:f>'제외 후보'!G826</x:f>
        <x:v>w_168e36b87447dd7e</x:v>
      </x:c>
      <x:c r="B826" s="11" t="n">
        <x:f>IF('제외 후보'!Q826&lt;&gt;"",'선정 규칙'!$B$4,0)</x:f>
        <x:v>0</x:v>
      </x:c>
      <x:c r="C826" s="11" t="n">
        <x:f>IF(ISNUMBER(SEARCH("jmdict_uncommon_or_irregular",'제외 후보'!P826)),'선정 규칙'!$B$5,IF(ISNUMBER(SEARCH("jmdict_rare_or_dated",'제외 후보'!P826)),'선정 규칙'!$B$6,0))</x:f>
        <x:v>0</x:v>
      </x:c>
      <x:c r="D826" s="11" t="n">
        <x:f>IF(ISNUMBER(SEARCH("jmdict_exact_pair_not_found",'제외 후보'!P826)),'선정 규칙'!$B$7,0)</x:f>
        <x:v>0</x:v>
      </x:c>
      <x:c r="E826" s="11" t="n">
        <x:f>IF(OR('제외 후보'!L826="",'제외 후보'!L826&lt;=0),'선정 규칙'!$B$8,IF('제외 후보'!L826&lt;=1.5,'선정 규칙'!$B$9,IF('제외 후보'!L826&lt;=2,'선정 규칙'!$B$10,IF('제외 후보'!L826&lt;=2.5,'선정 규칙'!$B$11,IF('제외 후보'!L826&lt;=3,'선정 규칙'!$B$12,IF('제외 후보'!L826&lt;=3.5,'선정 규칙'!$B$13,IF('제외 후보'!L826&gt;=4.5,'선정 규칙'!$B$14,0)))))))</x:f>
        <x:v>6</x:v>
      </x:c>
      <x:c r="F826" s="11" t="n">
        <x:f>IF('제외 후보'!Y826=0,'선정 규칙'!$B$15,IF('제외 후보'!Y826&gt;=100,'선정 규칙'!$B$16,'선정 규칙'!$B$17))</x:f>
        <x:v>-25</x:v>
      </x:c>
      <x:c r="G826" s="11" t="n">
        <x:f>IF('제외 후보'!M826="있음",'선정 규칙'!$B$18,'선정 규칙'!$B$19)</x:f>
        <x:v>6</x:v>
      </x:c>
      <x:c r="H826" s="11" t="n">
        <x:f>IF(ISNUMBER(SEARCH("freq-core",'제외 후보'!AD826)),'선정 규칙'!$B$20,0)</x:f>
        <x:v>0</x:v>
      </x:c>
      <x:c r="I826" s="11" t="n">
        <x:f>IF(ISNUMBER(SEARCH("weak_legacy_content",'제외 후보'!P826)),'선정 규칙'!$B$21,0)</x:f>
        <x:v>5</x:v>
      </x:c>
      <x:c r="J826" s="11" t="n">
        <x:f>IF('제외 후보'!AC826&lt;&gt;"",'선정 규칙'!$B$22,0)</x:f>
        <x:v>10</x:v>
      </x:c>
      <x:c r="K826" s="11" t="n">
        <x:f>SUM(B826:J826)</x:f>
        <x:v>2</x:v>
      </x:c>
      <x:c r="L826" s="11" t="n">
        <x:f>'제외 후보'!N826</x:f>
        <x:v>2</x:v>
      </x:c>
      <x:c r="M826" s="2" t="str">
        <x:f>IF(K826=L826,"OK","MISMATCH")</x:f>
        <x:v>OK</x:v>
      </x:c>
    </x:row>
    <x:row r="827">
      <x:c r="A827" s="2" t="str">
        <x:f>'제외 후보'!G827</x:f>
        <x:v>w_406e4cb56d835d3c</x:v>
      </x:c>
      <x:c r="B827" s="11" t="n">
        <x:f>IF('제외 후보'!Q827&lt;&gt;"",'선정 규칙'!$B$4,0)</x:f>
        <x:v>0</x:v>
      </x:c>
      <x:c r="C827" s="11" t="n">
        <x:f>IF(ISNUMBER(SEARCH("jmdict_uncommon_or_irregular",'제외 후보'!P827)),'선정 규칙'!$B$5,IF(ISNUMBER(SEARCH("jmdict_rare_or_dated",'제외 후보'!P827)),'선정 규칙'!$B$6,0))</x:f>
        <x:v>0</x:v>
      </x:c>
      <x:c r="D827" s="11" t="n">
        <x:f>IF(ISNUMBER(SEARCH("jmdict_exact_pair_not_found",'제외 후보'!P827)),'선정 규칙'!$B$7,0)</x:f>
        <x:v>0</x:v>
      </x:c>
      <x:c r="E827" s="11" t="n">
        <x:f>IF(OR('제외 후보'!L827="",'제외 후보'!L827&lt;=0),'선정 규칙'!$B$8,IF('제외 후보'!L827&lt;=1.5,'선정 규칙'!$B$9,IF('제외 후보'!L827&lt;=2,'선정 규칙'!$B$10,IF('제외 후보'!L827&lt;=2.5,'선정 규칙'!$B$11,IF('제외 후보'!L827&lt;=3,'선정 규칙'!$B$12,IF('제외 후보'!L827&lt;=3.5,'선정 규칙'!$B$13,IF('제외 후보'!L827&gt;=4.5,'선정 규칙'!$B$14,0)))))))</x:f>
        <x:v>6</x:v>
      </x:c>
      <x:c r="F827" s="11" t="n">
        <x:f>IF('제외 후보'!Y827=0,'선정 규칙'!$B$15,IF('제외 후보'!Y827&gt;=100,'선정 규칙'!$B$16,'선정 규칙'!$B$17))</x:f>
        <x:v>-25</x:v>
      </x:c>
      <x:c r="G827" s="11" t="n">
        <x:f>IF('제외 후보'!M827="있음",'선정 규칙'!$B$18,'선정 규칙'!$B$19)</x:f>
        <x:v>6</x:v>
      </x:c>
      <x:c r="H827" s="11" t="n">
        <x:f>IF(ISNUMBER(SEARCH("freq-core",'제외 후보'!AD827)),'선정 규칙'!$B$20,0)</x:f>
        <x:v>0</x:v>
      </x:c>
      <x:c r="I827" s="11" t="n">
        <x:f>IF(ISNUMBER(SEARCH("weak_legacy_content",'제외 후보'!P827)),'선정 규칙'!$B$21,0)</x:f>
        <x:v>5</x:v>
      </x:c>
      <x:c r="J827" s="11" t="n">
        <x:f>IF('제외 후보'!AC827&lt;&gt;"",'선정 규칙'!$B$22,0)</x:f>
        <x:v>10</x:v>
      </x:c>
      <x:c r="K827" s="11" t="n">
        <x:f>SUM(B827:J827)</x:f>
        <x:v>2</x:v>
      </x:c>
      <x:c r="L827" s="11" t="n">
        <x:f>'제외 후보'!N827</x:f>
        <x:v>2</x:v>
      </x:c>
      <x:c r="M827" s="2" t="str">
        <x:f>IF(K827=L827,"OK","MISMATCH")</x:f>
        <x:v>OK</x:v>
      </x:c>
    </x:row>
    <x:row r="828">
      <x:c r="A828" s="2" t="str">
        <x:f>'제외 후보'!G828</x:f>
        <x:v>w_0e0a1c43e069278b</x:v>
      </x:c>
      <x:c r="B828" s="11" t="n">
        <x:f>IF('제외 후보'!Q828&lt;&gt;"",'선정 규칙'!$B$4,0)</x:f>
        <x:v>0</x:v>
      </x:c>
      <x:c r="C828" s="11" t="n">
        <x:f>IF(ISNUMBER(SEARCH("jmdict_uncommon_or_irregular",'제외 후보'!P828)),'선정 규칙'!$B$5,IF(ISNUMBER(SEARCH("jmdict_rare_or_dated",'제외 후보'!P828)),'선정 규칙'!$B$6,0))</x:f>
        <x:v>0</x:v>
      </x:c>
      <x:c r="D828" s="11" t="n">
        <x:f>IF(ISNUMBER(SEARCH("jmdict_exact_pair_not_found",'제외 후보'!P828)),'선정 규칙'!$B$7,0)</x:f>
        <x:v>0</x:v>
      </x:c>
      <x:c r="E828" s="11" t="n">
        <x:f>IF(OR('제외 후보'!L828="",'제외 후보'!L828&lt;=0),'선정 규칙'!$B$8,IF('제외 후보'!L828&lt;=1.5,'선정 규칙'!$B$9,IF('제외 후보'!L828&lt;=2,'선정 규칙'!$B$10,IF('제외 후보'!L828&lt;=2.5,'선정 규칙'!$B$11,IF('제외 후보'!L828&lt;=3,'선정 규칙'!$B$12,IF('제외 후보'!L828&lt;=3.5,'선정 규칙'!$B$13,IF('제외 후보'!L828&gt;=4.5,'선정 규칙'!$B$14,0)))))))</x:f>
        <x:v>6</x:v>
      </x:c>
      <x:c r="F828" s="11" t="n">
        <x:f>IF('제외 후보'!Y828=0,'선정 규칙'!$B$15,IF('제외 후보'!Y828&gt;=100,'선정 규칙'!$B$16,'선정 규칙'!$B$17))</x:f>
        <x:v>-25</x:v>
      </x:c>
      <x:c r="G828" s="11" t="n">
        <x:f>IF('제외 후보'!M828="있음",'선정 규칙'!$B$18,'선정 규칙'!$B$19)</x:f>
        <x:v>6</x:v>
      </x:c>
      <x:c r="H828" s="11" t="n">
        <x:f>IF(ISNUMBER(SEARCH("freq-core",'제외 후보'!AD828)),'선정 규칙'!$B$20,0)</x:f>
        <x:v>0</x:v>
      </x:c>
      <x:c r="I828" s="11" t="n">
        <x:f>IF(ISNUMBER(SEARCH("weak_legacy_content",'제외 후보'!P828)),'선정 규칙'!$B$21,0)</x:f>
        <x:v>5</x:v>
      </x:c>
      <x:c r="J828" s="11" t="n">
        <x:f>IF('제외 후보'!AC828&lt;&gt;"",'선정 규칙'!$B$22,0)</x:f>
        <x:v>10</x:v>
      </x:c>
      <x:c r="K828" s="11" t="n">
        <x:f>SUM(B828:J828)</x:f>
        <x:v>2</x:v>
      </x:c>
      <x:c r="L828" s="11" t="n">
        <x:f>'제외 후보'!N828</x:f>
        <x:v>2</x:v>
      </x:c>
      <x:c r="M828" s="2" t="str">
        <x:f>IF(K828=L828,"OK","MISMATCH")</x:f>
        <x:v>OK</x:v>
      </x:c>
    </x:row>
    <x:row r="829">
      <x:c r="A829" s="2" t="str">
        <x:f>'제외 후보'!G829</x:f>
        <x:v>w_a5d4c58d6109165f</x:v>
      </x:c>
      <x:c r="B829" s="11" t="n">
        <x:f>IF('제외 후보'!Q829&lt;&gt;"",'선정 규칙'!$B$4,0)</x:f>
        <x:v>0</x:v>
      </x:c>
      <x:c r="C829" s="11" t="n">
        <x:f>IF(ISNUMBER(SEARCH("jmdict_uncommon_or_irregular",'제외 후보'!P829)),'선정 규칙'!$B$5,IF(ISNUMBER(SEARCH("jmdict_rare_or_dated",'제외 후보'!P829)),'선정 규칙'!$B$6,0))</x:f>
        <x:v>0</x:v>
      </x:c>
      <x:c r="D829" s="11" t="n">
        <x:f>IF(ISNUMBER(SEARCH("jmdict_exact_pair_not_found",'제외 후보'!P829)),'선정 규칙'!$B$7,0)</x:f>
        <x:v>0</x:v>
      </x:c>
      <x:c r="E829" s="11" t="n">
        <x:f>IF(OR('제외 후보'!L829="",'제외 후보'!L829&lt;=0),'선정 규칙'!$B$8,IF('제외 후보'!L829&lt;=1.5,'선정 규칙'!$B$9,IF('제외 후보'!L829&lt;=2,'선정 규칙'!$B$10,IF('제외 후보'!L829&lt;=2.5,'선정 규칙'!$B$11,IF('제외 후보'!L829&lt;=3,'선정 규칙'!$B$12,IF('제외 후보'!L829&lt;=3.5,'선정 규칙'!$B$13,IF('제외 후보'!L829&gt;=4.5,'선정 규칙'!$B$14,0)))))))</x:f>
        <x:v>6</x:v>
      </x:c>
      <x:c r="F829" s="11" t="n">
        <x:f>IF('제외 후보'!Y829=0,'선정 규칙'!$B$15,IF('제외 후보'!Y829&gt;=100,'선정 규칙'!$B$16,'선정 규칙'!$B$17))</x:f>
        <x:v>-25</x:v>
      </x:c>
      <x:c r="G829" s="11" t="n">
        <x:f>IF('제외 후보'!M829="있음",'선정 규칙'!$B$18,'선정 규칙'!$B$19)</x:f>
        <x:v>6</x:v>
      </x:c>
      <x:c r="H829" s="11" t="n">
        <x:f>IF(ISNUMBER(SEARCH("freq-core",'제외 후보'!AD829)),'선정 규칙'!$B$20,0)</x:f>
        <x:v>0</x:v>
      </x:c>
      <x:c r="I829" s="11" t="n">
        <x:f>IF(ISNUMBER(SEARCH("weak_legacy_content",'제외 후보'!P829)),'선정 규칙'!$B$21,0)</x:f>
        <x:v>5</x:v>
      </x:c>
      <x:c r="J829" s="11" t="n">
        <x:f>IF('제외 후보'!AC829&lt;&gt;"",'선정 규칙'!$B$22,0)</x:f>
        <x:v>10</x:v>
      </x:c>
      <x:c r="K829" s="11" t="n">
        <x:f>SUM(B829:J829)</x:f>
        <x:v>2</x:v>
      </x:c>
      <x:c r="L829" s="11" t="n">
        <x:f>'제외 후보'!N829</x:f>
        <x:v>2</x:v>
      </x:c>
      <x:c r="M829" s="2" t="str">
        <x:f>IF(K829=L829,"OK","MISMATCH")</x:f>
        <x:v>OK</x:v>
      </x:c>
    </x:row>
    <x:row r="830">
      <x:c r="A830" s="2" t="str">
        <x:f>'제외 후보'!G830</x:f>
        <x:v>w_59f80d4dc5e14879</x:v>
      </x:c>
      <x:c r="B830" s="11" t="n">
        <x:f>IF('제외 후보'!Q830&lt;&gt;"",'선정 규칙'!$B$4,0)</x:f>
        <x:v>0</x:v>
      </x:c>
      <x:c r="C830" s="11" t="n">
        <x:f>IF(ISNUMBER(SEARCH("jmdict_uncommon_or_irregular",'제외 후보'!P830)),'선정 규칙'!$B$5,IF(ISNUMBER(SEARCH("jmdict_rare_or_dated",'제외 후보'!P830)),'선정 규칙'!$B$6,0))</x:f>
        <x:v>0</x:v>
      </x:c>
      <x:c r="D830" s="11" t="n">
        <x:f>IF(ISNUMBER(SEARCH("jmdict_exact_pair_not_found",'제외 후보'!P830)),'선정 규칙'!$B$7,0)</x:f>
        <x:v>0</x:v>
      </x:c>
      <x:c r="E830" s="11" t="n">
        <x:f>IF(OR('제외 후보'!L830="",'제외 후보'!L830&lt;=0),'선정 규칙'!$B$8,IF('제외 후보'!L830&lt;=1.5,'선정 규칙'!$B$9,IF('제외 후보'!L830&lt;=2,'선정 규칙'!$B$10,IF('제외 후보'!L830&lt;=2.5,'선정 규칙'!$B$11,IF('제외 후보'!L830&lt;=3,'선정 규칙'!$B$12,IF('제외 후보'!L830&lt;=3.5,'선정 규칙'!$B$13,IF('제외 후보'!L830&gt;=4.5,'선정 규칙'!$B$14,0)))))))</x:f>
        <x:v>0</x:v>
      </x:c>
      <x:c r="F830" s="11" t="n">
        <x:f>IF('제외 후보'!Y830=0,'선정 규칙'!$B$15,IF('제외 후보'!Y830&gt;=100,'선정 규칙'!$B$16,'선정 규칙'!$B$17))</x:f>
        <x:v>12</x:v>
      </x:c>
      <x:c r="G830" s="11" t="n">
        <x:f>IF('제외 후보'!M830="있음",'선정 규칙'!$B$18,'선정 규칙'!$B$19)</x:f>
        <x:v>-25</x:v>
      </x:c>
      <x:c r="H830" s="11" t="n">
        <x:f>IF(ISNUMBER(SEARCH("freq-core",'제외 후보'!AD830)),'선정 규칙'!$B$20,0)</x:f>
        <x:v>0</x:v>
      </x:c>
      <x:c r="I830" s="11" t="n">
        <x:f>IF(ISNUMBER(SEARCH("weak_legacy_content",'제외 후보'!P830)),'선정 규칙'!$B$21,0)</x:f>
        <x:v>5</x:v>
      </x:c>
      <x:c r="J830" s="11" t="n">
        <x:f>IF('제외 후보'!AC830&lt;&gt;"",'선정 규칙'!$B$22,0)</x:f>
        <x:v>10</x:v>
      </x:c>
      <x:c r="K830" s="11" t="n">
        <x:f>SUM(B830:J830)</x:f>
        <x:v>2</x:v>
      </x:c>
      <x:c r="L830" s="11" t="n">
        <x:f>'제외 후보'!N830</x:f>
        <x:v>2</x:v>
      </x:c>
      <x:c r="M830" s="2" t="str">
        <x:f>IF(K830=L830,"OK","MISMATCH")</x:f>
        <x:v>OK</x:v>
      </x:c>
    </x:row>
    <x:row r="831">
      <x:c r="A831" s="2" t="str">
        <x:f>'제외 후보'!G831</x:f>
        <x:v>w_e76c40a5930a2cf2</x:v>
      </x:c>
      <x:c r="B831" s="11" t="n">
        <x:f>IF('제외 후보'!Q831&lt;&gt;"",'선정 규칙'!$B$4,0)</x:f>
        <x:v>0</x:v>
      </x:c>
      <x:c r="C831" s="11" t="n">
        <x:f>IF(ISNUMBER(SEARCH("jmdict_uncommon_or_irregular",'제외 후보'!P831)),'선정 규칙'!$B$5,IF(ISNUMBER(SEARCH("jmdict_rare_or_dated",'제외 후보'!P831)),'선정 규칙'!$B$6,0))</x:f>
        <x:v>0</x:v>
      </x:c>
      <x:c r="D831" s="11" t="n">
        <x:f>IF(ISNUMBER(SEARCH("jmdict_exact_pair_not_found",'제외 후보'!P831)),'선정 규칙'!$B$7,0)</x:f>
        <x:v>0</x:v>
      </x:c>
      <x:c r="E831" s="11" t="n">
        <x:f>IF(OR('제외 후보'!L831="",'제외 후보'!L831&lt;=0),'선정 규칙'!$B$8,IF('제외 후보'!L831&lt;=1.5,'선정 규칙'!$B$9,IF('제외 후보'!L831&lt;=2,'선정 규칙'!$B$10,IF('제외 후보'!L831&lt;=2.5,'선정 규칙'!$B$11,IF('제외 후보'!L831&lt;=3,'선정 규칙'!$B$12,IF('제외 후보'!L831&lt;=3.5,'선정 규칙'!$B$13,IF('제외 후보'!L831&gt;=4.5,'선정 규칙'!$B$14,0)))))))</x:f>
        <x:v>20</x:v>
      </x:c>
      <x:c r="F831" s="11" t="n">
        <x:f>IF('제외 후보'!Y831=0,'선정 규칙'!$B$15,IF('제외 후보'!Y831&gt;=100,'선정 규칙'!$B$16,'선정 규칙'!$B$17))</x:f>
        <x:v>-25</x:v>
      </x:c>
      <x:c r="G831" s="11" t="n">
        <x:f>IF('제외 후보'!M831="있음",'선정 규칙'!$B$18,'선정 규칙'!$B$19)</x:f>
        <x:v>6</x:v>
      </x:c>
      <x:c r="H831" s="11" t="n">
        <x:f>IF(ISNUMBER(SEARCH("freq-core",'제외 후보'!AD831)),'선정 규칙'!$B$20,0)</x:f>
        <x:v>0</x:v>
      </x:c>
      <x:c r="I831" s="11" t="n">
        <x:f>IF(ISNUMBER(SEARCH("weak_legacy_content",'제외 후보'!P831)),'선정 규칙'!$B$21,0)</x:f>
        <x:v>0</x:v>
      </x:c>
      <x:c r="J831" s="11" t="n">
        <x:f>IF('제외 후보'!AC831&lt;&gt;"",'선정 규칙'!$B$22,0)</x:f>
        <x:v>0</x:v>
      </x:c>
      <x:c r="K831" s="11" t="n">
        <x:f>SUM(B831:J831)</x:f>
        <x:v>1</x:v>
      </x:c>
      <x:c r="L831" s="11" t="n">
        <x:f>'제외 후보'!N831</x:f>
        <x:v>1</x:v>
      </x:c>
      <x:c r="M831" s="2" t="str">
        <x:f>IF(K831=L831,"OK","MISMATCH")</x:f>
        <x:v>OK</x:v>
      </x:c>
    </x:row>
    <x:row r="832">
      <x:c r="A832" s="2" t="str">
        <x:f>'제외 후보'!G832</x:f>
        <x:v>w_2bac7a9bda8850cc</x:v>
      </x:c>
      <x:c r="B832" s="11" t="n">
        <x:f>IF('제외 후보'!Q832&lt;&gt;"",'선정 규칙'!$B$4,0)</x:f>
        <x:v>0</x:v>
      </x:c>
      <x:c r="C832" s="11" t="n">
        <x:f>IF(ISNUMBER(SEARCH("jmdict_uncommon_or_irregular",'제외 후보'!P832)),'선정 규칙'!$B$5,IF(ISNUMBER(SEARCH("jmdict_rare_or_dated",'제외 후보'!P832)),'선정 규칙'!$B$6,0))</x:f>
        <x:v>0</x:v>
      </x:c>
      <x:c r="D832" s="11" t="n">
        <x:f>IF(ISNUMBER(SEARCH("jmdict_exact_pair_not_found",'제외 후보'!P832)),'선정 규칙'!$B$7,0)</x:f>
        <x:v>0</x:v>
      </x:c>
      <x:c r="E832" s="11" t="n">
        <x:f>IF(OR('제외 후보'!L832="",'제외 후보'!L832&lt;=0),'선정 규칙'!$B$8,IF('제외 후보'!L832&lt;=1.5,'선정 규칙'!$B$9,IF('제외 후보'!L832&lt;=2,'선정 규칙'!$B$10,IF('제외 후보'!L832&lt;=2.5,'선정 규칙'!$B$11,IF('제외 후보'!L832&lt;=3,'선정 규칙'!$B$12,IF('제외 후보'!L832&lt;=3.5,'선정 규칙'!$B$13,IF('제외 후보'!L832&gt;=4.5,'선정 규칙'!$B$14,0)))))))</x:f>
        <x:v>20</x:v>
      </x:c>
      <x:c r="F832" s="11" t="n">
        <x:f>IF('제외 후보'!Y832=0,'선정 규칙'!$B$15,IF('제외 후보'!Y832&gt;=100,'선정 규칙'!$B$16,'선정 규칙'!$B$17))</x:f>
        <x:v>-25</x:v>
      </x:c>
      <x:c r="G832" s="11" t="n">
        <x:f>IF('제외 후보'!M832="있음",'선정 규칙'!$B$18,'선정 규칙'!$B$19)</x:f>
        <x:v>6</x:v>
      </x:c>
      <x:c r="H832" s="11" t="n">
        <x:f>IF(ISNUMBER(SEARCH("freq-core",'제외 후보'!AD832)),'선정 규칙'!$B$20,0)</x:f>
        <x:v>0</x:v>
      </x:c>
      <x:c r="I832" s="11" t="n">
        <x:f>IF(ISNUMBER(SEARCH("weak_legacy_content",'제외 후보'!P832)),'선정 규칙'!$B$21,0)</x:f>
        <x:v>0</x:v>
      </x:c>
      <x:c r="J832" s="11" t="n">
        <x:f>IF('제외 후보'!AC832&lt;&gt;"",'선정 규칙'!$B$22,0)</x:f>
        <x:v>0</x:v>
      </x:c>
      <x:c r="K832" s="11" t="n">
        <x:f>SUM(B832:J832)</x:f>
        <x:v>1</x:v>
      </x:c>
      <x:c r="L832" s="11" t="n">
        <x:f>'제외 후보'!N832</x:f>
        <x:v>1</x:v>
      </x:c>
      <x:c r="M832" s="2" t="str">
        <x:f>IF(K832=L832,"OK","MISMATCH")</x:f>
        <x:v>OK</x:v>
      </x:c>
    </x:row>
    <x:row r="833">
      <x:c r="A833" s="2" t="str">
        <x:f>'제외 후보'!G833</x:f>
        <x:v>w_461357004a7738e6</x:v>
      </x:c>
      <x:c r="B833" s="11" t="n">
        <x:f>IF('제외 후보'!Q833&lt;&gt;"",'선정 규칙'!$B$4,0)</x:f>
        <x:v>0</x:v>
      </x:c>
      <x:c r="C833" s="11" t="n">
        <x:f>IF(ISNUMBER(SEARCH("jmdict_uncommon_or_irregular",'제외 후보'!P833)),'선정 규칙'!$B$5,IF(ISNUMBER(SEARCH("jmdict_rare_or_dated",'제외 후보'!P833)),'선정 규칙'!$B$6,0))</x:f>
        <x:v>0</x:v>
      </x:c>
      <x:c r="D833" s="11" t="n">
        <x:f>IF(ISNUMBER(SEARCH("jmdict_exact_pair_not_found",'제외 후보'!P833)),'선정 규칙'!$B$7,0)</x:f>
        <x:v>0</x:v>
      </x:c>
      <x:c r="E833" s="11" t="n">
        <x:f>IF(OR('제외 후보'!L833="",'제외 후보'!L833&lt;=0),'선정 규칙'!$B$8,IF('제외 후보'!L833&lt;=1.5,'선정 규칙'!$B$9,IF('제외 후보'!L833&lt;=2,'선정 규칙'!$B$10,IF('제외 후보'!L833&lt;=2.5,'선정 규칙'!$B$11,IF('제외 후보'!L833&lt;=3,'선정 규칙'!$B$12,IF('제외 후보'!L833&lt;=3.5,'선정 규칙'!$B$13,IF('제외 후보'!L833&gt;=4.5,'선정 규칙'!$B$14,0)))))))</x:f>
        <x:v>20</x:v>
      </x:c>
      <x:c r="F833" s="11" t="n">
        <x:f>IF('제외 후보'!Y833=0,'선정 규칙'!$B$15,IF('제외 후보'!Y833&gt;=100,'선정 규칙'!$B$16,'선정 규칙'!$B$17))</x:f>
        <x:v>-25</x:v>
      </x:c>
      <x:c r="G833" s="11" t="n">
        <x:f>IF('제외 후보'!M833="있음",'선정 규칙'!$B$18,'선정 규칙'!$B$19)</x:f>
        <x:v>6</x:v>
      </x:c>
      <x:c r="H833" s="11" t="n">
        <x:f>IF(ISNUMBER(SEARCH("freq-core",'제외 후보'!AD833)),'선정 규칙'!$B$20,0)</x:f>
        <x:v>0</x:v>
      </x:c>
      <x:c r="I833" s="11" t="n">
        <x:f>IF(ISNUMBER(SEARCH("weak_legacy_content",'제외 후보'!P833)),'선정 규칙'!$B$21,0)</x:f>
        <x:v>0</x:v>
      </x:c>
      <x:c r="J833" s="11" t="n">
        <x:f>IF('제외 후보'!AC833&lt;&gt;"",'선정 규칙'!$B$22,0)</x:f>
        <x:v>0</x:v>
      </x:c>
      <x:c r="K833" s="11" t="n">
        <x:f>SUM(B833:J833)</x:f>
        <x:v>1</x:v>
      </x:c>
      <x:c r="L833" s="11" t="n">
        <x:f>'제외 후보'!N833</x:f>
        <x:v>1</x:v>
      </x:c>
      <x:c r="M833" s="2" t="str">
        <x:f>IF(K833=L833,"OK","MISMATCH")</x:f>
        <x:v>OK</x:v>
      </x:c>
    </x:row>
    <x:row r="834">
      <x:c r="A834" s="2" t="str">
        <x:f>'제외 후보'!G834</x:f>
        <x:v>w_d8ba8bb341546b0b</x:v>
      </x:c>
      <x:c r="B834" s="11" t="n">
        <x:f>IF('제외 후보'!Q834&lt;&gt;"",'선정 규칙'!$B$4,0)</x:f>
        <x:v>0</x:v>
      </x:c>
      <x:c r="C834" s="11" t="n">
        <x:f>IF(ISNUMBER(SEARCH("jmdict_uncommon_or_irregular",'제외 후보'!P834)),'선정 규칙'!$B$5,IF(ISNUMBER(SEARCH("jmdict_rare_or_dated",'제외 후보'!P834)),'선정 규칙'!$B$6,0))</x:f>
        <x:v>0</x:v>
      </x:c>
      <x:c r="D834" s="11" t="n">
        <x:f>IF(ISNUMBER(SEARCH("jmdict_exact_pair_not_found",'제외 후보'!P834)),'선정 규칙'!$B$7,0)</x:f>
        <x:v>0</x:v>
      </x:c>
      <x:c r="E834" s="11" t="n">
        <x:f>IF(OR('제외 후보'!L834="",'제외 후보'!L834&lt;=0),'선정 규칙'!$B$8,IF('제외 후보'!L834&lt;=1.5,'선정 규칙'!$B$9,IF('제외 후보'!L834&lt;=2,'선정 규칙'!$B$10,IF('제외 후보'!L834&lt;=2.5,'선정 규칙'!$B$11,IF('제외 후보'!L834&lt;=3,'선정 규칙'!$B$12,IF('제외 후보'!L834&lt;=3.5,'선정 규칙'!$B$13,IF('제외 후보'!L834&gt;=4.5,'선정 규칙'!$B$14,0)))))))</x:f>
        <x:v>20</x:v>
      </x:c>
      <x:c r="F834" s="11" t="n">
        <x:f>IF('제외 후보'!Y834=0,'선정 규칙'!$B$15,IF('제외 후보'!Y834&gt;=100,'선정 규칙'!$B$16,'선정 규칙'!$B$17))</x:f>
        <x:v>-25</x:v>
      </x:c>
      <x:c r="G834" s="11" t="n">
        <x:f>IF('제외 후보'!M834="있음",'선정 규칙'!$B$18,'선정 규칙'!$B$19)</x:f>
        <x:v>6</x:v>
      </x:c>
      <x:c r="H834" s="11" t="n">
        <x:f>IF(ISNUMBER(SEARCH("freq-core",'제외 후보'!AD834)),'선정 규칙'!$B$20,0)</x:f>
        <x:v>0</x:v>
      </x:c>
      <x:c r="I834" s="11" t="n">
        <x:f>IF(ISNUMBER(SEARCH("weak_legacy_content",'제외 후보'!P834)),'선정 규칙'!$B$21,0)</x:f>
        <x:v>0</x:v>
      </x:c>
      <x:c r="J834" s="11" t="n">
        <x:f>IF('제외 후보'!AC834&lt;&gt;"",'선정 규칙'!$B$22,0)</x:f>
        <x:v>0</x:v>
      </x:c>
      <x:c r="K834" s="11" t="n">
        <x:f>SUM(B834:J834)</x:f>
        <x:v>1</x:v>
      </x:c>
      <x:c r="L834" s="11" t="n">
        <x:f>'제외 후보'!N834</x:f>
        <x:v>1</x:v>
      </x:c>
      <x:c r="M834" s="2" t="str">
        <x:f>IF(K834=L834,"OK","MISMATCH")</x:f>
        <x:v>OK</x:v>
      </x:c>
    </x:row>
    <x:row r="835">
      <x:c r="A835" s="2" t="str">
        <x:f>'제외 후보'!G835</x:f>
        <x:v>w_97e8956b167280f6</x:v>
      </x:c>
      <x:c r="B835" s="11" t="n">
        <x:f>IF('제외 후보'!Q835&lt;&gt;"",'선정 규칙'!$B$4,0)</x:f>
        <x:v>0</x:v>
      </x:c>
      <x:c r="C835" s="11" t="n">
        <x:f>IF(ISNUMBER(SEARCH("jmdict_uncommon_or_irregular",'제외 후보'!P835)),'선정 규칙'!$B$5,IF(ISNUMBER(SEARCH("jmdict_rare_or_dated",'제외 후보'!P835)),'선정 규칙'!$B$6,0))</x:f>
        <x:v>0</x:v>
      </x:c>
      <x:c r="D835" s="11" t="n">
        <x:f>IF(ISNUMBER(SEARCH("jmdict_exact_pair_not_found",'제외 후보'!P835)),'선정 규칙'!$B$7,0)</x:f>
        <x:v>0</x:v>
      </x:c>
      <x:c r="E835" s="11" t="n">
        <x:f>IF(OR('제외 후보'!L835="",'제외 후보'!L835&lt;=0),'선정 규칙'!$B$8,IF('제외 후보'!L835&lt;=1.5,'선정 규칙'!$B$9,IF('제외 후보'!L835&lt;=2,'선정 규칙'!$B$10,IF('제외 후보'!L835&lt;=2.5,'선정 규칙'!$B$11,IF('제외 후보'!L835&lt;=3,'선정 규칙'!$B$12,IF('제외 후보'!L835&lt;=3.5,'선정 규칙'!$B$13,IF('제외 후보'!L835&gt;=4.5,'선정 규칙'!$B$14,0)))))))</x:f>
        <x:v>20</x:v>
      </x:c>
      <x:c r="F835" s="11" t="n">
        <x:f>IF('제외 후보'!Y835=0,'선정 규칙'!$B$15,IF('제외 후보'!Y835&gt;=100,'선정 규칙'!$B$16,'선정 규칙'!$B$17))</x:f>
        <x:v>-25</x:v>
      </x:c>
      <x:c r="G835" s="11" t="n">
        <x:f>IF('제외 후보'!M835="있음",'선정 규칙'!$B$18,'선정 규칙'!$B$19)</x:f>
        <x:v>6</x:v>
      </x:c>
      <x:c r="H835" s="11" t="n">
        <x:f>IF(ISNUMBER(SEARCH("freq-core",'제외 후보'!AD835)),'선정 규칙'!$B$20,0)</x:f>
        <x:v>0</x:v>
      </x:c>
      <x:c r="I835" s="11" t="n">
        <x:f>IF(ISNUMBER(SEARCH("weak_legacy_content",'제외 후보'!P835)),'선정 규칙'!$B$21,0)</x:f>
        <x:v>0</x:v>
      </x:c>
      <x:c r="J835" s="11" t="n">
        <x:f>IF('제외 후보'!AC835&lt;&gt;"",'선정 규칙'!$B$22,0)</x:f>
        <x:v>0</x:v>
      </x:c>
      <x:c r="K835" s="11" t="n">
        <x:f>SUM(B835:J835)</x:f>
        <x:v>1</x:v>
      </x:c>
      <x:c r="L835" s="11" t="n">
        <x:f>'제외 후보'!N835</x:f>
        <x:v>1</x:v>
      </x:c>
      <x:c r="M835" s="2" t="str">
        <x:f>IF(K835=L835,"OK","MISMATCH")</x:f>
        <x:v>OK</x:v>
      </x:c>
    </x:row>
    <x:row r="836">
      <x:c r="A836" s="2" t="str">
        <x:f>'제외 후보'!G836</x:f>
        <x:v>w_46fa7d6071bffa33</x:v>
      </x:c>
      <x:c r="B836" s="11" t="n">
        <x:f>IF('제외 후보'!Q836&lt;&gt;"",'선정 규칙'!$B$4,0)</x:f>
        <x:v>0</x:v>
      </x:c>
      <x:c r="C836" s="11" t="n">
        <x:f>IF(ISNUMBER(SEARCH("jmdict_uncommon_or_irregular",'제외 후보'!P836)),'선정 규칙'!$B$5,IF(ISNUMBER(SEARCH("jmdict_rare_or_dated",'제외 후보'!P836)),'선정 규칙'!$B$6,0))</x:f>
        <x:v>0</x:v>
      </x:c>
      <x:c r="D836" s="11" t="n">
        <x:f>IF(ISNUMBER(SEARCH("jmdict_exact_pair_not_found",'제외 후보'!P836)),'선정 규칙'!$B$7,0)</x:f>
        <x:v>0</x:v>
      </x:c>
      <x:c r="E836" s="11" t="n">
        <x:f>IF(OR('제외 후보'!L836="",'제외 후보'!L836&lt;=0),'선정 규칙'!$B$8,IF('제외 후보'!L836&lt;=1.5,'선정 규칙'!$B$9,IF('제외 후보'!L836&lt;=2,'선정 규칙'!$B$10,IF('제외 후보'!L836&lt;=2.5,'선정 규칙'!$B$11,IF('제외 후보'!L836&lt;=3,'선정 규칙'!$B$12,IF('제외 후보'!L836&lt;=3.5,'선정 규칙'!$B$13,IF('제외 후보'!L836&gt;=4.5,'선정 규칙'!$B$14,0)))))))</x:f>
        <x:v>20</x:v>
      </x:c>
      <x:c r="F836" s="11" t="n">
        <x:f>IF('제외 후보'!Y836=0,'선정 규칙'!$B$15,IF('제외 후보'!Y836&gt;=100,'선정 규칙'!$B$16,'선정 규칙'!$B$17))</x:f>
        <x:v>-25</x:v>
      </x:c>
      <x:c r="G836" s="11" t="n">
        <x:f>IF('제외 후보'!M836="있음",'선정 규칙'!$B$18,'선정 규칙'!$B$19)</x:f>
        <x:v>6</x:v>
      </x:c>
      <x:c r="H836" s="11" t="n">
        <x:f>IF(ISNUMBER(SEARCH("freq-core",'제외 후보'!AD836)),'선정 규칙'!$B$20,0)</x:f>
        <x:v>0</x:v>
      </x:c>
      <x:c r="I836" s="11" t="n">
        <x:f>IF(ISNUMBER(SEARCH("weak_legacy_content",'제외 후보'!P836)),'선정 규칙'!$B$21,0)</x:f>
        <x:v>0</x:v>
      </x:c>
      <x:c r="J836" s="11" t="n">
        <x:f>IF('제외 후보'!AC836&lt;&gt;"",'선정 규칙'!$B$22,0)</x:f>
        <x:v>0</x:v>
      </x:c>
      <x:c r="K836" s="11" t="n">
        <x:f>SUM(B836:J836)</x:f>
        <x:v>1</x:v>
      </x:c>
      <x:c r="L836" s="11" t="n">
        <x:f>'제외 후보'!N836</x:f>
        <x:v>1</x:v>
      </x:c>
      <x:c r="M836" s="2" t="str">
        <x:f>IF(K836=L836,"OK","MISMATCH")</x:f>
        <x:v>OK</x:v>
      </x:c>
    </x:row>
    <x:row r="837">
      <x:c r="A837" s="2" t="str">
        <x:f>'제외 후보'!G837</x:f>
        <x:v>w_9ce5c7990a6fb240</x:v>
      </x:c>
      <x:c r="B837" s="11" t="n">
        <x:f>IF('제외 후보'!Q837&lt;&gt;"",'선정 규칙'!$B$4,0)</x:f>
        <x:v>0</x:v>
      </x:c>
      <x:c r="C837" s="11" t="n">
        <x:f>IF(ISNUMBER(SEARCH("jmdict_uncommon_or_irregular",'제외 후보'!P837)),'선정 규칙'!$B$5,IF(ISNUMBER(SEARCH("jmdict_rare_or_dated",'제외 후보'!P837)),'선정 규칙'!$B$6,0))</x:f>
        <x:v>0</x:v>
      </x:c>
      <x:c r="D837" s="11" t="n">
        <x:f>IF(ISNUMBER(SEARCH("jmdict_exact_pair_not_found",'제외 후보'!P837)),'선정 규칙'!$B$7,0)</x:f>
        <x:v>0</x:v>
      </x:c>
      <x:c r="E837" s="11" t="n">
        <x:f>IF(OR('제외 후보'!L837="",'제외 후보'!L837&lt;=0),'선정 규칙'!$B$8,IF('제외 후보'!L837&lt;=1.5,'선정 규칙'!$B$9,IF('제외 후보'!L837&lt;=2,'선정 규칙'!$B$10,IF('제외 후보'!L837&lt;=2.5,'선정 규칙'!$B$11,IF('제외 후보'!L837&lt;=3,'선정 규칙'!$B$12,IF('제외 후보'!L837&lt;=3.5,'선정 규칙'!$B$13,IF('제외 후보'!L837&gt;=4.5,'선정 규칙'!$B$14,0)))))))</x:f>
        <x:v>20</x:v>
      </x:c>
      <x:c r="F837" s="11" t="n">
        <x:f>IF('제외 후보'!Y837=0,'선정 규칙'!$B$15,IF('제외 후보'!Y837&gt;=100,'선정 규칙'!$B$16,'선정 규칙'!$B$17))</x:f>
        <x:v>-25</x:v>
      </x:c>
      <x:c r="G837" s="11" t="n">
        <x:f>IF('제외 후보'!M837="있음",'선정 규칙'!$B$18,'선정 규칙'!$B$19)</x:f>
        <x:v>6</x:v>
      </x:c>
      <x:c r="H837" s="11" t="n">
        <x:f>IF(ISNUMBER(SEARCH("freq-core",'제외 후보'!AD837)),'선정 규칙'!$B$20,0)</x:f>
        <x:v>0</x:v>
      </x:c>
      <x:c r="I837" s="11" t="n">
        <x:f>IF(ISNUMBER(SEARCH("weak_legacy_content",'제외 후보'!P837)),'선정 규칙'!$B$21,0)</x:f>
        <x:v>0</x:v>
      </x:c>
      <x:c r="J837" s="11" t="n">
        <x:f>IF('제외 후보'!AC837&lt;&gt;"",'선정 규칙'!$B$22,0)</x:f>
        <x:v>0</x:v>
      </x:c>
      <x:c r="K837" s="11" t="n">
        <x:f>SUM(B837:J837)</x:f>
        <x:v>1</x:v>
      </x:c>
      <x:c r="L837" s="11" t="n">
        <x:f>'제외 후보'!N837</x:f>
        <x:v>1</x:v>
      </x:c>
      <x:c r="M837" s="2" t="str">
        <x:f>IF(K837=L837,"OK","MISMATCH")</x:f>
        <x:v>OK</x:v>
      </x:c>
    </x:row>
    <x:row r="838">
      <x:c r="A838" s="2" t="str">
        <x:f>'제외 후보'!G838</x:f>
        <x:v>w_af9ac354026c1cd9</x:v>
      </x:c>
      <x:c r="B838" s="11" t="n">
        <x:f>IF('제외 후보'!Q838&lt;&gt;"",'선정 규칙'!$B$4,0)</x:f>
        <x:v>0</x:v>
      </x:c>
      <x:c r="C838" s="11" t="n">
        <x:f>IF(ISNUMBER(SEARCH("jmdict_uncommon_or_irregular",'제외 후보'!P838)),'선정 규칙'!$B$5,IF(ISNUMBER(SEARCH("jmdict_rare_or_dated",'제외 후보'!P838)),'선정 규칙'!$B$6,0))</x:f>
        <x:v>0</x:v>
      </x:c>
      <x:c r="D838" s="11" t="n">
        <x:f>IF(ISNUMBER(SEARCH("jmdict_exact_pair_not_found",'제외 후보'!P838)),'선정 규칙'!$B$7,0)</x:f>
        <x:v>0</x:v>
      </x:c>
      <x:c r="E838" s="11" t="n">
        <x:f>IF(OR('제외 후보'!L838="",'제외 후보'!L838&lt;=0),'선정 규칙'!$B$8,IF('제외 후보'!L838&lt;=1.5,'선정 규칙'!$B$9,IF('제외 후보'!L838&lt;=2,'선정 규칙'!$B$10,IF('제외 후보'!L838&lt;=2.5,'선정 규칙'!$B$11,IF('제외 후보'!L838&lt;=3,'선정 규칙'!$B$12,IF('제외 후보'!L838&lt;=3.5,'선정 규칙'!$B$13,IF('제외 후보'!L838&gt;=4.5,'선정 규칙'!$B$14,0)))))))</x:f>
        <x:v>20</x:v>
      </x:c>
      <x:c r="F838" s="11" t="n">
        <x:f>IF('제외 후보'!Y838=0,'선정 규칙'!$B$15,IF('제외 후보'!Y838&gt;=100,'선정 규칙'!$B$16,'선정 규칙'!$B$17))</x:f>
        <x:v>-25</x:v>
      </x:c>
      <x:c r="G838" s="11" t="n">
        <x:f>IF('제외 후보'!M838="있음",'선정 규칙'!$B$18,'선정 규칙'!$B$19)</x:f>
        <x:v>6</x:v>
      </x:c>
      <x:c r="H838" s="11" t="n">
        <x:f>IF(ISNUMBER(SEARCH("freq-core",'제외 후보'!AD838)),'선정 규칙'!$B$20,0)</x:f>
        <x:v>0</x:v>
      </x:c>
      <x:c r="I838" s="11" t="n">
        <x:f>IF(ISNUMBER(SEARCH("weak_legacy_content",'제외 후보'!P838)),'선정 규칙'!$B$21,0)</x:f>
        <x:v>0</x:v>
      </x:c>
      <x:c r="J838" s="11" t="n">
        <x:f>IF('제외 후보'!AC838&lt;&gt;"",'선정 규칙'!$B$22,0)</x:f>
        <x:v>0</x:v>
      </x:c>
      <x:c r="K838" s="11" t="n">
        <x:f>SUM(B838:J838)</x:f>
        <x:v>1</x:v>
      </x:c>
      <x:c r="L838" s="11" t="n">
        <x:f>'제외 후보'!N838</x:f>
        <x:v>1</x:v>
      </x:c>
      <x:c r="M838" s="2" t="str">
        <x:f>IF(K838=L838,"OK","MISMATCH")</x:f>
        <x:v>OK</x:v>
      </x:c>
    </x:row>
    <x:row r="839">
      <x:c r="A839" s="2" t="str">
        <x:f>'제외 후보'!G839</x:f>
        <x:v>w_27be111bcb85e67a</x:v>
      </x:c>
      <x:c r="B839" s="11" t="n">
        <x:f>IF('제외 후보'!Q839&lt;&gt;"",'선정 규칙'!$B$4,0)</x:f>
        <x:v>0</x:v>
      </x:c>
      <x:c r="C839" s="11" t="n">
        <x:f>IF(ISNUMBER(SEARCH("jmdict_uncommon_or_irregular",'제외 후보'!P839)),'선정 규칙'!$B$5,IF(ISNUMBER(SEARCH("jmdict_rare_or_dated",'제외 후보'!P839)),'선정 규칙'!$B$6,0))</x:f>
        <x:v>0</x:v>
      </x:c>
      <x:c r="D839" s="11" t="n">
        <x:f>IF(ISNUMBER(SEARCH("jmdict_exact_pair_not_found",'제외 후보'!P839)),'선정 규칙'!$B$7,0)</x:f>
        <x:v>0</x:v>
      </x:c>
      <x:c r="E839" s="11" t="n">
        <x:f>IF(OR('제외 후보'!L839="",'제외 후보'!L839&lt;=0),'선정 규칙'!$B$8,IF('제외 후보'!L839&lt;=1.5,'선정 규칙'!$B$9,IF('제외 후보'!L839&lt;=2,'선정 규칙'!$B$10,IF('제외 후보'!L839&lt;=2.5,'선정 규칙'!$B$11,IF('제외 후보'!L839&lt;=3,'선정 규칙'!$B$12,IF('제외 후보'!L839&lt;=3.5,'선정 규칙'!$B$13,IF('제외 후보'!L839&gt;=4.5,'선정 규칙'!$B$14,0)))))))</x:f>
        <x:v>20</x:v>
      </x:c>
      <x:c r="F839" s="11" t="n">
        <x:f>IF('제외 후보'!Y839=0,'선정 규칙'!$B$15,IF('제외 후보'!Y839&gt;=100,'선정 규칙'!$B$16,'선정 규칙'!$B$17))</x:f>
        <x:v>-25</x:v>
      </x:c>
      <x:c r="G839" s="11" t="n">
        <x:f>IF('제외 후보'!M839="있음",'선정 규칙'!$B$18,'선정 규칙'!$B$19)</x:f>
        <x:v>6</x:v>
      </x:c>
      <x:c r="H839" s="11" t="n">
        <x:f>IF(ISNUMBER(SEARCH("freq-core",'제외 후보'!AD839)),'선정 규칙'!$B$20,0)</x:f>
        <x:v>0</x:v>
      </x:c>
      <x:c r="I839" s="11" t="n">
        <x:f>IF(ISNUMBER(SEARCH("weak_legacy_content",'제외 후보'!P839)),'선정 규칙'!$B$21,0)</x:f>
        <x:v>0</x:v>
      </x:c>
      <x:c r="J839" s="11" t="n">
        <x:f>IF('제외 후보'!AC839&lt;&gt;"",'선정 규칙'!$B$22,0)</x:f>
        <x:v>0</x:v>
      </x:c>
      <x:c r="K839" s="11" t="n">
        <x:f>SUM(B839:J839)</x:f>
        <x:v>1</x:v>
      </x:c>
      <x:c r="L839" s="11" t="n">
        <x:f>'제외 후보'!N839</x:f>
        <x:v>1</x:v>
      </x:c>
      <x:c r="M839" s="2" t="str">
        <x:f>IF(K839=L839,"OK","MISMATCH")</x:f>
        <x:v>OK</x:v>
      </x:c>
    </x:row>
    <x:row r="840">
      <x:c r="A840" s="2" t="str">
        <x:f>'제외 후보'!G840</x:f>
        <x:v>w_f9efad7e1cbd1f1b</x:v>
      </x:c>
      <x:c r="B840" s="11" t="n">
        <x:f>IF('제외 후보'!Q840&lt;&gt;"",'선정 규칙'!$B$4,0)</x:f>
        <x:v>0</x:v>
      </x:c>
      <x:c r="C840" s="11" t="n">
        <x:f>IF(ISNUMBER(SEARCH("jmdict_uncommon_or_irregular",'제외 후보'!P840)),'선정 규칙'!$B$5,IF(ISNUMBER(SEARCH("jmdict_rare_or_dated",'제외 후보'!P840)),'선정 규칙'!$B$6,0))</x:f>
        <x:v>0</x:v>
      </x:c>
      <x:c r="D840" s="11" t="n">
        <x:f>IF(ISNUMBER(SEARCH("jmdict_exact_pair_not_found",'제외 후보'!P840)),'선정 규칙'!$B$7,0)</x:f>
        <x:v>0</x:v>
      </x:c>
      <x:c r="E840" s="11" t="n">
        <x:f>IF(OR('제외 후보'!L840="",'제외 후보'!L840&lt;=0),'선정 규칙'!$B$8,IF('제외 후보'!L840&lt;=1.5,'선정 규칙'!$B$9,IF('제외 후보'!L840&lt;=2,'선정 규칙'!$B$10,IF('제외 후보'!L840&lt;=2.5,'선정 규칙'!$B$11,IF('제외 후보'!L840&lt;=3,'선정 규칙'!$B$12,IF('제외 후보'!L840&lt;=3.5,'선정 규칙'!$B$13,IF('제외 후보'!L840&gt;=4.5,'선정 규칙'!$B$14,0)))))))</x:f>
        <x:v>20</x:v>
      </x:c>
      <x:c r="F840" s="11" t="n">
        <x:f>IF('제외 후보'!Y840=0,'선정 규칙'!$B$15,IF('제외 후보'!Y840&gt;=100,'선정 규칙'!$B$16,'선정 규칙'!$B$17))</x:f>
        <x:v>-25</x:v>
      </x:c>
      <x:c r="G840" s="11" t="n">
        <x:f>IF('제외 후보'!M840="있음",'선정 규칙'!$B$18,'선정 규칙'!$B$19)</x:f>
        <x:v>6</x:v>
      </x:c>
      <x:c r="H840" s="11" t="n">
        <x:f>IF(ISNUMBER(SEARCH("freq-core",'제외 후보'!AD840)),'선정 규칙'!$B$20,0)</x:f>
        <x:v>0</x:v>
      </x:c>
      <x:c r="I840" s="11" t="n">
        <x:f>IF(ISNUMBER(SEARCH("weak_legacy_content",'제외 후보'!P840)),'선정 규칙'!$B$21,0)</x:f>
        <x:v>0</x:v>
      </x:c>
      <x:c r="J840" s="11" t="n">
        <x:f>IF('제외 후보'!AC840&lt;&gt;"",'선정 규칙'!$B$22,0)</x:f>
        <x:v>0</x:v>
      </x:c>
      <x:c r="K840" s="11" t="n">
        <x:f>SUM(B840:J840)</x:f>
        <x:v>1</x:v>
      </x:c>
      <x:c r="L840" s="11" t="n">
        <x:f>'제외 후보'!N840</x:f>
        <x:v>1</x:v>
      </x:c>
      <x:c r="M840" s="2" t="str">
        <x:f>IF(K840=L840,"OK","MISMATCH")</x:f>
        <x:v>OK</x:v>
      </x:c>
    </x:row>
    <x:row r="841">
      <x:c r="A841" s="2" t="str">
        <x:f>'제외 후보'!G841</x:f>
        <x:v>w_56c7d010bc9f7c00</x:v>
      </x:c>
      <x:c r="B841" s="11" t="n">
        <x:f>IF('제외 후보'!Q841&lt;&gt;"",'선정 규칙'!$B$4,0)</x:f>
        <x:v>0</x:v>
      </x:c>
      <x:c r="C841" s="11" t="n">
        <x:f>IF(ISNUMBER(SEARCH("jmdict_uncommon_or_irregular",'제외 후보'!P841)),'선정 규칙'!$B$5,IF(ISNUMBER(SEARCH("jmdict_rare_or_dated",'제외 후보'!P841)),'선정 규칙'!$B$6,0))</x:f>
        <x:v>0</x:v>
      </x:c>
      <x:c r="D841" s="11" t="n">
        <x:f>IF(ISNUMBER(SEARCH("jmdict_exact_pair_not_found",'제외 후보'!P841)),'선정 규칙'!$B$7,0)</x:f>
        <x:v>0</x:v>
      </x:c>
      <x:c r="E841" s="11" t="n">
        <x:f>IF(OR('제외 후보'!L841="",'제외 후보'!L841&lt;=0),'선정 규칙'!$B$8,IF('제외 후보'!L841&lt;=1.5,'선정 규칙'!$B$9,IF('제외 후보'!L841&lt;=2,'선정 규칙'!$B$10,IF('제외 후보'!L841&lt;=2.5,'선정 규칙'!$B$11,IF('제외 후보'!L841&lt;=3,'선정 규칙'!$B$12,IF('제외 후보'!L841&lt;=3.5,'선정 규칙'!$B$13,IF('제외 후보'!L841&gt;=4.5,'선정 규칙'!$B$14,0)))))))</x:f>
        <x:v>20</x:v>
      </x:c>
      <x:c r="F841" s="11" t="n">
        <x:f>IF('제외 후보'!Y841=0,'선정 규칙'!$B$15,IF('제외 후보'!Y841&gt;=100,'선정 규칙'!$B$16,'선정 규칙'!$B$17))</x:f>
        <x:v>-25</x:v>
      </x:c>
      <x:c r="G841" s="11" t="n">
        <x:f>IF('제외 후보'!M841="있음",'선정 규칙'!$B$18,'선정 규칙'!$B$19)</x:f>
        <x:v>6</x:v>
      </x:c>
      <x:c r="H841" s="11" t="n">
        <x:f>IF(ISNUMBER(SEARCH("freq-core",'제외 후보'!AD841)),'선정 규칙'!$B$20,0)</x:f>
        <x:v>0</x:v>
      </x:c>
      <x:c r="I841" s="11" t="n">
        <x:f>IF(ISNUMBER(SEARCH("weak_legacy_content",'제외 후보'!P841)),'선정 규칙'!$B$21,0)</x:f>
        <x:v>0</x:v>
      </x:c>
      <x:c r="J841" s="11" t="n">
        <x:f>IF('제외 후보'!AC841&lt;&gt;"",'선정 규칙'!$B$22,0)</x:f>
        <x:v>0</x:v>
      </x:c>
      <x:c r="K841" s="11" t="n">
        <x:f>SUM(B841:J841)</x:f>
        <x:v>1</x:v>
      </x:c>
      <x:c r="L841" s="11" t="n">
        <x:f>'제외 후보'!N841</x:f>
        <x:v>1</x:v>
      </x:c>
      <x:c r="M841" s="2" t="str">
        <x:f>IF(K841=L841,"OK","MISMATCH")</x:f>
        <x:v>OK</x:v>
      </x:c>
    </x:row>
    <x:row r="842">
      <x:c r="A842" s="2" t="str">
        <x:f>'제외 후보'!G842</x:f>
        <x:v>w_239002bff34f6f02</x:v>
      </x:c>
      <x:c r="B842" s="11" t="n">
        <x:f>IF('제외 후보'!Q842&lt;&gt;"",'선정 규칙'!$B$4,0)</x:f>
        <x:v>0</x:v>
      </x:c>
      <x:c r="C842" s="11" t="n">
        <x:f>IF(ISNUMBER(SEARCH("jmdict_uncommon_or_irregular",'제외 후보'!P842)),'선정 규칙'!$B$5,IF(ISNUMBER(SEARCH("jmdict_rare_or_dated",'제외 후보'!P842)),'선정 규칙'!$B$6,0))</x:f>
        <x:v>0</x:v>
      </x:c>
      <x:c r="D842" s="11" t="n">
        <x:f>IF(ISNUMBER(SEARCH("jmdict_exact_pair_not_found",'제외 후보'!P842)),'선정 규칙'!$B$7,0)</x:f>
        <x:v>0</x:v>
      </x:c>
      <x:c r="E842" s="11" t="n">
        <x:f>IF(OR('제외 후보'!L842="",'제외 후보'!L842&lt;=0),'선정 규칙'!$B$8,IF('제외 후보'!L842&lt;=1.5,'선정 규칙'!$B$9,IF('제외 후보'!L842&lt;=2,'선정 규칙'!$B$10,IF('제외 후보'!L842&lt;=2.5,'선정 규칙'!$B$11,IF('제외 후보'!L842&lt;=3,'선정 규칙'!$B$12,IF('제외 후보'!L842&lt;=3.5,'선정 규칙'!$B$13,IF('제외 후보'!L842&gt;=4.5,'선정 규칙'!$B$14,0)))))))</x:f>
        <x:v>20</x:v>
      </x:c>
      <x:c r="F842" s="11" t="n">
        <x:f>IF('제외 후보'!Y842=0,'선정 규칙'!$B$15,IF('제외 후보'!Y842&gt;=100,'선정 규칙'!$B$16,'선정 규칙'!$B$17))</x:f>
        <x:v>-25</x:v>
      </x:c>
      <x:c r="G842" s="11" t="n">
        <x:f>IF('제외 후보'!M842="있음",'선정 규칙'!$B$18,'선정 규칙'!$B$19)</x:f>
        <x:v>6</x:v>
      </x:c>
      <x:c r="H842" s="11" t="n">
        <x:f>IF(ISNUMBER(SEARCH("freq-core",'제외 후보'!AD842)),'선정 규칙'!$B$20,0)</x:f>
        <x:v>0</x:v>
      </x:c>
      <x:c r="I842" s="11" t="n">
        <x:f>IF(ISNUMBER(SEARCH("weak_legacy_content",'제외 후보'!P842)),'선정 규칙'!$B$21,0)</x:f>
        <x:v>0</x:v>
      </x:c>
      <x:c r="J842" s="11" t="n">
        <x:f>IF('제외 후보'!AC842&lt;&gt;"",'선정 규칙'!$B$22,0)</x:f>
        <x:v>0</x:v>
      </x:c>
      <x:c r="K842" s="11" t="n">
        <x:f>SUM(B842:J842)</x:f>
        <x:v>1</x:v>
      </x:c>
      <x:c r="L842" s="11" t="n">
        <x:f>'제외 후보'!N842</x:f>
        <x:v>1</x:v>
      </x:c>
      <x:c r="M842" s="2" t="str">
        <x:f>IF(K842=L842,"OK","MISMATCH")</x:f>
        <x:v>OK</x:v>
      </x:c>
    </x:row>
    <x:row r="843">
      <x:c r="A843" s="2" t="str">
        <x:f>'제외 후보'!G843</x:f>
        <x:v>w_d3d2b10204204a0d</x:v>
      </x:c>
      <x:c r="B843" s="11" t="n">
        <x:f>IF('제외 후보'!Q843&lt;&gt;"",'선정 규칙'!$B$4,0)</x:f>
        <x:v>0</x:v>
      </x:c>
      <x:c r="C843" s="11" t="n">
        <x:f>IF(ISNUMBER(SEARCH("jmdict_uncommon_or_irregular",'제외 후보'!P843)),'선정 규칙'!$B$5,IF(ISNUMBER(SEARCH("jmdict_rare_or_dated",'제외 후보'!P843)),'선정 규칙'!$B$6,0))</x:f>
        <x:v>0</x:v>
      </x:c>
      <x:c r="D843" s="11" t="n">
        <x:f>IF(ISNUMBER(SEARCH("jmdict_exact_pair_not_found",'제외 후보'!P843)),'선정 규칙'!$B$7,0)</x:f>
        <x:v>0</x:v>
      </x:c>
      <x:c r="E843" s="11" t="n">
        <x:f>IF(OR('제외 후보'!L843="",'제외 후보'!L843&lt;=0),'선정 규칙'!$B$8,IF('제외 후보'!L843&lt;=1.5,'선정 규칙'!$B$9,IF('제외 후보'!L843&lt;=2,'선정 규칙'!$B$10,IF('제외 후보'!L843&lt;=2.5,'선정 규칙'!$B$11,IF('제외 후보'!L843&lt;=3,'선정 규칙'!$B$12,IF('제외 후보'!L843&lt;=3.5,'선정 규칙'!$B$13,IF('제외 후보'!L843&gt;=4.5,'선정 규칙'!$B$14,0)))))))</x:f>
        <x:v>20</x:v>
      </x:c>
      <x:c r="F843" s="11" t="n">
        <x:f>IF('제외 후보'!Y843=0,'선정 규칙'!$B$15,IF('제외 후보'!Y843&gt;=100,'선정 규칙'!$B$16,'선정 규칙'!$B$17))</x:f>
        <x:v>-25</x:v>
      </x:c>
      <x:c r="G843" s="11" t="n">
        <x:f>IF('제외 후보'!M843="있음",'선정 규칙'!$B$18,'선정 규칙'!$B$19)</x:f>
        <x:v>6</x:v>
      </x:c>
      <x:c r="H843" s="11" t="n">
        <x:f>IF(ISNUMBER(SEARCH("freq-core",'제외 후보'!AD843)),'선정 규칙'!$B$20,0)</x:f>
        <x:v>0</x:v>
      </x:c>
      <x:c r="I843" s="11" t="n">
        <x:f>IF(ISNUMBER(SEARCH("weak_legacy_content",'제외 후보'!P843)),'선정 규칙'!$B$21,0)</x:f>
        <x:v>0</x:v>
      </x:c>
      <x:c r="J843" s="11" t="n">
        <x:f>IF('제외 후보'!AC843&lt;&gt;"",'선정 규칙'!$B$22,0)</x:f>
        <x:v>0</x:v>
      </x:c>
      <x:c r="K843" s="11" t="n">
        <x:f>SUM(B843:J843)</x:f>
        <x:v>1</x:v>
      </x:c>
      <x:c r="L843" s="11" t="n">
        <x:f>'제외 후보'!N843</x:f>
        <x:v>1</x:v>
      </x:c>
      <x:c r="M843" s="2" t="str">
        <x:f>IF(K843=L843,"OK","MISMATCH")</x:f>
        <x:v>OK</x:v>
      </x:c>
    </x:row>
    <x:row r="844">
      <x:c r="A844" s="2" t="str">
        <x:f>'제외 후보'!G844</x:f>
        <x:v>w_7fdd04b11a4aa983</x:v>
      </x:c>
      <x:c r="B844" s="11" t="n">
        <x:f>IF('제외 후보'!Q844&lt;&gt;"",'선정 규칙'!$B$4,0)</x:f>
        <x:v>0</x:v>
      </x:c>
      <x:c r="C844" s="11" t="n">
        <x:f>IF(ISNUMBER(SEARCH("jmdict_uncommon_or_irregular",'제외 후보'!P844)),'선정 규칙'!$B$5,IF(ISNUMBER(SEARCH("jmdict_rare_or_dated",'제외 후보'!P844)),'선정 규칙'!$B$6,0))</x:f>
        <x:v>0</x:v>
      </x:c>
      <x:c r="D844" s="11" t="n">
        <x:f>IF(ISNUMBER(SEARCH("jmdict_exact_pair_not_found",'제외 후보'!P844)),'선정 규칙'!$B$7,0)</x:f>
        <x:v>0</x:v>
      </x:c>
      <x:c r="E844" s="11" t="n">
        <x:f>IF(OR('제외 후보'!L844="",'제외 후보'!L844&lt;=0),'선정 규칙'!$B$8,IF('제외 후보'!L844&lt;=1.5,'선정 규칙'!$B$9,IF('제외 후보'!L844&lt;=2,'선정 규칙'!$B$10,IF('제외 후보'!L844&lt;=2.5,'선정 규칙'!$B$11,IF('제외 후보'!L844&lt;=3,'선정 규칙'!$B$12,IF('제외 후보'!L844&lt;=3.5,'선정 규칙'!$B$13,IF('제외 후보'!L844&gt;=4.5,'선정 규칙'!$B$14,0)))))))</x:f>
        <x:v>20</x:v>
      </x:c>
      <x:c r="F844" s="11" t="n">
        <x:f>IF('제외 후보'!Y844=0,'선정 규칙'!$B$15,IF('제외 후보'!Y844&gt;=100,'선정 규칙'!$B$16,'선정 규칙'!$B$17))</x:f>
        <x:v>-25</x:v>
      </x:c>
      <x:c r="G844" s="11" t="n">
        <x:f>IF('제외 후보'!M844="있음",'선정 규칙'!$B$18,'선정 규칙'!$B$19)</x:f>
        <x:v>6</x:v>
      </x:c>
      <x:c r="H844" s="11" t="n">
        <x:f>IF(ISNUMBER(SEARCH("freq-core",'제외 후보'!AD844)),'선정 규칙'!$B$20,0)</x:f>
        <x:v>0</x:v>
      </x:c>
      <x:c r="I844" s="11" t="n">
        <x:f>IF(ISNUMBER(SEARCH("weak_legacy_content",'제외 후보'!P844)),'선정 규칙'!$B$21,0)</x:f>
        <x:v>0</x:v>
      </x:c>
      <x:c r="J844" s="11" t="n">
        <x:f>IF('제외 후보'!AC844&lt;&gt;"",'선정 규칙'!$B$22,0)</x:f>
        <x:v>0</x:v>
      </x:c>
      <x:c r="K844" s="11" t="n">
        <x:f>SUM(B844:J844)</x:f>
        <x:v>1</x:v>
      </x:c>
      <x:c r="L844" s="11" t="n">
        <x:f>'제외 후보'!N844</x:f>
        <x:v>1</x:v>
      </x:c>
      <x:c r="M844" s="2" t="str">
        <x:f>IF(K844=L844,"OK","MISMATCH")</x:f>
        <x:v>OK</x:v>
      </x:c>
    </x:row>
    <x:row r="845">
      <x:c r="A845" s="2" t="str">
        <x:f>'제외 후보'!G845</x:f>
        <x:v>w_d95eebf69c433d30</x:v>
      </x:c>
      <x:c r="B845" s="11" t="n">
        <x:f>IF('제외 후보'!Q845&lt;&gt;"",'선정 규칙'!$B$4,0)</x:f>
        <x:v>0</x:v>
      </x:c>
      <x:c r="C845" s="11" t="n">
        <x:f>IF(ISNUMBER(SEARCH("jmdict_uncommon_or_irregular",'제외 후보'!P845)),'선정 규칙'!$B$5,IF(ISNUMBER(SEARCH("jmdict_rare_or_dated",'제외 후보'!P845)),'선정 규칙'!$B$6,0))</x:f>
        <x:v>0</x:v>
      </x:c>
      <x:c r="D845" s="11" t="n">
        <x:f>IF(ISNUMBER(SEARCH("jmdict_exact_pair_not_found",'제외 후보'!P845)),'선정 규칙'!$B$7,0)</x:f>
        <x:v>0</x:v>
      </x:c>
      <x:c r="E845" s="11" t="n">
        <x:f>IF(OR('제외 후보'!L845="",'제외 후보'!L845&lt;=0),'선정 규칙'!$B$8,IF('제외 후보'!L845&lt;=1.5,'선정 규칙'!$B$9,IF('제외 후보'!L845&lt;=2,'선정 규칙'!$B$10,IF('제외 후보'!L845&lt;=2.5,'선정 규칙'!$B$11,IF('제외 후보'!L845&lt;=3,'선정 규칙'!$B$12,IF('제외 후보'!L845&lt;=3.5,'선정 규칙'!$B$13,IF('제외 후보'!L845&gt;=4.5,'선정 규칙'!$B$14,0)))))))</x:f>
        <x:v>20</x:v>
      </x:c>
      <x:c r="F845" s="11" t="n">
        <x:f>IF('제외 후보'!Y845=0,'선정 규칙'!$B$15,IF('제외 후보'!Y845&gt;=100,'선정 규칙'!$B$16,'선정 규칙'!$B$17))</x:f>
        <x:v>-25</x:v>
      </x:c>
      <x:c r="G845" s="11" t="n">
        <x:f>IF('제외 후보'!M845="있음",'선정 규칙'!$B$18,'선정 규칙'!$B$19)</x:f>
        <x:v>6</x:v>
      </x:c>
      <x:c r="H845" s="11" t="n">
        <x:f>IF(ISNUMBER(SEARCH("freq-core",'제외 후보'!AD845)),'선정 규칙'!$B$20,0)</x:f>
        <x:v>0</x:v>
      </x:c>
      <x:c r="I845" s="11" t="n">
        <x:f>IF(ISNUMBER(SEARCH("weak_legacy_content",'제외 후보'!P845)),'선정 규칙'!$B$21,0)</x:f>
        <x:v>0</x:v>
      </x:c>
      <x:c r="J845" s="11" t="n">
        <x:f>IF('제외 후보'!AC845&lt;&gt;"",'선정 규칙'!$B$22,0)</x:f>
        <x:v>0</x:v>
      </x:c>
      <x:c r="K845" s="11" t="n">
        <x:f>SUM(B845:J845)</x:f>
        <x:v>1</x:v>
      </x:c>
      <x:c r="L845" s="11" t="n">
        <x:f>'제외 후보'!N845</x:f>
        <x:v>1</x:v>
      </x:c>
      <x:c r="M845" s="2" t="str">
        <x:f>IF(K845=L845,"OK","MISMATCH")</x:f>
        <x:v>OK</x:v>
      </x:c>
    </x:row>
    <x:row r="846">
      <x:c r="A846" s="2" t="str">
        <x:f>'제외 후보'!G846</x:f>
        <x:v>w_f49cc52552a99478</x:v>
      </x:c>
      <x:c r="B846" s="11" t="n">
        <x:f>IF('제외 후보'!Q846&lt;&gt;"",'선정 규칙'!$B$4,0)</x:f>
        <x:v>0</x:v>
      </x:c>
      <x:c r="C846" s="11" t="n">
        <x:f>IF(ISNUMBER(SEARCH("jmdict_uncommon_or_irregular",'제외 후보'!P846)),'선정 규칙'!$B$5,IF(ISNUMBER(SEARCH("jmdict_rare_or_dated",'제외 후보'!P846)),'선정 규칙'!$B$6,0))</x:f>
        <x:v>0</x:v>
      </x:c>
      <x:c r="D846" s="11" t="n">
        <x:f>IF(ISNUMBER(SEARCH("jmdict_exact_pair_not_found",'제외 후보'!P846)),'선정 규칙'!$B$7,0)</x:f>
        <x:v>0</x:v>
      </x:c>
      <x:c r="E846" s="11" t="n">
        <x:f>IF(OR('제외 후보'!L846="",'제외 후보'!L846&lt;=0),'선정 규칙'!$B$8,IF('제외 후보'!L846&lt;=1.5,'선정 규칙'!$B$9,IF('제외 후보'!L846&lt;=2,'선정 규칙'!$B$10,IF('제외 후보'!L846&lt;=2.5,'선정 규칙'!$B$11,IF('제외 후보'!L846&lt;=3,'선정 규칙'!$B$12,IF('제외 후보'!L846&lt;=3.5,'선정 규칙'!$B$13,IF('제외 후보'!L846&gt;=4.5,'선정 규칙'!$B$14,0)))))))</x:f>
        <x:v>20</x:v>
      </x:c>
      <x:c r="F846" s="11" t="n">
        <x:f>IF('제외 후보'!Y846=0,'선정 규칙'!$B$15,IF('제외 후보'!Y846&gt;=100,'선정 규칙'!$B$16,'선정 규칙'!$B$17))</x:f>
        <x:v>-25</x:v>
      </x:c>
      <x:c r="G846" s="11" t="n">
        <x:f>IF('제외 후보'!M846="있음",'선정 규칙'!$B$18,'선정 규칙'!$B$19)</x:f>
        <x:v>6</x:v>
      </x:c>
      <x:c r="H846" s="11" t="n">
        <x:f>IF(ISNUMBER(SEARCH("freq-core",'제외 후보'!AD846)),'선정 규칙'!$B$20,0)</x:f>
        <x:v>0</x:v>
      </x:c>
      <x:c r="I846" s="11" t="n">
        <x:f>IF(ISNUMBER(SEARCH("weak_legacy_content",'제외 후보'!P846)),'선정 규칙'!$B$21,0)</x:f>
        <x:v>0</x:v>
      </x:c>
      <x:c r="J846" s="11" t="n">
        <x:f>IF('제외 후보'!AC846&lt;&gt;"",'선정 규칙'!$B$22,0)</x:f>
        <x:v>0</x:v>
      </x:c>
      <x:c r="K846" s="11" t="n">
        <x:f>SUM(B846:J846)</x:f>
        <x:v>1</x:v>
      </x:c>
      <x:c r="L846" s="11" t="n">
        <x:f>'제외 후보'!N846</x:f>
        <x:v>1</x:v>
      </x:c>
      <x:c r="M846" s="2" t="str">
        <x:f>IF(K846=L846,"OK","MISMATCH")</x:f>
        <x:v>OK</x:v>
      </x:c>
    </x:row>
    <x:row r="847">
      <x:c r="A847" s="2" t="str">
        <x:f>'제외 후보'!G847</x:f>
        <x:v>w_2c56002cb47ff327</x:v>
      </x:c>
      <x:c r="B847" s="11" t="n">
        <x:f>IF('제외 후보'!Q847&lt;&gt;"",'선정 규칙'!$B$4,0)</x:f>
        <x:v>0</x:v>
      </x:c>
      <x:c r="C847" s="11" t="n">
        <x:f>IF(ISNUMBER(SEARCH("jmdict_uncommon_or_irregular",'제외 후보'!P847)),'선정 규칙'!$B$5,IF(ISNUMBER(SEARCH("jmdict_rare_or_dated",'제외 후보'!P847)),'선정 규칙'!$B$6,0))</x:f>
        <x:v>0</x:v>
      </x:c>
      <x:c r="D847" s="11" t="n">
        <x:f>IF(ISNUMBER(SEARCH("jmdict_exact_pair_not_found",'제외 후보'!P847)),'선정 규칙'!$B$7,0)</x:f>
        <x:v>0</x:v>
      </x:c>
      <x:c r="E847" s="11" t="n">
        <x:f>IF(OR('제외 후보'!L847="",'제외 후보'!L847&lt;=0),'선정 규칙'!$B$8,IF('제외 후보'!L847&lt;=1.5,'선정 규칙'!$B$9,IF('제외 후보'!L847&lt;=2,'선정 규칙'!$B$10,IF('제외 후보'!L847&lt;=2.5,'선정 규칙'!$B$11,IF('제외 후보'!L847&lt;=3,'선정 규칙'!$B$12,IF('제외 후보'!L847&lt;=3.5,'선정 규칙'!$B$13,IF('제외 후보'!L847&gt;=4.5,'선정 규칙'!$B$14,0)))))))</x:f>
        <x:v>20</x:v>
      </x:c>
      <x:c r="F847" s="11" t="n">
        <x:f>IF('제외 후보'!Y847=0,'선정 규칙'!$B$15,IF('제외 후보'!Y847&gt;=100,'선정 규칙'!$B$16,'선정 규칙'!$B$17))</x:f>
        <x:v>-25</x:v>
      </x:c>
      <x:c r="G847" s="11" t="n">
        <x:f>IF('제외 후보'!M847="있음",'선정 규칙'!$B$18,'선정 규칙'!$B$19)</x:f>
        <x:v>6</x:v>
      </x:c>
      <x:c r="H847" s="11" t="n">
        <x:f>IF(ISNUMBER(SEARCH("freq-core",'제외 후보'!AD847)),'선정 규칙'!$B$20,0)</x:f>
        <x:v>0</x:v>
      </x:c>
      <x:c r="I847" s="11" t="n">
        <x:f>IF(ISNUMBER(SEARCH("weak_legacy_content",'제외 후보'!P847)),'선정 규칙'!$B$21,0)</x:f>
        <x:v>0</x:v>
      </x:c>
      <x:c r="J847" s="11" t="n">
        <x:f>IF('제외 후보'!AC847&lt;&gt;"",'선정 규칙'!$B$22,0)</x:f>
        <x:v>0</x:v>
      </x:c>
      <x:c r="K847" s="11" t="n">
        <x:f>SUM(B847:J847)</x:f>
        <x:v>1</x:v>
      </x:c>
      <x:c r="L847" s="11" t="n">
        <x:f>'제외 후보'!N847</x:f>
        <x:v>1</x:v>
      </x:c>
      <x:c r="M847" s="2" t="str">
        <x:f>IF(K847=L847,"OK","MISMATCH")</x:f>
        <x:v>OK</x:v>
      </x:c>
    </x:row>
    <x:row r="848">
      <x:c r="A848" s="2" t="str">
        <x:f>'제외 후보'!G848</x:f>
        <x:v>w_6c4c847c16982fb1</x:v>
      </x:c>
      <x:c r="B848" s="11" t="n">
        <x:f>IF('제외 후보'!Q848&lt;&gt;"",'선정 규칙'!$B$4,0)</x:f>
        <x:v>0</x:v>
      </x:c>
      <x:c r="C848" s="11" t="n">
        <x:f>IF(ISNUMBER(SEARCH("jmdict_uncommon_or_irregular",'제외 후보'!P848)),'선정 규칙'!$B$5,IF(ISNUMBER(SEARCH("jmdict_rare_or_dated",'제외 후보'!P848)),'선정 규칙'!$B$6,0))</x:f>
        <x:v>0</x:v>
      </x:c>
      <x:c r="D848" s="11" t="n">
        <x:f>IF(ISNUMBER(SEARCH("jmdict_exact_pair_not_found",'제외 후보'!P848)),'선정 규칙'!$B$7,0)</x:f>
        <x:v>0</x:v>
      </x:c>
      <x:c r="E848" s="11" t="n">
        <x:f>IF(OR('제외 후보'!L848="",'제외 후보'!L848&lt;=0),'선정 규칙'!$B$8,IF('제외 후보'!L848&lt;=1.5,'선정 규칙'!$B$9,IF('제외 후보'!L848&lt;=2,'선정 규칙'!$B$10,IF('제외 후보'!L848&lt;=2.5,'선정 규칙'!$B$11,IF('제외 후보'!L848&lt;=3,'선정 규칙'!$B$12,IF('제외 후보'!L848&lt;=3.5,'선정 규칙'!$B$13,IF('제외 후보'!L848&gt;=4.5,'선정 규칙'!$B$14,0)))))))</x:f>
        <x:v>20</x:v>
      </x:c>
      <x:c r="F848" s="11" t="n">
        <x:f>IF('제외 후보'!Y848=0,'선정 규칙'!$B$15,IF('제외 후보'!Y848&gt;=100,'선정 규칙'!$B$16,'선정 규칙'!$B$17))</x:f>
        <x:v>-25</x:v>
      </x:c>
      <x:c r="G848" s="11" t="n">
        <x:f>IF('제외 후보'!M848="있음",'선정 규칙'!$B$18,'선정 규칙'!$B$19)</x:f>
        <x:v>6</x:v>
      </x:c>
      <x:c r="H848" s="11" t="n">
        <x:f>IF(ISNUMBER(SEARCH("freq-core",'제외 후보'!AD848)),'선정 규칙'!$B$20,0)</x:f>
        <x:v>0</x:v>
      </x:c>
      <x:c r="I848" s="11" t="n">
        <x:f>IF(ISNUMBER(SEARCH("weak_legacy_content",'제외 후보'!P848)),'선정 규칙'!$B$21,0)</x:f>
        <x:v>0</x:v>
      </x:c>
      <x:c r="J848" s="11" t="n">
        <x:f>IF('제외 후보'!AC848&lt;&gt;"",'선정 규칙'!$B$22,0)</x:f>
        <x:v>0</x:v>
      </x:c>
      <x:c r="K848" s="11" t="n">
        <x:f>SUM(B848:J848)</x:f>
        <x:v>1</x:v>
      </x:c>
      <x:c r="L848" s="11" t="n">
        <x:f>'제외 후보'!N848</x:f>
        <x:v>1</x:v>
      </x:c>
      <x:c r="M848" s="2" t="str">
        <x:f>IF(K848=L848,"OK","MISMATCH")</x:f>
        <x:v>OK</x:v>
      </x:c>
    </x:row>
    <x:row r="849">
      <x:c r="A849" s="2" t="str">
        <x:f>'제외 후보'!G849</x:f>
        <x:v>w_452a364db88fc864</x:v>
      </x:c>
      <x:c r="B849" s="11" t="n">
        <x:f>IF('제외 후보'!Q849&lt;&gt;"",'선정 규칙'!$B$4,0)</x:f>
        <x:v>0</x:v>
      </x:c>
      <x:c r="C849" s="11" t="n">
        <x:f>IF(ISNUMBER(SEARCH("jmdict_uncommon_or_irregular",'제외 후보'!P849)),'선정 규칙'!$B$5,IF(ISNUMBER(SEARCH("jmdict_rare_or_dated",'제외 후보'!P849)),'선정 규칙'!$B$6,0))</x:f>
        <x:v>0</x:v>
      </x:c>
      <x:c r="D849" s="11" t="n">
        <x:f>IF(ISNUMBER(SEARCH("jmdict_exact_pair_not_found",'제외 후보'!P849)),'선정 규칙'!$B$7,0)</x:f>
        <x:v>0</x:v>
      </x:c>
      <x:c r="E849" s="11" t="n">
        <x:f>IF(OR('제외 후보'!L849="",'제외 후보'!L849&lt;=0),'선정 규칙'!$B$8,IF('제외 후보'!L849&lt;=1.5,'선정 규칙'!$B$9,IF('제외 후보'!L849&lt;=2,'선정 규칙'!$B$10,IF('제외 후보'!L849&lt;=2.5,'선정 규칙'!$B$11,IF('제외 후보'!L849&lt;=3,'선정 규칙'!$B$12,IF('제외 후보'!L849&lt;=3.5,'선정 규칙'!$B$13,IF('제외 후보'!L849&gt;=4.5,'선정 규칙'!$B$14,0)))))))</x:f>
        <x:v>20</x:v>
      </x:c>
      <x:c r="F849" s="11" t="n">
        <x:f>IF('제외 후보'!Y849=0,'선정 규칙'!$B$15,IF('제외 후보'!Y849&gt;=100,'선정 규칙'!$B$16,'선정 규칙'!$B$17))</x:f>
        <x:v>-25</x:v>
      </x:c>
      <x:c r="G849" s="11" t="n">
        <x:f>IF('제외 후보'!M849="있음",'선정 규칙'!$B$18,'선정 규칙'!$B$19)</x:f>
        <x:v>6</x:v>
      </x:c>
      <x:c r="H849" s="11" t="n">
        <x:f>IF(ISNUMBER(SEARCH("freq-core",'제외 후보'!AD849)),'선정 규칙'!$B$20,0)</x:f>
        <x:v>0</x:v>
      </x:c>
      <x:c r="I849" s="11" t="n">
        <x:f>IF(ISNUMBER(SEARCH("weak_legacy_content",'제외 후보'!P849)),'선정 규칙'!$B$21,0)</x:f>
        <x:v>0</x:v>
      </x:c>
      <x:c r="J849" s="11" t="n">
        <x:f>IF('제외 후보'!AC849&lt;&gt;"",'선정 규칙'!$B$22,0)</x:f>
        <x:v>0</x:v>
      </x:c>
      <x:c r="K849" s="11" t="n">
        <x:f>SUM(B849:J849)</x:f>
        <x:v>1</x:v>
      </x:c>
      <x:c r="L849" s="11" t="n">
        <x:f>'제외 후보'!N849</x:f>
        <x:v>1</x:v>
      </x:c>
      <x:c r="M849" s="2" t="str">
        <x:f>IF(K849=L849,"OK","MISMATCH")</x:f>
        <x:v>OK</x:v>
      </x:c>
    </x:row>
    <x:row r="850">
      <x:c r="A850" s="2" t="str">
        <x:f>'제외 후보'!G850</x:f>
        <x:v>w_97731d4ab62bb631</x:v>
      </x:c>
      <x:c r="B850" s="11" t="n">
        <x:f>IF('제외 후보'!Q850&lt;&gt;"",'선정 규칙'!$B$4,0)</x:f>
        <x:v>0</x:v>
      </x:c>
      <x:c r="C850" s="11" t="n">
        <x:f>IF(ISNUMBER(SEARCH("jmdict_uncommon_or_irregular",'제외 후보'!P850)),'선정 규칙'!$B$5,IF(ISNUMBER(SEARCH("jmdict_rare_or_dated",'제외 후보'!P850)),'선정 규칙'!$B$6,0))</x:f>
        <x:v>0</x:v>
      </x:c>
      <x:c r="D850" s="11" t="n">
        <x:f>IF(ISNUMBER(SEARCH("jmdict_exact_pair_not_found",'제외 후보'!P850)),'선정 규칙'!$B$7,0)</x:f>
        <x:v>0</x:v>
      </x:c>
      <x:c r="E850" s="11" t="n">
        <x:f>IF(OR('제외 후보'!L850="",'제외 후보'!L850&lt;=0),'선정 규칙'!$B$8,IF('제외 후보'!L850&lt;=1.5,'선정 규칙'!$B$9,IF('제외 후보'!L850&lt;=2,'선정 규칙'!$B$10,IF('제외 후보'!L850&lt;=2.5,'선정 규칙'!$B$11,IF('제외 후보'!L850&lt;=3,'선정 규칙'!$B$12,IF('제외 후보'!L850&lt;=3.5,'선정 규칙'!$B$13,IF('제외 후보'!L850&gt;=4.5,'선정 규칙'!$B$14,0)))))))</x:f>
        <x:v>20</x:v>
      </x:c>
      <x:c r="F850" s="11" t="n">
        <x:f>IF('제외 후보'!Y850=0,'선정 규칙'!$B$15,IF('제외 후보'!Y850&gt;=100,'선정 규칙'!$B$16,'선정 규칙'!$B$17))</x:f>
        <x:v>-25</x:v>
      </x:c>
      <x:c r="G850" s="11" t="n">
        <x:f>IF('제외 후보'!M850="있음",'선정 규칙'!$B$18,'선정 규칙'!$B$19)</x:f>
        <x:v>6</x:v>
      </x:c>
      <x:c r="H850" s="11" t="n">
        <x:f>IF(ISNUMBER(SEARCH("freq-core",'제외 후보'!AD850)),'선정 규칙'!$B$20,0)</x:f>
        <x:v>0</x:v>
      </x:c>
      <x:c r="I850" s="11" t="n">
        <x:f>IF(ISNUMBER(SEARCH("weak_legacy_content",'제외 후보'!P850)),'선정 규칙'!$B$21,0)</x:f>
        <x:v>0</x:v>
      </x:c>
      <x:c r="J850" s="11" t="n">
        <x:f>IF('제외 후보'!AC850&lt;&gt;"",'선정 규칙'!$B$22,0)</x:f>
        <x:v>0</x:v>
      </x:c>
      <x:c r="K850" s="11" t="n">
        <x:f>SUM(B850:J850)</x:f>
        <x:v>1</x:v>
      </x:c>
      <x:c r="L850" s="11" t="n">
        <x:f>'제외 후보'!N850</x:f>
        <x:v>1</x:v>
      </x:c>
      <x:c r="M850" s="2" t="str">
        <x:f>IF(K850=L850,"OK","MISMATCH")</x:f>
        <x:v>OK</x:v>
      </x:c>
    </x:row>
    <x:row r="851">
      <x:c r="A851" s="2" t="str">
        <x:f>'제외 후보'!G851</x:f>
        <x:v>w_a778d189c9324e93</x:v>
      </x:c>
      <x:c r="B851" s="11" t="n">
        <x:f>IF('제외 후보'!Q851&lt;&gt;"",'선정 규칙'!$B$4,0)</x:f>
        <x:v>0</x:v>
      </x:c>
      <x:c r="C851" s="11" t="n">
        <x:f>IF(ISNUMBER(SEARCH("jmdict_uncommon_or_irregular",'제외 후보'!P851)),'선정 규칙'!$B$5,IF(ISNUMBER(SEARCH("jmdict_rare_or_dated",'제외 후보'!P851)),'선정 규칙'!$B$6,0))</x:f>
        <x:v>0</x:v>
      </x:c>
      <x:c r="D851" s="11" t="n">
        <x:f>IF(ISNUMBER(SEARCH("jmdict_exact_pair_not_found",'제외 후보'!P851)),'선정 규칙'!$B$7,0)</x:f>
        <x:v>0</x:v>
      </x:c>
      <x:c r="E851" s="11" t="n">
        <x:f>IF(OR('제외 후보'!L851="",'제외 후보'!L851&lt;=0),'선정 규칙'!$B$8,IF('제외 후보'!L851&lt;=1.5,'선정 규칙'!$B$9,IF('제외 후보'!L851&lt;=2,'선정 규칙'!$B$10,IF('제외 후보'!L851&lt;=2.5,'선정 규칙'!$B$11,IF('제외 후보'!L851&lt;=3,'선정 규칙'!$B$12,IF('제외 후보'!L851&lt;=3.5,'선정 규칙'!$B$13,IF('제외 후보'!L851&gt;=4.5,'선정 규칙'!$B$14,0)))))))</x:f>
        <x:v>20</x:v>
      </x:c>
      <x:c r="F851" s="11" t="n">
        <x:f>IF('제외 후보'!Y851=0,'선정 규칙'!$B$15,IF('제외 후보'!Y851&gt;=100,'선정 규칙'!$B$16,'선정 규칙'!$B$17))</x:f>
        <x:v>-25</x:v>
      </x:c>
      <x:c r="G851" s="11" t="n">
        <x:f>IF('제외 후보'!M851="있음",'선정 규칙'!$B$18,'선정 규칙'!$B$19)</x:f>
        <x:v>6</x:v>
      </x:c>
      <x:c r="H851" s="11" t="n">
        <x:f>IF(ISNUMBER(SEARCH("freq-core",'제외 후보'!AD851)),'선정 규칙'!$B$20,0)</x:f>
        <x:v>0</x:v>
      </x:c>
      <x:c r="I851" s="11" t="n">
        <x:f>IF(ISNUMBER(SEARCH("weak_legacy_content",'제외 후보'!P851)),'선정 규칙'!$B$21,0)</x:f>
        <x:v>0</x:v>
      </x:c>
      <x:c r="J851" s="11" t="n">
        <x:f>IF('제외 후보'!AC851&lt;&gt;"",'선정 규칙'!$B$22,0)</x:f>
        <x:v>0</x:v>
      </x:c>
      <x:c r="K851" s="11" t="n">
        <x:f>SUM(B851:J851)</x:f>
        <x:v>1</x:v>
      </x:c>
      <x:c r="L851" s="11" t="n">
        <x:f>'제외 후보'!N851</x:f>
        <x:v>1</x:v>
      </x:c>
      <x:c r="M851" s="2" t="str">
        <x:f>IF(K851=L851,"OK","MISMATCH")</x:f>
        <x:v>OK</x:v>
      </x:c>
    </x:row>
    <x:row r="852">
      <x:c r="A852" s="2" t="str">
        <x:f>'제외 후보'!G852</x:f>
        <x:v>w_da1f035a767affab</x:v>
      </x:c>
      <x:c r="B852" s="11" t="n">
        <x:f>IF('제외 후보'!Q852&lt;&gt;"",'선정 규칙'!$B$4,0)</x:f>
        <x:v>0</x:v>
      </x:c>
      <x:c r="C852" s="11" t="n">
        <x:f>IF(ISNUMBER(SEARCH("jmdict_uncommon_or_irregular",'제외 후보'!P852)),'선정 규칙'!$B$5,IF(ISNUMBER(SEARCH("jmdict_rare_or_dated",'제외 후보'!P852)),'선정 규칙'!$B$6,0))</x:f>
        <x:v>0</x:v>
      </x:c>
      <x:c r="D852" s="11" t="n">
        <x:f>IF(ISNUMBER(SEARCH("jmdict_exact_pair_not_found",'제외 후보'!P852)),'선정 규칙'!$B$7,0)</x:f>
        <x:v>0</x:v>
      </x:c>
      <x:c r="E852" s="11" t="n">
        <x:f>IF(OR('제외 후보'!L852="",'제외 후보'!L852&lt;=0),'선정 규칙'!$B$8,IF('제외 후보'!L852&lt;=1.5,'선정 규칙'!$B$9,IF('제외 후보'!L852&lt;=2,'선정 규칙'!$B$10,IF('제외 후보'!L852&lt;=2.5,'선정 규칙'!$B$11,IF('제외 후보'!L852&lt;=3,'선정 규칙'!$B$12,IF('제외 후보'!L852&lt;=3.5,'선정 규칙'!$B$13,IF('제외 후보'!L852&gt;=4.5,'선정 규칙'!$B$14,0)))))))</x:f>
        <x:v>20</x:v>
      </x:c>
      <x:c r="F852" s="11" t="n">
        <x:f>IF('제외 후보'!Y852=0,'선정 규칙'!$B$15,IF('제외 후보'!Y852&gt;=100,'선정 규칙'!$B$16,'선정 규칙'!$B$17))</x:f>
        <x:v>-25</x:v>
      </x:c>
      <x:c r="G852" s="11" t="n">
        <x:f>IF('제외 후보'!M852="있음",'선정 규칙'!$B$18,'선정 규칙'!$B$19)</x:f>
        <x:v>6</x:v>
      </x:c>
      <x:c r="H852" s="11" t="n">
        <x:f>IF(ISNUMBER(SEARCH("freq-core",'제외 후보'!AD852)),'선정 규칙'!$B$20,0)</x:f>
        <x:v>0</x:v>
      </x:c>
      <x:c r="I852" s="11" t="n">
        <x:f>IF(ISNUMBER(SEARCH("weak_legacy_content",'제외 후보'!P852)),'선정 규칙'!$B$21,0)</x:f>
        <x:v>0</x:v>
      </x:c>
      <x:c r="J852" s="11" t="n">
        <x:f>IF('제외 후보'!AC852&lt;&gt;"",'선정 규칙'!$B$22,0)</x:f>
        <x:v>0</x:v>
      </x:c>
      <x:c r="K852" s="11" t="n">
        <x:f>SUM(B852:J852)</x:f>
        <x:v>1</x:v>
      </x:c>
      <x:c r="L852" s="11" t="n">
        <x:f>'제외 후보'!N852</x:f>
        <x:v>1</x:v>
      </x:c>
      <x:c r="M852" s="2" t="str">
        <x:f>IF(K852=L852,"OK","MISMATCH")</x:f>
        <x:v>OK</x:v>
      </x:c>
    </x:row>
    <x:row r="853">
      <x:c r="A853" s="2" t="str">
        <x:f>'제외 후보'!G853</x:f>
        <x:v>w_3b4e4545da94bd5a</x:v>
      </x:c>
      <x:c r="B853" s="11" t="n">
        <x:f>IF('제외 후보'!Q853&lt;&gt;"",'선정 규칙'!$B$4,0)</x:f>
        <x:v>0</x:v>
      </x:c>
      <x:c r="C853" s="11" t="n">
        <x:f>IF(ISNUMBER(SEARCH("jmdict_uncommon_or_irregular",'제외 후보'!P853)),'선정 규칙'!$B$5,IF(ISNUMBER(SEARCH("jmdict_rare_or_dated",'제외 후보'!P853)),'선정 규칙'!$B$6,0))</x:f>
        <x:v>0</x:v>
      </x:c>
      <x:c r="D853" s="11" t="n">
        <x:f>IF(ISNUMBER(SEARCH("jmdict_exact_pair_not_found",'제외 후보'!P853)),'선정 규칙'!$B$7,0)</x:f>
        <x:v>0</x:v>
      </x:c>
      <x:c r="E853" s="11" t="n">
        <x:f>IF(OR('제외 후보'!L853="",'제외 후보'!L853&lt;=0),'선정 규칙'!$B$8,IF('제외 후보'!L853&lt;=1.5,'선정 규칙'!$B$9,IF('제외 후보'!L853&lt;=2,'선정 규칙'!$B$10,IF('제외 후보'!L853&lt;=2.5,'선정 규칙'!$B$11,IF('제외 후보'!L853&lt;=3,'선정 규칙'!$B$12,IF('제외 후보'!L853&lt;=3.5,'선정 규칙'!$B$13,IF('제외 후보'!L853&gt;=4.5,'선정 규칙'!$B$14,0)))))))</x:f>
        <x:v>20</x:v>
      </x:c>
      <x:c r="F853" s="11" t="n">
        <x:f>IF('제외 후보'!Y853=0,'선정 규칙'!$B$15,IF('제외 후보'!Y853&gt;=100,'선정 규칙'!$B$16,'선정 규칙'!$B$17))</x:f>
        <x:v>-25</x:v>
      </x:c>
      <x:c r="G853" s="11" t="n">
        <x:f>IF('제외 후보'!M853="있음",'선정 규칙'!$B$18,'선정 규칙'!$B$19)</x:f>
        <x:v>6</x:v>
      </x:c>
      <x:c r="H853" s="11" t="n">
        <x:f>IF(ISNUMBER(SEARCH("freq-core",'제외 후보'!AD853)),'선정 규칙'!$B$20,0)</x:f>
        <x:v>0</x:v>
      </x:c>
      <x:c r="I853" s="11" t="n">
        <x:f>IF(ISNUMBER(SEARCH("weak_legacy_content",'제외 후보'!P853)),'선정 규칙'!$B$21,0)</x:f>
        <x:v>0</x:v>
      </x:c>
      <x:c r="J853" s="11" t="n">
        <x:f>IF('제외 후보'!AC853&lt;&gt;"",'선정 규칙'!$B$22,0)</x:f>
        <x:v>0</x:v>
      </x:c>
      <x:c r="K853" s="11" t="n">
        <x:f>SUM(B853:J853)</x:f>
        <x:v>1</x:v>
      </x:c>
      <x:c r="L853" s="11" t="n">
        <x:f>'제외 후보'!N853</x:f>
        <x:v>1</x:v>
      </x:c>
      <x:c r="M853" s="2" t="str">
        <x:f>IF(K853=L853,"OK","MISMATCH")</x:f>
        <x:v>OK</x:v>
      </x:c>
    </x:row>
    <x:row r="854">
      <x:c r="A854" s="2" t="str">
        <x:f>'제외 후보'!G854</x:f>
        <x:v>w_a88976287b450da4</x:v>
      </x:c>
      <x:c r="B854" s="11" t="n">
        <x:f>IF('제외 후보'!Q854&lt;&gt;"",'선정 규칙'!$B$4,0)</x:f>
        <x:v>0</x:v>
      </x:c>
      <x:c r="C854" s="11" t="n">
        <x:f>IF(ISNUMBER(SEARCH("jmdict_uncommon_or_irregular",'제외 후보'!P854)),'선정 규칙'!$B$5,IF(ISNUMBER(SEARCH("jmdict_rare_or_dated",'제외 후보'!P854)),'선정 규칙'!$B$6,0))</x:f>
        <x:v>0</x:v>
      </x:c>
      <x:c r="D854" s="11" t="n">
        <x:f>IF(ISNUMBER(SEARCH("jmdict_exact_pair_not_found",'제외 후보'!P854)),'선정 규칙'!$B$7,0)</x:f>
        <x:v>0</x:v>
      </x:c>
      <x:c r="E854" s="11" t="n">
        <x:f>IF(OR('제외 후보'!L854="",'제외 후보'!L854&lt;=0),'선정 규칙'!$B$8,IF('제외 후보'!L854&lt;=1.5,'선정 규칙'!$B$9,IF('제외 후보'!L854&lt;=2,'선정 규칙'!$B$10,IF('제외 후보'!L854&lt;=2.5,'선정 규칙'!$B$11,IF('제외 후보'!L854&lt;=3,'선정 규칙'!$B$12,IF('제외 후보'!L854&lt;=3.5,'선정 규칙'!$B$13,IF('제외 후보'!L854&gt;=4.5,'선정 규칙'!$B$14,0)))))))</x:f>
        <x:v>20</x:v>
      </x:c>
      <x:c r="F854" s="11" t="n">
        <x:f>IF('제외 후보'!Y854=0,'선정 규칙'!$B$15,IF('제외 후보'!Y854&gt;=100,'선정 규칙'!$B$16,'선정 규칙'!$B$17))</x:f>
        <x:v>-25</x:v>
      </x:c>
      <x:c r="G854" s="11" t="n">
        <x:f>IF('제외 후보'!M854="있음",'선정 규칙'!$B$18,'선정 규칙'!$B$19)</x:f>
        <x:v>6</x:v>
      </x:c>
      <x:c r="H854" s="11" t="n">
        <x:f>IF(ISNUMBER(SEARCH("freq-core",'제외 후보'!AD854)),'선정 규칙'!$B$20,0)</x:f>
        <x:v>0</x:v>
      </x:c>
      <x:c r="I854" s="11" t="n">
        <x:f>IF(ISNUMBER(SEARCH("weak_legacy_content",'제외 후보'!P854)),'선정 규칙'!$B$21,0)</x:f>
        <x:v>0</x:v>
      </x:c>
      <x:c r="J854" s="11" t="n">
        <x:f>IF('제외 후보'!AC854&lt;&gt;"",'선정 규칙'!$B$22,0)</x:f>
        <x:v>0</x:v>
      </x:c>
      <x:c r="K854" s="11" t="n">
        <x:f>SUM(B854:J854)</x:f>
        <x:v>1</x:v>
      </x:c>
      <x:c r="L854" s="11" t="n">
        <x:f>'제외 후보'!N854</x:f>
        <x:v>1</x:v>
      </x:c>
      <x:c r="M854" s="2" t="str">
        <x:f>IF(K854=L854,"OK","MISMATCH")</x:f>
        <x:v>OK</x:v>
      </x:c>
    </x:row>
    <x:row r="855">
      <x:c r="A855" s="2" t="str">
        <x:f>'제외 후보'!G855</x:f>
        <x:v>w_7cedab9cab8641d2</x:v>
      </x:c>
      <x:c r="B855" s="11" t="n">
        <x:f>IF('제외 후보'!Q855&lt;&gt;"",'선정 규칙'!$B$4,0)</x:f>
        <x:v>0</x:v>
      </x:c>
      <x:c r="C855" s="11" t="n">
        <x:f>IF(ISNUMBER(SEARCH("jmdict_uncommon_or_irregular",'제외 후보'!P855)),'선정 규칙'!$B$5,IF(ISNUMBER(SEARCH("jmdict_rare_or_dated",'제외 후보'!P855)),'선정 규칙'!$B$6,0))</x:f>
        <x:v>0</x:v>
      </x:c>
      <x:c r="D855" s="11" t="n">
        <x:f>IF(ISNUMBER(SEARCH("jmdict_exact_pair_not_found",'제외 후보'!P855)),'선정 규칙'!$B$7,0)</x:f>
        <x:v>0</x:v>
      </x:c>
      <x:c r="E855" s="11" t="n">
        <x:f>IF(OR('제외 후보'!L855="",'제외 후보'!L855&lt;=0),'선정 규칙'!$B$8,IF('제외 후보'!L855&lt;=1.5,'선정 규칙'!$B$9,IF('제외 후보'!L855&lt;=2,'선정 규칙'!$B$10,IF('제외 후보'!L855&lt;=2.5,'선정 규칙'!$B$11,IF('제외 후보'!L855&lt;=3,'선정 규칙'!$B$12,IF('제외 후보'!L855&lt;=3.5,'선정 규칙'!$B$13,IF('제외 후보'!L855&gt;=4.5,'선정 규칙'!$B$14,0)))))))</x:f>
        <x:v>20</x:v>
      </x:c>
      <x:c r="F855" s="11" t="n">
        <x:f>IF('제외 후보'!Y855=0,'선정 규칙'!$B$15,IF('제외 후보'!Y855&gt;=100,'선정 규칙'!$B$16,'선정 규칙'!$B$17))</x:f>
        <x:v>-25</x:v>
      </x:c>
      <x:c r="G855" s="11" t="n">
        <x:f>IF('제외 후보'!M855="있음",'선정 규칙'!$B$18,'선정 규칙'!$B$19)</x:f>
        <x:v>6</x:v>
      </x:c>
      <x:c r="H855" s="11" t="n">
        <x:f>IF(ISNUMBER(SEARCH("freq-core",'제외 후보'!AD855)),'선정 규칙'!$B$20,0)</x:f>
        <x:v>0</x:v>
      </x:c>
      <x:c r="I855" s="11" t="n">
        <x:f>IF(ISNUMBER(SEARCH("weak_legacy_content",'제외 후보'!P855)),'선정 규칙'!$B$21,0)</x:f>
        <x:v>0</x:v>
      </x:c>
      <x:c r="J855" s="11" t="n">
        <x:f>IF('제외 후보'!AC855&lt;&gt;"",'선정 규칙'!$B$22,0)</x:f>
        <x:v>0</x:v>
      </x:c>
      <x:c r="K855" s="11" t="n">
        <x:f>SUM(B855:J855)</x:f>
        <x:v>1</x:v>
      </x:c>
      <x:c r="L855" s="11" t="n">
        <x:f>'제외 후보'!N855</x:f>
        <x:v>1</x:v>
      </x:c>
      <x:c r="M855" s="2" t="str">
        <x:f>IF(K855=L855,"OK","MISMATCH")</x:f>
        <x:v>OK</x:v>
      </x:c>
    </x:row>
    <x:row r="856">
      <x:c r="A856" s="2" t="str">
        <x:f>'제외 후보'!G856</x:f>
        <x:v>w_4d1f935f4e76d086</x:v>
      </x:c>
      <x:c r="B856" s="11" t="n">
        <x:f>IF('제외 후보'!Q856&lt;&gt;"",'선정 규칙'!$B$4,0)</x:f>
        <x:v>0</x:v>
      </x:c>
      <x:c r="C856" s="11" t="n">
        <x:f>IF(ISNUMBER(SEARCH("jmdict_uncommon_or_irregular",'제외 후보'!P856)),'선정 규칙'!$B$5,IF(ISNUMBER(SEARCH("jmdict_rare_or_dated",'제외 후보'!P856)),'선정 규칙'!$B$6,0))</x:f>
        <x:v>0</x:v>
      </x:c>
      <x:c r="D856" s="11" t="n">
        <x:f>IF(ISNUMBER(SEARCH("jmdict_exact_pair_not_found",'제외 후보'!P856)),'선정 규칙'!$B$7,0)</x:f>
        <x:v>0</x:v>
      </x:c>
      <x:c r="E856" s="11" t="n">
        <x:f>IF(OR('제외 후보'!L856="",'제외 후보'!L856&lt;=0),'선정 규칙'!$B$8,IF('제외 후보'!L856&lt;=1.5,'선정 규칙'!$B$9,IF('제외 후보'!L856&lt;=2,'선정 규칙'!$B$10,IF('제외 후보'!L856&lt;=2.5,'선정 규칙'!$B$11,IF('제외 후보'!L856&lt;=3,'선정 규칙'!$B$12,IF('제외 후보'!L856&lt;=3.5,'선정 규칙'!$B$13,IF('제외 후보'!L856&gt;=4.5,'선정 규칙'!$B$14,0)))))))</x:f>
        <x:v>20</x:v>
      </x:c>
      <x:c r="F856" s="11" t="n">
        <x:f>IF('제외 후보'!Y856=0,'선정 규칙'!$B$15,IF('제외 후보'!Y856&gt;=100,'선정 규칙'!$B$16,'선정 규칙'!$B$17))</x:f>
        <x:v>-25</x:v>
      </x:c>
      <x:c r="G856" s="11" t="n">
        <x:f>IF('제외 후보'!M856="있음",'선정 규칙'!$B$18,'선정 규칙'!$B$19)</x:f>
        <x:v>6</x:v>
      </x:c>
      <x:c r="H856" s="11" t="n">
        <x:f>IF(ISNUMBER(SEARCH("freq-core",'제외 후보'!AD856)),'선정 규칙'!$B$20,0)</x:f>
        <x:v>0</x:v>
      </x:c>
      <x:c r="I856" s="11" t="n">
        <x:f>IF(ISNUMBER(SEARCH("weak_legacy_content",'제외 후보'!P856)),'선정 규칙'!$B$21,0)</x:f>
        <x:v>0</x:v>
      </x:c>
      <x:c r="J856" s="11" t="n">
        <x:f>IF('제외 후보'!AC856&lt;&gt;"",'선정 규칙'!$B$22,0)</x:f>
        <x:v>0</x:v>
      </x:c>
      <x:c r="K856" s="11" t="n">
        <x:f>SUM(B856:J856)</x:f>
        <x:v>1</x:v>
      </x:c>
      <x:c r="L856" s="11" t="n">
        <x:f>'제외 후보'!N856</x:f>
        <x:v>1</x:v>
      </x:c>
      <x:c r="M856" s="2" t="str">
        <x:f>IF(K856=L856,"OK","MISMATCH")</x:f>
        <x:v>OK</x:v>
      </x:c>
    </x:row>
    <x:row r="857">
      <x:c r="A857" s="2" t="str">
        <x:f>'제외 후보'!G857</x:f>
        <x:v>w_5ca2ac72fa6c8d99</x:v>
      </x:c>
      <x:c r="B857" s="11" t="n">
        <x:f>IF('제외 후보'!Q857&lt;&gt;"",'선정 규칙'!$B$4,0)</x:f>
        <x:v>0</x:v>
      </x:c>
      <x:c r="C857" s="11" t="n">
        <x:f>IF(ISNUMBER(SEARCH("jmdict_uncommon_or_irregular",'제외 후보'!P857)),'선정 규칙'!$B$5,IF(ISNUMBER(SEARCH("jmdict_rare_or_dated",'제외 후보'!P857)),'선정 규칙'!$B$6,0))</x:f>
        <x:v>0</x:v>
      </x:c>
      <x:c r="D857" s="11" t="n">
        <x:f>IF(ISNUMBER(SEARCH("jmdict_exact_pair_not_found",'제외 후보'!P857)),'선정 규칙'!$B$7,0)</x:f>
        <x:v>0</x:v>
      </x:c>
      <x:c r="E857" s="11" t="n">
        <x:f>IF(OR('제외 후보'!L857="",'제외 후보'!L857&lt;=0),'선정 규칙'!$B$8,IF('제외 후보'!L857&lt;=1.5,'선정 규칙'!$B$9,IF('제외 후보'!L857&lt;=2,'선정 규칙'!$B$10,IF('제외 후보'!L857&lt;=2.5,'선정 규칙'!$B$11,IF('제외 후보'!L857&lt;=3,'선정 규칙'!$B$12,IF('제외 후보'!L857&lt;=3.5,'선정 규칙'!$B$13,IF('제외 후보'!L857&gt;=4.5,'선정 규칙'!$B$14,0)))))))</x:f>
        <x:v>20</x:v>
      </x:c>
      <x:c r="F857" s="11" t="n">
        <x:f>IF('제외 후보'!Y857=0,'선정 규칙'!$B$15,IF('제외 후보'!Y857&gt;=100,'선정 규칙'!$B$16,'선정 규칙'!$B$17))</x:f>
        <x:v>-25</x:v>
      </x:c>
      <x:c r="G857" s="11" t="n">
        <x:f>IF('제외 후보'!M857="있음",'선정 규칙'!$B$18,'선정 규칙'!$B$19)</x:f>
        <x:v>6</x:v>
      </x:c>
      <x:c r="H857" s="11" t="n">
        <x:f>IF(ISNUMBER(SEARCH("freq-core",'제외 후보'!AD857)),'선정 규칙'!$B$20,0)</x:f>
        <x:v>0</x:v>
      </x:c>
      <x:c r="I857" s="11" t="n">
        <x:f>IF(ISNUMBER(SEARCH("weak_legacy_content",'제외 후보'!P857)),'선정 규칙'!$B$21,0)</x:f>
        <x:v>0</x:v>
      </x:c>
      <x:c r="J857" s="11" t="n">
        <x:f>IF('제외 후보'!AC857&lt;&gt;"",'선정 규칙'!$B$22,0)</x:f>
        <x:v>0</x:v>
      </x:c>
      <x:c r="K857" s="11" t="n">
        <x:f>SUM(B857:J857)</x:f>
        <x:v>1</x:v>
      </x:c>
      <x:c r="L857" s="11" t="n">
        <x:f>'제외 후보'!N857</x:f>
        <x:v>1</x:v>
      </x:c>
      <x:c r="M857" s="2" t="str">
        <x:f>IF(K857=L857,"OK","MISMATCH")</x:f>
        <x:v>OK</x:v>
      </x:c>
    </x:row>
    <x:row r="858">
      <x:c r="A858" s="2" t="str">
        <x:f>'제외 후보'!G858</x:f>
        <x:v>w_241b2c43716f45fc</x:v>
      </x:c>
      <x:c r="B858" s="11" t="n">
        <x:f>IF('제외 후보'!Q858&lt;&gt;"",'선정 규칙'!$B$4,0)</x:f>
        <x:v>0</x:v>
      </x:c>
      <x:c r="C858" s="11" t="n">
        <x:f>IF(ISNUMBER(SEARCH("jmdict_uncommon_or_irregular",'제외 후보'!P858)),'선정 규칙'!$B$5,IF(ISNUMBER(SEARCH("jmdict_rare_or_dated",'제외 후보'!P858)),'선정 규칙'!$B$6,0))</x:f>
        <x:v>0</x:v>
      </x:c>
      <x:c r="D858" s="11" t="n">
        <x:f>IF(ISNUMBER(SEARCH("jmdict_exact_pair_not_found",'제외 후보'!P858)),'선정 규칙'!$B$7,0)</x:f>
        <x:v>0</x:v>
      </x:c>
      <x:c r="E858" s="11" t="n">
        <x:f>IF(OR('제외 후보'!L858="",'제외 후보'!L858&lt;=0),'선정 규칙'!$B$8,IF('제외 후보'!L858&lt;=1.5,'선정 규칙'!$B$9,IF('제외 후보'!L858&lt;=2,'선정 규칙'!$B$10,IF('제외 후보'!L858&lt;=2.5,'선정 규칙'!$B$11,IF('제외 후보'!L858&lt;=3,'선정 규칙'!$B$12,IF('제외 후보'!L858&lt;=3.5,'선정 규칙'!$B$13,IF('제외 후보'!L858&gt;=4.5,'선정 규칙'!$B$14,0)))))))</x:f>
        <x:v>20</x:v>
      </x:c>
      <x:c r="F858" s="11" t="n">
        <x:f>IF('제외 후보'!Y858=0,'선정 규칙'!$B$15,IF('제외 후보'!Y858&gt;=100,'선정 규칙'!$B$16,'선정 규칙'!$B$17))</x:f>
        <x:v>-25</x:v>
      </x:c>
      <x:c r="G858" s="11" t="n">
        <x:f>IF('제외 후보'!M858="있음",'선정 규칙'!$B$18,'선정 규칙'!$B$19)</x:f>
        <x:v>6</x:v>
      </x:c>
      <x:c r="H858" s="11" t="n">
        <x:f>IF(ISNUMBER(SEARCH("freq-core",'제외 후보'!AD858)),'선정 규칙'!$B$20,0)</x:f>
        <x:v>0</x:v>
      </x:c>
      <x:c r="I858" s="11" t="n">
        <x:f>IF(ISNUMBER(SEARCH("weak_legacy_content",'제외 후보'!P858)),'선정 규칙'!$B$21,0)</x:f>
        <x:v>0</x:v>
      </x:c>
      <x:c r="J858" s="11" t="n">
        <x:f>IF('제외 후보'!AC858&lt;&gt;"",'선정 규칙'!$B$22,0)</x:f>
        <x:v>0</x:v>
      </x:c>
      <x:c r="K858" s="11" t="n">
        <x:f>SUM(B858:J858)</x:f>
        <x:v>1</x:v>
      </x:c>
      <x:c r="L858" s="11" t="n">
        <x:f>'제외 후보'!N858</x:f>
        <x:v>1</x:v>
      </x:c>
      <x:c r="M858" s="2" t="str">
        <x:f>IF(K858=L858,"OK","MISMATCH")</x:f>
        <x:v>OK</x:v>
      </x:c>
    </x:row>
    <x:row r="859">
      <x:c r="A859" s="2" t="str">
        <x:f>'제외 후보'!G859</x:f>
        <x:v>w_5677058dbe6c8c87</x:v>
      </x:c>
      <x:c r="B859" s="11" t="n">
        <x:f>IF('제외 후보'!Q859&lt;&gt;"",'선정 규칙'!$B$4,0)</x:f>
        <x:v>0</x:v>
      </x:c>
      <x:c r="C859" s="11" t="n">
        <x:f>IF(ISNUMBER(SEARCH("jmdict_uncommon_or_irregular",'제외 후보'!P859)),'선정 규칙'!$B$5,IF(ISNUMBER(SEARCH("jmdict_rare_or_dated",'제외 후보'!P859)),'선정 규칙'!$B$6,0))</x:f>
        <x:v>0</x:v>
      </x:c>
      <x:c r="D859" s="11" t="n">
        <x:f>IF(ISNUMBER(SEARCH("jmdict_exact_pair_not_found",'제외 후보'!P859)),'선정 규칙'!$B$7,0)</x:f>
        <x:v>0</x:v>
      </x:c>
      <x:c r="E859" s="11" t="n">
        <x:f>IF(OR('제외 후보'!L859="",'제외 후보'!L859&lt;=0),'선정 규칙'!$B$8,IF('제외 후보'!L859&lt;=1.5,'선정 규칙'!$B$9,IF('제외 후보'!L859&lt;=2,'선정 규칙'!$B$10,IF('제외 후보'!L859&lt;=2.5,'선정 규칙'!$B$11,IF('제외 후보'!L859&lt;=3,'선정 규칙'!$B$12,IF('제외 후보'!L859&lt;=3.5,'선정 규칙'!$B$13,IF('제외 후보'!L859&gt;=4.5,'선정 규칙'!$B$14,0)))))))</x:f>
        <x:v>20</x:v>
      </x:c>
      <x:c r="F859" s="11" t="n">
        <x:f>IF('제외 후보'!Y859=0,'선정 규칙'!$B$15,IF('제외 후보'!Y859&gt;=100,'선정 규칙'!$B$16,'선정 규칙'!$B$17))</x:f>
        <x:v>-25</x:v>
      </x:c>
      <x:c r="G859" s="11" t="n">
        <x:f>IF('제외 후보'!M859="있음",'선정 규칙'!$B$18,'선정 규칙'!$B$19)</x:f>
        <x:v>6</x:v>
      </x:c>
      <x:c r="H859" s="11" t="n">
        <x:f>IF(ISNUMBER(SEARCH("freq-core",'제외 후보'!AD859)),'선정 규칙'!$B$20,0)</x:f>
        <x:v>0</x:v>
      </x:c>
      <x:c r="I859" s="11" t="n">
        <x:f>IF(ISNUMBER(SEARCH("weak_legacy_content",'제외 후보'!P859)),'선정 규칙'!$B$21,0)</x:f>
        <x:v>0</x:v>
      </x:c>
      <x:c r="J859" s="11" t="n">
        <x:f>IF('제외 후보'!AC859&lt;&gt;"",'선정 규칙'!$B$22,0)</x:f>
        <x:v>0</x:v>
      </x:c>
      <x:c r="K859" s="11" t="n">
        <x:f>SUM(B859:J859)</x:f>
        <x:v>1</x:v>
      </x:c>
      <x:c r="L859" s="11" t="n">
        <x:f>'제외 후보'!N859</x:f>
        <x:v>1</x:v>
      </x:c>
      <x:c r="M859" s="2" t="str">
        <x:f>IF(K859=L859,"OK","MISMATCH")</x:f>
        <x:v>OK</x:v>
      </x:c>
    </x:row>
    <x:row r="860">
      <x:c r="A860" s="2" t="str">
        <x:f>'제외 후보'!G860</x:f>
        <x:v>w_f1cc06cbec8147dc</x:v>
      </x:c>
      <x:c r="B860" s="11" t="n">
        <x:f>IF('제외 후보'!Q860&lt;&gt;"",'선정 규칙'!$B$4,0)</x:f>
        <x:v>0</x:v>
      </x:c>
      <x:c r="C860" s="11" t="n">
        <x:f>IF(ISNUMBER(SEARCH("jmdict_uncommon_or_irregular",'제외 후보'!P860)),'선정 규칙'!$B$5,IF(ISNUMBER(SEARCH("jmdict_rare_or_dated",'제외 후보'!P860)),'선정 규칙'!$B$6,0))</x:f>
        <x:v>0</x:v>
      </x:c>
      <x:c r="D860" s="11" t="n">
        <x:f>IF(ISNUMBER(SEARCH("jmdict_exact_pair_not_found",'제외 후보'!P860)),'선정 규칙'!$B$7,0)</x:f>
        <x:v>0</x:v>
      </x:c>
      <x:c r="E860" s="11" t="n">
        <x:f>IF(OR('제외 후보'!L860="",'제외 후보'!L860&lt;=0),'선정 규칙'!$B$8,IF('제외 후보'!L860&lt;=1.5,'선정 규칙'!$B$9,IF('제외 후보'!L860&lt;=2,'선정 규칙'!$B$10,IF('제외 후보'!L860&lt;=2.5,'선정 규칙'!$B$11,IF('제외 후보'!L860&lt;=3,'선정 규칙'!$B$12,IF('제외 후보'!L860&lt;=3.5,'선정 규칙'!$B$13,IF('제외 후보'!L860&gt;=4.5,'선정 규칙'!$B$14,0)))))))</x:f>
        <x:v>20</x:v>
      </x:c>
      <x:c r="F860" s="11" t="n">
        <x:f>IF('제외 후보'!Y860=0,'선정 규칙'!$B$15,IF('제외 후보'!Y860&gt;=100,'선정 규칙'!$B$16,'선정 규칙'!$B$17))</x:f>
        <x:v>-25</x:v>
      </x:c>
      <x:c r="G860" s="11" t="n">
        <x:f>IF('제외 후보'!M860="있음",'선정 규칙'!$B$18,'선정 규칙'!$B$19)</x:f>
        <x:v>6</x:v>
      </x:c>
      <x:c r="H860" s="11" t="n">
        <x:f>IF(ISNUMBER(SEARCH("freq-core",'제외 후보'!AD860)),'선정 규칙'!$B$20,0)</x:f>
        <x:v>0</x:v>
      </x:c>
      <x:c r="I860" s="11" t="n">
        <x:f>IF(ISNUMBER(SEARCH("weak_legacy_content",'제외 후보'!P860)),'선정 규칙'!$B$21,0)</x:f>
        <x:v>0</x:v>
      </x:c>
      <x:c r="J860" s="11" t="n">
        <x:f>IF('제외 후보'!AC860&lt;&gt;"",'선정 규칙'!$B$22,0)</x:f>
        <x:v>0</x:v>
      </x:c>
      <x:c r="K860" s="11" t="n">
        <x:f>SUM(B860:J860)</x:f>
        <x:v>1</x:v>
      </x:c>
      <x:c r="L860" s="11" t="n">
        <x:f>'제외 후보'!N860</x:f>
        <x:v>1</x:v>
      </x:c>
      <x:c r="M860" s="2" t="str">
        <x:f>IF(K860=L860,"OK","MISMATCH")</x:f>
        <x:v>OK</x:v>
      </x:c>
    </x:row>
    <x:row r="861">
      <x:c r="A861" s="2" t="str">
        <x:f>'제외 후보'!G861</x:f>
        <x:v>w_87d24712ac4ca221</x:v>
      </x:c>
      <x:c r="B861" s="11" t="n">
        <x:f>IF('제외 후보'!Q861&lt;&gt;"",'선정 규칙'!$B$4,0)</x:f>
        <x:v>0</x:v>
      </x:c>
      <x:c r="C861" s="11" t="n">
        <x:f>IF(ISNUMBER(SEARCH("jmdict_uncommon_or_irregular",'제외 후보'!P861)),'선정 규칙'!$B$5,IF(ISNUMBER(SEARCH("jmdict_rare_or_dated",'제외 후보'!P861)),'선정 규칙'!$B$6,0))</x:f>
        <x:v>0</x:v>
      </x:c>
      <x:c r="D861" s="11" t="n">
        <x:f>IF(ISNUMBER(SEARCH("jmdict_exact_pair_not_found",'제외 후보'!P861)),'선정 규칙'!$B$7,0)</x:f>
        <x:v>0</x:v>
      </x:c>
      <x:c r="E861" s="11" t="n">
        <x:f>IF(OR('제외 후보'!L861="",'제외 후보'!L861&lt;=0),'선정 규칙'!$B$8,IF('제외 후보'!L861&lt;=1.5,'선정 규칙'!$B$9,IF('제외 후보'!L861&lt;=2,'선정 규칙'!$B$10,IF('제외 후보'!L861&lt;=2.5,'선정 규칙'!$B$11,IF('제외 후보'!L861&lt;=3,'선정 규칙'!$B$12,IF('제외 후보'!L861&lt;=3.5,'선정 규칙'!$B$13,IF('제외 후보'!L861&gt;=4.5,'선정 규칙'!$B$14,0)))))))</x:f>
        <x:v>20</x:v>
      </x:c>
      <x:c r="F861" s="11" t="n">
        <x:f>IF('제외 후보'!Y861=0,'선정 규칙'!$B$15,IF('제외 후보'!Y861&gt;=100,'선정 규칙'!$B$16,'선정 규칙'!$B$17))</x:f>
        <x:v>-25</x:v>
      </x:c>
      <x:c r="G861" s="11" t="n">
        <x:f>IF('제외 후보'!M861="있음",'선정 규칙'!$B$18,'선정 규칙'!$B$19)</x:f>
        <x:v>6</x:v>
      </x:c>
      <x:c r="H861" s="11" t="n">
        <x:f>IF(ISNUMBER(SEARCH("freq-core",'제외 후보'!AD861)),'선정 규칙'!$B$20,0)</x:f>
        <x:v>0</x:v>
      </x:c>
      <x:c r="I861" s="11" t="n">
        <x:f>IF(ISNUMBER(SEARCH("weak_legacy_content",'제외 후보'!P861)),'선정 규칙'!$B$21,0)</x:f>
        <x:v>0</x:v>
      </x:c>
      <x:c r="J861" s="11" t="n">
        <x:f>IF('제외 후보'!AC861&lt;&gt;"",'선정 규칙'!$B$22,0)</x:f>
        <x:v>0</x:v>
      </x:c>
      <x:c r="K861" s="11" t="n">
        <x:f>SUM(B861:J861)</x:f>
        <x:v>1</x:v>
      </x:c>
      <x:c r="L861" s="11" t="n">
        <x:f>'제외 후보'!N861</x:f>
        <x:v>1</x:v>
      </x:c>
      <x:c r="M861" s="2" t="str">
        <x:f>IF(K861=L861,"OK","MISMATCH")</x:f>
        <x:v>OK</x:v>
      </x:c>
    </x:row>
    <x:row r="862">
      <x:c r="A862" s="2" t="str">
        <x:f>'제외 후보'!G862</x:f>
        <x:v>w_2826a4c0a34eec2f</x:v>
      </x:c>
      <x:c r="B862" s="11" t="n">
        <x:f>IF('제외 후보'!Q862&lt;&gt;"",'선정 규칙'!$B$4,0)</x:f>
        <x:v>0</x:v>
      </x:c>
      <x:c r="C862" s="11" t="n">
        <x:f>IF(ISNUMBER(SEARCH("jmdict_uncommon_or_irregular",'제외 후보'!P862)),'선정 규칙'!$B$5,IF(ISNUMBER(SEARCH("jmdict_rare_or_dated",'제외 후보'!P862)),'선정 규칙'!$B$6,0))</x:f>
        <x:v>0</x:v>
      </x:c>
      <x:c r="D862" s="11" t="n">
        <x:f>IF(ISNUMBER(SEARCH("jmdict_exact_pair_not_found",'제외 후보'!P862)),'선정 규칙'!$B$7,0)</x:f>
        <x:v>0</x:v>
      </x:c>
      <x:c r="E862" s="11" t="n">
        <x:f>IF(OR('제외 후보'!L862="",'제외 후보'!L862&lt;=0),'선정 규칙'!$B$8,IF('제외 후보'!L862&lt;=1.5,'선정 규칙'!$B$9,IF('제외 후보'!L862&lt;=2,'선정 규칙'!$B$10,IF('제외 후보'!L862&lt;=2.5,'선정 규칙'!$B$11,IF('제외 후보'!L862&lt;=3,'선정 규칙'!$B$12,IF('제외 후보'!L862&lt;=3.5,'선정 규칙'!$B$13,IF('제외 후보'!L862&gt;=4.5,'선정 규칙'!$B$14,0)))))))</x:f>
        <x:v>20</x:v>
      </x:c>
      <x:c r="F862" s="11" t="n">
        <x:f>IF('제외 후보'!Y862=0,'선정 규칙'!$B$15,IF('제외 후보'!Y862&gt;=100,'선정 규칙'!$B$16,'선정 규칙'!$B$17))</x:f>
        <x:v>-25</x:v>
      </x:c>
      <x:c r="G862" s="11" t="n">
        <x:f>IF('제외 후보'!M862="있음",'선정 규칙'!$B$18,'선정 규칙'!$B$19)</x:f>
        <x:v>6</x:v>
      </x:c>
      <x:c r="H862" s="11" t="n">
        <x:f>IF(ISNUMBER(SEARCH("freq-core",'제외 후보'!AD862)),'선정 규칙'!$B$20,0)</x:f>
        <x:v>0</x:v>
      </x:c>
      <x:c r="I862" s="11" t="n">
        <x:f>IF(ISNUMBER(SEARCH("weak_legacy_content",'제외 후보'!P862)),'선정 규칙'!$B$21,0)</x:f>
        <x:v>0</x:v>
      </x:c>
      <x:c r="J862" s="11" t="n">
        <x:f>IF('제외 후보'!AC862&lt;&gt;"",'선정 규칙'!$B$22,0)</x:f>
        <x:v>0</x:v>
      </x:c>
      <x:c r="K862" s="11" t="n">
        <x:f>SUM(B862:J862)</x:f>
        <x:v>1</x:v>
      </x:c>
      <x:c r="L862" s="11" t="n">
        <x:f>'제외 후보'!N862</x:f>
        <x:v>1</x:v>
      </x:c>
      <x:c r="M862" s="2" t="str">
        <x:f>IF(K862=L862,"OK","MISMATCH")</x:f>
        <x:v>OK</x:v>
      </x:c>
    </x:row>
    <x:row r="863">
      <x:c r="A863" s="2" t="str">
        <x:f>'제외 후보'!G863</x:f>
        <x:v>w_6c6d42edbcae239a</x:v>
      </x:c>
      <x:c r="B863" s="11" t="n">
        <x:f>IF('제외 후보'!Q863&lt;&gt;"",'선정 규칙'!$B$4,0)</x:f>
        <x:v>0</x:v>
      </x:c>
      <x:c r="C863" s="11" t="n">
        <x:f>IF(ISNUMBER(SEARCH("jmdict_uncommon_or_irregular",'제외 후보'!P863)),'선정 규칙'!$B$5,IF(ISNUMBER(SEARCH("jmdict_rare_or_dated",'제외 후보'!P863)),'선정 규칙'!$B$6,0))</x:f>
        <x:v>0</x:v>
      </x:c>
      <x:c r="D863" s="11" t="n">
        <x:f>IF(ISNUMBER(SEARCH("jmdict_exact_pair_not_found",'제외 후보'!P863)),'선정 규칙'!$B$7,0)</x:f>
        <x:v>0</x:v>
      </x:c>
      <x:c r="E863" s="11" t="n">
        <x:f>IF(OR('제외 후보'!L863="",'제외 후보'!L863&lt;=0),'선정 규칙'!$B$8,IF('제외 후보'!L863&lt;=1.5,'선정 규칙'!$B$9,IF('제외 후보'!L863&lt;=2,'선정 규칙'!$B$10,IF('제외 후보'!L863&lt;=2.5,'선정 규칙'!$B$11,IF('제외 후보'!L863&lt;=3,'선정 규칙'!$B$12,IF('제외 후보'!L863&lt;=3.5,'선정 규칙'!$B$13,IF('제외 후보'!L863&gt;=4.5,'선정 규칙'!$B$14,0)))))))</x:f>
        <x:v>20</x:v>
      </x:c>
      <x:c r="F863" s="11" t="n">
        <x:f>IF('제외 후보'!Y863=0,'선정 규칙'!$B$15,IF('제외 후보'!Y863&gt;=100,'선정 규칙'!$B$16,'선정 규칙'!$B$17))</x:f>
        <x:v>-25</x:v>
      </x:c>
      <x:c r="G863" s="11" t="n">
        <x:f>IF('제외 후보'!M863="있음",'선정 규칙'!$B$18,'선정 규칙'!$B$19)</x:f>
        <x:v>6</x:v>
      </x:c>
      <x:c r="H863" s="11" t="n">
        <x:f>IF(ISNUMBER(SEARCH("freq-core",'제외 후보'!AD863)),'선정 규칙'!$B$20,0)</x:f>
        <x:v>0</x:v>
      </x:c>
      <x:c r="I863" s="11" t="n">
        <x:f>IF(ISNUMBER(SEARCH("weak_legacy_content",'제외 후보'!P863)),'선정 규칙'!$B$21,0)</x:f>
        <x:v>0</x:v>
      </x:c>
      <x:c r="J863" s="11" t="n">
        <x:f>IF('제외 후보'!AC863&lt;&gt;"",'선정 규칙'!$B$22,0)</x:f>
        <x:v>0</x:v>
      </x:c>
      <x:c r="K863" s="11" t="n">
        <x:f>SUM(B863:J863)</x:f>
        <x:v>1</x:v>
      </x:c>
      <x:c r="L863" s="11" t="n">
        <x:f>'제외 후보'!N863</x:f>
        <x:v>1</x:v>
      </x:c>
      <x:c r="M863" s="2" t="str">
        <x:f>IF(K863=L863,"OK","MISMATCH")</x:f>
        <x:v>OK</x:v>
      </x:c>
    </x:row>
    <x:row r="864">
      <x:c r="A864" s="2" t="str">
        <x:f>'제외 후보'!G864</x:f>
        <x:v>w_db4ada3a43693b59</x:v>
      </x:c>
      <x:c r="B864" s="11" t="n">
        <x:f>IF('제외 후보'!Q864&lt;&gt;"",'선정 규칙'!$B$4,0)</x:f>
        <x:v>0</x:v>
      </x:c>
      <x:c r="C864" s="11" t="n">
        <x:f>IF(ISNUMBER(SEARCH("jmdict_uncommon_or_irregular",'제외 후보'!P864)),'선정 규칙'!$B$5,IF(ISNUMBER(SEARCH("jmdict_rare_or_dated",'제외 후보'!P864)),'선정 규칙'!$B$6,0))</x:f>
        <x:v>0</x:v>
      </x:c>
      <x:c r="D864" s="11" t="n">
        <x:f>IF(ISNUMBER(SEARCH("jmdict_exact_pair_not_found",'제외 후보'!P864)),'선정 규칙'!$B$7,0)</x:f>
        <x:v>0</x:v>
      </x:c>
      <x:c r="E864" s="11" t="n">
        <x:f>IF(OR('제외 후보'!L864="",'제외 후보'!L864&lt;=0),'선정 규칙'!$B$8,IF('제외 후보'!L864&lt;=1.5,'선정 규칙'!$B$9,IF('제외 후보'!L864&lt;=2,'선정 규칙'!$B$10,IF('제외 후보'!L864&lt;=2.5,'선정 규칙'!$B$11,IF('제외 후보'!L864&lt;=3,'선정 규칙'!$B$12,IF('제외 후보'!L864&lt;=3.5,'선정 규칙'!$B$13,IF('제외 후보'!L864&gt;=4.5,'선정 규칙'!$B$14,0)))))))</x:f>
        <x:v>20</x:v>
      </x:c>
      <x:c r="F864" s="11" t="n">
        <x:f>IF('제외 후보'!Y864=0,'선정 규칙'!$B$15,IF('제외 후보'!Y864&gt;=100,'선정 규칙'!$B$16,'선정 규칙'!$B$17))</x:f>
        <x:v>-25</x:v>
      </x:c>
      <x:c r="G864" s="11" t="n">
        <x:f>IF('제외 후보'!M864="있음",'선정 규칙'!$B$18,'선정 규칙'!$B$19)</x:f>
        <x:v>6</x:v>
      </x:c>
      <x:c r="H864" s="11" t="n">
        <x:f>IF(ISNUMBER(SEARCH("freq-core",'제외 후보'!AD864)),'선정 규칙'!$B$20,0)</x:f>
        <x:v>0</x:v>
      </x:c>
      <x:c r="I864" s="11" t="n">
        <x:f>IF(ISNUMBER(SEARCH("weak_legacy_content",'제외 후보'!P864)),'선정 규칙'!$B$21,0)</x:f>
        <x:v>0</x:v>
      </x:c>
      <x:c r="J864" s="11" t="n">
        <x:f>IF('제외 후보'!AC864&lt;&gt;"",'선정 규칙'!$B$22,0)</x:f>
        <x:v>0</x:v>
      </x:c>
      <x:c r="K864" s="11" t="n">
        <x:f>SUM(B864:J864)</x:f>
        <x:v>1</x:v>
      </x:c>
      <x:c r="L864" s="11" t="n">
        <x:f>'제외 후보'!N864</x:f>
        <x:v>1</x:v>
      </x:c>
      <x:c r="M864" s="2" t="str">
        <x:f>IF(K864=L864,"OK","MISMATCH")</x:f>
        <x:v>OK</x:v>
      </x:c>
    </x:row>
    <x:row r="865">
      <x:c r="A865" s="2" t="str">
        <x:f>'제외 후보'!G865</x:f>
        <x:v>w_a665d7e7321067b1</x:v>
      </x:c>
      <x:c r="B865" s="11" t="n">
        <x:f>IF('제외 후보'!Q865&lt;&gt;"",'선정 규칙'!$B$4,0)</x:f>
        <x:v>0</x:v>
      </x:c>
      <x:c r="C865" s="11" t="n">
        <x:f>IF(ISNUMBER(SEARCH("jmdict_uncommon_or_irregular",'제외 후보'!P865)),'선정 규칙'!$B$5,IF(ISNUMBER(SEARCH("jmdict_rare_or_dated",'제외 후보'!P865)),'선정 규칙'!$B$6,0))</x:f>
        <x:v>0</x:v>
      </x:c>
      <x:c r="D865" s="11" t="n">
        <x:f>IF(ISNUMBER(SEARCH("jmdict_exact_pair_not_found",'제외 후보'!P865)),'선정 규칙'!$B$7,0)</x:f>
        <x:v>0</x:v>
      </x:c>
      <x:c r="E865" s="11" t="n">
        <x:f>IF(OR('제외 후보'!L865="",'제외 후보'!L865&lt;=0),'선정 규칙'!$B$8,IF('제외 후보'!L865&lt;=1.5,'선정 규칙'!$B$9,IF('제외 후보'!L865&lt;=2,'선정 규칙'!$B$10,IF('제외 후보'!L865&lt;=2.5,'선정 규칙'!$B$11,IF('제외 후보'!L865&lt;=3,'선정 규칙'!$B$12,IF('제외 후보'!L865&lt;=3.5,'선정 규칙'!$B$13,IF('제외 후보'!L865&gt;=4.5,'선정 규칙'!$B$14,0)))))))</x:f>
        <x:v>20</x:v>
      </x:c>
      <x:c r="F865" s="11" t="n">
        <x:f>IF('제외 후보'!Y865=0,'선정 규칙'!$B$15,IF('제외 후보'!Y865&gt;=100,'선정 규칙'!$B$16,'선정 규칙'!$B$17))</x:f>
        <x:v>-25</x:v>
      </x:c>
      <x:c r="G865" s="11" t="n">
        <x:f>IF('제외 후보'!M865="있음",'선정 규칙'!$B$18,'선정 규칙'!$B$19)</x:f>
        <x:v>6</x:v>
      </x:c>
      <x:c r="H865" s="11" t="n">
        <x:f>IF(ISNUMBER(SEARCH("freq-core",'제외 후보'!AD865)),'선정 규칙'!$B$20,0)</x:f>
        <x:v>0</x:v>
      </x:c>
      <x:c r="I865" s="11" t="n">
        <x:f>IF(ISNUMBER(SEARCH("weak_legacy_content",'제외 후보'!P865)),'선정 규칙'!$B$21,0)</x:f>
        <x:v>0</x:v>
      </x:c>
      <x:c r="J865" s="11" t="n">
        <x:f>IF('제외 후보'!AC865&lt;&gt;"",'선정 규칙'!$B$22,0)</x:f>
        <x:v>0</x:v>
      </x:c>
      <x:c r="K865" s="11" t="n">
        <x:f>SUM(B865:J865)</x:f>
        <x:v>1</x:v>
      </x:c>
      <x:c r="L865" s="11" t="n">
        <x:f>'제외 후보'!N865</x:f>
        <x:v>1</x:v>
      </x:c>
      <x:c r="M865" s="2" t="str">
        <x:f>IF(K865=L865,"OK","MISMATCH")</x:f>
        <x:v>OK</x:v>
      </x:c>
    </x:row>
    <x:row r="866">
      <x:c r="A866" s="2" t="str">
        <x:f>'제외 후보'!G866</x:f>
        <x:v>w_fb814a90534c9dec</x:v>
      </x:c>
      <x:c r="B866" s="11" t="n">
        <x:f>IF('제외 후보'!Q866&lt;&gt;"",'선정 규칙'!$B$4,0)</x:f>
        <x:v>0</x:v>
      </x:c>
      <x:c r="C866" s="11" t="n">
        <x:f>IF(ISNUMBER(SEARCH("jmdict_uncommon_or_irregular",'제외 후보'!P866)),'선정 규칙'!$B$5,IF(ISNUMBER(SEARCH("jmdict_rare_or_dated",'제외 후보'!P866)),'선정 규칙'!$B$6,0))</x:f>
        <x:v>0</x:v>
      </x:c>
      <x:c r="D866" s="11" t="n">
        <x:f>IF(ISNUMBER(SEARCH("jmdict_exact_pair_not_found",'제외 후보'!P866)),'선정 규칙'!$B$7,0)</x:f>
        <x:v>0</x:v>
      </x:c>
      <x:c r="E866" s="11" t="n">
        <x:f>IF(OR('제외 후보'!L866="",'제외 후보'!L866&lt;=0),'선정 규칙'!$B$8,IF('제외 후보'!L866&lt;=1.5,'선정 규칙'!$B$9,IF('제외 후보'!L866&lt;=2,'선정 규칙'!$B$10,IF('제외 후보'!L866&lt;=2.5,'선정 규칙'!$B$11,IF('제외 후보'!L866&lt;=3,'선정 규칙'!$B$12,IF('제외 후보'!L866&lt;=3.5,'선정 규칙'!$B$13,IF('제외 후보'!L866&gt;=4.5,'선정 규칙'!$B$14,0)))))))</x:f>
        <x:v>20</x:v>
      </x:c>
      <x:c r="F866" s="11" t="n">
        <x:f>IF('제외 후보'!Y866=0,'선정 규칙'!$B$15,IF('제외 후보'!Y866&gt;=100,'선정 규칙'!$B$16,'선정 규칙'!$B$17))</x:f>
        <x:v>-25</x:v>
      </x:c>
      <x:c r="G866" s="11" t="n">
        <x:f>IF('제외 후보'!M866="있음",'선정 규칙'!$B$18,'선정 규칙'!$B$19)</x:f>
        <x:v>6</x:v>
      </x:c>
      <x:c r="H866" s="11" t="n">
        <x:f>IF(ISNUMBER(SEARCH("freq-core",'제외 후보'!AD866)),'선정 규칙'!$B$20,0)</x:f>
        <x:v>0</x:v>
      </x:c>
      <x:c r="I866" s="11" t="n">
        <x:f>IF(ISNUMBER(SEARCH("weak_legacy_content",'제외 후보'!P866)),'선정 규칙'!$B$21,0)</x:f>
        <x:v>0</x:v>
      </x:c>
      <x:c r="J866" s="11" t="n">
        <x:f>IF('제외 후보'!AC866&lt;&gt;"",'선정 규칙'!$B$22,0)</x:f>
        <x:v>0</x:v>
      </x:c>
      <x:c r="K866" s="11" t="n">
        <x:f>SUM(B866:J866)</x:f>
        <x:v>1</x:v>
      </x:c>
      <x:c r="L866" s="11" t="n">
        <x:f>'제외 후보'!N866</x:f>
        <x:v>1</x:v>
      </x:c>
      <x:c r="M866" s="2" t="str">
        <x:f>IF(K866=L866,"OK","MISMATCH")</x:f>
        <x:v>OK</x:v>
      </x:c>
    </x:row>
    <x:row r="867">
      <x:c r="A867" s="2" t="str">
        <x:f>'제외 후보'!G867</x:f>
        <x:v>w_5d651b645b264be0</x:v>
      </x:c>
      <x:c r="B867" s="11" t="n">
        <x:f>IF('제외 후보'!Q867&lt;&gt;"",'선정 규칙'!$B$4,0)</x:f>
        <x:v>0</x:v>
      </x:c>
      <x:c r="C867" s="11" t="n">
        <x:f>IF(ISNUMBER(SEARCH("jmdict_uncommon_or_irregular",'제외 후보'!P867)),'선정 규칙'!$B$5,IF(ISNUMBER(SEARCH("jmdict_rare_or_dated",'제외 후보'!P867)),'선정 규칙'!$B$6,0))</x:f>
        <x:v>0</x:v>
      </x:c>
      <x:c r="D867" s="11" t="n">
        <x:f>IF(ISNUMBER(SEARCH("jmdict_exact_pair_not_found",'제외 후보'!P867)),'선정 규칙'!$B$7,0)</x:f>
        <x:v>0</x:v>
      </x:c>
      <x:c r="E867" s="11" t="n">
        <x:f>IF(OR('제외 후보'!L867="",'제외 후보'!L867&lt;=0),'선정 규칙'!$B$8,IF('제외 후보'!L867&lt;=1.5,'선정 규칙'!$B$9,IF('제외 후보'!L867&lt;=2,'선정 규칙'!$B$10,IF('제외 후보'!L867&lt;=2.5,'선정 규칙'!$B$11,IF('제외 후보'!L867&lt;=3,'선정 규칙'!$B$12,IF('제외 후보'!L867&lt;=3.5,'선정 규칙'!$B$13,IF('제외 후보'!L867&gt;=4.5,'선정 규칙'!$B$14,0)))))))</x:f>
        <x:v>20</x:v>
      </x:c>
      <x:c r="F867" s="11" t="n">
        <x:f>IF('제외 후보'!Y867=0,'선정 규칙'!$B$15,IF('제외 후보'!Y867&gt;=100,'선정 규칙'!$B$16,'선정 규칙'!$B$17))</x:f>
        <x:v>-25</x:v>
      </x:c>
      <x:c r="G867" s="11" t="n">
        <x:f>IF('제외 후보'!M867="있음",'선정 규칙'!$B$18,'선정 규칙'!$B$19)</x:f>
        <x:v>6</x:v>
      </x:c>
      <x:c r="H867" s="11" t="n">
        <x:f>IF(ISNUMBER(SEARCH("freq-core",'제외 후보'!AD867)),'선정 규칙'!$B$20,0)</x:f>
        <x:v>0</x:v>
      </x:c>
      <x:c r="I867" s="11" t="n">
        <x:f>IF(ISNUMBER(SEARCH("weak_legacy_content",'제외 후보'!P867)),'선정 규칙'!$B$21,0)</x:f>
        <x:v>0</x:v>
      </x:c>
      <x:c r="J867" s="11" t="n">
        <x:f>IF('제외 후보'!AC867&lt;&gt;"",'선정 규칙'!$B$22,0)</x:f>
        <x:v>0</x:v>
      </x:c>
      <x:c r="K867" s="11" t="n">
        <x:f>SUM(B867:J867)</x:f>
        <x:v>1</x:v>
      </x:c>
      <x:c r="L867" s="11" t="n">
        <x:f>'제외 후보'!N867</x:f>
        <x:v>1</x:v>
      </x:c>
      <x:c r="M867" s="2" t="str">
        <x:f>IF(K867=L867,"OK","MISMATCH")</x:f>
        <x:v>OK</x:v>
      </x:c>
    </x:row>
    <x:row r="868">
      <x:c r="A868" s="2" t="str">
        <x:f>'제외 후보'!G868</x:f>
        <x:v>w_951bf4f0bb38a5c7</x:v>
      </x:c>
      <x:c r="B868" s="11" t="n">
        <x:f>IF('제외 후보'!Q868&lt;&gt;"",'선정 규칙'!$B$4,0)</x:f>
        <x:v>0</x:v>
      </x:c>
      <x:c r="C868" s="11" t="n">
        <x:f>IF(ISNUMBER(SEARCH("jmdict_uncommon_or_irregular",'제외 후보'!P868)),'선정 규칙'!$B$5,IF(ISNUMBER(SEARCH("jmdict_rare_or_dated",'제외 후보'!P868)),'선정 규칙'!$B$6,0))</x:f>
        <x:v>0</x:v>
      </x:c>
      <x:c r="D868" s="11" t="n">
        <x:f>IF(ISNUMBER(SEARCH("jmdict_exact_pair_not_found",'제외 후보'!P868)),'선정 규칙'!$B$7,0)</x:f>
        <x:v>0</x:v>
      </x:c>
      <x:c r="E868" s="11" t="n">
        <x:f>IF(OR('제외 후보'!L868="",'제외 후보'!L868&lt;=0),'선정 규칙'!$B$8,IF('제외 후보'!L868&lt;=1.5,'선정 규칙'!$B$9,IF('제외 후보'!L868&lt;=2,'선정 규칙'!$B$10,IF('제외 후보'!L868&lt;=2.5,'선정 규칙'!$B$11,IF('제외 후보'!L868&lt;=3,'선정 규칙'!$B$12,IF('제외 후보'!L868&lt;=3.5,'선정 규칙'!$B$13,IF('제외 후보'!L868&gt;=4.5,'선정 규칙'!$B$14,0)))))))</x:f>
        <x:v>20</x:v>
      </x:c>
      <x:c r="F868" s="11" t="n">
        <x:f>IF('제외 후보'!Y868=0,'선정 규칙'!$B$15,IF('제외 후보'!Y868&gt;=100,'선정 규칙'!$B$16,'선정 규칙'!$B$17))</x:f>
        <x:v>-25</x:v>
      </x:c>
      <x:c r="G868" s="11" t="n">
        <x:f>IF('제외 후보'!M868="있음",'선정 규칙'!$B$18,'선정 규칙'!$B$19)</x:f>
        <x:v>6</x:v>
      </x:c>
      <x:c r="H868" s="11" t="n">
        <x:f>IF(ISNUMBER(SEARCH("freq-core",'제외 후보'!AD868)),'선정 규칙'!$B$20,0)</x:f>
        <x:v>0</x:v>
      </x:c>
      <x:c r="I868" s="11" t="n">
        <x:f>IF(ISNUMBER(SEARCH("weak_legacy_content",'제외 후보'!P868)),'선정 규칙'!$B$21,0)</x:f>
        <x:v>0</x:v>
      </x:c>
      <x:c r="J868" s="11" t="n">
        <x:f>IF('제외 후보'!AC868&lt;&gt;"",'선정 규칙'!$B$22,0)</x:f>
        <x:v>0</x:v>
      </x:c>
      <x:c r="K868" s="11" t="n">
        <x:f>SUM(B868:J868)</x:f>
        <x:v>1</x:v>
      </x:c>
      <x:c r="L868" s="11" t="n">
        <x:f>'제외 후보'!N868</x:f>
        <x:v>1</x:v>
      </x:c>
      <x:c r="M868" s="2" t="str">
        <x:f>IF(K868=L868,"OK","MISMATCH")</x:f>
        <x:v>OK</x:v>
      </x:c>
    </x:row>
    <x:row r="869">
      <x:c r="A869" s="2" t="str">
        <x:f>'제외 후보'!G869</x:f>
        <x:v>w_12cfa362a1dd303d</x:v>
      </x:c>
      <x:c r="B869" s="11" t="n">
        <x:f>IF('제외 후보'!Q869&lt;&gt;"",'선정 규칙'!$B$4,0)</x:f>
        <x:v>0</x:v>
      </x:c>
      <x:c r="C869" s="11" t="n">
        <x:f>IF(ISNUMBER(SEARCH("jmdict_uncommon_or_irregular",'제외 후보'!P869)),'선정 규칙'!$B$5,IF(ISNUMBER(SEARCH("jmdict_rare_or_dated",'제외 후보'!P869)),'선정 규칙'!$B$6,0))</x:f>
        <x:v>0</x:v>
      </x:c>
      <x:c r="D869" s="11" t="n">
        <x:f>IF(ISNUMBER(SEARCH("jmdict_exact_pair_not_found",'제외 후보'!P869)),'선정 규칙'!$B$7,0)</x:f>
        <x:v>0</x:v>
      </x:c>
      <x:c r="E869" s="11" t="n">
        <x:f>IF(OR('제외 후보'!L869="",'제외 후보'!L869&lt;=0),'선정 규칙'!$B$8,IF('제외 후보'!L869&lt;=1.5,'선정 규칙'!$B$9,IF('제외 후보'!L869&lt;=2,'선정 규칙'!$B$10,IF('제외 후보'!L869&lt;=2.5,'선정 규칙'!$B$11,IF('제외 후보'!L869&lt;=3,'선정 규칙'!$B$12,IF('제외 후보'!L869&lt;=3.5,'선정 규칙'!$B$13,IF('제외 후보'!L869&gt;=4.5,'선정 규칙'!$B$14,0)))))))</x:f>
        <x:v>20</x:v>
      </x:c>
      <x:c r="F869" s="11" t="n">
        <x:f>IF('제외 후보'!Y869=0,'선정 규칙'!$B$15,IF('제외 후보'!Y869&gt;=100,'선정 규칙'!$B$16,'선정 규칙'!$B$17))</x:f>
        <x:v>-25</x:v>
      </x:c>
      <x:c r="G869" s="11" t="n">
        <x:f>IF('제외 후보'!M869="있음",'선정 규칙'!$B$18,'선정 규칙'!$B$19)</x:f>
        <x:v>6</x:v>
      </x:c>
      <x:c r="H869" s="11" t="n">
        <x:f>IF(ISNUMBER(SEARCH("freq-core",'제외 후보'!AD869)),'선정 규칙'!$B$20,0)</x:f>
        <x:v>0</x:v>
      </x:c>
      <x:c r="I869" s="11" t="n">
        <x:f>IF(ISNUMBER(SEARCH("weak_legacy_content",'제외 후보'!P869)),'선정 규칙'!$B$21,0)</x:f>
        <x:v>0</x:v>
      </x:c>
      <x:c r="J869" s="11" t="n">
        <x:f>IF('제외 후보'!AC869&lt;&gt;"",'선정 규칙'!$B$22,0)</x:f>
        <x:v>0</x:v>
      </x:c>
      <x:c r="K869" s="11" t="n">
        <x:f>SUM(B869:J869)</x:f>
        <x:v>1</x:v>
      </x:c>
      <x:c r="L869" s="11" t="n">
        <x:f>'제외 후보'!N869</x:f>
        <x:v>1</x:v>
      </x:c>
      <x:c r="M869" s="2" t="str">
        <x:f>IF(K869=L869,"OK","MISMATCH")</x:f>
        <x:v>OK</x:v>
      </x:c>
    </x:row>
    <x:row r="870">
      <x:c r="A870" s="2" t="str">
        <x:f>'제외 후보'!G870</x:f>
        <x:v>w_ad66e92c81431574</x:v>
      </x:c>
      <x:c r="B870" s="11" t="n">
        <x:f>IF('제외 후보'!Q870&lt;&gt;"",'선정 규칙'!$B$4,0)</x:f>
        <x:v>0</x:v>
      </x:c>
      <x:c r="C870" s="11" t="n">
        <x:f>IF(ISNUMBER(SEARCH("jmdict_uncommon_or_irregular",'제외 후보'!P870)),'선정 규칙'!$B$5,IF(ISNUMBER(SEARCH("jmdict_rare_or_dated",'제외 후보'!P870)),'선정 규칙'!$B$6,0))</x:f>
        <x:v>0</x:v>
      </x:c>
      <x:c r="D870" s="11" t="n">
        <x:f>IF(ISNUMBER(SEARCH("jmdict_exact_pair_not_found",'제외 후보'!P870)),'선정 규칙'!$B$7,0)</x:f>
        <x:v>0</x:v>
      </x:c>
      <x:c r="E870" s="11" t="n">
        <x:f>IF(OR('제외 후보'!L870="",'제외 후보'!L870&lt;=0),'선정 규칙'!$B$8,IF('제외 후보'!L870&lt;=1.5,'선정 규칙'!$B$9,IF('제외 후보'!L870&lt;=2,'선정 규칙'!$B$10,IF('제외 후보'!L870&lt;=2.5,'선정 규칙'!$B$11,IF('제외 후보'!L870&lt;=3,'선정 규칙'!$B$12,IF('제외 후보'!L870&lt;=3.5,'선정 규칙'!$B$13,IF('제외 후보'!L870&gt;=4.5,'선정 규칙'!$B$14,0)))))))</x:f>
        <x:v>20</x:v>
      </x:c>
      <x:c r="F870" s="11" t="n">
        <x:f>IF('제외 후보'!Y870=0,'선정 규칙'!$B$15,IF('제외 후보'!Y870&gt;=100,'선정 규칙'!$B$16,'선정 규칙'!$B$17))</x:f>
        <x:v>-25</x:v>
      </x:c>
      <x:c r="G870" s="11" t="n">
        <x:f>IF('제외 후보'!M870="있음",'선정 규칙'!$B$18,'선정 규칙'!$B$19)</x:f>
        <x:v>6</x:v>
      </x:c>
      <x:c r="H870" s="11" t="n">
        <x:f>IF(ISNUMBER(SEARCH("freq-core",'제외 후보'!AD870)),'선정 규칙'!$B$20,0)</x:f>
        <x:v>0</x:v>
      </x:c>
      <x:c r="I870" s="11" t="n">
        <x:f>IF(ISNUMBER(SEARCH("weak_legacy_content",'제외 후보'!P870)),'선정 규칙'!$B$21,0)</x:f>
        <x:v>0</x:v>
      </x:c>
      <x:c r="J870" s="11" t="n">
        <x:f>IF('제외 후보'!AC870&lt;&gt;"",'선정 규칙'!$B$22,0)</x:f>
        <x:v>0</x:v>
      </x:c>
      <x:c r="K870" s="11" t="n">
        <x:f>SUM(B870:J870)</x:f>
        <x:v>1</x:v>
      </x:c>
      <x:c r="L870" s="11" t="n">
        <x:f>'제외 후보'!N870</x:f>
        <x:v>1</x:v>
      </x:c>
      <x:c r="M870" s="2" t="str">
        <x:f>IF(K870=L870,"OK","MISMATCH")</x:f>
        <x:v>OK</x:v>
      </x:c>
    </x:row>
    <x:row r="871">
      <x:c r="A871" s="2" t="str">
        <x:f>'제외 후보'!G871</x:f>
        <x:v>w_c7ffd392215f6fce</x:v>
      </x:c>
      <x:c r="B871" s="11" t="n">
        <x:f>IF('제외 후보'!Q871&lt;&gt;"",'선정 규칙'!$B$4,0)</x:f>
        <x:v>0</x:v>
      </x:c>
      <x:c r="C871" s="11" t="n">
        <x:f>IF(ISNUMBER(SEARCH("jmdict_uncommon_or_irregular",'제외 후보'!P871)),'선정 규칙'!$B$5,IF(ISNUMBER(SEARCH("jmdict_rare_or_dated",'제외 후보'!P871)),'선정 규칙'!$B$6,0))</x:f>
        <x:v>0</x:v>
      </x:c>
      <x:c r="D871" s="11" t="n">
        <x:f>IF(ISNUMBER(SEARCH("jmdict_exact_pair_not_found",'제외 후보'!P871)),'선정 규칙'!$B$7,0)</x:f>
        <x:v>0</x:v>
      </x:c>
      <x:c r="E871" s="11" t="n">
        <x:f>IF(OR('제외 후보'!L871="",'제외 후보'!L871&lt;=0),'선정 규칙'!$B$8,IF('제외 후보'!L871&lt;=1.5,'선정 규칙'!$B$9,IF('제외 후보'!L871&lt;=2,'선정 규칙'!$B$10,IF('제외 후보'!L871&lt;=2.5,'선정 규칙'!$B$11,IF('제외 후보'!L871&lt;=3,'선정 규칙'!$B$12,IF('제외 후보'!L871&lt;=3.5,'선정 규칙'!$B$13,IF('제외 후보'!L871&gt;=4.5,'선정 규칙'!$B$14,0)))))))</x:f>
        <x:v>20</x:v>
      </x:c>
      <x:c r="F871" s="11" t="n">
        <x:f>IF('제외 후보'!Y871=0,'선정 규칙'!$B$15,IF('제외 후보'!Y871&gt;=100,'선정 규칙'!$B$16,'선정 규칙'!$B$17))</x:f>
        <x:v>-25</x:v>
      </x:c>
      <x:c r="G871" s="11" t="n">
        <x:f>IF('제외 후보'!M871="있음",'선정 규칙'!$B$18,'선정 규칙'!$B$19)</x:f>
        <x:v>6</x:v>
      </x:c>
      <x:c r="H871" s="11" t="n">
        <x:f>IF(ISNUMBER(SEARCH("freq-core",'제외 후보'!AD871)),'선정 규칙'!$B$20,0)</x:f>
        <x:v>0</x:v>
      </x:c>
      <x:c r="I871" s="11" t="n">
        <x:f>IF(ISNUMBER(SEARCH("weak_legacy_content",'제외 후보'!P871)),'선정 규칙'!$B$21,0)</x:f>
        <x:v>0</x:v>
      </x:c>
      <x:c r="J871" s="11" t="n">
        <x:f>IF('제외 후보'!AC871&lt;&gt;"",'선정 규칙'!$B$22,0)</x:f>
        <x:v>0</x:v>
      </x:c>
      <x:c r="K871" s="11" t="n">
        <x:f>SUM(B871:J871)</x:f>
        <x:v>1</x:v>
      </x:c>
      <x:c r="L871" s="11" t="n">
        <x:f>'제외 후보'!N871</x:f>
        <x:v>1</x:v>
      </x:c>
      <x:c r="M871" s="2" t="str">
        <x:f>IF(K871=L871,"OK","MISMATCH")</x:f>
        <x:v>OK</x:v>
      </x:c>
    </x:row>
    <x:row r="872">
      <x:c r="A872" s="2" t="str">
        <x:f>'제외 후보'!G872</x:f>
        <x:v>w_e4a739dfd06b0d5a</x:v>
      </x:c>
      <x:c r="B872" s="11" t="n">
        <x:f>IF('제외 후보'!Q872&lt;&gt;"",'선정 규칙'!$B$4,0)</x:f>
        <x:v>0</x:v>
      </x:c>
      <x:c r="C872" s="11" t="n">
        <x:f>IF(ISNUMBER(SEARCH("jmdict_uncommon_or_irregular",'제외 후보'!P872)),'선정 규칙'!$B$5,IF(ISNUMBER(SEARCH("jmdict_rare_or_dated",'제외 후보'!P872)),'선정 규칙'!$B$6,0))</x:f>
        <x:v>0</x:v>
      </x:c>
      <x:c r="D872" s="11" t="n">
        <x:f>IF(ISNUMBER(SEARCH("jmdict_exact_pair_not_found",'제외 후보'!P872)),'선정 규칙'!$B$7,0)</x:f>
        <x:v>0</x:v>
      </x:c>
      <x:c r="E872" s="11" t="n">
        <x:f>IF(OR('제외 후보'!L872="",'제외 후보'!L872&lt;=0),'선정 규칙'!$B$8,IF('제외 후보'!L872&lt;=1.5,'선정 규칙'!$B$9,IF('제외 후보'!L872&lt;=2,'선정 규칙'!$B$10,IF('제외 후보'!L872&lt;=2.5,'선정 규칙'!$B$11,IF('제외 후보'!L872&lt;=3,'선정 규칙'!$B$12,IF('제외 후보'!L872&lt;=3.5,'선정 규칙'!$B$13,IF('제외 후보'!L872&gt;=4.5,'선정 규칙'!$B$14,0)))))))</x:f>
        <x:v>20</x:v>
      </x:c>
      <x:c r="F872" s="11" t="n">
        <x:f>IF('제외 후보'!Y872=0,'선정 규칙'!$B$15,IF('제외 후보'!Y872&gt;=100,'선정 규칙'!$B$16,'선정 규칙'!$B$17))</x:f>
        <x:v>-25</x:v>
      </x:c>
      <x:c r="G872" s="11" t="n">
        <x:f>IF('제외 후보'!M872="있음",'선정 규칙'!$B$18,'선정 규칙'!$B$19)</x:f>
        <x:v>6</x:v>
      </x:c>
      <x:c r="H872" s="11" t="n">
        <x:f>IF(ISNUMBER(SEARCH("freq-core",'제외 후보'!AD872)),'선정 규칙'!$B$20,0)</x:f>
        <x:v>0</x:v>
      </x:c>
      <x:c r="I872" s="11" t="n">
        <x:f>IF(ISNUMBER(SEARCH("weak_legacy_content",'제외 후보'!P872)),'선정 규칙'!$B$21,0)</x:f>
        <x:v>0</x:v>
      </x:c>
      <x:c r="J872" s="11" t="n">
        <x:f>IF('제외 후보'!AC872&lt;&gt;"",'선정 규칙'!$B$22,0)</x:f>
        <x:v>0</x:v>
      </x:c>
      <x:c r="K872" s="11" t="n">
        <x:f>SUM(B872:J872)</x:f>
        <x:v>1</x:v>
      </x:c>
      <x:c r="L872" s="11" t="n">
        <x:f>'제외 후보'!N872</x:f>
        <x:v>1</x:v>
      </x:c>
      <x:c r="M872" s="2" t="str">
        <x:f>IF(K872=L872,"OK","MISMATCH")</x:f>
        <x:v>OK</x:v>
      </x:c>
    </x:row>
    <x:row r="873">
      <x:c r="A873" s="2" t="str">
        <x:f>'제외 후보'!G873</x:f>
        <x:v>w_4d1ba60fcfc4c6d2</x:v>
      </x:c>
      <x:c r="B873" s="11" t="n">
        <x:f>IF('제외 후보'!Q873&lt;&gt;"",'선정 규칙'!$B$4,0)</x:f>
        <x:v>0</x:v>
      </x:c>
      <x:c r="C873" s="11" t="n">
        <x:f>IF(ISNUMBER(SEARCH("jmdict_uncommon_or_irregular",'제외 후보'!P873)),'선정 규칙'!$B$5,IF(ISNUMBER(SEARCH("jmdict_rare_or_dated",'제외 후보'!P873)),'선정 규칙'!$B$6,0))</x:f>
        <x:v>0</x:v>
      </x:c>
      <x:c r="D873" s="11" t="n">
        <x:f>IF(ISNUMBER(SEARCH("jmdict_exact_pair_not_found",'제외 후보'!P873)),'선정 규칙'!$B$7,0)</x:f>
        <x:v>0</x:v>
      </x:c>
      <x:c r="E873" s="11" t="n">
        <x:f>IF(OR('제외 후보'!L873="",'제외 후보'!L873&lt;=0),'선정 규칙'!$B$8,IF('제외 후보'!L873&lt;=1.5,'선정 규칙'!$B$9,IF('제외 후보'!L873&lt;=2,'선정 규칙'!$B$10,IF('제외 후보'!L873&lt;=2.5,'선정 규칙'!$B$11,IF('제외 후보'!L873&lt;=3,'선정 규칙'!$B$12,IF('제외 후보'!L873&lt;=3.5,'선정 규칙'!$B$13,IF('제외 후보'!L873&gt;=4.5,'선정 규칙'!$B$14,0)))))))</x:f>
        <x:v>20</x:v>
      </x:c>
      <x:c r="F873" s="11" t="n">
        <x:f>IF('제외 후보'!Y873=0,'선정 규칙'!$B$15,IF('제외 후보'!Y873&gt;=100,'선정 규칙'!$B$16,'선정 규칙'!$B$17))</x:f>
        <x:v>-25</x:v>
      </x:c>
      <x:c r="G873" s="11" t="n">
        <x:f>IF('제외 후보'!M873="있음",'선정 규칙'!$B$18,'선정 규칙'!$B$19)</x:f>
        <x:v>6</x:v>
      </x:c>
      <x:c r="H873" s="11" t="n">
        <x:f>IF(ISNUMBER(SEARCH("freq-core",'제외 후보'!AD873)),'선정 규칙'!$B$20,0)</x:f>
        <x:v>0</x:v>
      </x:c>
      <x:c r="I873" s="11" t="n">
        <x:f>IF(ISNUMBER(SEARCH("weak_legacy_content",'제외 후보'!P873)),'선정 규칙'!$B$21,0)</x:f>
        <x:v>0</x:v>
      </x:c>
      <x:c r="J873" s="11" t="n">
        <x:f>IF('제외 후보'!AC873&lt;&gt;"",'선정 규칙'!$B$22,0)</x:f>
        <x:v>0</x:v>
      </x:c>
      <x:c r="K873" s="11" t="n">
        <x:f>SUM(B873:J873)</x:f>
        <x:v>1</x:v>
      </x:c>
      <x:c r="L873" s="11" t="n">
        <x:f>'제외 후보'!N873</x:f>
        <x:v>1</x:v>
      </x:c>
      <x:c r="M873" s="2" t="str">
        <x:f>IF(K873=L873,"OK","MISMATCH")</x:f>
        <x:v>OK</x:v>
      </x:c>
    </x:row>
    <x:row r="874">
      <x:c r="A874" s="2" t="str">
        <x:f>'제외 후보'!G874</x:f>
        <x:v>w_56f89fc8f56a94c8</x:v>
      </x:c>
      <x:c r="B874" s="11" t="n">
        <x:f>IF('제외 후보'!Q874&lt;&gt;"",'선정 규칙'!$B$4,0)</x:f>
        <x:v>0</x:v>
      </x:c>
      <x:c r="C874" s="11" t="n">
        <x:f>IF(ISNUMBER(SEARCH("jmdict_uncommon_or_irregular",'제외 후보'!P874)),'선정 규칙'!$B$5,IF(ISNUMBER(SEARCH("jmdict_rare_or_dated",'제외 후보'!P874)),'선정 규칙'!$B$6,0))</x:f>
        <x:v>0</x:v>
      </x:c>
      <x:c r="D874" s="11" t="n">
        <x:f>IF(ISNUMBER(SEARCH("jmdict_exact_pair_not_found",'제외 후보'!P874)),'선정 규칙'!$B$7,0)</x:f>
        <x:v>0</x:v>
      </x:c>
      <x:c r="E874" s="11" t="n">
        <x:f>IF(OR('제외 후보'!L874="",'제외 후보'!L874&lt;=0),'선정 규칙'!$B$8,IF('제외 후보'!L874&lt;=1.5,'선정 규칙'!$B$9,IF('제외 후보'!L874&lt;=2,'선정 규칙'!$B$10,IF('제외 후보'!L874&lt;=2.5,'선정 규칙'!$B$11,IF('제외 후보'!L874&lt;=3,'선정 규칙'!$B$12,IF('제외 후보'!L874&lt;=3.5,'선정 규칙'!$B$13,IF('제외 후보'!L874&gt;=4.5,'선정 규칙'!$B$14,0)))))))</x:f>
        <x:v>20</x:v>
      </x:c>
      <x:c r="F874" s="11" t="n">
        <x:f>IF('제외 후보'!Y874=0,'선정 규칙'!$B$15,IF('제외 후보'!Y874&gt;=100,'선정 규칙'!$B$16,'선정 규칙'!$B$17))</x:f>
        <x:v>-25</x:v>
      </x:c>
      <x:c r="G874" s="11" t="n">
        <x:f>IF('제외 후보'!M874="있음",'선정 규칙'!$B$18,'선정 규칙'!$B$19)</x:f>
        <x:v>6</x:v>
      </x:c>
      <x:c r="H874" s="11" t="n">
        <x:f>IF(ISNUMBER(SEARCH("freq-core",'제외 후보'!AD874)),'선정 규칙'!$B$20,0)</x:f>
        <x:v>0</x:v>
      </x:c>
      <x:c r="I874" s="11" t="n">
        <x:f>IF(ISNUMBER(SEARCH("weak_legacy_content",'제외 후보'!P874)),'선정 규칙'!$B$21,0)</x:f>
        <x:v>0</x:v>
      </x:c>
      <x:c r="J874" s="11" t="n">
        <x:f>IF('제외 후보'!AC874&lt;&gt;"",'선정 규칙'!$B$22,0)</x:f>
        <x:v>0</x:v>
      </x:c>
      <x:c r="K874" s="11" t="n">
        <x:f>SUM(B874:J874)</x:f>
        <x:v>1</x:v>
      </x:c>
      <x:c r="L874" s="11" t="n">
        <x:f>'제외 후보'!N874</x:f>
        <x:v>1</x:v>
      </x:c>
      <x:c r="M874" s="2" t="str">
        <x:f>IF(K874=L874,"OK","MISMATCH")</x:f>
        <x:v>OK</x:v>
      </x:c>
    </x:row>
    <x:row r="875">
      <x:c r="A875" s="2" t="str">
        <x:f>'제외 후보'!G875</x:f>
        <x:v>w_f1a8679b2fc50a6c</x:v>
      </x:c>
      <x:c r="B875" s="11" t="n">
        <x:f>IF('제외 후보'!Q875&lt;&gt;"",'선정 규칙'!$B$4,0)</x:f>
        <x:v>0</x:v>
      </x:c>
      <x:c r="C875" s="11" t="n">
        <x:f>IF(ISNUMBER(SEARCH("jmdict_uncommon_or_irregular",'제외 후보'!P875)),'선정 규칙'!$B$5,IF(ISNUMBER(SEARCH("jmdict_rare_or_dated",'제외 후보'!P875)),'선정 규칙'!$B$6,0))</x:f>
        <x:v>0</x:v>
      </x:c>
      <x:c r="D875" s="11" t="n">
        <x:f>IF(ISNUMBER(SEARCH("jmdict_exact_pair_not_found",'제외 후보'!P875)),'선정 규칙'!$B$7,0)</x:f>
        <x:v>0</x:v>
      </x:c>
      <x:c r="E875" s="11" t="n">
        <x:f>IF(OR('제외 후보'!L875="",'제외 후보'!L875&lt;=0),'선정 규칙'!$B$8,IF('제외 후보'!L875&lt;=1.5,'선정 규칙'!$B$9,IF('제외 후보'!L875&lt;=2,'선정 규칙'!$B$10,IF('제외 후보'!L875&lt;=2.5,'선정 규칙'!$B$11,IF('제외 후보'!L875&lt;=3,'선정 규칙'!$B$12,IF('제외 후보'!L875&lt;=3.5,'선정 규칙'!$B$13,IF('제외 후보'!L875&gt;=4.5,'선정 규칙'!$B$14,0)))))))</x:f>
        <x:v>20</x:v>
      </x:c>
      <x:c r="F875" s="11" t="n">
        <x:f>IF('제외 후보'!Y875=0,'선정 규칙'!$B$15,IF('제외 후보'!Y875&gt;=100,'선정 규칙'!$B$16,'선정 규칙'!$B$17))</x:f>
        <x:v>-25</x:v>
      </x:c>
      <x:c r="G875" s="11" t="n">
        <x:f>IF('제외 후보'!M875="있음",'선정 규칙'!$B$18,'선정 규칙'!$B$19)</x:f>
        <x:v>6</x:v>
      </x:c>
      <x:c r="H875" s="11" t="n">
        <x:f>IF(ISNUMBER(SEARCH("freq-core",'제외 후보'!AD875)),'선정 규칙'!$B$20,0)</x:f>
        <x:v>0</x:v>
      </x:c>
      <x:c r="I875" s="11" t="n">
        <x:f>IF(ISNUMBER(SEARCH("weak_legacy_content",'제외 후보'!P875)),'선정 규칙'!$B$21,0)</x:f>
        <x:v>0</x:v>
      </x:c>
      <x:c r="J875" s="11" t="n">
        <x:f>IF('제외 후보'!AC875&lt;&gt;"",'선정 규칙'!$B$22,0)</x:f>
        <x:v>0</x:v>
      </x:c>
      <x:c r="K875" s="11" t="n">
        <x:f>SUM(B875:J875)</x:f>
        <x:v>1</x:v>
      </x:c>
      <x:c r="L875" s="11" t="n">
        <x:f>'제외 후보'!N875</x:f>
        <x:v>1</x:v>
      </x:c>
      <x:c r="M875" s="2" t="str">
        <x:f>IF(K875=L875,"OK","MISMATCH")</x:f>
        <x:v>OK</x:v>
      </x:c>
    </x:row>
    <x:row r="876">
      <x:c r="A876" s="2" t="str">
        <x:f>'제외 후보'!G876</x:f>
        <x:v>w_e141a4de5a45c1c2</x:v>
      </x:c>
      <x:c r="B876" s="11" t="n">
        <x:f>IF('제외 후보'!Q876&lt;&gt;"",'선정 규칙'!$B$4,0)</x:f>
        <x:v>0</x:v>
      </x:c>
      <x:c r="C876" s="11" t="n">
        <x:f>IF(ISNUMBER(SEARCH("jmdict_uncommon_or_irregular",'제외 후보'!P876)),'선정 규칙'!$B$5,IF(ISNUMBER(SEARCH("jmdict_rare_or_dated",'제외 후보'!P876)),'선정 규칙'!$B$6,0))</x:f>
        <x:v>0</x:v>
      </x:c>
      <x:c r="D876" s="11" t="n">
        <x:f>IF(ISNUMBER(SEARCH("jmdict_exact_pair_not_found",'제외 후보'!P876)),'선정 규칙'!$B$7,0)</x:f>
        <x:v>0</x:v>
      </x:c>
      <x:c r="E876" s="11" t="n">
        <x:f>IF(OR('제외 후보'!L876="",'제외 후보'!L876&lt;=0),'선정 규칙'!$B$8,IF('제외 후보'!L876&lt;=1.5,'선정 규칙'!$B$9,IF('제외 후보'!L876&lt;=2,'선정 규칙'!$B$10,IF('제외 후보'!L876&lt;=2.5,'선정 규칙'!$B$11,IF('제외 후보'!L876&lt;=3,'선정 규칙'!$B$12,IF('제외 후보'!L876&lt;=3.5,'선정 규칙'!$B$13,IF('제외 후보'!L876&gt;=4.5,'선정 규칙'!$B$14,0)))))))</x:f>
        <x:v>20</x:v>
      </x:c>
      <x:c r="F876" s="11" t="n">
        <x:f>IF('제외 후보'!Y876=0,'선정 규칙'!$B$15,IF('제외 후보'!Y876&gt;=100,'선정 규칙'!$B$16,'선정 규칙'!$B$17))</x:f>
        <x:v>-25</x:v>
      </x:c>
      <x:c r="G876" s="11" t="n">
        <x:f>IF('제외 후보'!M876="있음",'선정 규칙'!$B$18,'선정 규칙'!$B$19)</x:f>
        <x:v>6</x:v>
      </x:c>
      <x:c r="H876" s="11" t="n">
        <x:f>IF(ISNUMBER(SEARCH("freq-core",'제외 후보'!AD876)),'선정 규칙'!$B$20,0)</x:f>
        <x:v>0</x:v>
      </x:c>
      <x:c r="I876" s="11" t="n">
        <x:f>IF(ISNUMBER(SEARCH("weak_legacy_content",'제외 후보'!P876)),'선정 규칙'!$B$21,0)</x:f>
        <x:v>0</x:v>
      </x:c>
      <x:c r="J876" s="11" t="n">
        <x:f>IF('제외 후보'!AC876&lt;&gt;"",'선정 규칙'!$B$22,0)</x:f>
        <x:v>0</x:v>
      </x:c>
      <x:c r="K876" s="11" t="n">
        <x:f>SUM(B876:J876)</x:f>
        <x:v>1</x:v>
      </x:c>
      <x:c r="L876" s="11" t="n">
        <x:f>'제외 후보'!N876</x:f>
        <x:v>1</x:v>
      </x:c>
      <x:c r="M876" s="2" t="str">
        <x:f>IF(K876=L876,"OK","MISMATCH")</x:f>
        <x:v>OK</x:v>
      </x:c>
    </x:row>
    <x:row r="877">
      <x:c r="A877" s="2" t="str">
        <x:f>'제외 후보'!G877</x:f>
        <x:v>w_ffedb35015cb1620</x:v>
      </x:c>
      <x:c r="B877" s="11" t="n">
        <x:f>IF('제외 후보'!Q877&lt;&gt;"",'선정 규칙'!$B$4,0)</x:f>
        <x:v>0</x:v>
      </x:c>
      <x:c r="C877" s="11" t="n">
        <x:f>IF(ISNUMBER(SEARCH("jmdict_uncommon_or_irregular",'제외 후보'!P877)),'선정 규칙'!$B$5,IF(ISNUMBER(SEARCH("jmdict_rare_or_dated",'제외 후보'!P877)),'선정 규칙'!$B$6,0))</x:f>
        <x:v>0</x:v>
      </x:c>
      <x:c r="D877" s="11" t="n">
        <x:f>IF(ISNUMBER(SEARCH("jmdict_exact_pair_not_found",'제외 후보'!P877)),'선정 규칙'!$B$7,0)</x:f>
        <x:v>0</x:v>
      </x:c>
      <x:c r="E877" s="11" t="n">
        <x:f>IF(OR('제외 후보'!L877="",'제외 후보'!L877&lt;=0),'선정 규칙'!$B$8,IF('제외 후보'!L877&lt;=1.5,'선정 규칙'!$B$9,IF('제외 후보'!L877&lt;=2,'선정 규칙'!$B$10,IF('제외 후보'!L877&lt;=2.5,'선정 규칙'!$B$11,IF('제외 후보'!L877&lt;=3,'선정 규칙'!$B$12,IF('제외 후보'!L877&lt;=3.5,'선정 규칙'!$B$13,IF('제외 후보'!L877&gt;=4.5,'선정 규칙'!$B$14,0)))))))</x:f>
        <x:v>20</x:v>
      </x:c>
      <x:c r="F877" s="11" t="n">
        <x:f>IF('제외 후보'!Y877=0,'선정 규칙'!$B$15,IF('제외 후보'!Y877&gt;=100,'선정 규칙'!$B$16,'선정 규칙'!$B$17))</x:f>
        <x:v>-25</x:v>
      </x:c>
      <x:c r="G877" s="11" t="n">
        <x:f>IF('제외 후보'!M877="있음",'선정 규칙'!$B$18,'선정 규칙'!$B$19)</x:f>
        <x:v>6</x:v>
      </x:c>
      <x:c r="H877" s="11" t="n">
        <x:f>IF(ISNUMBER(SEARCH("freq-core",'제외 후보'!AD877)),'선정 규칙'!$B$20,0)</x:f>
        <x:v>0</x:v>
      </x:c>
      <x:c r="I877" s="11" t="n">
        <x:f>IF(ISNUMBER(SEARCH("weak_legacy_content",'제외 후보'!P877)),'선정 규칙'!$B$21,0)</x:f>
        <x:v>0</x:v>
      </x:c>
      <x:c r="J877" s="11" t="n">
        <x:f>IF('제외 후보'!AC877&lt;&gt;"",'선정 규칙'!$B$22,0)</x:f>
        <x:v>0</x:v>
      </x:c>
      <x:c r="K877" s="11" t="n">
        <x:f>SUM(B877:J877)</x:f>
        <x:v>1</x:v>
      </x:c>
      <x:c r="L877" s="11" t="n">
        <x:f>'제외 후보'!N877</x:f>
        <x:v>1</x:v>
      </x:c>
      <x:c r="M877" s="2" t="str">
        <x:f>IF(K877=L877,"OK","MISMATCH")</x:f>
        <x:v>OK</x:v>
      </x:c>
    </x:row>
    <x:row r="878">
      <x:c r="A878" s="2" t="str">
        <x:f>'제외 후보'!G878</x:f>
        <x:v>w_6a5dccbb62da65b7</x:v>
      </x:c>
      <x:c r="B878" s="11" t="n">
        <x:f>IF('제외 후보'!Q878&lt;&gt;"",'선정 규칙'!$B$4,0)</x:f>
        <x:v>0</x:v>
      </x:c>
      <x:c r="C878" s="11" t="n">
        <x:f>IF(ISNUMBER(SEARCH("jmdict_uncommon_or_irregular",'제외 후보'!P878)),'선정 규칙'!$B$5,IF(ISNUMBER(SEARCH("jmdict_rare_or_dated",'제외 후보'!P878)),'선정 규칙'!$B$6,0))</x:f>
        <x:v>0</x:v>
      </x:c>
      <x:c r="D878" s="11" t="n">
        <x:f>IF(ISNUMBER(SEARCH("jmdict_exact_pair_not_found",'제외 후보'!P878)),'선정 규칙'!$B$7,0)</x:f>
        <x:v>0</x:v>
      </x:c>
      <x:c r="E878" s="11" t="n">
        <x:f>IF(OR('제외 후보'!L878="",'제외 후보'!L878&lt;=0),'선정 규칙'!$B$8,IF('제외 후보'!L878&lt;=1.5,'선정 규칙'!$B$9,IF('제외 후보'!L878&lt;=2,'선정 규칙'!$B$10,IF('제외 후보'!L878&lt;=2.5,'선정 규칙'!$B$11,IF('제외 후보'!L878&lt;=3,'선정 규칙'!$B$12,IF('제외 후보'!L878&lt;=3.5,'선정 규칙'!$B$13,IF('제외 후보'!L878&gt;=4.5,'선정 규칙'!$B$14,0)))))))</x:f>
        <x:v>20</x:v>
      </x:c>
      <x:c r="F878" s="11" t="n">
        <x:f>IF('제외 후보'!Y878=0,'선정 규칙'!$B$15,IF('제외 후보'!Y878&gt;=100,'선정 규칙'!$B$16,'선정 규칙'!$B$17))</x:f>
        <x:v>-25</x:v>
      </x:c>
      <x:c r="G878" s="11" t="n">
        <x:f>IF('제외 후보'!M878="있음",'선정 규칙'!$B$18,'선정 규칙'!$B$19)</x:f>
        <x:v>6</x:v>
      </x:c>
      <x:c r="H878" s="11" t="n">
        <x:f>IF(ISNUMBER(SEARCH("freq-core",'제외 후보'!AD878)),'선정 규칙'!$B$20,0)</x:f>
        <x:v>0</x:v>
      </x:c>
      <x:c r="I878" s="11" t="n">
        <x:f>IF(ISNUMBER(SEARCH("weak_legacy_content",'제외 후보'!P878)),'선정 규칙'!$B$21,0)</x:f>
        <x:v>0</x:v>
      </x:c>
      <x:c r="J878" s="11" t="n">
        <x:f>IF('제외 후보'!AC878&lt;&gt;"",'선정 규칙'!$B$22,0)</x:f>
        <x:v>0</x:v>
      </x:c>
      <x:c r="K878" s="11" t="n">
        <x:f>SUM(B878:J878)</x:f>
        <x:v>1</x:v>
      </x:c>
      <x:c r="L878" s="11" t="n">
        <x:f>'제외 후보'!N878</x:f>
        <x:v>1</x:v>
      </x:c>
      <x:c r="M878" s="2" t="str">
        <x:f>IF(K878=L878,"OK","MISMATCH")</x:f>
        <x:v>OK</x:v>
      </x:c>
    </x:row>
    <x:row r="879">
      <x:c r="A879" s="2" t="str">
        <x:f>'제외 후보'!G879</x:f>
        <x:v>w_365969156a2e46dc</x:v>
      </x:c>
      <x:c r="B879" s="11" t="n">
        <x:f>IF('제외 후보'!Q879&lt;&gt;"",'선정 규칙'!$B$4,0)</x:f>
        <x:v>0</x:v>
      </x:c>
      <x:c r="C879" s="11" t="n">
        <x:f>IF(ISNUMBER(SEARCH("jmdict_uncommon_or_irregular",'제외 후보'!P879)),'선정 규칙'!$B$5,IF(ISNUMBER(SEARCH("jmdict_rare_or_dated",'제외 후보'!P879)),'선정 규칙'!$B$6,0))</x:f>
        <x:v>0</x:v>
      </x:c>
      <x:c r="D879" s="11" t="n">
        <x:f>IF(ISNUMBER(SEARCH("jmdict_exact_pair_not_found",'제외 후보'!P879)),'선정 규칙'!$B$7,0)</x:f>
        <x:v>0</x:v>
      </x:c>
      <x:c r="E879" s="11" t="n">
        <x:f>IF(OR('제외 후보'!L879="",'제외 후보'!L879&lt;=0),'선정 규칙'!$B$8,IF('제외 후보'!L879&lt;=1.5,'선정 규칙'!$B$9,IF('제외 후보'!L879&lt;=2,'선정 규칙'!$B$10,IF('제외 후보'!L879&lt;=2.5,'선정 규칙'!$B$11,IF('제외 후보'!L879&lt;=3,'선정 규칙'!$B$12,IF('제외 후보'!L879&lt;=3.5,'선정 규칙'!$B$13,IF('제외 후보'!L879&gt;=4.5,'선정 규칙'!$B$14,0)))))))</x:f>
        <x:v>20</x:v>
      </x:c>
      <x:c r="F879" s="11" t="n">
        <x:f>IF('제외 후보'!Y879=0,'선정 규칙'!$B$15,IF('제외 후보'!Y879&gt;=100,'선정 규칙'!$B$16,'선정 규칙'!$B$17))</x:f>
        <x:v>-25</x:v>
      </x:c>
      <x:c r="G879" s="11" t="n">
        <x:f>IF('제외 후보'!M879="있음",'선정 규칙'!$B$18,'선정 규칙'!$B$19)</x:f>
        <x:v>6</x:v>
      </x:c>
      <x:c r="H879" s="11" t="n">
        <x:f>IF(ISNUMBER(SEARCH("freq-core",'제외 후보'!AD879)),'선정 규칙'!$B$20,0)</x:f>
        <x:v>0</x:v>
      </x:c>
      <x:c r="I879" s="11" t="n">
        <x:f>IF(ISNUMBER(SEARCH("weak_legacy_content",'제외 후보'!P879)),'선정 규칙'!$B$21,0)</x:f>
        <x:v>0</x:v>
      </x:c>
      <x:c r="J879" s="11" t="n">
        <x:f>IF('제외 후보'!AC879&lt;&gt;"",'선정 규칙'!$B$22,0)</x:f>
        <x:v>0</x:v>
      </x:c>
      <x:c r="K879" s="11" t="n">
        <x:f>SUM(B879:J879)</x:f>
        <x:v>1</x:v>
      </x:c>
      <x:c r="L879" s="11" t="n">
        <x:f>'제외 후보'!N879</x:f>
        <x:v>1</x:v>
      </x:c>
      <x:c r="M879" s="2" t="str">
        <x:f>IF(K879=L879,"OK","MISMATCH")</x:f>
        <x:v>OK</x:v>
      </x:c>
    </x:row>
    <x:row r="880">
      <x:c r="A880" s="2" t="str">
        <x:f>'제외 후보'!G880</x:f>
        <x:v>w_011830febbff62c7</x:v>
      </x:c>
      <x:c r="B880" s="11" t="n">
        <x:f>IF('제외 후보'!Q880&lt;&gt;"",'선정 규칙'!$B$4,0)</x:f>
        <x:v>0</x:v>
      </x:c>
      <x:c r="C880" s="11" t="n">
        <x:f>IF(ISNUMBER(SEARCH("jmdict_uncommon_or_irregular",'제외 후보'!P880)),'선정 규칙'!$B$5,IF(ISNUMBER(SEARCH("jmdict_rare_or_dated",'제외 후보'!P880)),'선정 규칙'!$B$6,0))</x:f>
        <x:v>0</x:v>
      </x:c>
      <x:c r="D880" s="11" t="n">
        <x:f>IF(ISNUMBER(SEARCH("jmdict_exact_pair_not_found",'제외 후보'!P880)),'선정 규칙'!$B$7,0)</x:f>
        <x:v>0</x:v>
      </x:c>
      <x:c r="E880" s="11" t="n">
        <x:f>IF(OR('제외 후보'!L880="",'제외 후보'!L880&lt;=0),'선정 규칙'!$B$8,IF('제외 후보'!L880&lt;=1.5,'선정 규칙'!$B$9,IF('제외 후보'!L880&lt;=2,'선정 규칙'!$B$10,IF('제외 후보'!L880&lt;=2.5,'선정 규칙'!$B$11,IF('제외 후보'!L880&lt;=3,'선정 규칙'!$B$12,IF('제외 후보'!L880&lt;=3.5,'선정 규칙'!$B$13,IF('제외 후보'!L880&gt;=4.5,'선정 규칙'!$B$14,0)))))))</x:f>
        <x:v>20</x:v>
      </x:c>
      <x:c r="F880" s="11" t="n">
        <x:f>IF('제외 후보'!Y880=0,'선정 규칙'!$B$15,IF('제외 후보'!Y880&gt;=100,'선정 규칙'!$B$16,'선정 규칙'!$B$17))</x:f>
        <x:v>-25</x:v>
      </x:c>
      <x:c r="G880" s="11" t="n">
        <x:f>IF('제외 후보'!M880="있음",'선정 규칙'!$B$18,'선정 규칙'!$B$19)</x:f>
        <x:v>6</x:v>
      </x:c>
      <x:c r="H880" s="11" t="n">
        <x:f>IF(ISNUMBER(SEARCH("freq-core",'제외 후보'!AD880)),'선정 규칙'!$B$20,0)</x:f>
        <x:v>0</x:v>
      </x:c>
      <x:c r="I880" s="11" t="n">
        <x:f>IF(ISNUMBER(SEARCH("weak_legacy_content",'제외 후보'!P880)),'선정 규칙'!$B$21,0)</x:f>
        <x:v>0</x:v>
      </x:c>
      <x:c r="J880" s="11" t="n">
        <x:f>IF('제외 후보'!AC880&lt;&gt;"",'선정 규칙'!$B$22,0)</x:f>
        <x:v>0</x:v>
      </x:c>
      <x:c r="K880" s="11" t="n">
        <x:f>SUM(B880:J880)</x:f>
        <x:v>1</x:v>
      </x:c>
      <x:c r="L880" s="11" t="n">
        <x:f>'제외 후보'!N880</x:f>
        <x:v>1</x:v>
      </x:c>
      <x:c r="M880" s="2" t="str">
        <x:f>IF(K880=L880,"OK","MISMATCH")</x:f>
        <x:v>OK</x:v>
      </x:c>
    </x:row>
    <x:row r="881">
      <x:c r="A881" s="2" t="str">
        <x:f>'제외 후보'!G881</x:f>
        <x:v>w_334734bd7b570cdd</x:v>
      </x:c>
      <x:c r="B881" s="11" t="n">
        <x:f>IF('제외 후보'!Q881&lt;&gt;"",'선정 규칙'!$B$4,0)</x:f>
        <x:v>0</x:v>
      </x:c>
      <x:c r="C881" s="11" t="n">
        <x:f>IF(ISNUMBER(SEARCH("jmdict_uncommon_or_irregular",'제외 후보'!P881)),'선정 규칙'!$B$5,IF(ISNUMBER(SEARCH("jmdict_rare_or_dated",'제외 후보'!P881)),'선정 규칙'!$B$6,0))</x:f>
        <x:v>0</x:v>
      </x:c>
      <x:c r="D881" s="11" t="n">
        <x:f>IF(ISNUMBER(SEARCH("jmdict_exact_pair_not_found",'제외 후보'!P881)),'선정 규칙'!$B$7,0)</x:f>
        <x:v>0</x:v>
      </x:c>
      <x:c r="E881" s="11" t="n">
        <x:f>IF(OR('제외 후보'!L881="",'제외 후보'!L881&lt;=0),'선정 규칙'!$B$8,IF('제외 후보'!L881&lt;=1.5,'선정 규칙'!$B$9,IF('제외 후보'!L881&lt;=2,'선정 규칙'!$B$10,IF('제외 후보'!L881&lt;=2.5,'선정 규칙'!$B$11,IF('제외 후보'!L881&lt;=3,'선정 규칙'!$B$12,IF('제외 후보'!L881&lt;=3.5,'선정 규칙'!$B$13,IF('제외 후보'!L881&gt;=4.5,'선정 규칙'!$B$14,0)))))))</x:f>
        <x:v>20</x:v>
      </x:c>
      <x:c r="F881" s="11" t="n">
        <x:f>IF('제외 후보'!Y881=0,'선정 규칙'!$B$15,IF('제외 후보'!Y881&gt;=100,'선정 규칙'!$B$16,'선정 규칙'!$B$17))</x:f>
        <x:v>-25</x:v>
      </x:c>
      <x:c r="G881" s="11" t="n">
        <x:f>IF('제외 후보'!M881="있음",'선정 규칙'!$B$18,'선정 규칙'!$B$19)</x:f>
        <x:v>6</x:v>
      </x:c>
      <x:c r="H881" s="11" t="n">
        <x:f>IF(ISNUMBER(SEARCH("freq-core",'제외 후보'!AD881)),'선정 규칙'!$B$20,0)</x:f>
        <x:v>0</x:v>
      </x:c>
      <x:c r="I881" s="11" t="n">
        <x:f>IF(ISNUMBER(SEARCH("weak_legacy_content",'제외 후보'!P881)),'선정 규칙'!$B$21,0)</x:f>
        <x:v>0</x:v>
      </x:c>
      <x:c r="J881" s="11" t="n">
        <x:f>IF('제외 후보'!AC881&lt;&gt;"",'선정 규칙'!$B$22,0)</x:f>
        <x:v>0</x:v>
      </x:c>
      <x:c r="K881" s="11" t="n">
        <x:f>SUM(B881:J881)</x:f>
        <x:v>1</x:v>
      </x:c>
      <x:c r="L881" s="11" t="n">
        <x:f>'제외 후보'!N881</x:f>
        <x:v>1</x:v>
      </x:c>
      <x:c r="M881" s="2" t="str">
        <x:f>IF(K881=L881,"OK","MISMATCH")</x:f>
        <x:v>OK</x:v>
      </x:c>
    </x:row>
    <x:row r="882">
      <x:c r="A882" s="2" t="str">
        <x:f>'제외 후보'!G882</x:f>
        <x:v>w_8ebaa81dd89e86b4</x:v>
      </x:c>
      <x:c r="B882" s="11" t="n">
        <x:f>IF('제외 후보'!Q882&lt;&gt;"",'선정 규칙'!$B$4,0)</x:f>
        <x:v>0</x:v>
      </x:c>
      <x:c r="C882" s="11" t="n">
        <x:f>IF(ISNUMBER(SEARCH("jmdict_uncommon_or_irregular",'제외 후보'!P882)),'선정 규칙'!$B$5,IF(ISNUMBER(SEARCH("jmdict_rare_or_dated",'제외 후보'!P882)),'선정 규칙'!$B$6,0))</x:f>
        <x:v>0</x:v>
      </x:c>
      <x:c r="D882" s="11" t="n">
        <x:f>IF(ISNUMBER(SEARCH("jmdict_exact_pair_not_found",'제외 후보'!P882)),'선정 규칙'!$B$7,0)</x:f>
        <x:v>0</x:v>
      </x:c>
      <x:c r="E882" s="11" t="n">
        <x:f>IF(OR('제외 후보'!L882="",'제외 후보'!L882&lt;=0),'선정 규칙'!$B$8,IF('제외 후보'!L882&lt;=1.5,'선정 규칙'!$B$9,IF('제외 후보'!L882&lt;=2,'선정 규칙'!$B$10,IF('제외 후보'!L882&lt;=2.5,'선정 규칙'!$B$11,IF('제외 후보'!L882&lt;=3,'선정 규칙'!$B$12,IF('제외 후보'!L882&lt;=3.5,'선정 규칙'!$B$13,IF('제외 후보'!L882&gt;=4.5,'선정 규칙'!$B$14,0)))))))</x:f>
        <x:v>20</x:v>
      </x:c>
      <x:c r="F882" s="11" t="n">
        <x:f>IF('제외 후보'!Y882=0,'선정 규칙'!$B$15,IF('제외 후보'!Y882&gt;=100,'선정 규칙'!$B$16,'선정 규칙'!$B$17))</x:f>
        <x:v>-25</x:v>
      </x:c>
      <x:c r="G882" s="11" t="n">
        <x:f>IF('제외 후보'!M882="있음",'선정 규칙'!$B$18,'선정 규칙'!$B$19)</x:f>
        <x:v>6</x:v>
      </x:c>
      <x:c r="H882" s="11" t="n">
        <x:f>IF(ISNUMBER(SEARCH("freq-core",'제외 후보'!AD882)),'선정 규칙'!$B$20,0)</x:f>
        <x:v>0</x:v>
      </x:c>
      <x:c r="I882" s="11" t="n">
        <x:f>IF(ISNUMBER(SEARCH("weak_legacy_content",'제외 후보'!P882)),'선정 규칙'!$B$21,0)</x:f>
        <x:v>0</x:v>
      </x:c>
      <x:c r="J882" s="11" t="n">
        <x:f>IF('제외 후보'!AC882&lt;&gt;"",'선정 규칙'!$B$22,0)</x:f>
        <x:v>0</x:v>
      </x:c>
      <x:c r="K882" s="11" t="n">
        <x:f>SUM(B882:J882)</x:f>
        <x:v>1</x:v>
      </x:c>
      <x:c r="L882" s="11" t="n">
        <x:f>'제외 후보'!N882</x:f>
        <x:v>1</x:v>
      </x:c>
      <x:c r="M882" s="2" t="str">
        <x:f>IF(K882=L882,"OK","MISMATCH")</x:f>
        <x:v>OK</x:v>
      </x:c>
    </x:row>
    <x:row r="883">
      <x:c r="A883" s="2" t="str">
        <x:f>'제외 후보'!G883</x:f>
        <x:v>w_a2976ac2ce9be6f1</x:v>
      </x:c>
      <x:c r="B883" s="11" t="n">
        <x:f>IF('제외 후보'!Q883&lt;&gt;"",'선정 규칙'!$B$4,0)</x:f>
        <x:v>0</x:v>
      </x:c>
      <x:c r="C883" s="11" t="n">
        <x:f>IF(ISNUMBER(SEARCH("jmdict_uncommon_or_irregular",'제외 후보'!P883)),'선정 규칙'!$B$5,IF(ISNUMBER(SEARCH("jmdict_rare_or_dated",'제외 후보'!P883)),'선정 규칙'!$B$6,0))</x:f>
        <x:v>0</x:v>
      </x:c>
      <x:c r="D883" s="11" t="n">
        <x:f>IF(ISNUMBER(SEARCH("jmdict_exact_pair_not_found",'제외 후보'!P883)),'선정 규칙'!$B$7,0)</x:f>
        <x:v>0</x:v>
      </x:c>
      <x:c r="E883" s="11" t="n">
        <x:f>IF(OR('제외 후보'!L883="",'제외 후보'!L883&lt;=0),'선정 규칙'!$B$8,IF('제외 후보'!L883&lt;=1.5,'선정 규칙'!$B$9,IF('제외 후보'!L883&lt;=2,'선정 규칙'!$B$10,IF('제외 후보'!L883&lt;=2.5,'선정 규칙'!$B$11,IF('제외 후보'!L883&lt;=3,'선정 규칙'!$B$12,IF('제외 후보'!L883&lt;=3.5,'선정 규칙'!$B$13,IF('제외 후보'!L883&gt;=4.5,'선정 규칙'!$B$14,0)))))))</x:f>
        <x:v>20</x:v>
      </x:c>
      <x:c r="F883" s="11" t="n">
        <x:f>IF('제외 후보'!Y883=0,'선정 규칙'!$B$15,IF('제외 후보'!Y883&gt;=100,'선정 규칙'!$B$16,'선정 규칙'!$B$17))</x:f>
        <x:v>-25</x:v>
      </x:c>
      <x:c r="G883" s="11" t="n">
        <x:f>IF('제외 후보'!M883="있음",'선정 규칙'!$B$18,'선정 규칙'!$B$19)</x:f>
        <x:v>6</x:v>
      </x:c>
      <x:c r="H883" s="11" t="n">
        <x:f>IF(ISNUMBER(SEARCH("freq-core",'제외 후보'!AD883)),'선정 규칙'!$B$20,0)</x:f>
        <x:v>0</x:v>
      </x:c>
      <x:c r="I883" s="11" t="n">
        <x:f>IF(ISNUMBER(SEARCH("weak_legacy_content",'제외 후보'!P883)),'선정 규칙'!$B$21,0)</x:f>
        <x:v>0</x:v>
      </x:c>
      <x:c r="J883" s="11" t="n">
        <x:f>IF('제외 후보'!AC883&lt;&gt;"",'선정 규칙'!$B$22,0)</x:f>
        <x:v>0</x:v>
      </x:c>
      <x:c r="K883" s="11" t="n">
        <x:f>SUM(B883:J883)</x:f>
        <x:v>1</x:v>
      </x:c>
      <x:c r="L883" s="11" t="n">
        <x:f>'제외 후보'!N883</x:f>
        <x:v>1</x:v>
      </x:c>
      <x:c r="M883" s="2" t="str">
        <x:f>IF(K883=L883,"OK","MISMATCH")</x:f>
        <x:v>OK</x:v>
      </x:c>
    </x:row>
    <x:row r="884">
      <x:c r="A884" s="2" t="str">
        <x:f>'제외 후보'!G884</x:f>
        <x:v>w_4b6957098523bfbf</x:v>
      </x:c>
      <x:c r="B884" s="11" t="n">
        <x:f>IF('제외 후보'!Q884&lt;&gt;"",'선정 규칙'!$B$4,0)</x:f>
        <x:v>0</x:v>
      </x:c>
      <x:c r="C884" s="11" t="n">
        <x:f>IF(ISNUMBER(SEARCH("jmdict_uncommon_or_irregular",'제외 후보'!P884)),'선정 규칙'!$B$5,IF(ISNUMBER(SEARCH("jmdict_rare_or_dated",'제외 후보'!P884)),'선정 규칙'!$B$6,0))</x:f>
        <x:v>0</x:v>
      </x:c>
      <x:c r="D884" s="11" t="n">
        <x:f>IF(ISNUMBER(SEARCH("jmdict_exact_pair_not_found",'제외 후보'!P884)),'선정 규칙'!$B$7,0)</x:f>
        <x:v>0</x:v>
      </x:c>
      <x:c r="E884" s="11" t="n">
        <x:f>IF(OR('제외 후보'!L884="",'제외 후보'!L884&lt;=0),'선정 규칙'!$B$8,IF('제외 후보'!L884&lt;=1.5,'선정 규칙'!$B$9,IF('제외 후보'!L884&lt;=2,'선정 규칙'!$B$10,IF('제외 후보'!L884&lt;=2.5,'선정 규칙'!$B$11,IF('제외 후보'!L884&lt;=3,'선정 규칙'!$B$12,IF('제외 후보'!L884&lt;=3.5,'선정 규칙'!$B$13,IF('제외 후보'!L884&gt;=4.5,'선정 규칙'!$B$14,0)))))))</x:f>
        <x:v>32</x:v>
      </x:c>
      <x:c r="F884" s="11" t="n">
        <x:f>IF('제외 후보'!Y884=0,'선정 규칙'!$B$15,IF('제외 후보'!Y884&gt;=100,'선정 규칙'!$B$16,'선정 규칙'!$B$17))</x:f>
        <x:v>-12</x:v>
      </x:c>
      <x:c r="G884" s="11" t="n">
        <x:f>IF('제외 후보'!M884="있음",'선정 규칙'!$B$18,'선정 규칙'!$B$19)</x:f>
        <x:v>-25</x:v>
      </x:c>
      <x:c r="H884" s="11" t="n">
        <x:f>IF(ISNUMBER(SEARCH("freq-core",'제외 후보'!AD884)),'선정 규칙'!$B$20,0)</x:f>
        <x:v>0</x:v>
      </x:c>
      <x:c r="I884" s="11" t="n">
        <x:f>IF(ISNUMBER(SEARCH("weak_legacy_content",'제외 후보'!P884)),'선정 규칙'!$B$21,0)</x:f>
        <x:v>5</x:v>
      </x:c>
      <x:c r="J884" s="11" t="n">
        <x:f>IF('제외 후보'!AC884&lt;&gt;"",'선정 규칙'!$B$22,0)</x:f>
        <x:v>0</x:v>
      </x:c>
      <x:c r="K884" s="11" t="n">
        <x:f>SUM(B884:J884)</x:f>
        <x:v>0</x:v>
      </x:c>
      <x:c r="L884" s="11" t="n">
        <x:f>'제외 후보'!N884</x:f>
        <x:v>0</x:v>
      </x:c>
      <x:c r="M884" s="2" t="str">
        <x:f>IF(K884=L884,"OK","MISMATCH")</x:f>
        <x:v>OK</x:v>
      </x:c>
    </x:row>
    <x:row r="885">
      <x:c r="A885" s="2" t="str">
        <x:f>'제외 후보'!G885</x:f>
        <x:v>w_ce45b093c4a13e4e</x:v>
      </x:c>
      <x:c r="B885" s="11" t="n">
        <x:f>IF('제외 후보'!Q885&lt;&gt;"",'선정 규칙'!$B$4,0)</x:f>
        <x:v>0</x:v>
      </x:c>
      <x:c r="C885" s="11" t="n">
        <x:f>IF(ISNUMBER(SEARCH("jmdict_uncommon_or_irregular",'제외 후보'!P885)),'선정 규칙'!$B$5,IF(ISNUMBER(SEARCH("jmdict_rare_or_dated",'제외 후보'!P885)),'선정 규칙'!$B$6,0))</x:f>
        <x:v>0</x:v>
      </x:c>
      <x:c r="D885" s="11" t="n">
        <x:f>IF(ISNUMBER(SEARCH("jmdict_exact_pair_not_found",'제외 후보'!P885)),'선정 규칙'!$B$7,0)</x:f>
        <x:v>0</x:v>
      </x:c>
      <x:c r="E885" s="11" t="n">
        <x:f>IF(OR('제외 후보'!L885="",'제외 후보'!L885&lt;=0),'선정 규칙'!$B$8,IF('제외 후보'!L885&lt;=1.5,'선정 규칙'!$B$9,IF('제외 후보'!L885&lt;=2,'선정 규칙'!$B$10,IF('제외 후보'!L885&lt;=2.5,'선정 규칙'!$B$11,IF('제외 후보'!L885&lt;=3,'선정 규칙'!$B$12,IF('제외 후보'!L885&lt;=3.5,'선정 규칙'!$B$13,IF('제외 후보'!L885&gt;=4.5,'선정 규칙'!$B$14,0)))))))</x:f>
        <x:v>6</x:v>
      </x:c>
      <x:c r="F885" s="11" t="n">
        <x:f>IF('제외 후보'!Y885=0,'선정 규칙'!$B$15,IF('제외 후보'!Y885&gt;=100,'선정 규칙'!$B$16,'선정 규칙'!$B$17))</x:f>
        <x:v>-12</x:v>
      </x:c>
      <x:c r="G885" s="11" t="n">
        <x:f>IF('제외 후보'!M885="있음",'선정 규칙'!$B$18,'선정 규칙'!$B$19)</x:f>
        <x:v>6</x:v>
      </x:c>
      <x:c r="H885" s="11" t="n">
        <x:f>IF(ISNUMBER(SEARCH("freq-core",'제외 후보'!AD885)),'선정 규칙'!$B$20,0)</x:f>
        <x:v>0</x:v>
      </x:c>
      <x:c r="I885" s="11" t="n">
        <x:f>IF(ISNUMBER(SEARCH("weak_legacy_content",'제외 후보'!P885)),'선정 규칙'!$B$21,0)</x:f>
        <x:v>0</x:v>
      </x:c>
      <x:c r="J885" s="11" t="n">
        <x:f>IF('제외 후보'!AC885&lt;&gt;"",'선정 규칙'!$B$22,0)</x:f>
        <x:v>0</x:v>
      </x:c>
      <x:c r="K885" s="11" t="n">
        <x:f>SUM(B885:J885)</x:f>
        <x:v>0</x:v>
      </x:c>
      <x:c r="L885" s="11" t="n">
        <x:f>'제외 후보'!N885</x:f>
        <x:v>0</x:v>
      </x:c>
      <x:c r="M885" s="2" t="str">
        <x:f>IF(K885=L885,"OK","MISMATCH")</x:f>
        <x:v>OK</x:v>
      </x:c>
    </x:row>
    <x:row r="886">
      <x:c r="A886" s="2" t="str">
        <x:f>'제외 후보'!G886</x:f>
        <x:v>w_5a44e570dc2b7940</x:v>
      </x:c>
      <x:c r="B886" s="11" t="n">
        <x:f>IF('제외 후보'!Q886&lt;&gt;"",'선정 규칙'!$B$4,0)</x:f>
        <x:v>0</x:v>
      </x:c>
      <x:c r="C886" s="11" t="n">
        <x:f>IF(ISNUMBER(SEARCH("jmdict_uncommon_or_irregular",'제외 후보'!P886)),'선정 규칙'!$B$5,IF(ISNUMBER(SEARCH("jmdict_rare_or_dated",'제외 후보'!P886)),'선정 규칙'!$B$6,0))</x:f>
        <x:v>0</x:v>
      </x:c>
      <x:c r="D886" s="11" t="n">
        <x:f>IF(ISNUMBER(SEARCH("jmdict_exact_pair_not_found",'제외 후보'!P886)),'선정 규칙'!$B$7,0)</x:f>
        <x:v>0</x:v>
      </x:c>
      <x:c r="E886" s="11" t="n">
        <x:f>IF(OR('제외 후보'!L886="",'제외 후보'!L886&lt;=0),'선정 규칙'!$B$8,IF('제외 후보'!L886&lt;=1.5,'선정 규칙'!$B$9,IF('제외 후보'!L886&lt;=2,'선정 규칙'!$B$10,IF('제외 후보'!L886&lt;=2.5,'선정 규칙'!$B$11,IF('제외 후보'!L886&lt;=3,'선정 규칙'!$B$12,IF('제외 후보'!L886&lt;=3.5,'선정 규칙'!$B$13,IF('제외 후보'!L886&gt;=4.5,'선정 규칙'!$B$14,0)))))))</x:f>
        <x:v>6</x:v>
      </x:c>
      <x:c r="F886" s="11" t="n">
        <x:f>IF('제외 후보'!Y886=0,'선정 규칙'!$B$15,IF('제외 후보'!Y886&gt;=100,'선정 규칙'!$B$16,'선정 규칙'!$B$17))</x:f>
        <x:v>-12</x:v>
      </x:c>
      <x:c r="G886" s="11" t="n">
        <x:f>IF('제외 후보'!M886="있음",'선정 규칙'!$B$18,'선정 규칙'!$B$19)</x:f>
        <x:v>6</x:v>
      </x:c>
      <x:c r="H886" s="11" t="n">
        <x:f>IF(ISNUMBER(SEARCH("freq-core",'제외 후보'!AD886)),'선정 규칙'!$B$20,0)</x:f>
        <x:v>0</x:v>
      </x:c>
      <x:c r="I886" s="11" t="n">
        <x:f>IF(ISNUMBER(SEARCH("weak_legacy_content",'제외 후보'!P886)),'선정 규칙'!$B$21,0)</x:f>
        <x:v>0</x:v>
      </x:c>
      <x:c r="J886" s="11" t="n">
        <x:f>IF('제외 후보'!AC886&lt;&gt;"",'선정 규칙'!$B$22,0)</x:f>
        <x:v>0</x:v>
      </x:c>
      <x:c r="K886" s="11" t="n">
        <x:f>SUM(B886:J886)</x:f>
        <x:v>0</x:v>
      </x:c>
      <x:c r="L886" s="11" t="n">
        <x:f>'제외 후보'!N886</x:f>
        <x:v>0</x:v>
      </x:c>
      <x:c r="M886" s="2" t="str">
        <x:f>IF(K886=L886,"OK","MISMATCH")</x:f>
        <x:v>OK</x:v>
      </x:c>
    </x:row>
    <x:row r="887">
      <x:c r="A887" s="2" t="str">
        <x:f>'제외 후보'!G887</x:f>
        <x:v>w_6726ee94c260621d</x:v>
      </x:c>
      <x:c r="B887" s="11" t="n">
        <x:f>IF('제외 후보'!Q887&lt;&gt;"",'선정 규칙'!$B$4,0)</x:f>
        <x:v>0</x:v>
      </x:c>
      <x:c r="C887" s="11" t="n">
        <x:f>IF(ISNUMBER(SEARCH("jmdict_uncommon_or_irregular",'제외 후보'!P887)),'선정 규칙'!$B$5,IF(ISNUMBER(SEARCH("jmdict_rare_or_dated",'제외 후보'!P887)),'선정 규칙'!$B$6,0))</x:f>
        <x:v>0</x:v>
      </x:c>
      <x:c r="D887" s="11" t="n">
        <x:f>IF(ISNUMBER(SEARCH("jmdict_exact_pair_not_found",'제외 후보'!P887)),'선정 규칙'!$B$7,0)</x:f>
        <x:v>0</x:v>
      </x:c>
      <x:c r="E887" s="11" t="n">
        <x:f>IF(OR('제외 후보'!L887="",'제외 후보'!L887&lt;=0),'선정 규칙'!$B$8,IF('제외 후보'!L887&lt;=1.5,'선정 규칙'!$B$9,IF('제외 후보'!L887&lt;=2,'선정 규칙'!$B$10,IF('제외 후보'!L887&lt;=2.5,'선정 규칙'!$B$11,IF('제외 후보'!L887&lt;=3,'선정 규칙'!$B$12,IF('제외 후보'!L887&lt;=3.5,'선정 규칙'!$B$13,IF('제외 후보'!L887&gt;=4.5,'선정 규칙'!$B$14,0)))))))</x:f>
        <x:v>6</x:v>
      </x:c>
      <x:c r="F887" s="11" t="n">
        <x:f>IF('제외 후보'!Y887=0,'선정 규칙'!$B$15,IF('제외 후보'!Y887&gt;=100,'선정 규칙'!$B$16,'선정 규칙'!$B$17))</x:f>
        <x:v>-12</x:v>
      </x:c>
      <x:c r="G887" s="11" t="n">
        <x:f>IF('제외 후보'!M887="있음",'선정 규칙'!$B$18,'선정 규칙'!$B$19)</x:f>
        <x:v>6</x:v>
      </x:c>
      <x:c r="H887" s="11" t="n">
        <x:f>IF(ISNUMBER(SEARCH("freq-core",'제외 후보'!AD887)),'선정 규칙'!$B$20,0)</x:f>
        <x:v>0</x:v>
      </x:c>
      <x:c r="I887" s="11" t="n">
        <x:f>IF(ISNUMBER(SEARCH("weak_legacy_content",'제외 후보'!P887)),'선정 규칙'!$B$21,0)</x:f>
        <x:v>0</x:v>
      </x:c>
      <x:c r="J887" s="11" t="n">
        <x:f>IF('제외 후보'!AC887&lt;&gt;"",'선정 규칙'!$B$22,0)</x:f>
        <x:v>0</x:v>
      </x:c>
      <x:c r="K887" s="11" t="n">
        <x:f>SUM(B887:J887)</x:f>
        <x:v>0</x:v>
      </x:c>
      <x:c r="L887" s="11" t="n">
        <x:f>'제외 후보'!N887</x:f>
        <x:v>0</x:v>
      </x:c>
      <x:c r="M887" s="2" t="str">
        <x:f>IF(K887=L887,"OK","MISMATCH")</x:f>
        <x:v>OK</x:v>
      </x:c>
    </x:row>
    <x:row r="888">
      <x:c r="A888" s="2" t="str">
        <x:f>'제외 후보'!G888</x:f>
        <x:v>w_7aa979c155adee27</x:v>
      </x:c>
      <x:c r="B888" s="11" t="n">
        <x:f>IF('제외 후보'!Q888&lt;&gt;"",'선정 규칙'!$B$4,0)</x:f>
        <x:v>0</x:v>
      </x:c>
      <x:c r="C888" s="11" t="n">
        <x:f>IF(ISNUMBER(SEARCH("jmdict_uncommon_or_irregular",'제외 후보'!P888)),'선정 규칙'!$B$5,IF(ISNUMBER(SEARCH("jmdict_rare_or_dated",'제외 후보'!P888)),'선정 규칙'!$B$6,0))</x:f>
        <x:v>0</x:v>
      </x:c>
      <x:c r="D888" s="11" t="n">
        <x:f>IF(ISNUMBER(SEARCH("jmdict_exact_pair_not_found",'제외 후보'!P888)),'선정 규칙'!$B$7,0)</x:f>
        <x:v>0</x:v>
      </x:c>
      <x:c r="E888" s="11" t="n">
        <x:f>IF(OR('제외 후보'!L888="",'제외 후보'!L888&lt;=0),'선정 규칙'!$B$8,IF('제외 후보'!L888&lt;=1.5,'선정 규칙'!$B$9,IF('제외 후보'!L888&lt;=2,'선정 규칙'!$B$10,IF('제외 후보'!L888&lt;=2.5,'선정 규칙'!$B$11,IF('제외 후보'!L888&lt;=3,'선정 규칙'!$B$12,IF('제외 후보'!L888&lt;=3.5,'선정 규칙'!$B$13,IF('제외 후보'!L888&gt;=4.5,'선정 규칙'!$B$14,0)))))))</x:f>
        <x:v>6</x:v>
      </x:c>
      <x:c r="F888" s="11" t="n">
        <x:f>IF('제외 후보'!Y888=0,'선정 규칙'!$B$15,IF('제외 후보'!Y888&gt;=100,'선정 규칙'!$B$16,'선정 규칙'!$B$17))</x:f>
        <x:v>-12</x:v>
      </x:c>
      <x:c r="G888" s="11" t="n">
        <x:f>IF('제외 후보'!M888="있음",'선정 규칙'!$B$18,'선정 규칙'!$B$19)</x:f>
        <x:v>6</x:v>
      </x:c>
      <x:c r="H888" s="11" t="n">
        <x:f>IF(ISNUMBER(SEARCH("freq-core",'제외 후보'!AD888)),'선정 규칙'!$B$20,0)</x:f>
        <x:v>0</x:v>
      </x:c>
      <x:c r="I888" s="11" t="n">
        <x:f>IF(ISNUMBER(SEARCH("weak_legacy_content",'제외 후보'!P888)),'선정 규칙'!$B$21,0)</x:f>
        <x:v>0</x:v>
      </x:c>
      <x:c r="J888" s="11" t="n">
        <x:f>IF('제외 후보'!AC888&lt;&gt;"",'선정 규칙'!$B$22,0)</x:f>
        <x:v>0</x:v>
      </x:c>
      <x:c r="K888" s="11" t="n">
        <x:f>SUM(B888:J888)</x:f>
        <x:v>0</x:v>
      </x:c>
      <x:c r="L888" s="11" t="n">
        <x:f>'제외 후보'!N888</x:f>
        <x:v>0</x:v>
      </x:c>
      <x:c r="M888" s="2" t="str">
        <x:f>IF(K888=L888,"OK","MISMATCH")</x:f>
        <x:v>OK</x:v>
      </x:c>
    </x:row>
    <x:row r="889">
      <x:c r="A889" s="2" t="str">
        <x:f>'제외 후보'!G889</x:f>
        <x:v>w_dfb72e7be25ab3be</x:v>
      </x:c>
      <x:c r="B889" s="11" t="n">
        <x:f>IF('제외 후보'!Q889&lt;&gt;"",'선정 규칙'!$B$4,0)</x:f>
        <x:v>0</x:v>
      </x:c>
      <x:c r="C889" s="11" t="n">
        <x:f>IF(ISNUMBER(SEARCH("jmdict_uncommon_or_irregular",'제외 후보'!P889)),'선정 규칙'!$B$5,IF(ISNUMBER(SEARCH("jmdict_rare_or_dated",'제외 후보'!P889)),'선정 규칙'!$B$6,0))</x:f>
        <x:v>0</x:v>
      </x:c>
      <x:c r="D889" s="11" t="n">
        <x:f>IF(ISNUMBER(SEARCH("jmdict_exact_pair_not_found",'제외 후보'!P889)),'선정 규칙'!$B$7,0)</x:f>
        <x:v>0</x:v>
      </x:c>
      <x:c r="E889" s="11" t="n">
        <x:f>IF(OR('제외 후보'!L889="",'제외 후보'!L889&lt;=0),'선정 규칙'!$B$8,IF('제외 후보'!L889&lt;=1.5,'선정 규칙'!$B$9,IF('제외 후보'!L889&lt;=2,'선정 규칙'!$B$10,IF('제외 후보'!L889&lt;=2.5,'선정 규칙'!$B$11,IF('제외 후보'!L889&lt;=3,'선정 규칙'!$B$12,IF('제외 후보'!L889&lt;=3.5,'선정 규칙'!$B$13,IF('제외 후보'!L889&gt;=4.5,'선정 규칙'!$B$14,0)))))))</x:f>
        <x:v>6</x:v>
      </x:c>
      <x:c r="F889" s="11" t="n">
        <x:f>IF('제외 후보'!Y889=0,'선정 규칙'!$B$15,IF('제외 후보'!Y889&gt;=100,'선정 규칙'!$B$16,'선정 규칙'!$B$17))</x:f>
        <x:v>-12</x:v>
      </x:c>
      <x:c r="G889" s="11" t="n">
        <x:f>IF('제외 후보'!M889="있음",'선정 규칙'!$B$18,'선정 규칙'!$B$19)</x:f>
        <x:v>6</x:v>
      </x:c>
      <x:c r="H889" s="11" t="n">
        <x:f>IF(ISNUMBER(SEARCH("freq-core",'제외 후보'!AD889)),'선정 규칙'!$B$20,0)</x:f>
        <x:v>0</x:v>
      </x:c>
      <x:c r="I889" s="11" t="n">
        <x:f>IF(ISNUMBER(SEARCH("weak_legacy_content",'제외 후보'!P889)),'선정 규칙'!$B$21,0)</x:f>
        <x:v>0</x:v>
      </x:c>
      <x:c r="J889" s="11" t="n">
        <x:f>IF('제외 후보'!AC889&lt;&gt;"",'선정 규칙'!$B$22,0)</x:f>
        <x:v>0</x:v>
      </x:c>
      <x:c r="K889" s="11" t="n">
        <x:f>SUM(B889:J889)</x:f>
        <x:v>0</x:v>
      </x:c>
      <x:c r="L889" s="11" t="n">
        <x:f>'제외 후보'!N889</x:f>
        <x:v>0</x:v>
      </x:c>
      <x:c r="M889" s="2" t="str">
        <x:f>IF(K889=L889,"OK","MISMATCH")</x:f>
        <x:v>OK</x:v>
      </x:c>
    </x:row>
    <x:row r="890">
      <x:c r="A890" s="2" t="str">
        <x:f>'제외 후보'!G890</x:f>
        <x:v>w_1299319487040d6c</x:v>
      </x:c>
      <x:c r="B890" s="11" t="n">
        <x:f>IF('제외 후보'!Q890&lt;&gt;"",'선정 규칙'!$B$4,0)</x:f>
        <x:v>0</x:v>
      </x:c>
      <x:c r="C890" s="11" t="n">
        <x:f>IF(ISNUMBER(SEARCH("jmdict_uncommon_or_irregular",'제외 후보'!P890)),'선정 규칙'!$B$5,IF(ISNUMBER(SEARCH("jmdict_rare_or_dated",'제외 후보'!P890)),'선정 규칙'!$B$6,0))</x:f>
        <x:v>0</x:v>
      </x:c>
      <x:c r="D890" s="11" t="n">
        <x:f>IF(ISNUMBER(SEARCH("jmdict_exact_pair_not_found",'제외 후보'!P890)),'선정 규칙'!$B$7,0)</x:f>
        <x:v>0</x:v>
      </x:c>
      <x:c r="E890" s="11" t="n">
        <x:f>IF(OR('제외 후보'!L890="",'제외 후보'!L890&lt;=0),'선정 규칙'!$B$8,IF('제외 후보'!L890&lt;=1.5,'선정 규칙'!$B$9,IF('제외 후보'!L890&lt;=2,'선정 규칙'!$B$10,IF('제외 후보'!L890&lt;=2.5,'선정 규칙'!$B$11,IF('제외 후보'!L890&lt;=3,'선정 규칙'!$B$12,IF('제외 후보'!L890&lt;=3.5,'선정 규칙'!$B$13,IF('제외 후보'!L890&gt;=4.5,'선정 규칙'!$B$14,0)))))))</x:f>
        <x:v>6</x:v>
      </x:c>
      <x:c r="F890" s="11" t="n">
        <x:f>IF('제외 후보'!Y890=0,'선정 규칙'!$B$15,IF('제외 후보'!Y890&gt;=100,'선정 규칙'!$B$16,'선정 규칙'!$B$17))</x:f>
        <x:v>-12</x:v>
      </x:c>
      <x:c r="G890" s="11" t="n">
        <x:f>IF('제외 후보'!M890="있음",'선정 규칙'!$B$18,'선정 규칙'!$B$19)</x:f>
        <x:v>6</x:v>
      </x:c>
      <x:c r="H890" s="11" t="n">
        <x:f>IF(ISNUMBER(SEARCH("freq-core",'제외 후보'!AD890)),'선정 규칙'!$B$20,0)</x:f>
        <x:v>0</x:v>
      </x:c>
      <x:c r="I890" s="11" t="n">
        <x:f>IF(ISNUMBER(SEARCH("weak_legacy_content",'제외 후보'!P890)),'선정 규칙'!$B$21,0)</x:f>
        <x:v>0</x:v>
      </x:c>
      <x:c r="J890" s="11" t="n">
        <x:f>IF('제외 후보'!AC890&lt;&gt;"",'선정 규칙'!$B$22,0)</x:f>
        <x:v>0</x:v>
      </x:c>
      <x:c r="K890" s="11" t="n">
        <x:f>SUM(B890:J890)</x:f>
        <x:v>0</x:v>
      </x:c>
      <x:c r="L890" s="11" t="n">
        <x:f>'제외 후보'!N890</x:f>
        <x:v>0</x:v>
      </x:c>
      <x:c r="M890" s="2" t="str">
        <x:f>IF(K890=L890,"OK","MISMATCH")</x:f>
        <x:v>OK</x:v>
      </x:c>
    </x:row>
    <x:row r="891">
      <x:c r="A891" s="2" t="str">
        <x:f>'제외 후보'!G891</x:f>
        <x:v>w_af0349eebadc6776</x:v>
      </x:c>
      <x:c r="B891" s="11" t="n">
        <x:f>IF('제외 후보'!Q891&lt;&gt;"",'선정 규칙'!$B$4,0)</x:f>
        <x:v>0</x:v>
      </x:c>
      <x:c r="C891" s="11" t="n">
        <x:f>IF(ISNUMBER(SEARCH("jmdict_uncommon_or_irregular",'제외 후보'!P891)),'선정 규칙'!$B$5,IF(ISNUMBER(SEARCH("jmdict_rare_or_dated",'제외 후보'!P891)),'선정 규칙'!$B$6,0))</x:f>
        <x:v>0</x:v>
      </x:c>
      <x:c r="D891" s="11" t="n">
        <x:f>IF(ISNUMBER(SEARCH("jmdict_exact_pair_not_found",'제외 후보'!P891)),'선정 규칙'!$B$7,0)</x:f>
        <x:v>0</x:v>
      </x:c>
      <x:c r="E891" s="11" t="n">
        <x:f>IF(OR('제외 후보'!L891="",'제외 후보'!L891&lt;=0),'선정 규칙'!$B$8,IF('제외 후보'!L891&lt;=1.5,'선정 규칙'!$B$9,IF('제외 후보'!L891&lt;=2,'선정 규칙'!$B$10,IF('제외 후보'!L891&lt;=2.5,'선정 규칙'!$B$11,IF('제외 후보'!L891&lt;=3,'선정 규칙'!$B$12,IF('제외 후보'!L891&lt;=3.5,'선정 규칙'!$B$13,IF('제외 후보'!L891&gt;=4.5,'선정 규칙'!$B$14,0)))))))</x:f>
        <x:v>6</x:v>
      </x:c>
      <x:c r="F891" s="11" t="n">
        <x:f>IF('제외 후보'!Y891=0,'선정 규칙'!$B$15,IF('제외 후보'!Y891&gt;=100,'선정 규칙'!$B$16,'선정 규칙'!$B$17))</x:f>
        <x:v>-12</x:v>
      </x:c>
      <x:c r="G891" s="11" t="n">
        <x:f>IF('제외 후보'!M891="있음",'선정 규칙'!$B$18,'선정 규칙'!$B$19)</x:f>
        <x:v>6</x:v>
      </x:c>
      <x:c r="H891" s="11" t="n">
        <x:f>IF(ISNUMBER(SEARCH("freq-core",'제외 후보'!AD891)),'선정 규칙'!$B$20,0)</x:f>
        <x:v>0</x:v>
      </x:c>
      <x:c r="I891" s="11" t="n">
        <x:f>IF(ISNUMBER(SEARCH("weak_legacy_content",'제외 후보'!P891)),'선정 규칙'!$B$21,0)</x:f>
        <x:v>0</x:v>
      </x:c>
      <x:c r="J891" s="11" t="n">
        <x:f>IF('제외 후보'!AC891&lt;&gt;"",'선정 규칙'!$B$22,0)</x:f>
        <x:v>0</x:v>
      </x:c>
      <x:c r="K891" s="11" t="n">
        <x:f>SUM(B891:J891)</x:f>
        <x:v>0</x:v>
      </x:c>
      <x:c r="L891" s="11" t="n">
        <x:f>'제외 후보'!N891</x:f>
        <x:v>0</x:v>
      </x:c>
      <x:c r="M891" s="2" t="str">
        <x:f>IF(K891=L891,"OK","MISMATCH")</x:f>
        <x:v>OK</x:v>
      </x:c>
    </x:row>
    <x:row r="892">
      <x:c r="A892" s="2" t="str">
        <x:f>'제외 후보'!G892</x:f>
        <x:v>w_065bff75df7133ab</x:v>
      </x:c>
      <x:c r="B892" s="11" t="n">
        <x:f>IF('제외 후보'!Q892&lt;&gt;"",'선정 규칙'!$B$4,0)</x:f>
        <x:v>0</x:v>
      </x:c>
      <x:c r="C892" s="11" t="n">
        <x:f>IF(ISNUMBER(SEARCH("jmdict_uncommon_or_irregular",'제외 후보'!P892)),'선정 규칙'!$B$5,IF(ISNUMBER(SEARCH("jmdict_rare_or_dated",'제외 후보'!P892)),'선정 규칙'!$B$6,0))</x:f>
        <x:v>0</x:v>
      </x:c>
      <x:c r="D892" s="11" t="n">
        <x:f>IF(ISNUMBER(SEARCH("jmdict_exact_pair_not_found",'제외 후보'!P892)),'선정 규칙'!$B$7,0)</x:f>
        <x:v>0</x:v>
      </x:c>
      <x:c r="E892" s="11" t="n">
        <x:f>IF(OR('제외 후보'!L892="",'제외 후보'!L892&lt;=0),'선정 규칙'!$B$8,IF('제외 후보'!L892&lt;=1.5,'선정 규칙'!$B$9,IF('제외 후보'!L892&lt;=2,'선정 규칙'!$B$10,IF('제외 후보'!L892&lt;=2.5,'선정 규칙'!$B$11,IF('제외 후보'!L892&lt;=3,'선정 규칙'!$B$12,IF('제외 후보'!L892&lt;=3.5,'선정 규칙'!$B$13,IF('제외 후보'!L892&gt;=4.5,'선정 규칙'!$B$14,0)))))))</x:f>
        <x:v>6</x:v>
      </x:c>
      <x:c r="F892" s="11" t="n">
        <x:f>IF('제외 후보'!Y892=0,'선정 규칙'!$B$15,IF('제외 후보'!Y892&gt;=100,'선정 규칙'!$B$16,'선정 규칙'!$B$17))</x:f>
        <x:v>-12</x:v>
      </x:c>
      <x:c r="G892" s="11" t="n">
        <x:f>IF('제외 후보'!M892="있음",'선정 규칙'!$B$18,'선정 규칙'!$B$19)</x:f>
        <x:v>6</x:v>
      </x:c>
      <x:c r="H892" s="11" t="n">
        <x:f>IF(ISNUMBER(SEARCH("freq-core",'제외 후보'!AD892)),'선정 규칙'!$B$20,0)</x:f>
        <x:v>0</x:v>
      </x:c>
      <x:c r="I892" s="11" t="n">
        <x:f>IF(ISNUMBER(SEARCH("weak_legacy_content",'제외 후보'!P892)),'선정 규칙'!$B$21,0)</x:f>
        <x:v>0</x:v>
      </x:c>
      <x:c r="J892" s="11" t="n">
        <x:f>IF('제외 후보'!AC892&lt;&gt;"",'선정 규칙'!$B$22,0)</x:f>
        <x:v>0</x:v>
      </x:c>
      <x:c r="K892" s="11" t="n">
        <x:f>SUM(B892:J892)</x:f>
        <x:v>0</x:v>
      </x:c>
      <x:c r="L892" s="11" t="n">
        <x:f>'제외 후보'!N892</x:f>
        <x:v>0</x:v>
      </x:c>
      <x:c r="M892" s="2" t="str">
        <x:f>IF(K892=L892,"OK","MISMATCH")</x:f>
        <x:v>OK</x:v>
      </x:c>
    </x:row>
    <x:row r="893">
      <x:c r="A893" s="2" t="str">
        <x:f>'제외 후보'!G893</x:f>
        <x:v>w_8e4553e37481cb15</x:v>
      </x:c>
      <x:c r="B893" s="11" t="n">
        <x:f>IF('제외 후보'!Q893&lt;&gt;"",'선정 규칙'!$B$4,0)</x:f>
        <x:v>0</x:v>
      </x:c>
      <x:c r="C893" s="11" t="n">
        <x:f>IF(ISNUMBER(SEARCH("jmdict_uncommon_or_irregular",'제외 후보'!P893)),'선정 규칙'!$B$5,IF(ISNUMBER(SEARCH("jmdict_rare_or_dated",'제외 후보'!P893)),'선정 규칙'!$B$6,0))</x:f>
        <x:v>0</x:v>
      </x:c>
      <x:c r="D893" s="11" t="n">
        <x:f>IF(ISNUMBER(SEARCH("jmdict_exact_pair_not_found",'제외 후보'!P893)),'선정 규칙'!$B$7,0)</x:f>
        <x:v>0</x:v>
      </x:c>
      <x:c r="E893" s="11" t="n">
        <x:f>IF(OR('제외 후보'!L893="",'제외 후보'!L893&lt;=0),'선정 규칙'!$B$8,IF('제외 후보'!L893&lt;=1.5,'선정 규칙'!$B$9,IF('제외 후보'!L893&lt;=2,'선정 규칙'!$B$10,IF('제외 후보'!L893&lt;=2.5,'선정 규칙'!$B$11,IF('제외 후보'!L893&lt;=3,'선정 규칙'!$B$12,IF('제외 후보'!L893&lt;=3.5,'선정 규칙'!$B$13,IF('제외 후보'!L893&gt;=4.5,'선정 규칙'!$B$14,0)))))))</x:f>
        <x:v>6</x:v>
      </x:c>
      <x:c r="F893" s="11" t="n">
        <x:f>IF('제외 후보'!Y893=0,'선정 규칙'!$B$15,IF('제외 후보'!Y893&gt;=100,'선정 규칙'!$B$16,'선정 규칙'!$B$17))</x:f>
        <x:v>-12</x:v>
      </x:c>
      <x:c r="G893" s="11" t="n">
        <x:f>IF('제외 후보'!M893="있음",'선정 규칙'!$B$18,'선정 규칙'!$B$19)</x:f>
        <x:v>6</x:v>
      </x:c>
      <x:c r="H893" s="11" t="n">
        <x:f>IF(ISNUMBER(SEARCH("freq-core",'제외 후보'!AD893)),'선정 규칙'!$B$20,0)</x:f>
        <x:v>0</x:v>
      </x:c>
      <x:c r="I893" s="11" t="n">
        <x:f>IF(ISNUMBER(SEARCH("weak_legacy_content",'제외 후보'!P893)),'선정 규칙'!$B$21,0)</x:f>
        <x:v>0</x:v>
      </x:c>
      <x:c r="J893" s="11" t="n">
        <x:f>IF('제외 후보'!AC893&lt;&gt;"",'선정 규칙'!$B$22,0)</x:f>
        <x:v>0</x:v>
      </x:c>
      <x:c r="K893" s="11" t="n">
        <x:f>SUM(B893:J893)</x:f>
        <x:v>0</x:v>
      </x:c>
      <x:c r="L893" s="11" t="n">
        <x:f>'제외 후보'!N893</x:f>
        <x:v>0</x:v>
      </x:c>
      <x:c r="M893" s="2" t="str">
        <x:f>IF(K893=L893,"OK","MISMATCH")</x:f>
        <x:v>OK</x:v>
      </x:c>
    </x:row>
    <x:row r="894">
      <x:c r="A894" s="2" t="str">
        <x:f>'제외 후보'!G894</x:f>
        <x:v>w_00e05d8ea2e59d94</x:v>
      </x:c>
      <x:c r="B894" s="11" t="n">
        <x:f>IF('제외 후보'!Q894&lt;&gt;"",'선정 규칙'!$B$4,0)</x:f>
        <x:v>0</x:v>
      </x:c>
      <x:c r="C894" s="11" t="n">
        <x:f>IF(ISNUMBER(SEARCH("jmdict_uncommon_or_irregular",'제외 후보'!P894)),'선정 규칙'!$B$5,IF(ISNUMBER(SEARCH("jmdict_rare_or_dated",'제외 후보'!P894)),'선정 규칙'!$B$6,0))</x:f>
        <x:v>0</x:v>
      </x:c>
      <x:c r="D894" s="11" t="n">
        <x:f>IF(ISNUMBER(SEARCH("jmdict_exact_pair_not_found",'제외 후보'!P894)),'선정 규칙'!$B$7,0)</x:f>
        <x:v>0</x:v>
      </x:c>
      <x:c r="E894" s="11" t="n">
        <x:f>IF(OR('제외 후보'!L894="",'제외 후보'!L894&lt;=0),'선정 규칙'!$B$8,IF('제외 후보'!L894&lt;=1.5,'선정 규칙'!$B$9,IF('제외 후보'!L894&lt;=2,'선정 규칙'!$B$10,IF('제외 후보'!L894&lt;=2.5,'선정 규칙'!$B$11,IF('제외 후보'!L894&lt;=3,'선정 규칙'!$B$12,IF('제외 후보'!L894&lt;=3.5,'선정 규칙'!$B$13,IF('제외 후보'!L894&gt;=4.5,'선정 규칙'!$B$14,0)))))))</x:f>
        <x:v>6</x:v>
      </x:c>
      <x:c r="F894" s="11" t="n">
        <x:f>IF('제외 후보'!Y894=0,'선정 규칙'!$B$15,IF('제외 후보'!Y894&gt;=100,'선정 규칙'!$B$16,'선정 규칙'!$B$17))</x:f>
        <x:v>-12</x:v>
      </x:c>
      <x:c r="G894" s="11" t="n">
        <x:f>IF('제외 후보'!M894="있음",'선정 규칙'!$B$18,'선정 규칙'!$B$19)</x:f>
        <x:v>6</x:v>
      </x:c>
      <x:c r="H894" s="11" t="n">
        <x:f>IF(ISNUMBER(SEARCH("freq-core",'제외 후보'!AD894)),'선정 규칙'!$B$20,0)</x:f>
        <x:v>0</x:v>
      </x:c>
      <x:c r="I894" s="11" t="n">
        <x:f>IF(ISNUMBER(SEARCH("weak_legacy_content",'제외 후보'!P894)),'선정 규칙'!$B$21,0)</x:f>
        <x:v>0</x:v>
      </x:c>
      <x:c r="J894" s="11" t="n">
        <x:f>IF('제외 후보'!AC894&lt;&gt;"",'선정 규칙'!$B$22,0)</x:f>
        <x:v>0</x:v>
      </x:c>
      <x:c r="K894" s="11" t="n">
        <x:f>SUM(B894:J894)</x:f>
        <x:v>0</x:v>
      </x:c>
      <x:c r="L894" s="11" t="n">
        <x:f>'제외 후보'!N894</x:f>
        <x:v>0</x:v>
      </x:c>
      <x:c r="M894" s="2" t="str">
        <x:f>IF(K894=L894,"OK","MISMATCH")</x:f>
        <x:v>OK</x:v>
      </x:c>
    </x:row>
    <x:row r="895">
      <x:c r="A895" s="2" t="str">
        <x:f>'제외 후보'!G895</x:f>
        <x:v>w_58a6d4b2bcd0b396</x:v>
      </x:c>
      <x:c r="B895" s="11" t="n">
        <x:f>IF('제외 후보'!Q895&lt;&gt;"",'선정 규칙'!$B$4,0)</x:f>
        <x:v>0</x:v>
      </x:c>
      <x:c r="C895" s="11" t="n">
        <x:f>IF(ISNUMBER(SEARCH("jmdict_uncommon_or_irregular",'제외 후보'!P895)),'선정 규칙'!$B$5,IF(ISNUMBER(SEARCH("jmdict_rare_or_dated",'제외 후보'!P895)),'선정 규칙'!$B$6,0))</x:f>
        <x:v>0</x:v>
      </x:c>
      <x:c r="D895" s="11" t="n">
        <x:f>IF(ISNUMBER(SEARCH("jmdict_exact_pair_not_found",'제외 후보'!P895)),'선정 규칙'!$B$7,0)</x:f>
        <x:v>0</x:v>
      </x:c>
      <x:c r="E895" s="11" t="n">
        <x:f>IF(OR('제외 후보'!L895="",'제외 후보'!L895&lt;=0),'선정 규칙'!$B$8,IF('제외 후보'!L895&lt;=1.5,'선정 규칙'!$B$9,IF('제외 후보'!L895&lt;=2,'선정 규칙'!$B$10,IF('제외 후보'!L895&lt;=2.5,'선정 규칙'!$B$11,IF('제외 후보'!L895&lt;=3,'선정 규칙'!$B$12,IF('제외 후보'!L895&lt;=3.5,'선정 규칙'!$B$13,IF('제외 후보'!L895&gt;=4.5,'선정 규칙'!$B$14,0)))))))</x:f>
        <x:v>6</x:v>
      </x:c>
      <x:c r="F895" s="11" t="n">
        <x:f>IF('제외 후보'!Y895=0,'선정 규칙'!$B$15,IF('제외 후보'!Y895&gt;=100,'선정 규칙'!$B$16,'선정 규칙'!$B$17))</x:f>
        <x:v>-12</x:v>
      </x:c>
      <x:c r="G895" s="11" t="n">
        <x:f>IF('제외 후보'!M895="있음",'선정 규칙'!$B$18,'선정 규칙'!$B$19)</x:f>
        <x:v>6</x:v>
      </x:c>
      <x:c r="H895" s="11" t="n">
        <x:f>IF(ISNUMBER(SEARCH("freq-core",'제외 후보'!AD895)),'선정 규칙'!$B$20,0)</x:f>
        <x:v>0</x:v>
      </x:c>
      <x:c r="I895" s="11" t="n">
        <x:f>IF(ISNUMBER(SEARCH("weak_legacy_content",'제외 후보'!P895)),'선정 규칙'!$B$21,0)</x:f>
        <x:v>0</x:v>
      </x:c>
      <x:c r="J895" s="11" t="n">
        <x:f>IF('제외 후보'!AC895&lt;&gt;"",'선정 규칙'!$B$22,0)</x:f>
        <x:v>0</x:v>
      </x:c>
      <x:c r="K895" s="11" t="n">
        <x:f>SUM(B895:J895)</x:f>
        <x:v>0</x:v>
      </x:c>
      <x:c r="L895" s="11" t="n">
        <x:f>'제외 후보'!N895</x:f>
        <x:v>0</x:v>
      </x:c>
      <x:c r="M895" s="2" t="str">
        <x:f>IF(K895=L895,"OK","MISMATCH")</x:f>
        <x:v>OK</x:v>
      </x:c>
    </x:row>
    <x:row r="896">
      <x:c r="A896" s="2" t="str">
        <x:f>'제외 후보'!G896</x:f>
        <x:v>w_a33c6e6115d305f0</x:v>
      </x:c>
      <x:c r="B896" s="11" t="n">
        <x:f>IF('제외 후보'!Q896&lt;&gt;"",'선정 규칙'!$B$4,0)</x:f>
        <x:v>0</x:v>
      </x:c>
      <x:c r="C896" s="11" t="n">
        <x:f>IF(ISNUMBER(SEARCH("jmdict_uncommon_or_irregular",'제외 후보'!P896)),'선정 규칙'!$B$5,IF(ISNUMBER(SEARCH("jmdict_rare_or_dated",'제외 후보'!P896)),'선정 규칙'!$B$6,0))</x:f>
        <x:v>0</x:v>
      </x:c>
      <x:c r="D896" s="11" t="n">
        <x:f>IF(ISNUMBER(SEARCH("jmdict_exact_pair_not_found",'제외 후보'!P896)),'선정 규칙'!$B$7,0)</x:f>
        <x:v>0</x:v>
      </x:c>
      <x:c r="E896" s="11" t="n">
        <x:f>IF(OR('제외 후보'!L896="",'제외 후보'!L896&lt;=0),'선정 규칙'!$B$8,IF('제외 후보'!L896&lt;=1.5,'선정 규칙'!$B$9,IF('제외 후보'!L896&lt;=2,'선정 규칙'!$B$10,IF('제외 후보'!L896&lt;=2.5,'선정 규칙'!$B$11,IF('제외 후보'!L896&lt;=3,'선정 규칙'!$B$12,IF('제외 후보'!L896&lt;=3.5,'선정 규칙'!$B$13,IF('제외 후보'!L896&gt;=4.5,'선정 규칙'!$B$14,0)))))))</x:f>
        <x:v>6</x:v>
      </x:c>
      <x:c r="F896" s="11" t="n">
        <x:f>IF('제외 후보'!Y896=0,'선정 규칙'!$B$15,IF('제외 후보'!Y896&gt;=100,'선정 규칙'!$B$16,'선정 규칙'!$B$17))</x:f>
        <x:v>-12</x:v>
      </x:c>
      <x:c r="G896" s="11" t="n">
        <x:f>IF('제외 후보'!M896="있음",'선정 규칙'!$B$18,'선정 규칙'!$B$19)</x:f>
        <x:v>6</x:v>
      </x:c>
      <x:c r="H896" s="11" t="n">
        <x:f>IF(ISNUMBER(SEARCH("freq-core",'제외 후보'!AD896)),'선정 규칙'!$B$20,0)</x:f>
        <x:v>0</x:v>
      </x:c>
      <x:c r="I896" s="11" t="n">
        <x:f>IF(ISNUMBER(SEARCH("weak_legacy_content",'제외 후보'!P896)),'선정 규칙'!$B$21,0)</x:f>
        <x:v>0</x:v>
      </x:c>
      <x:c r="J896" s="11" t="n">
        <x:f>IF('제외 후보'!AC896&lt;&gt;"",'선정 규칙'!$B$22,0)</x:f>
        <x:v>0</x:v>
      </x:c>
      <x:c r="K896" s="11" t="n">
        <x:f>SUM(B896:J896)</x:f>
        <x:v>0</x:v>
      </x:c>
      <x:c r="L896" s="11" t="n">
        <x:f>'제외 후보'!N896</x:f>
        <x:v>0</x:v>
      </x:c>
      <x:c r="M896" s="2" t="str">
        <x:f>IF(K896=L896,"OK","MISMATCH")</x:f>
        <x:v>OK</x:v>
      </x:c>
    </x:row>
    <x:row r="897">
      <x:c r="A897" s="2" t="str">
        <x:f>'제외 후보'!G897</x:f>
        <x:v>w_4472dfa42db4ea24</x:v>
      </x:c>
      <x:c r="B897" s="11" t="n">
        <x:f>IF('제외 후보'!Q897&lt;&gt;"",'선정 규칙'!$B$4,0)</x:f>
        <x:v>0</x:v>
      </x:c>
      <x:c r="C897" s="11" t="n">
        <x:f>IF(ISNUMBER(SEARCH("jmdict_uncommon_or_irregular",'제외 후보'!P897)),'선정 규칙'!$B$5,IF(ISNUMBER(SEARCH("jmdict_rare_or_dated",'제외 후보'!P897)),'선정 규칙'!$B$6,0))</x:f>
        <x:v>0</x:v>
      </x:c>
      <x:c r="D897" s="11" t="n">
        <x:f>IF(ISNUMBER(SEARCH("jmdict_exact_pair_not_found",'제외 후보'!P897)),'선정 규칙'!$B$7,0)</x:f>
        <x:v>0</x:v>
      </x:c>
      <x:c r="E897" s="11" t="n">
        <x:f>IF(OR('제외 후보'!L897="",'제외 후보'!L897&lt;=0),'선정 규칙'!$B$8,IF('제외 후보'!L897&lt;=1.5,'선정 규칙'!$B$9,IF('제외 후보'!L897&lt;=2,'선정 규칙'!$B$10,IF('제외 후보'!L897&lt;=2.5,'선정 규칙'!$B$11,IF('제외 후보'!L897&lt;=3,'선정 규칙'!$B$12,IF('제외 후보'!L897&lt;=3.5,'선정 규칙'!$B$13,IF('제외 후보'!L897&gt;=4.5,'선정 규칙'!$B$14,0)))))))</x:f>
        <x:v>6</x:v>
      </x:c>
      <x:c r="F897" s="11" t="n">
        <x:f>IF('제외 후보'!Y897=0,'선정 규칙'!$B$15,IF('제외 후보'!Y897&gt;=100,'선정 규칙'!$B$16,'선정 규칙'!$B$17))</x:f>
        <x:v>-12</x:v>
      </x:c>
      <x:c r="G897" s="11" t="n">
        <x:f>IF('제외 후보'!M897="있음",'선정 규칙'!$B$18,'선정 규칙'!$B$19)</x:f>
        <x:v>6</x:v>
      </x:c>
      <x:c r="H897" s="11" t="n">
        <x:f>IF(ISNUMBER(SEARCH("freq-core",'제외 후보'!AD897)),'선정 규칙'!$B$20,0)</x:f>
        <x:v>0</x:v>
      </x:c>
      <x:c r="I897" s="11" t="n">
        <x:f>IF(ISNUMBER(SEARCH("weak_legacy_content",'제외 후보'!P897)),'선정 규칙'!$B$21,0)</x:f>
        <x:v>0</x:v>
      </x:c>
      <x:c r="J897" s="11" t="n">
        <x:f>IF('제외 후보'!AC897&lt;&gt;"",'선정 규칙'!$B$22,0)</x:f>
        <x:v>0</x:v>
      </x:c>
      <x:c r="K897" s="11" t="n">
        <x:f>SUM(B897:J897)</x:f>
        <x:v>0</x:v>
      </x:c>
      <x:c r="L897" s="11" t="n">
        <x:f>'제외 후보'!N897</x:f>
        <x:v>0</x:v>
      </x:c>
      <x:c r="M897" s="2" t="str">
        <x:f>IF(K897=L897,"OK","MISMATCH")</x:f>
        <x:v>OK</x:v>
      </x:c>
    </x:row>
    <x:row r="898">
      <x:c r="A898" s="2" t="str">
        <x:f>'제외 후보'!G898</x:f>
        <x:v>w_76103f90a8595925</x:v>
      </x:c>
      <x:c r="B898" s="11" t="n">
        <x:f>IF('제외 후보'!Q898&lt;&gt;"",'선정 규칙'!$B$4,0)</x:f>
        <x:v>0</x:v>
      </x:c>
      <x:c r="C898" s="11" t="n">
        <x:f>IF(ISNUMBER(SEARCH("jmdict_uncommon_or_irregular",'제외 후보'!P898)),'선정 규칙'!$B$5,IF(ISNUMBER(SEARCH("jmdict_rare_or_dated",'제외 후보'!P898)),'선정 규칙'!$B$6,0))</x:f>
        <x:v>0</x:v>
      </x:c>
      <x:c r="D898" s="11" t="n">
        <x:f>IF(ISNUMBER(SEARCH("jmdict_exact_pair_not_found",'제외 후보'!P898)),'선정 규칙'!$B$7,0)</x:f>
        <x:v>0</x:v>
      </x:c>
      <x:c r="E898" s="11" t="n">
        <x:f>IF(OR('제외 후보'!L898="",'제외 후보'!L898&lt;=0),'선정 규칙'!$B$8,IF('제외 후보'!L898&lt;=1.5,'선정 규칙'!$B$9,IF('제외 후보'!L898&lt;=2,'선정 규칙'!$B$10,IF('제외 후보'!L898&lt;=2.5,'선정 규칙'!$B$11,IF('제외 후보'!L898&lt;=3,'선정 규칙'!$B$12,IF('제외 후보'!L898&lt;=3.5,'선정 규칙'!$B$13,IF('제외 후보'!L898&gt;=4.5,'선정 규칙'!$B$14,0)))))))</x:f>
        <x:v>6</x:v>
      </x:c>
      <x:c r="F898" s="11" t="n">
        <x:f>IF('제외 후보'!Y898=0,'선정 규칙'!$B$15,IF('제외 후보'!Y898&gt;=100,'선정 규칙'!$B$16,'선정 규칙'!$B$17))</x:f>
        <x:v>-12</x:v>
      </x:c>
      <x:c r="G898" s="11" t="n">
        <x:f>IF('제외 후보'!M898="있음",'선정 규칙'!$B$18,'선정 규칙'!$B$19)</x:f>
        <x:v>6</x:v>
      </x:c>
      <x:c r="H898" s="11" t="n">
        <x:f>IF(ISNUMBER(SEARCH("freq-core",'제외 후보'!AD898)),'선정 규칙'!$B$20,0)</x:f>
        <x:v>0</x:v>
      </x:c>
      <x:c r="I898" s="11" t="n">
        <x:f>IF(ISNUMBER(SEARCH("weak_legacy_content",'제외 후보'!P898)),'선정 규칙'!$B$21,0)</x:f>
        <x:v>0</x:v>
      </x:c>
      <x:c r="J898" s="11" t="n">
        <x:f>IF('제외 후보'!AC898&lt;&gt;"",'선정 규칙'!$B$22,0)</x:f>
        <x:v>0</x:v>
      </x:c>
      <x:c r="K898" s="11" t="n">
        <x:f>SUM(B898:J898)</x:f>
        <x:v>0</x:v>
      </x:c>
      <x:c r="L898" s="11" t="n">
        <x:f>'제외 후보'!N898</x:f>
        <x:v>0</x:v>
      </x:c>
      <x:c r="M898" s="2" t="str">
        <x:f>IF(K898=L898,"OK","MISMATCH")</x:f>
        <x:v>OK</x:v>
      </x:c>
    </x:row>
    <x:row r="899">
      <x:c r="A899" s="2" t="str">
        <x:f>'제외 후보'!G899</x:f>
        <x:v>w_b45b26e573a83077</x:v>
      </x:c>
      <x:c r="B899" s="11" t="n">
        <x:f>IF('제외 후보'!Q899&lt;&gt;"",'선정 규칙'!$B$4,0)</x:f>
        <x:v>0</x:v>
      </x:c>
      <x:c r="C899" s="11" t="n">
        <x:f>IF(ISNUMBER(SEARCH("jmdict_uncommon_or_irregular",'제외 후보'!P899)),'선정 규칙'!$B$5,IF(ISNUMBER(SEARCH("jmdict_rare_or_dated",'제외 후보'!P899)),'선정 규칙'!$B$6,0))</x:f>
        <x:v>0</x:v>
      </x:c>
      <x:c r="D899" s="11" t="n">
        <x:f>IF(ISNUMBER(SEARCH("jmdict_exact_pair_not_found",'제외 후보'!P899)),'선정 규칙'!$B$7,0)</x:f>
        <x:v>0</x:v>
      </x:c>
      <x:c r="E899" s="11" t="n">
        <x:f>IF(OR('제외 후보'!L899="",'제외 후보'!L899&lt;=0),'선정 규칙'!$B$8,IF('제외 후보'!L899&lt;=1.5,'선정 규칙'!$B$9,IF('제외 후보'!L899&lt;=2,'선정 규칙'!$B$10,IF('제외 후보'!L899&lt;=2.5,'선정 규칙'!$B$11,IF('제외 후보'!L899&lt;=3,'선정 규칙'!$B$12,IF('제외 후보'!L899&lt;=3.5,'선정 규칙'!$B$13,IF('제외 후보'!L899&gt;=4.5,'선정 규칙'!$B$14,0)))))))</x:f>
        <x:v>6</x:v>
      </x:c>
      <x:c r="F899" s="11" t="n">
        <x:f>IF('제외 후보'!Y899=0,'선정 규칙'!$B$15,IF('제외 후보'!Y899&gt;=100,'선정 규칙'!$B$16,'선정 규칙'!$B$17))</x:f>
        <x:v>-12</x:v>
      </x:c>
      <x:c r="G899" s="11" t="n">
        <x:f>IF('제외 후보'!M899="있음",'선정 규칙'!$B$18,'선정 규칙'!$B$19)</x:f>
        <x:v>6</x:v>
      </x:c>
      <x:c r="H899" s="11" t="n">
        <x:f>IF(ISNUMBER(SEARCH("freq-core",'제외 후보'!AD899)),'선정 규칙'!$B$20,0)</x:f>
        <x:v>0</x:v>
      </x:c>
      <x:c r="I899" s="11" t="n">
        <x:f>IF(ISNUMBER(SEARCH("weak_legacy_content",'제외 후보'!P899)),'선정 규칙'!$B$21,0)</x:f>
        <x:v>0</x:v>
      </x:c>
      <x:c r="J899" s="11" t="n">
        <x:f>IF('제외 후보'!AC899&lt;&gt;"",'선정 규칙'!$B$22,0)</x:f>
        <x:v>0</x:v>
      </x:c>
      <x:c r="K899" s="11" t="n">
        <x:f>SUM(B899:J899)</x:f>
        <x:v>0</x:v>
      </x:c>
      <x:c r="L899" s="11" t="n">
        <x:f>'제외 후보'!N899</x:f>
        <x:v>0</x:v>
      </x:c>
      <x:c r="M899" s="2" t="str">
        <x:f>IF(K899=L899,"OK","MISMATCH")</x:f>
        <x:v>OK</x:v>
      </x:c>
    </x:row>
    <x:row r="900">
      <x:c r="A900" s="2" t="str">
        <x:f>'제외 후보'!G900</x:f>
        <x:v>w_beb7a8da0b9f4563</x:v>
      </x:c>
      <x:c r="B900" s="11" t="n">
        <x:f>IF('제외 후보'!Q900&lt;&gt;"",'선정 규칙'!$B$4,0)</x:f>
        <x:v>0</x:v>
      </x:c>
      <x:c r="C900" s="11" t="n">
        <x:f>IF(ISNUMBER(SEARCH("jmdict_uncommon_or_irregular",'제외 후보'!P900)),'선정 규칙'!$B$5,IF(ISNUMBER(SEARCH("jmdict_rare_or_dated",'제외 후보'!P900)),'선정 규칙'!$B$6,0))</x:f>
        <x:v>0</x:v>
      </x:c>
      <x:c r="D900" s="11" t="n">
        <x:f>IF(ISNUMBER(SEARCH("jmdict_exact_pair_not_found",'제외 후보'!P900)),'선정 규칙'!$B$7,0)</x:f>
        <x:v>0</x:v>
      </x:c>
      <x:c r="E900" s="11" t="n">
        <x:f>IF(OR('제외 후보'!L900="",'제외 후보'!L900&lt;=0),'선정 규칙'!$B$8,IF('제외 후보'!L900&lt;=1.5,'선정 규칙'!$B$9,IF('제외 후보'!L900&lt;=2,'선정 규칙'!$B$10,IF('제외 후보'!L900&lt;=2.5,'선정 규칙'!$B$11,IF('제외 후보'!L900&lt;=3,'선정 규칙'!$B$12,IF('제외 후보'!L900&lt;=3.5,'선정 규칙'!$B$13,IF('제외 후보'!L900&gt;=4.5,'선정 규칙'!$B$14,0)))))))</x:f>
        <x:v>6</x:v>
      </x:c>
      <x:c r="F900" s="11" t="n">
        <x:f>IF('제외 후보'!Y900=0,'선정 규칙'!$B$15,IF('제외 후보'!Y900&gt;=100,'선정 규칙'!$B$16,'선정 규칙'!$B$17))</x:f>
        <x:v>-12</x:v>
      </x:c>
      <x:c r="G900" s="11" t="n">
        <x:f>IF('제외 후보'!M900="있음",'선정 규칙'!$B$18,'선정 규칙'!$B$19)</x:f>
        <x:v>6</x:v>
      </x:c>
      <x:c r="H900" s="11" t="n">
        <x:f>IF(ISNUMBER(SEARCH("freq-core",'제외 후보'!AD900)),'선정 규칙'!$B$20,0)</x:f>
        <x:v>0</x:v>
      </x:c>
      <x:c r="I900" s="11" t="n">
        <x:f>IF(ISNUMBER(SEARCH("weak_legacy_content",'제외 후보'!P900)),'선정 규칙'!$B$21,0)</x:f>
        <x:v>0</x:v>
      </x:c>
      <x:c r="J900" s="11" t="n">
        <x:f>IF('제외 후보'!AC900&lt;&gt;"",'선정 규칙'!$B$22,0)</x:f>
        <x:v>0</x:v>
      </x:c>
      <x:c r="K900" s="11" t="n">
        <x:f>SUM(B900:J900)</x:f>
        <x:v>0</x:v>
      </x:c>
      <x:c r="L900" s="11" t="n">
        <x:f>'제외 후보'!N900</x:f>
        <x:v>0</x:v>
      </x:c>
      <x:c r="M900" s="2" t="str">
        <x:f>IF(K900=L900,"OK","MISMATCH")</x:f>
        <x:v>OK</x:v>
      </x:c>
    </x:row>
    <x:row r="901">
      <x:c r="A901" s="2" t="str">
        <x:f>'제외 후보'!G901</x:f>
        <x:v>w_8b67df79336647e8</x:v>
      </x:c>
      <x:c r="B901" s="11" t="n">
        <x:f>IF('제외 후보'!Q901&lt;&gt;"",'선정 규칙'!$B$4,0)</x:f>
        <x:v>0</x:v>
      </x:c>
      <x:c r="C901" s="11" t="n">
        <x:f>IF(ISNUMBER(SEARCH("jmdict_uncommon_or_irregular",'제외 후보'!P901)),'선정 규칙'!$B$5,IF(ISNUMBER(SEARCH("jmdict_rare_or_dated",'제외 후보'!P901)),'선정 규칙'!$B$6,0))</x:f>
        <x:v>0</x:v>
      </x:c>
      <x:c r="D901" s="11" t="n">
        <x:f>IF(ISNUMBER(SEARCH("jmdict_exact_pair_not_found",'제외 후보'!P901)),'선정 규칙'!$B$7,0)</x:f>
        <x:v>0</x:v>
      </x:c>
      <x:c r="E901" s="11" t="n">
        <x:f>IF(OR('제외 후보'!L901="",'제외 후보'!L901&lt;=0),'선정 규칙'!$B$8,IF('제외 후보'!L901&lt;=1.5,'선정 규칙'!$B$9,IF('제외 후보'!L901&lt;=2,'선정 규칙'!$B$10,IF('제외 후보'!L901&lt;=2.5,'선정 규칙'!$B$11,IF('제외 후보'!L901&lt;=3,'선정 규칙'!$B$12,IF('제외 후보'!L901&lt;=3.5,'선정 규칙'!$B$13,IF('제외 후보'!L901&gt;=4.5,'선정 규칙'!$B$14,0)))))))</x:f>
        <x:v>6</x:v>
      </x:c>
      <x:c r="F901" s="11" t="n">
        <x:f>IF('제외 후보'!Y901=0,'선정 규칙'!$B$15,IF('제외 후보'!Y901&gt;=100,'선정 규칙'!$B$16,'선정 규칙'!$B$17))</x:f>
        <x:v>-12</x:v>
      </x:c>
      <x:c r="G901" s="11" t="n">
        <x:f>IF('제외 후보'!M901="있음",'선정 규칙'!$B$18,'선정 규칙'!$B$19)</x:f>
        <x:v>6</x:v>
      </x:c>
      <x:c r="H901" s="11" t="n">
        <x:f>IF(ISNUMBER(SEARCH("freq-core",'제외 후보'!AD901)),'선정 규칙'!$B$20,0)</x:f>
        <x:v>0</x:v>
      </x:c>
      <x:c r="I901" s="11" t="n">
        <x:f>IF(ISNUMBER(SEARCH("weak_legacy_content",'제외 후보'!P901)),'선정 규칙'!$B$21,0)</x:f>
        <x:v>0</x:v>
      </x:c>
      <x:c r="J901" s="11" t="n">
        <x:f>IF('제외 후보'!AC901&lt;&gt;"",'선정 규칙'!$B$22,0)</x:f>
        <x:v>0</x:v>
      </x:c>
      <x:c r="K901" s="11" t="n">
        <x:f>SUM(B901:J901)</x:f>
        <x:v>0</x:v>
      </x:c>
      <x:c r="L901" s="11" t="n">
        <x:f>'제외 후보'!N901</x:f>
        <x:v>0</x:v>
      </x:c>
      <x:c r="M901" s="2" t="str">
        <x:f>IF(K901=L901,"OK","MISMATCH")</x:f>
        <x:v>OK</x:v>
      </x:c>
    </x:row>
    <x:row r="902">
      <x:c r="A902" s="2" t="str">
        <x:f>'제외 후보'!G902</x:f>
        <x:v>w_cc043330e12792b9</x:v>
      </x:c>
      <x:c r="B902" s="11" t="n">
        <x:f>IF('제외 후보'!Q902&lt;&gt;"",'선정 규칙'!$B$4,0)</x:f>
        <x:v>0</x:v>
      </x:c>
      <x:c r="C902" s="11" t="n">
        <x:f>IF(ISNUMBER(SEARCH("jmdict_uncommon_or_irregular",'제외 후보'!P902)),'선정 규칙'!$B$5,IF(ISNUMBER(SEARCH("jmdict_rare_or_dated",'제외 후보'!P902)),'선정 규칙'!$B$6,0))</x:f>
        <x:v>0</x:v>
      </x:c>
      <x:c r="D902" s="11" t="n">
        <x:f>IF(ISNUMBER(SEARCH("jmdict_exact_pair_not_found",'제외 후보'!P902)),'선정 규칙'!$B$7,0)</x:f>
        <x:v>0</x:v>
      </x:c>
      <x:c r="E902" s="11" t="n">
        <x:f>IF(OR('제외 후보'!L902="",'제외 후보'!L902&lt;=0),'선정 규칙'!$B$8,IF('제외 후보'!L902&lt;=1.5,'선정 규칙'!$B$9,IF('제외 후보'!L902&lt;=2,'선정 규칙'!$B$10,IF('제외 후보'!L902&lt;=2.5,'선정 규칙'!$B$11,IF('제외 후보'!L902&lt;=3,'선정 규칙'!$B$12,IF('제외 후보'!L902&lt;=3.5,'선정 규칙'!$B$13,IF('제외 후보'!L902&gt;=4.5,'선정 규칙'!$B$14,0)))))))</x:f>
        <x:v>6</x:v>
      </x:c>
      <x:c r="F902" s="11" t="n">
        <x:f>IF('제외 후보'!Y902=0,'선정 규칙'!$B$15,IF('제외 후보'!Y902&gt;=100,'선정 규칙'!$B$16,'선정 규칙'!$B$17))</x:f>
        <x:v>-12</x:v>
      </x:c>
      <x:c r="G902" s="11" t="n">
        <x:f>IF('제외 후보'!M902="있음",'선정 규칙'!$B$18,'선정 규칙'!$B$19)</x:f>
        <x:v>6</x:v>
      </x:c>
      <x:c r="H902" s="11" t="n">
        <x:f>IF(ISNUMBER(SEARCH("freq-core",'제외 후보'!AD902)),'선정 규칙'!$B$20,0)</x:f>
        <x:v>0</x:v>
      </x:c>
      <x:c r="I902" s="11" t="n">
        <x:f>IF(ISNUMBER(SEARCH("weak_legacy_content",'제외 후보'!P902)),'선정 규칙'!$B$21,0)</x:f>
        <x:v>0</x:v>
      </x:c>
      <x:c r="J902" s="11" t="n">
        <x:f>IF('제외 후보'!AC902&lt;&gt;"",'선정 규칙'!$B$22,0)</x:f>
        <x:v>0</x:v>
      </x:c>
      <x:c r="K902" s="11" t="n">
        <x:f>SUM(B902:J902)</x:f>
        <x:v>0</x:v>
      </x:c>
      <x:c r="L902" s="11" t="n">
        <x:f>'제외 후보'!N902</x:f>
        <x:v>0</x:v>
      </x:c>
      <x:c r="M902" s="2" t="str">
        <x:f>IF(K902=L902,"OK","MISMATCH")</x:f>
        <x:v>OK</x:v>
      </x:c>
    </x:row>
    <x:row r="903">
      <x:c r="A903" s="2" t="str">
        <x:f>'제외 후보'!G903</x:f>
        <x:v>w_029ec74b8251f5b3</x:v>
      </x:c>
      <x:c r="B903" s="11" t="n">
        <x:f>IF('제외 후보'!Q903&lt;&gt;"",'선정 규칙'!$B$4,0)</x:f>
        <x:v>0</x:v>
      </x:c>
      <x:c r="C903" s="11" t="n">
        <x:f>IF(ISNUMBER(SEARCH("jmdict_uncommon_or_irregular",'제외 후보'!P903)),'선정 규칙'!$B$5,IF(ISNUMBER(SEARCH("jmdict_rare_or_dated",'제외 후보'!P903)),'선정 규칙'!$B$6,0))</x:f>
        <x:v>0</x:v>
      </x:c>
      <x:c r="D903" s="11" t="n">
        <x:f>IF(ISNUMBER(SEARCH("jmdict_exact_pair_not_found",'제외 후보'!P903)),'선정 규칙'!$B$7,0)</x:f>
        <x:v>0</x:v>
      </x:c>
      <x:c r="E903" s="11" t="n">
        <x:f>IF(OR('제외 후보'!L903="",'제외 후보'!L903&lt;=0),'선정 규칙'!$B$8,IF('제외 후보'!L903&lt;=1.5,'선정 규칙'!$B$9,IF('제외 후보'!L903&lt;=2,'선정 규칙'!$B$10,IF('제외 후보'!L903&lt;=2.5,'선정 규칙'!$B$11,IF('제외 후보'!L903&lt;=3,'선정 규칙'!$B$12,IF('제외 후보'!L903&lt;=3.5,'선정 규칙'!$B$13,IF('제외 후보'!L903&gt;=4.5,'선정 규칙'!$B$14,0)))))))</x:f>
        <x:v>6</x:v>
      </x:c>
      <x:c r="F903" s="11" t="n">
        <x:f>IF('제외 후보'!Y903=0,'선정 규칙'!$B$15,IF('제외 후보'!Y903&gt;=100,'선정 규칙'!$B$16,'선정 규칙'!$B$17))</x:f>
        <x:v>-12</x:v>
      </x:c>
      <x:c r="G903" s="11" t="n">
        <x:f>IF('제외 후보'!M903="있음",'선정 규칙'!$B$18,'선정 규칙'!$B$19)</x:f>
        <x:v>6</x:v>
      </x:c>
      <x:c r="H903" s="11" t="n">
        <x:f>IF(ISNUMBER(SEARCH("freq-core",'제외 후보'!AD903)),'선정 규칙'!$B$20,0)</x:f>
        <x:v>0</x:v>
      </x:c>
      <x:c r="I903" s="11" t="n">
        <x:f>IF(ISNUMBER(SEARCH("weak_legacy_content",'제외 후보'!P903)),'선정 규칙'!$B$21,0)</x:f>
        <x:v>0</x:v>
      </x:c>
      <x:c r="J903" s="11" t="n">
        <x:f>IF('제외 후보'!AC903&lt;&gt;"",'선정 규칙'!$B$22,0)</x:f>
        <x:v>0</x:v>
      </x:c>
      <x:c r="K903" s="11" t="n">
        <x:f>SUM(B903:J903)</x:f>
        <x:v>0</x:v>
      </x:c>
      <x:c r="L903" s="11" t="n">
        <x:f>'제외 후보'!N903</x:f>
        <x:v>0</x:v>
      </x:c>
      <x:c r="M903" s="2" t="str">
        <x:f>IF(K903=L903,"OK","MISMATCH")</x:f>
        <x:v>OK</x:v>
      </x:c>
    </x:row>
    <x:row r="904">
      <x:c r="A904" s="2" t="str">
        <x:f>'제외 후보'!G904</x:f>
        <x:v>w_da3a852b15d816e6</x:v>
      </x:c>
      <x:c r="B904" s="11" t="n">
        <x:f>IF('제외 후보'!Q904&lt;&gt;"",'선정 규칙'!$B$4,0)</x:f>
        <x:v>0</x:v>
      </x:c>
      <x:c r="C904" s="11" t="n">
        <x:f>IF(ISNUMBER(SEARCH("jmdict_uncommon_or_irregular",'제외 후보'!P904)),'선정 규칙'!$B$5,IF(ISNUMBER(SEARCH("jmdict_rare_or_dated",'제외 후보'!P904)),'선정 규칙'!$B$6,0))</x:f>
        <x:v>0</x:v>
      </x:c>
      <x:c r="D904" s="11" t="n">
        <x:f>IF(ISNUMBER(SEARCH("jmdict_exact_pair_not_found",'제외 후보'!P904)),'선정 규칙'!$B$7,0)</x:f>
        <x:v>0</x:v>
      </x:c>
      <x:c r="E904" s="11" t="n">
        <x:f>IF(OR('제외 후보'!L904="",'제외 후보'!L904&lt;=0),'선정 규칙'!$B$8,IF('제외 후보'!L904&lt;=1.5,'선정 규칙'!$B$9,IF('제외 후보'!L904&lt;=2,'선정 규칙'!$B$10,IF('제외 후보'!L904&lt;=2.5,'선정 규칙'!$B$11,IF('제외 후보'!L904&lt;=3,'선정 규칙'!$B$12,IF('제외 후보'!L904&lt;=3.5,'선정 규칙'!$B$13,IF('제외 후보'!L904&gt;=4.5,'선정 규칙'!$B$14,0)))))))</x:f>
        <x:v>6</x:v>
      </x:c>
      <x:c r="F904" s="11" t="n">
        <x:f>IF('제외 후보'!Y904=0,'선정 규칙'!$B$15,IF('제외 후보'!Y904&gt;=100,'선정 규칙'!$B$16,'선정 규칙'!$B$17))</x:f>
        <x:v>-12</x:v>
      </x:c>
      <x:c r="G904" s="11" t="n">
        <x:f>IF('제외 후보'!M904="있음",'선정 규칙'!$B$18,'선정 규칙'!$B$19)</x:f>
        <x:v>6</x:v>
      </x:c>
      <x:c r="H904" s="11" t="n">
        <x:f>IF(ISNUMBER(SEARCH("freq-core",'제외 후보'!AD904)),'선정 규칙'!$B$20,0)</x:f>
        <x:v>0</x:v>
      </x:c>
      <x:c r="I904" s="11" t="n">
        <x:f>IF(ISNUMBER(SEARCH("weak_legacy_content",'제외 후보'!P904)),'선정 규칙'!$B$21,0)</x:f>
        <x:v>0</x:v>
      </x:c>
      <x:c r="J904" s="11" t="n">
        <x:f>IF('제외 후보'!AC904&lt;&gt;"",'선정 규칙'!$B$22,0)</x:f>
        <x:v>0</x:v>
      </x:c>
      <x:c r="K904" s="11" t="n">
        <x:f>SUM(B904:J904)</x:f>
        <x:v>0</x:v>
      </x:c>
      <x:c r="L904" s="11" t="n">
        <x:f>'제외 후보'!N904</x:f>
        <x:v>0</x:v>
      </x:c>
      <x:c r="M904" s="2" t="str">
        <x:f>IF(K904=L904,"OK","MISMATCH")</x:f>
        <x:v>OK</x:v>
      </x:c>
    </x:row>
    <x:row r="905">
      <x:c r="A905" s="2" t="str">
        <x:f>'제외 후보'!G905</x:f>
        <x:v>w_ad3291b74df870f2</x:v>
      </x:c>
      <x:c r="B905" s="11" t="n">
        <x:f>IF('제외 후보'!Q905&lt;&gt;"",'선정 규칙'!$B$4,0)</x:f>
        <x:v>0</x:v>
      </x:c>
      <x:c r="C905" s="11" t="n">
        <x:f>IF(ISNUMBER(SEARCH("jmdict_uncommon_or_irregular",'제외 후보'!P905)),'선정 규칙'!$B$5,IF(ISNUMBER(SEARCH("jmdict_rare_or_dated",'제외 후보'!P905)),'선정 규칙'!$B$6,0))</x:f>
        <x:v>0</x:v>
      </x:c>
      <x:c r="D905" s="11" t="n">
        <x:f>IF(ISNUMBER(SEARCH("jmdict_exact_pair_not_found",'제외 후보'!P905)),'선정 규칙'!$B$7,0)</x:f>
        <x:v>0</x:v>
      </x:c>
      <x:c r="E905" s="11" t="n">
        <x:f>IF(OR('제외 후보'!L905="",'제외 후보'!L905&lt;=0),'선정 규칙'!$B$8,IF('제외 후보'!L905&lt;=1.5,'선정 규칙'!$B$9,IF('제외 후보'!L905&lt;=2,'선정 규칙'!$B$10,IF('제외 후보'!L905&lt;=2.5,'선정 규칙'!$B$11,IF('제외 후보'!L905&lt;=3,'선정 규칙'!$B$12,IF('제외 후보'!L905&lt;=3.5,'선정 규칙'!$B$13,IF('제외 후보'!L905&gt;=4.5,'선정 규칙'!$B$14,0)))))))</x:f>
        <x:v>6</x:v>
      </x:c>
      <x:c r="F905" s="11" t="n">
        <x:f>IF('제외 후보'!Y905=0,'선정 규칙'!$B$15,IF('제외 후보'!Y905&gt;=100,'선정 규칙'!$B$16,'선정 규칙'!$B$17))</x:f>
        <x:v>-12</x:v>
      </x:c>
      <x:c r="G905" s="11" t="n">
        <x:f>IF('제외 후보'!M905="있음",'선정 규칙'!$B$18,'선정 규칙'!$B$19)</x:f>
        <x:v>6</x:v>
      </x:c>
      <x:c r="H905" s="11" t="n">
        <x:f>IF(ISNUMBER(SEARCH("freq-core",'제외 후보'!AD905)),'선정 규칙'!$B$20,0)</x:f>
        <x:v>0</x:v>
      </x:c>
      <x:c r="I905" s="11" t="n">
        <x:f>IF(ISNUMBER(SEARCH("weak_legacy_content",'제외 후보'!P905)),'선정 규칙'!$B$21,0)</x:f>
        <x:v>0</x:v>
      </x:c>
      <x:c r="J905" s="11" t="n">
        <x:f>IF('제외 후보'!AC905&lt;&gt;"",'선정 규칙'!$B$22,0)</x:f>
        <x:v>0</x:v>
      </x:c>
      <x:c r="K905" s="11" t="n">
        <x:f>SUM(B905:J905)</x:f>
        <x:v>0</x:v>
      </x:c>
      <x:c r="L905" s="11" t="n">
        <x:f>'제외 후보'!N905</x:f>
        <x:v>0</x:v>
      </x:c>
      <x:c r="M905" s="2" t="str">
        <x:f>IF(K905=L905,"OK","MISMATCH")</x:f>
        <x:v>OK</x:v>
      </x:c>
    </x:row>
    <x:row r="906">
      <x:c r="A906" s="2" t="str">
        <x:f>'제외 후보'!G906</x:f>
        <x:v>w_0b04688fd6bb90a0</x:v>
      </x:c>
      <x:c r="B906" s="11" t="n">
        <x:f>IF('제외 후보'!Q906&lt;&gt;"",'선정 규칙'!$B$4,0)</x:f>
        <x:v>0</x:v>
      </x:c>
      <x:c r="C906" s="11" t="n">
        <x:f>IF(ISNUMBER(SEARCH("jmdict_uncommon_or_irregular",'제외 후보'!P906)),'선정 규칙'!$B$5,IF(ISNUMBER(SEARCH("jmdict_rare_or_dated",'제외 후보'!P906)),'선정 규칙'!$B$6,0))</x:f>
        <x:v>0</x:v>
      </x:c>
      <x:c r="D906" s="11" t="n">
        <x:f>IF(ISNUMBER(SEARCH("jmdict_exact_pair_not_found",'제외 후보'!P906)),'선정 규칙'!$B$7,0)</x:f>
        <x:v>0</x:v>
      </x:c>
      <x:c r="E906" s="11" t="n">
        <x:f>IF(OR('제외 후보'!L906="",'제외 후보'!L906&lt;=0),'선정 규칙'!$B$8,IF('제외 후보'!L906&lt;=1.5,'선정 규칙'!$B$9,IF('제외 후보'!L906&lt;=2,'선정 규칙'!$B$10,IF('제외 후보'!L906&lt;=2.5,'선정 규칙'!$B$11,IF('제외 후보'!L906&lt;=3,'선정 규칙'!$B$12,IF('제외 후보'!L906&lt;=3.5,'선정 규칙'!$B$13,IF('제외 후보'!L906&gt;=4.5,'선정 규칙'!$B$14,0)))))))</x:f>
        <x:v>12</x:v>
      </x:c>
      <x:c r="F906" s="11" t="n">
        <x:f>IF('제외 후보'!Y906=0,'선정 규칙'!$B$15,IF('제외 후보'!Y906&gt;=100,'선정 규칙'!$B$16,'선정 규칙'!$B$17))</x:f>
        <x:v>12</x:v>
      </x:c>
      <x:c r="G906" s="11" t="n">
        <x:f>IF('제외 후보'!M906="있음",'선정 규칙'!$B$18,'선정 규칙'!$B$19)</x:f>
        <x:v>-25</x:v>
      </x:c>
      <x:c r="H906" s="11" t="n">
        <x:f>IF(ISNUMBER(SEARCH("freq-core",'제외 후보'!AD906)),'선정 규칙'!$B$20,0)</x:f>
        <x:v>0</x:v>
      </x:c>
      <x:c r="I906" s="11" t="n">
        <x:f>IF(ISNUMBER(SEARCH("weak_legacy_content",'제외 후보'!P906)),'선정 규칙'!$B$21,0)</x:f>
        <x:v>0</x:v>
      </x:c>
      <x:c r="J906" s="11" t="n">
        <x:f>IF('제외 후보'!AC906&lt;&gt;"",'선정 규칙'!$B$22,0)</x:f>
        <x:v>0</x:v>
      </x:c>
      <x:c r="K906" s="11" t="n">
        <x:f>SUM(B906:J906)</x:f>
        <x:v>-1</x:v>
      </x:c>
      <x:c r="L906" s="11" t="n">
        <x:f>'제외 후보'!N906</x:f>
        <x:v>-1</x:v>
      </x:c>
      <x:c r="M906" s="2" t="str">
        <x:f>IF(K906=L906,"OK","MISMATCH")</x:f>
        <x:v>OK</x:v>
      </x:c>
    </x:row>
    <x:row r="907">
      <x:c r="A907" s="2" t="str">
        <x:f>'제외 후보'!G907</x:f>
        <x:v>w_d7cc90918debafeb</x:v>
      </x:c>
      <x:c r="B907" s="11" t="n">
        <x:f>IF('제외 후보'!Q907&lt;&gt;"",'선정 규칙'!$B$4,0)</x:f>
        <x:v>0</x:v>
      </x:c>
      <x:c r="C907" s="11" t="n">
        <x:f>IF(ISNUMBER(SEARCH("jmdict_uncommon_or_irregular",'제외 후보'!P907)),'선정 규칙'!$B$5,IF(ISNUMBER(SEARCH("jmdict_rare_or_dated",'제외 후보'!P907)),'선정 규칙'!$B$6,0))</x:f>
        <x:v>0</x:v>
      </x:c>
      <x:c r="D907" s="11" t="n">
        <x:f>IF(ISNUMBER(SEARCH("jmdict_exact_pair_not_found",'제외 후보'!P907)),'선정 규칙'!$B$7,0)</x:f>
        <x:v>0</x:v>
      </x:c>
      <x:c r="E907" s="11" t="n">
        <x:f>IF(OR('제외 후보'!L907="",'제외 후보'!L907&lt;=0),'선정 규칙'!$B$8,IF('제외 후보'!L907&lt;=1.5,'선정 규칙'!$B$9,IF('제외 후보'!L907&lt;=2,'선정 규칙'!$B$10,IF('제외 후보'!L907&lt;=2.5,'선정 규칙'!$B$11,IF('제외 후보'!L907&lt;=3,'선정 규칙'!$B$12,IF('제외 후보'!L907&lt;=3.5,'선정 규칙'!$B$13,IF('제외 후보'!L907&gt;=4.5,'선정 규칙'!$B$14,0)))))))</x:f>
        <x:v>12</x:v>
      </x:c>
      <x:c r="F907" s="11" t="n">
        <x:f>IF('제외 후보'!Y907=0,'선정 규칙'!$B$15,IF('제외 후보'!Y907&gt;=100,'선정 규칙'!$B$16,'선정 규칙'!$B$17))</x:f>
        <x:v>12</x:v>
      </x:c>
      <x:c r="G907" s="11" t="n">
        <x:f>IF('제외 후보'!M907="있음",'선정 규칙'!$B$18,'선정 규칙'!$B$19)</x:f>
        <x:v>-25</x:v>
      </x:c>
      <x:c r="H907" s="11" t="n">
        <x:f>IF(ISNUMBER(SEARCH("freq-core",'제외 후보'!AD907)),'선정 규칙'!$B$20,0)</x:f>
        <x:v>0</x:v>
      </x:c>
      <x:c r="I907" s="11" t="n">
        <x:f>IF(ISNUMBER(SEARCH("weak_legacy_content",'제외 후보'!P907)),'선정 규칙'!$B$21,0)</x:f>
        <x:v>0</x:v>
      </x:c>
      <x:c r="J907" s="11" t="n">
        <x:f>IF('제외 후보'!AC907&lt;&gt;"",'선정 규칙'!$B$22,0)</x:f>
        <x:v>0</x:v>
      </x:c>
      <x:c r="K907" s="11" t="n">
        <x:f>SUM(B907:J907)</x:f>
        <x:v>-1</x:v>
      </x:c>
      <x:c r="L907" s="11" t="n">
        <x:f>'제외 후보'!N907</x:f>
        <x:v>-1</x:v>
      </x:c>
      <x:c r="M907" s="2" t="str">
        <x:f>IF(K907=L907,"OK","MISMATCH")</x:f>
        <x:v>OK</x:v>
      </x:c>
    </x:row>
    <x:row r="908">
      <x:c r="A908" s="2" t="str">
        <x:f>'제외 후보'!G908</x:f>
        <x:v>w_ad8454d8b7b89e27</x:v>
      </x:c>
      <x:c r="B908" s="11" t="n">
        <x:f>IF('제외 후보'!Q908&lt;&gt;"",'선정 규칙'!$B$4,0)</x:f>
        <x:v>0</x:v>
      </x:c>
      <x:c r="C908" s="11" t="n">
        <x:f>IF(ISNUMBER(SEARCH("jmdict_uncommon_or_irregular",'제외 후보'!P908)),'선정 규칙'!$B$5,IF(ISNUMBER(SEARCH("jmdict_rare_or_dated",'제외 후보'!P908)),'선정 규칙'!$B$6,0))</x:f>
        <x:v>0</x:v>
      </x:c>
      <x:c r="D908" s="11" t="n">
        <x:f>IF(ISNUMBER(SEARCH("jmdict_exact_pair_not_found",'제외 후보'!P908)),'선정 규칙'!$B$7,0)</x:f>
        <x:v>0</x:v>
      </x:c>
      <x:c r="E908" s="11" t="n">
        <x:f>IF(OR('제외 후보'!L908="",'제외 후보'!L908&lt;=0),'선정 규칙'!$B$8,IF('제외 후보'!L908&lt;=1.5,'선정 규칙'!$B$9,IF('제외 후보'!L908&lt;=2,'선정 규칙'!$B$10,IF('제외 후보'!L908&lt;=2.5,'선정 규칙'!$B$11,IF('제외 후보'!L908&lt;=3,'선정 규칙'!$B$12,IF('제외 후보'!L908&lt;=3.5,'선정 규칙'!$B$13,IF('제외 후보'!L908&gt;=4.5,'선정 규칙'!$B$14,0)))))))</x:f>
        <x:v>12</x:v>
      </x:c>
      <x:c r="F908" s="11" t="n">
        <x:f>IF('제외 후보'!Y908=0,'선정 규칙'!$B$15,IF('제외 후보'!Y908&gt;=100,'선정 규칙'!$B$16,'선정 규칙'!$B$17))</x:f>
        <x:v>12</x:v>
      </x:c>
      <x:c r="G908" s="11" t="n">
        <x:f>IF('제외 후보'!M908="있음",'선정 규칙'!$B$18,'선정 규칙'!$B$19)</x:f>
        <x:v>-25</x:v>
      </x:c>
      <x:c r="H908" s="11" t="n">
        <x:f>IF(ISNUMBER(SEARCH("freq-core",'제외 후보'!AD908)),'선정 규칙'!$B$20,0)</x:f>
        <x:v>0</x:v>
      </x:c>
      <x:c r="I908" s="11" t="n">
        <x:f>IF(ISNUMBER(SEARCH("weak_legacy_content",'제외 후보'!P908)),'선정 규칙'!$B$21,0)</x:f>
        <x:v>0</x:v>
      </x:c>
      <x:c r="J908" s="11" t="n">
        <x:f>IF('제외 후보'!AC908&lt;&gt;"",'선정 규칙'!$B$22,0)</x:f>
        <x:v>0</x:v>
      </x:c>
      <x:c r="K908" s="11" t="n">
        <x:f>SUM(B908:J908)</x:f>
        <x:v>-1</x:v>
      </x:c>
      <x:c r="L908" s="11" t="n">
        <x:f>'제외 후보'!N908</x:f>
        <x:v>-1</x:v>
      </x:c>
      <x:c r="M908" s="2" t="str">
        <x:f>IF(K908=L908,"OK","MISMATCH")</x:f>
        <x:v>OK</x:v>
      </x:c>
    </x:row>
    <x:row r="909">
      <x:c r="A909" s="2" t="str">
        <x:f>'제외 후보'!G909</x:f>
        <x:v>w_7ea1acd07319c07b</x:v>
      </x:c>
      <x:c r="B909" s="11" t="n">
        <x:f>IF('제외 후보'!Q909&lt;&gt;"",'선정 규칙'!$B$4,0)</x:f>
        <x:v>0</x:v>
      </x:c>
      <x:c r="C909" s="11" t="n">
        <x:f>IF(ISNUMBER(SEARCH("jmdict_uncommon_or_irregular",'제외 후보'!P909)),'선정 규칙'!$B$5,IF(ISNUMBER(SEARCH("jmdict_rare_or_dated",'제외 후보'!P909)),'선정 규칙'!$B$6,0))</x:f>
        <x:v>0</x:v>
      </x:c>
      <x:c r="D909" s="11" t="n">
        <x:f>IF(ISNUMBER(SEARCH("jmdict_exact_pair_not_found",'제외 후보'!P909)),'선정 규칙'!$B$7,0)</x:f>
        <x:v>0</x:v>
      </x:c>
      <x:c r="E909" s="11" t="n">
        <x:f>IF(OR('제외 후보'!L909="",'제외 후보'!L909&lt;=0),'선정 규칙'!$B$8,IF('제외 후보'!L909&lt;=1.5,'선정 규칙'!$B$9,IF('제외 후보'!L909&lt;=2,'선정 규칙'!$B$10,IF('제외 후보'!L909&lt;=2.5,'선정 규칙'!$B$11,IF('제외 후보'!L909&lt;=3,'선정 규칙'!$B$12,IF('제외 후보'!L909&lt;=3.5,'선정 규칙'!$B$13,IF('제외 후보'!L909&gt;=4.5,'선정 규칙'!$B$14,0)))))))</x:f>
        <x:v>0</x:v>
      </x:c>
      <x:c r="F909" s="11" t="n">
        <x:f>IF('제외 후보'!Y909=0,'선정 규칙'!$B$15,IF('제외 후보'!Y909&gt;=100,'선정 규칙'!$B$16,'선정 규칙'!$B$17))</x:f>
        <x:v>-12</x:v>
      </x:c>
      <x:c r="G909" s="11" t="n">
        <x:f>IF('제외 후보'!M909="있음",'선정 규칙'!$B$18,'선정 규칙'!$B$19)</x:f>
        <x:v>6</x:v>
      </x:c>
      <x:c r="H909" s="11" t="n">
        <x:f>IF(ISNUMBER(SEARCH("freq-core",'제외 후보'!AD909)),'선정 규칙'!$B$20,0)</x:f>
        <x:v>0</x:v>
      </x:c>
      <x:c r="I909" s="11" t="n">
        <x:f>IF(ISNUMBER(SEARCH("weak_legacy_content",'제외 후보'!P909)),'선정 규칙'!$B$21,0)</x:f>
        <x:v>5</x:v>
      </x:c>
      <x:c r="J909" s="11" t="n">
        <x:f>IF('제외 후보'!AC909&lt;&gt;"",'선정 규칙'!$B$22,0)</x:f>
        <x:v>0</x:v>
      </x:c>
      <x:c r="K909" s="11" t="n">
        <x:f>SUM(B909:J909)</x:f>
        <x:v>-1</x:v>
      </x:c>
      <x:c r="L909" s="11" t="n">
        <x:f>'제외 후보'!N909</x:f>
        <x:v>-1</x:v>
      </x:c>
      <x:c r="M909" s="2" t="str">
        <x:f>IF(K909=L909,"OK","MISMATCH")</x:f>
        <x:v>OK</x:v>
      </x:c>
    </x:row>
    <x:row r="910">
      <x:c r="A910" s="2" t="str">
        <x:f>'제외 후보'!G910</x:f>
        <x:v>w_b0f4bce3104bf1ab</x:v>
      </x:c>
      <x:c r="B910" s="11" t="n">
        <x:f>IF('제외 후보'!Q910&lt;&gt;"",'선정 규칙'!$B$4,0)</x:f>
        <x:v>0</x:v>
      </x:c>
      <x:c r="C910" s="11" t="n">
        <x:f>IF(ISNUMBER(SEARCH("jmdict_uncommon_or_irregular",'제외 후보'!P910)),'선정 규칙'!$B$5,IF(ISNUMBER(SEARCH("jmdict_rare_or_dated",'제외 후보'!P910)),'선정 규칙'!$B$6,0))</x:f>
        <x:v>0</x:v>
      </x:c>
      <x:c r="D910" s="11" t="n">
        <x:f>IF(ISNUMBER(SEARCH("jmdict_exact_pair_not_found",'제외 후보'!P910)),'선정 규칙'!$B$7,0)</x:f>
        <x:v>0</x:v>
      </x:c>
      <x:c r="E910" s="11" t="n">
        <x:f>IF(OR('제외 후보'!L910="",'제외 후보'!L910&lt;=0),'선정 규칙'!$B$8,IF('제외 후보'!L910&lt;=1.5,'선정 규칙'!$B$9,IF('제외 후보'!L910&lt;=2,'선정 규칙'!$B$10,IF('제외 후보'!L910&lt;=2.5,'선정 규칙'!$B$11,IF('제외 후보'!L910&lt;=3,'선정 규칙'!$B$12,IF('제외 후보'!L910&lt;=3.5,'선정 규칙'!$B$13,IF('제외 후보'!L910&gt;=4.5,'선정 규칙'!$B$14,0)))))))</x:f>
        <x:v>0</x:v>
      </x:c>
      <x:c r="F910" s="11" t="n">
        <x:f>IF('제외 후보'!Y910=0,'선정 규칙'!$B$15,IF('제외 후보'!Y910&gt;=100,'선정 규칙'!$B$16,'선정 규칙'!$B$17))</x:f>
        <x:v>-12</x:v>
      </x:c>
      <x:c r="G910" s="11" t="n">
        <x:f>IF('제외 후보'!M910="있음",'선정 규칙'!$B$18,'선정 규칙'!$B$19)</x:f>
        <x:v>6</x:v>
      </x:c>
      <x:c r="H910" s="11" t="n">
        <x:f>IF(ISNUMBER(SEARCH("freq-core",'제외 후보'!AD910)),'선정 규칙'!$B$20,0)</x:f>
        <x:v>0</x:v>
      </x:c>
      <x:c r="I910" s="11" t="n">
        <x:f>IF(ISNUMBER(SEARCH("weak_legacy_content",'제외 후보'!P910)),'선정 규칙'!$B$21,0)</x:f>
        <x:v>5</x:v>
      </x:c>
      <x:c r="J910" s="11" t="n">
        <x:f>IF('제외 후보'!AC910&lt;&gt;"",'선정 규칙'!$B$22,0)</x:f>
        <x:v>0</x:v>
      </x:c>
      <x:c r="K910" s="11" t="n">
        <x:f>SUM(B910:J910)</x:f>
        <x:v>-1</x:v>
      </x:c>
      <x:c r="L910" s="11" t="n">
        <x:f>'제외 후보'!N910</x:f>
        <x:v>-1</x:v>
      </x:c>
      <x:c r="M910" s="2" t="str">
        <x:f>IF(K910=L910,"OK","MISMATCH")</x:f>
        <x:v>OK</x:v>
      </x:c>
    </x:row>
    <x:row r="911">
      <x:c r="A911" s="2" t="str">
        <x:f>'제외 후보'!G911</x:f>
        <x:v>w_f5c412b586dc076e</x:v>
      </x:c>
      <x:c r="B911" s="11" t="n">
        <x:f>IF('제외 후보'!Q911&lt;&gt;"",'선정 규칙'!$B$4,0)</x:f>
        <x:v>0</x:v>
      </x:c>
      <x:c r="C911" s="11" t="n">
        <x:f>IF(ISNUMBER(SEARCH("jmdict_uncommon_or_irregular",'제외 후보'!P911)),'선정 규칙'!$B$5,IF(ISNUMBER(SEARCH("jmdict_rare_or_dated",'제외 후보'!P911)),'선정 규칙'!$B$6,0))</x:f>
        <x:v>0</x:v>
      </x:c>
      <x:c r="D911" s="11" t="n">
        <x:f>IF(ISNUMBER(SEARCH("jmdict_exact_pair_not_found",'제외 후보'!P911)),'선정 규칙'!$B$7,0)</x:f>
        <x:v>0</x:v>
      </x:c>
      <x:c r="E911" s="11" t="n">
        <x:f>IF(OR('제외 후보'!L911="",'제외 후보'!L911&lt;=0),'선정 규칙'!$B$8,IF('제외 후보'!L911&lt;=1.5,'선정 규칙'!$B$9,IF('제외 후보'!L911&lt;=2,'선정 규칙'!$B$10,IF('제외 후보'!L911&lt;=2.5,'선정 규칙'!$B$11,IF('제외 후보'!L911&lt;=3,'선정 규칙'!$B$12,IF('제외 후보'!L911&lt;=3.5,'선정 규칙'!$B$13,IF('제외 후보'!L911&gt;=4.5,'선정 규칙'!$B$14,0)))))))</x:f>
        <x:v>0</x:v>
      </x:c>
      <x:c r="F911" s="11" t="n">
        <x:f>IF('제외 후보'!Y911=0,'선정 규칙'!$B$15,IF('제외 후보'!Y911&gt;=100,'선정 규칙'!$B$16,'선정 규칙'!$B$17))</x:f>
        <x:v>-12</x:v>
      </x:c>
      <x:c r="G911" s="11" t="n">
        <x:f>IF('제외 후보'!M911="있음",'선정 규칙'!$B$18,'선정 규칙'!$B$19)</x:f>
        <x:v>6</x:v>
      </x:c>
      <x:c r="H911" s="11" t="n">
        <x:f>IF(ISNUMBER(SEARCH("freq-core",'제외 후보'!AD911)),'선정 규칙'!$B$20,0)</x:f>
        <x:v>0</x:v>
      </x:c>
      <x:c r="I911" s="11" t="n">
        <x:f>IF(ISNUMBER(SEARCH("weak_legacy_content",'제외 후보'!P911)),'선정 규칙'!$B$21,0)</x:f>
        <x:v>5</x:v>
      </x:c>
      <x:c r="J911" s="11" t="n">
        <x:f>IF('제외 후보'!AC911&lt;&gt;"",'선정 규칙'!$B$22,0)</x:f>
        <x:v>0</x:v>
      </x:c>
      <x:c r="K911" s="11" t="n">
        <x:f>SUM(B911:J911)</x:f>
        <x:v>-1</x:v>
      </x:c>
      <x:c r="L911" s="11" t="n">
        <x:f>'제외 후보'!N911</x:f>
        <x:v>-1</x:v>
      </x:c>
      <x:c r="M911" s="2" t="str">
        <x:f>IF(K911=L911,"OK","MISMATCH")</x:f>
        <x:v>OK</x:v>
      </x:c>
    </x:row>
    <x:row r="912">
      <x:c r="A912" s="2" t="str">
        <x:f>'제외 후보'!G912</x:f>
        <x:v>w_0d2e035038fd2112</x:v>
      </x:c>
      <x:c r="B912" s="11" t="n">
        <x:f>IF('제외 후보'!Q912&lt;&gt;"",'선정 규칙'!$B$4,0)</x:f>
        <x:v>0</x:v>
      </x:c>
      <x:c r="C912" s="11" t="n">
        <x:f>IF(ISNUMBER(SEARCH("jmdict_uncommon_or_irregular",'제외 후보'!P912)),'선정 규칙'!$B$5,IF(ISNUMBER(SEARCH("jmdict_rare_or_dated",'제외 후보'!P912)),'선정 규칙'!$B$6,0))</x:f>
        <x:v>0</x:v>
      </x:c>
      <x:c r="D912" s="11" t="n">
        <x:f>IF(ISNUMBER(SEARCH("jmdict_exact_pair_not_found",'제외 후보'!P912)),'선정 규칙'!$B$7,0)</x:f>
        <x:v>0</x:v>
      </x:c>
      <x:c r="E912" s="11" t="n">
        <x:f>IF(OR('제외 후보'!L912="",'제외 후보'!L912&lt;=0),'선정 규칙'!$B$8,IF('제외 후보'!L912&lt;=1.5,'선정 규칙'!$B$9,IF('제외 후보'!L912&lt;=2,'선정 규칙'!$B$10,IF('제외 후보'!L912&lt;=2.5,'선정 규칙'!$B$11,IF('제외 후보'!L912&lt;=3,'선정 규칙'!$B$12,IF('제외 후보'!L912&lt;=3.5,'선정 규칙'!$B$13,IF('제외 후보'!L912&gt;=4.5,'선정 규칙'!$B$14,0)))))))</x:f>
        <x:v>0</x:v>
      </x:c>
      <x:c r="F912" s="11" t="n">
        <x:f>IF('제외 후보'!Y912=0,'선정 규칙'!$B$15,IF('제외 후보'!Y912&gt;=100,'선정 규칙'!$B$16,'선정 규칙'!$B$17))</x:f>
        <x:v>-12</x:v>
      </x:c>
      <x:c r="G912" s="11" t="n">
        <x:f>IF('제외 후보'!M912="있음",'선정 규칙'!$B$18,'선정 규칙'!$B$19)</x:f>
        <x:v>6</x:v>
      </x:c>
      <x:c r="H912" s="11" t="n">
        <x:f>IF(ISNUMBER(SEARCH("freq-core",'제외 후보'!AD912)),'선정 규칙'!$B$20,0)</x:f>
        <x:v>0</x:v>
      </x:c>
      <x:c r="I912" s="11" t="n">
        <x:f>IF(ISNUMBER(SEARCH("weak_legacy_content",'제외 후보'!P912)),'선정 규칙'!$B$21,0)</x:f>
        <x:v>5</x:v>
      </x:c>
      <x:c r="J912" s="11" t="n">
        <x:f>IF('제외 후보'!AC912&lt;&gt;"",'선정 규칙'!$B$22,0)</x:f>
        <x:v>0</x:v>
      </x:c>
      <x:c r="K912" s="11" t="n">
        <x:f>SUM(B912:J912)</x:f>
        <x:v>-1</x:v>
      </x:c>
      <x:c r="L912" s="11" t="n">
        <x:f>'제외 후보'!N912</x:f>
        <x:v>-1</x:v>
      </x:c>
      <x:c r="M912" s="2" t="str">
        <x:f>IF(K912=L912,"OK","MISMATCH")</x:f>
        <x:v>OK</x:v>
      </x:c>
    </x:row>
    <x:row r="913">
      <x:c r="A913" s="2" t="str">
        <x:f>'제외 후보'!G913</x:f>
        <x:v>w_f90dd87cee0db62b</x:v>
      </x:c>
      <x:c r="B913" s="11" t="n">
        <x:f>IF('제외 후보'!Q913&lt;&gt;"",'선정 규칙'!$B$4,0)</x:f>
        <x:v>0</x:v>
      </x:c>
      <x:c r="C913" s="11" t="n">
        <x:f>IF(ISNUMBER(SEARCH("jmdict_uncommon_or_irregular",'제외 후보'!P913)),'선정 규칙'!$B$5,IF(ISNUMBER(SEARCH("jmdict_rare_or_dated",'제외 후보'!P913)),'선정 규칙'!$B$6,0))</x:f>
        <x:v>0</x:v>
      </x:c>
      <x:c r="D913" s="11" t="n">
        <x:f>IF(ISNUMBER(SEARCH("jmdict_exact_pair_not_found",'제외 후보'!P913)),'선정 규칙'!$B$7,0)</x:f>
        <x:v>0</x:v>
      </x:c>
      <x:c r="E913" s="11" t="n">
        <x:f>IF(OR('제외 후보'!L913="",'제외 후보'!L913&lt;=0),'선정 규칙'!$B$8,IF('제외 후보'!L913&lt;=1.5,'선정 규칙'!$B$9,IF('제외 후보'!L913&lt;=2,'선정 규칙'!$B$10,IF('제외 후보'!L913&lt;=2.5,'선정 규칙'!$B$11,IF('제외 후보'!L913&lt;=3,'선정 규칙'!$B$12,IF('제외 후보'!L913&lt;=3.5,'선정 규칙'!$B$13,IF('제외 후보'!L913&gt;=4.5,'선정 규칙'!$B$14,0)))))))</x:f>
        <x:v>0</x:v>
      </x:c>
      <x:c r="F913" s="11" t="n">
        <x:f>IF('제외 후보'!Y913=0,'선정 규칙'!$B$15,IF('제외 후보'!Y913&gt;=100,'선정 규칙'!$B$16,'선정 규칙'!$B$17))</x:f>
        <x:v>-12</x:v>
      </x:c>
      <x:c r="G913" s="11" t="n">
        <x:f>IF('제외 후보'!M913="있음",'선정 규칙'!$B$18,'선정 규칙'!$B$19)</x:f>
        <x:v>6</x:v>
      </x:c>
      <x:c r="H913" s="11" t="n">
        <x:f>IF(ISNUMBER(SEARCH("freq-core",'제외 후보'!AD913)),'선정 규칙'!$B$20,0)</x:f>
        <x:v>0</x:v>
      </x:c>
      <x:c r="I913" s="11" t="n">
        <x:f>IF(ISNUMBER(SEARCH("weak_legacy_content",'제외 후보'!P913)),'선정 규칙'!$B$21,0)</x:f>
        <x:v>5</x:v>
      </x:c>
      <x:c r="J913" s="11" t="n">
        <x:f>IF('제외 후보'!AC913&lt;&gt;"",'선정 규칙'!$B$22,0)</x:f>
        <x:v>0</x:v>
      </x:c>
      <x:c r="K913" s="11" t="n">
        <x:f>SUM(B913:J913)</x:f>
        <x:v>-1</x:v>
      </x:c>
      <x:c r="L913" s="11" t="n">
        <x:f>'제외 후보'!N913</x:f>
        <x:v>-1</x:v>
      </x:c>
      <x:c r="M913" s="2" t="str">
        <x:f>IF(K913=L913,"OK","MISMATCH")</x:f>
        <x:v>OK</x:v>
      </x:c>
    </x:row>
    <x:row r="914">
      <x:c r="A914" s="2" t="str">
        <x:f>'제외 후보'!G914</x:f>
        <x:v>w_fde1cf586d8156ad</x:v>
      </x:c>
      <x:c r="B914" s="11" t="n">
        <x:f>IF('제외 후보'!Q914&lt;&gt;"",'선정 규칙'!$B$4,0)</x:f>
        <x:v>0</x:v>
      </x:c>
      <x:c r="C914" s="11" t="n">
        <x:f>IF(ISNUMBER(SEARCH("jmdict_uncommon_or_irregular",'제외 후보'!P914)),'선정 규칙'!$B$5,IF(ISNUMBER(SEARCH("jmdict_rare_or_dated",'제외 후보'!P914)),'선정 규칙'!$B$6,0))</x:f>
        <x:v>0</x:v>
      </x:c>
      <x:c r="D914" s="11" t="n">
        <x:f>IF(ISNUMBER(SEARCH("jmdict_exact_pair_not_found",'제외 후보'!P914)),'선정 규칙'!$B$7,0)</x:f>
        <x:v>0</x:v>
      </x:c>
      <x:c r="E914" s="11" t="n">
        <x:f>IF(OR('제외 후보'!L914="",'제외 후보'!L914&lt;=0),'선정 규칙'!$B$8,IF('제외 후보'!L914&lt;=1.5,'선정 규칙'!$B$9,IF('제외 후보'!L914&lt;=2,'선정 규칙'!$B$10,IF('제외 후보'!L914&lt;=2.5,'선정 규칙'!$B$11,IF('제외 후보'!L914&lt;=3,'선정 규칙'!$B$12,IF('제외 후보'!L914&lt;=3.5,'선정 규칙'!$B$13,IF('제외 후보'!L914&gt;=4.5,'선정 규칙'!$B$14,0)))))))</x:f>
        <x:v>0</x:v>
      </x:c>
      <x:c r="F914" s="11" t="n">
        <x:f>IF('제외 후보'!Y914=0,'선정 규칙'!$B$15,IF('제외 후보'!Y914&gt;=100,'선정 규칙'!$B$16,'선정 규칙'!$B$17))</x:f>
        <x:v>-12</x:v>
      </x:c>
      <x:c r="G914" s="11" t="n">
        <x:f>IF('제외 후보'!M914="있음",'선정 규칙'!$B$18,'선정 규칙'!$B$19)</x:f>
        <x:v>6</x:v>
      </x:c>
      <x:c r="H914" s="11" t="n">
        <x:f>IF(ISNUMBER(SEARCH("freq-core",'제외 후보'!AD914)),'선정 규칙'!$B$20,0)</x:f>
        <x:v>0</x:v>
      </x:c>
      <x:c r="I914" s="11" t="n">
        <x:f>IF(ISNUMBER(SEARCH("weak_legacy_content",'제외 후보'!P914)),'선정 규칙'!$B$21,0)</x:f>
        <x:v>5</x:v>
      </x:c>
      <x:c r="J914" s="11" t="n">
        <x:f>IF('제외 후보'!AC914&lt;&gt;"",'선정 규칙'!$B$22,0)</x:f>
        <x:v>0</x:v>
      </x:c>
      <x:c r="K914" s="11" t="n">
        <x:f>SUM(B914:J914)</x:f>
        <x:v>-1</x:v>
      </x:c>
      <x:c r="L914" s="11" t="n">
        <x:f>'제외 후보'!N914</x:f>
        <x:v>-1</x:v>
      </x:c>
      <x:c r="M914" s="2" t="str">
        <x:f>IF(K914=L914,"OK","MISMATCH")</x:f>
        <x:v>OK</x:v>
      </x:c>
    </x:row>
    <x:row r="915">
      <x:c r="A915" s="2" t="str">
        <x:f>'제외 후보'!G915</x:f>
        <x:v>w_5c130639fffef704</x:v>
      </x:c>
      <x:c r="B915" s="11" t="n">
        <x:f>IF('제외 후보'!Q915&lt;&gt;"",'선정 규칙'!$B$4,0)</x:f>
        <x:v>0</x:v>
      </x:c>
      <x:c r="C915" s="11" t="n">
        <x:f>IF(ISNUMBER(SEARCH("jmdict_uncommon_or_irregular",'제외 후보'!P915)),'선정 규칙'!$B$5,IF(ISNUMBER(SEARCH("jmdict_rare_or_dated",'제외 후보'!P915)),'선정 규칙'!$B$6,0))</x:f>
        <x:v>0</x:v>
      </x:c>
      <x:c r="D915" s="11" t="n">
        <x:f>IF(ISNUMBER(SEARCH("jmdict_exact_pair_not_found",'제외 후보'!P915)),'선정 규칙'!$B$7,0)</x:f>
        <x:v>0</x:v>
      </x:c>
      <x:c r="E915" s="11" t="n">
        <x:f>IF(OR('제외 후보'!L915="",'제외 후보'!L915&lt;=0),'선정 규칙'!$B$8,IF('제외 후보'!L915&lt;=1.5,'선정 규칙'!$B$9,IF('제외 후보'!L915&lt;=2,'선정 규칙'!$B$10,IF('제외 후보'!L915&lt;=2.5,'선정 규칙'!$B$11,IF('제외 후보'!L915&lt;=3,'선정 규칙'!$B$12,IF('제외 후보'!L915&lt;=3.5,'선정 규칙'!$B$13,IF('제외 후보'!L915&gt;=4.5,'선정 규칙'!$B$14,0)))))))</x:f>
        <x:v>0</x:v>
      </x:c>
      <x:c r="F915" s="11" t="n">
        <x:f>IF('제외 후보'!Y915=0,'선정 규칙'!$B$15,IF('제외 후보'!Y915&gt;=100,'선정 규칙'!$B$16,'선정 규칙'!$B$17))</x:f>
        <x:v>-12</x:v>
      </x:c>
      <x:c r="G915" s="11" t="n">
        <x:f>IF('제외 후보'!M915="있음",'선정 규칙'!$B$18,'선정 규칙'!$B$19)</x:f>
        <x:v>6</x:v>
      </x:c>
      <x:c r="H915" s="11" t="n">
        <x:f>IF(ISNUMBER(SEARCH("freq-core",'제외 후보'!AD915)),'선정 규칙'!$B$20,0)</x:f>
        <x:v>0</x:v>
      </x:c>
      <x:c r="I915" s="11" t="n">
        <x:f>IF(ISNUMBER(SEARCH("weak_legacy_content",'제외 후보'!P915)),'선정 규칙'!$B$21,0)</x:f>
        <x:v>5</x:v>
      </x:c>
      <x:c r="J915" s="11" t="n">
        <x:f>IF('제외 후보'!AC915&lt;&gt;"",'선정 규칙'!$B$22,0)</x:f>
        <x:v>0</x:v>
      </x:c>
      <x:c r="K915" s="11" t="n">
        <x:f>SUM(B915:J915)</x:f>
        <x:v>-1</x:v>
      </x:c>
      <x:c r="L915" s="11" t="n">
        <x:f>'제외 후보'!N915</x:f>
        <x:v>-1</x:v>
      </x:c>
      <x:c r="M915" s="2" t="str">
        <x:f>IF(K915=L915,"OK","MISMATCH")</x:f>
        <x:v>OK</x:v>
      </x:c>
    </x:row>
    <x:row r="916">
      <x:c r="A916" s="2" t="str">
        <x:f>'제외 후보'!G916</x:f>
        <x:v>w_74f7e87454f7a2e7</x:v>
      </x:c>
      <x:c r="B916" s="11" t="n">
        <x:f>IF('제외 후보'!Q916&lt;&gt;"",'선정 규칙'!$B$4,0)</x:f>
        <x:v>0</x:v>
      </x:c>
      <x:c r="C916" s="11" t="n">
        <x:f>IF(ISNUMBER(SEARCH("jmdict_uncommon_or_irregular",'제외 후보'!P916)),'선정 규칙'!$B$5,IF(ISNUMBER(SEARCH("jmdict_rare_or_dated",'제외 후보'!P916)),'선정 규칙'!$B$6,0))</x:f>
        <x:v>0</x:v>
      </x:c>
      <x:c r="D916" s="11" t="n">
        <x:f>IF(ISNUMBER(SEARCH("jmdict_exact_pair_not_found",'제외 후보'!P916)),'선정 규칙'!$B$7,0)</x:f>
        <x:v>0</x:v>
      </x:c>
      <x:c r="E916" s="11" t="n">
        <x:f>IF(OR('제외 후보'!L916="",'제외 후보'!L916&lt;=0),'선정 규칙'!$B$8,IF('제외 후보'!L916&lt;=1.5,'선정 규칙'!$B$9,IF('제외 후보'!L916&lt;=2,'선정 규칙'!$B$10,IF('제외 후보'!L916&lt;=2.5,'선정 규칙'!$B$11,IF('제외 후보'!L916&lt;=3,'선정 규칙'!$B$12,IF('제외 후보'!L916&lt;=3.5,'선정 규칙'!$B$13,IF('제외 후보'!L916&gt;=4.5,'선정 규칙'!$B$14,0)))))))</x:f>
        <x:v>0</x:v>
      </x:c>
      <x:c r="F916" s="11" t="n">
        <x:f>IF('제외 후보'!Y916=0,'선정 규칙'!$B$15,IF('제외 후보'!Y916&gt;=100,'선정 규칙'!$B$16,'선정 규칙'!$B$17))</x:f>
        <x:v>-12</x:v>
      </x:c>
      <x:c r="G916" s="11" t="n">
        <x:f>IF('제외 후보'!M916="있음",'선정 규칙'!$B$18,'선정 규칙'!$B$19)</x:f>
        <x:v>6</x:v>
      </x:c>
      <x:c r="H916" s="11" t="n">
        <x:f>IF(ISNUMBER(SEARCH("freq-core",'제외 후보'!AD916)),'선정 규칙'!$B$20,0)</x:f>
        <x:v>0</x:v>
      </x:c>
      <x:c r="I916" s="11" t="n">
        <x:f>IF(ISNUMBER(SEARCH("weak_legacy_content",'제외 후보'!P916)),'선정 규칙'!$B$21,0)</x:f>
        <x:v>5</x:v>
      </x:c>
      <x:c r="J916" s="11" t="n">
        <x:f>IF('제외 후보'!AC916&lt;&gt;"",'선정 규칙'!$B$22,0)</x:f>
        <x:v>0</x:v>
      </x:c>
      <x:c r="K916" s="11" t="n">
        <x:f>SUM(B916:J916)</x:f>
        <x:v>-1</x:v>
      </x:c>
      <x:c r="L916" s="11" t="n">
        <x:f>'제외 후보'!N916</x:f>
        <x:v>-1</x:v>
      </x:c>
      <x:c r="M916" s="2" t="str">
        <x:f>IF(K916=L916,"OK","MISMATCH")</x:f>
        <x:v>OK</x:v>
      </x:c>
    </x:row>
    <x:row r="917">
      <x:c r="A917" s="2" t="str">
        <x:f>'제외 후보'!G917</x:f>
        <x:v>w_5037789ccc936c97</x:v>
      </x:c>
      <x:c r="B917" s="11" t="n">
        <x:f>IF('제외 후보'!Q917&lt;&gt;"",'선정 규칙'!$B$4,0)</x:f>
        <x:v>0</x:v>
      </x:c>
      <x:c r="C917" s="11" t="n">
        <x:f>IF(ISNUMBER(SEARCH("jmdict_uncommon_or_irregular",'제외 후보'!P917)),'선정 규칙'!$B$5,IF(ISNUMBER(SEARCH("jmdict_rare_or_dated",'제외 후보'!P917)),'선정 규칙'!$B$6,0))</x:f>
        <x:v>0</x:v>
      </x:c>
      <x:c r="D917" s="11" t="n">
        <x:f>IF(ISNUMBER(SEARCH("jmdict_exact_pair_not_found",'제외 후보'!P917)),'선정 규칙'!$B$7,0)</x:f>
        <x:v>0</x:v>
      </x:c>
      <x:c r="E917" s="11" t="n">
        <x:f>IF(OR('제외 후보'!L917="",'제외 후보'!L917&lt;=0),'선정 규칙'!$B$8,IF('제외 후보'!L917&lt;=1.5,'선정 규칙'!$B$9,IF('제외 후보'!L917&lt;=2,'선정 규칙'!$B$10,IF('제외 후보'!L917&lt;=2.5,'선정 규칙'!$B$11,IF('제외 후보'!L917&lt;=3,'선정 규칙'!$B$12,IF('제외 후보'!L917&lt;=3.5,'선정 규칙'!$B$13,IF('제외 후보'!L917&gt;=4.5,'선정 규칙'!$B$14,0)))))))</x:f>
        <x:v>0</x:v>
      </x:c>
      <x:c r="F917" s="11" t="n">
        <x:f>IF('제외 후보'!Y917=0,'선정 규칙'!$B$15,IF('제외 후보'!Y917&gt;=100,'선정 규칙'!$B$16,'선정 규칙'!$B$17))</x:f>
        <x:v>-12</x:v>
      </x:c>
      <x:c r="G917" s="11" t="n">
        <x:f>IF('제외 후보'!M917="있음",'선정 규칙'!$B$18,'선정 규칙'!$B$19)</x:f>
        <x:v>6</x:v>
      </x:c>
      <x:c r="H917" s="11" t="n">
        <x:f>IF(ISNUMBER(SEARCH("freq-core",'제외 후보'!AD917)),'선정 규칙'!$B$20,0)</x:f>
        <x:v>0</x:v>
      </x:c>
      <x:c r="I917" s="11" t="n">
        <x:f>IF(ISNUMBER(SEARCH("weak_legacy_content",'제외 후보'!P917)),'선정 규칙'!$B$21,0)</x:f>
        <x:v>5</x:v>
      </x:c>
      <x:c r="J917" s="11" t="n">
        <x:f>IF('제외 후보'!AC917&lt;&gt;"",'선정 규칙'!$B$22,0)</x:f>
        <x:v>0</x:v>
      </x:c>
      <x:c r="K917" s="11" t="n">
        <x:f>SUM(B917:J917)</x:f>
        <x:v>-1</x:v>
      </x:c>
      <x:c r="L917" s="11" t="n">
        <x:f>'제외 후보'!N917</x:f>
        <x:v>-1</x:v>
      </x:c>
      <x:c r="M917" s="2" t="str">
        <x:f>IF(K917=L917,"OK","MISMATCH")</x:f>
        <x:v>OK</x:v>
      </x:c>
    </x:row>
    <x:row r="918">
      <x:c r="A918" s="2" t="str">
        <x:f>'제외 후보'!G918</x:f>
        <x:v>w_94e5e900e99061d0</x:v>
      </x:c>
      <x:c r="B918" s="11" t="n">
        <x:f>IF('제외 후보'!Q918&lt;&gt;"",'선정 규칙'!$B$4,0)</x:f>
        <x:v>0</x:v>
      </x:c>
      <x:c r="C918" s="11" t="n">
        <x:f>IF(ISNUMBER(SEARCH("jmdict_uncommon_or_irregular",'제외 후보'!P918)),'선정 규칙'!$B$5,IF(ISNUMBER(SEARCH("jmdict_rare_or_dated",'제외 후보'!P918)),'선정 규칙'!$B$6,0))</x:f>
        <x:v>0</x:v>
      </x:c>
      <x:c r="D918" s="11" t="n">
        <x:f>IF(ISNUMBER(SEARCH("jmdict_exact_pair_not_found",'제외 후보'!P918)),'선정 규칙'!$B$7,0)</x:f>
        <x:v>0</x:v>
      </x:c>
      <x:c r="E918" s="11" t="n">
        <x:f>IF(OR('제외 후보'!L918="",'제외 후보'!L918&lt;=0),'선정 규칙'!$B$8,IF('제외 후보'!L918&lt;=1.5,'선정 규칙'!$B$9,IF('제외 후보'!L918&lt;=2,'선정 규칙'!$B$10,IF('제외 후보'!L918&lt;=2.5,'선정 규칙'!$B$11,IF('제외 후보'!L918&lt;=3,'선정 규칙'!$B$12,IF('제외 후보'!L918&lt;=3.5,'선정 규칙'!$B$13,IF('제외 후보'!L918&gt;=4.5,'선정 규칙'!$B$14,0)))))))</x:f>
        <x:v>12</x:v>
      </x:c>
      <x:c r="F918" s="11" t="n">
        <x:f>IF('제외 후보'!Y918=0,'선정 규칙'!$B$15,IF('제외 후보'!Y918&gt;=100,'선정 규칙'!$B$16,'선정 규칙'!$B$17))</x:f>
        <x:v>-25</x:v>
      </x:c>
      <x:c r="G918" s="11" t="n">
        <x:f>IF('제외 후보'!M918="있음",'선정 규칙'!$B$18,'선정 규칙'!$B$19)</x:f>
        <x:v>6</x:v>
      </x:c>
      <x:c r="H918" s="11" t="n">
        <x:f>IF(ISNUMBER(SEARCH("freq-core",'제외 후보'!AD918)),'선정 규칙'!$B$20,0)</x:f>
        <x:v>0</x:v>
      </x:c>
      <x:c r="I918" s="11" t="n">
        <x:f>IF(ISNUMBER(SEARCH("weak_legacy_content",'제외 후보'!P918)),'선정 규칙'!$B$21,0)</x:f>
        <x:v>5</x:v>
      </x:c>
      <x:c r="J918" s="11" t="n">
        <x:f>IF('제외 후보'!AC918&lt;&gt;"",'선정 규칙'!$B$22,0)</x:f>
        <x:v>0</x:v>
      </x:c>
      <x:c r="K918" s="11" t="n">
        <x:f>SUM(B918:J918)</x:f>
        <x:v>-2</x:v>
      </x:c>
      <x:c r="L918" s="11" t="n">
        <x:f>'제외 후보'!N918</x:f>
        <x:v>-2</x:v>
      </x:c>
      <x:c r="M918" s="2" t="str">
        <x:f>IF(K918=L918,"OK","MISMATCH")</x:f>
        <x:v>OK</x:v>
      </x:c>
    </x:row>
    <x:row r="919">
      <x:c r="A919" s="2" t="str">
        <x:f>'제외 후보'!G919</x:f>
        <x:v>w_98ff2ee683f77e8d</x:v>
      </x:c>
      <x:c r="B919" s="11" t="n">
        <x:f>IF('제외 후보'!Q919&lt;&gt;"",'선정 규칙'!$B$4,0)</x:f>
        <x:v>0</x:v>
      </x:c>
      <x:c r="C919" s="11" t="n">
        <x:f>IF(ISNUMBER(SEARCH("jmdict_uncommon_or_irregular",'제외 후보'!P919)),'선정 규칙'!$B$5,IF(ISNUMBER(SEARCH("jmdict_rare_or_dated",'제외 후보'!P919)),'선정 규칙'!$B$6,0))</x:f>
        <x:v>0</x:v>
      </x:c>
      <x:c r="D919" s="11" t="n">
        <x:f>IF(ISNUMBER(SEARCH("jmdict_exact_pair_not_found",'제외 후보'!P919)),'선정 규칙'!$B$7,0)</x:f>
        <x:v>0</x:v>
      </x:c>
      <x:c r="E919" s="11" t="n">
        <x:f>IF(OR('제외 후보'!L919="",'제외 후보'!L919&lt;=0),'선정 규칙'!$B$8,IF('제외 후보'!L919&lt;=1.5,'선정 규칙'!$B$9,IF('제외 후보'!L919&lt;=2,'선정 규칙'!$B$10,IF('제외 후보'!L919&lt;=2.5,'선정 규칙'!$B$11,IF('제외 후보'!L919&lt;=3,'선정 규칙'!$B$12,IF('제외 후보'!L919&lt;=3.5,'선정 규칙'!$B$13,IF('제외 후보'!L919&gt;=4.5,'선정 규칙'!$B$14,0)))))))</x:f>
        <x:v>12</x:v>
      </x:c>
      <x:c r="F919" s="11" t="n">
        <x:f>IF('제외 후보'!Y919=0,'선정 규칙'!$B$15,IF('제외 후보'!Y919&gt;=100,'선정 규칙'!$B$16,'선정 규칙'!$B$17))</x:f>
        <x:v>-25</x:v>
      </x:c>
      <x:c r="G919" s="11" t="n">
        <x:f>IF('제외 후보'!M919="있음",'선정 규칙'!$B$18,'선정 규칙'!$B$19)</x:f>
        <x:v>6</x:v>
      </x:c>
      <x:c r="H919" s="11" t="n">
        <x:f>IF(ISNUMBER(SEARCH("freq-core",'제외 후보'!AD919)),'선정 규칙'!$B$20,0)</x:f>
        <x:v>0</x:v>
      </x:c>
      <x:c r="I919" s="11" t="n">
        <x:f>IF(ISNUMBER(SEARCH("weak_legacy_content",'제외 후보'!P919)),'선정 규칙'!$B$21,0)</x:f>
        <x:v>5</x:v>
      </x:c>
      <x:c r="J919" s="11" t="n">
        <x:f>IF('제외 후보'!AC919&lt;&gt;"",'선정 규칙'!$B$22,0)</x:f>
        <x:v>0</x:v>
      </x:c>
      <x:c r="K919" s="11" t="n">
        <x:f>SUM(B919:J919)</x:f>
        <x:v>-2</x:v>
      </x:c>
      <x:c r="L919" s="11" t="n">
        <x:f>'제외 후보'!N919</x:f>
        <x:v>-2</x:v>
      </x:c>
      <x:c r="M919" s="2" t="str">
        <x:f>IF(K919=L919,"OK","MISMATCH")</x:f>
        <x:v>OK</x:v>
      </x:c>
    </x:row>
    <x:row r="920">
      <x:c r="A920" s="2" t="str">
        <x:f>'제외 후보'!G920</x:f>
        <x:v>w_0c653b16459b5264</x:v>
      </x:c>
      <x:c r="B920" s="11" t="n">
        <x:f>IF('제외 후보'!Q920&lt;&gt;"",'선정 규칙'!$B$4,0)</x:f>
        <x:v>0</x:v>
      </x:c>
      <x:c r="C920" s="11" t="n">
        <x:f>IF(ISNUMBER(SEARCH("jmdict_uncommon_or_irregular",'제외 후보'!P920)),'선정 규칙'!$B$5,IF(ISNUMBER(SEARCH("jmdict_rare_or_dated",'제외 후보'!P920)),'선정 규칙'!$B$6,0))</x:f>
        <x:v>0</x:v>
      </x:c>
      <x:c r="D920" s="11" t="n">
        <x:f>IF(ISNUMBER(SEARCH("jmdict_exact_pair_not_found",'제외 후보'!P920)),'선정 규칙'!$B$7,0)</x:f>
        <x:v>0</x:v>
      </x:c>
      <x:c r="E920" s="11" t="n">
        <x:f>IF(OR('제외 후보'!L920="",'제외 후보'!L920&lt;=0),'선정 규칙'!$B$8,IF('제외 후보'!L920&lt;=1.5,'선정 규칙'!$B$9,IF('제외 후보'!L920&lt;=2,'선정 규칙'!$B$10,IF('제외 후보'!L920&lt;=2.5,'선정 규칙'!$B$11,IF('제외 후보'!L920&lt;=3,'선정 규칙'!$B$12,IF('제외 후보'!L920&lt;=3.5,'선정 규칙'!$B$13,IF('제외 후보'!L920&gt;=4.5,'선정 규칙'!$B$14,0)))))))</x:f>
        <x:v>12</x:v>
      </x:c>
      <x:c r="F920" s="11" t="n">
        <x:f>IF('제외 후보'!Y920=0,'선정 규칙'!$B$15,IF('제외 후보'!Y920&gt;=100,'선정 규칙'!$B$16,'선정 규칙'!$B$17))</x:f>
        <x:v>-25</x:v>
      </x:c>
      <x:c r="G920" s="11" t="n">
        <x:f>IF('제외 후보'!M920="있음",'선정 규칙'!$B$18,'선정 규칙'!$B$19)</x:f>
        <x:v>6</x:v>
      </x:c>
      <x:c r="H920" s="11" t="n">
        <x:f>IF(ISNUMBER(SEARCH("freq-core",'제외 후보'!AD920)),'선정 규칙'!$B$20,0)</x:f>
        <x:v>0</x:v>
      </x:c>
      <x:c r="I920" s="11" t="n">
        <x:f>IF(ISNUMBER(SEARCH("weak_legacy_content",'제외 후보'!P920)),'선정 규칙'!$B$21,0)</x:f>
        <x:v>5</x:v>
      </x:c>
      <x:c r="J920" s="11" t="n">
        <x:f>IF('제외 후보'!AC920&lt;&gt;"",'선정 규칙'!$B$22,0)</x:f>
        <x:v>0</x:v>
      </x:c>
      <x:c r="K920" s="11" t="n">
        <x:f>SUM(B920:J920)</x:f>
        <x:v>-2</x:v>
      </x:c>
      <x:c r="L920" s="11" t="n">
        <x:f>'제외 후보'!N920</x:f>
        <x:v>-2</x:v>
      </x:c>
      <x:c r="M920" s="2" t="str">
        <x:f>IF(K920=L920,"OK","MISMATCH")</x:f>
        <x:v>OK</x:v>
      </x:c>
    </x:row>
    <x:row r="921">
      <x:c r="A921" s="2" t="str">
        <x:f>'제외 후보'!G921</x:f>
        <x:v>w_0cfe5be79cefaab7</x:v>
      </x:c>
      <x:c r="B921" s="11" t="n">
        <x:f>IF('제외 후보'!Q921&lt;&gt;"",'선정 규칙'!$B$4,0)</x:f>
        <x:v>0</x:v>
      </x:c>
      <x:c r="C921" s="11" t="n">
        <x:f>IF(ISNUMBER(SEARCH("jmdict_uncommon_or_irregular",'제외 후보'!P921)),'선정 규칙'!$B$5,IF(ISNUMBER(SEARCH("jmdict_rare_or_dated",'제외 후보'!P921)),'선정 규칙'!$B$6,0))</x:f>
        <x:v>0</x:v>
      </x:c>
      <x:c r="D921" s="11" t="n">
        <x:f>IF(ISNUMBER(SEARCH("jmdict_exact_pair_not_found",'제외 후보'!P921)),'선정 규칙'!$B$7,0)</x:f>
        <x:v>0</x:v>
      </x:c>
      <x:c r="E921" s="11" t="n">
        <x:f>IF(OR('제외 후보'!L921="",'제외 후보'!L921&lt;=0),'선정 규칙'!$B$8,IF('제외 후보'!L921&lt;=1.5,'선정 규칙'!$B$9,IF('제외 후보'!L921&lt;=2,'선정 규칙'!$B$10,IF('제외 후보'!L921&lt;=2.5,'선정 규칙'!$B$11,IF('제외 후보'!L921&lt;=3,'선정 규칙'!$B$12,IF('제외 후보'!L921&lt;=3.5,'선정 규칙'!$B$13,IF('제외 후보'!L921&gt;=4.5,'선정 규칙'!$B$14,0)))))))</x:f>
        <x:v>12</x:v>
      </x:c>
      <x:c r="F921" s="11" t="n">
        <x:f>IF('제외 후보'!Y921=0,'선정 규칙'!$B$15,IF('제외 후보'!Y921&gt;=100,'선정 규칙'!$B$16,'선정 규칙'!$B$17))</x:f>
        <x:v>-25</x:v>
      </x:c>
      <x:c r="G921" s="11" t="n">
        <x:f>IF('제외 후보'!M921="있음",'선정 규칙'!$B$18,'선정 규칙'!$B$19)</x:f>
        <x:v>6</x:v>
      </x:c>
      <x:c r="H921" s="11" t="n">
        <x:f>IF(ISNUMBER(SEARCH("freq-core",'제외 후보'!AD921)),'선정 규칙'!$B$20,0)</x:f>
        <x:v>0</x:v>
      </x:c>
      <x:c r="I921" s="11" t="n">
        <x:f>IF(ISNUMBER(SEARCH("weak_legacy_content",'제외 후보'!P921)),'선정 규칙'!$B$21,0)</x:f>
        <x:v>5</x:v>
      </x:c>
      <x:c r="J921" s="11" t="n">
        <x:f>IF('제외 후보'!AC921&lt;&gt;"",'선정 규칙'!$B$22,0)</x:f>
        <x:v>0</x:v>
      </x:c>
      <x:c r="K921" s="11" t="n">
        <x:f>SUM(B921:J921)</x:f>
        <x:v>-2</x:v>
      </x:c>
      <x:c r="L921" s="11" t="n">
        <x:f>'제외 후보'!N921</x:f>
        <x:v>-2</x:v>
      </x:c>
      <x:c r="M921" s="2" t="str">
        <x:f>IF(K921=L921,"OK","MISMATCH")</x:f>
        <x:v>OK</x:v>
      </x:c>
    </x:row>
    <x:row r="922">
      <x:c r="A922" s="2" t="str">
        <x:f>'제외 후보'!G922</x:f>
        <x:v>w_5dd2f4e161a8911c</x:v>
      </x:c>
      <x:c r="B922" s="11" t="n">
        <x:f>IF('제외 후보'!Q922&lt;&gt;"",'선정 규칙'!$B$4,0)</x:f>
        <x:v>0</x:v>
      </x:c>
      <x:c r="C922" s="11" t="n">
        <x:f>IF(ISNUMBER(SEARCH("jmdict_uncommon_or_irregular",'제외 후보'!P922)),'선정 규칙'!$B$5,IF(ISNUMBER(SEARCH("jmdict_rare_or_dated",'제외 후보'!P922)),'선정 규칙'!$B$6,0))</x:f>
        <x:v>0</x:v>
      </x:c>
      <x:c r="D922" s="11" t="n">
        <x:f>IF(ISNUMBER(SEARCH("jmdict_exact_pair_not_found",'제외 후보'!P922)),'선정 규칙'!$B$7,0)</x:f>
        <x:v>0</x:v>
      </x:c>
      <x:c r="E922" s="11" t="n">
        <x:f>IF(OR('제외 후보'!L922="",'제외 후보'!L922&lt;=0),'선정 규칙'!$B$8,IF('제외 후보'!L922&lt;=1.5,'선정 규칙'!$B$9,IF('제외 후보'!L922&lt;=2,'선정 규칙'!$B$10,IF('제외 후보'!L922&lt;=2.5,'선정 규칙'!$B$11,IF('제외 후보'!L922&lt;=3,'선정 규칙'!$B$12,IF('제외 후보'!L922&lt;=3.5,'선정 규칙'!$B$13,IF('제외 후보'!L922&gt;=4.5,'선정 규칙'!$B$14,0)))))))</x:f>
        <x:v>12</x:v>
      </x:c>
      <x:c r="F922" s="11" t="n">
        <x:f>IF('제외 후보'!Y922=0,'선정 규칙'!$B$15,IF('제외 후보'!Y922&gt;=100,'선정 규칙'!$B$16,'선정 규칙'!$B$17))</x:f>
        <x:v>-25</x:v>
      </x:c>
      <x:c r="G922" s="11" t="n">
        <x:f>IF('제외 후보'!M922="있음",'선정 규칙'!$B$18,'선정 규칙'!$B$19)</x:f>
        <x:v>6</x:v>
      </x:c>
      <x:c r="H922" s="11" t="n">
        <x:f>IF(ISNUMBER(SEARCH("freq-core",'제외 후보'!AD922)),'선정 규칙'!$B$20,0)</x:f>
        <x:v>0</x:v>
      </x:c>
      <x:c r="I922" s="11" t="n">
        <x:f>IF(ISNUMBER(SEARCH("weak_legacy_content",'제외 후보'!P922)),'선정 규칙'!$B$21,0)</x:f>
        <x:v>5</x:v>
      </x:c>
      <x:c r="J922" s="11" t="n">
        <x:f>IF('제외 후보'!AC922&lt;&gt;"",'선정 규칙'!$B$22,0)</x:f>
        <x:v>0</x:v>
      </x:c>
      <x:c r="K922" s="11" t="n">
        <x:f>SUM(B922:J922)</x:f>
        <x:v>-2</x:v>
      </x:c>
      <x:c r="L922" s="11" t="n">
        <x:f>'제외 후보'!N922</x:f>
        <x:v>-2</x:v>
      </x:c>
      <x:c r="M922" s="2" t="str">
        <x:f>IF(K922=L922,"OK","MISMATCH")</x:f>
        <x:v>OK</x:v>
      </x:c>
    </x:row>
    <x:row r="923">
      <x:c r="A923" s="2" t="str">
        <x:f>'제외 후보'!G923</x:f>
        <x:v>w_1709846711efe794</x:v>
      </x:c>
      <x:c r="B923" s="11" t="n">
        <x:f>IF('제외 후보'!Q923&lt;&gt;"",'선정 규칙'!$B$4,0)</x:f>
        <x:v>0</x:v>
      </x:c>
      <x:c r="C923" s="11" t="n">
        <x:f>IF(ISNUMBER(SEARCH("jmdict_uncommon_or_irregular",'제외 후보'!P923)),'선정 규칙'!$B$5,IF(ISNUMBER(SEARCH("jmdict_rare_or_dated",'제외 후보'!P923)),'선정 규칙'!$B$6,0))</x:f>
        <x:v>0</x:v>
      </x:c>
      <x:c r="D923" s="11" t="n">
        <x:f>IF(ISNUMBER(SEARCH("jmdict_exact_pair_not_found",'제외 후보'!P923)),'선정 규칙'!$B$7,0)</x:f>
        <x:v>0</x:v>
      </x:c>
      <x:c r="E923" s="11" t="n">
        <x:f>IF(OR('제외 후보'!L923="",'제외 후보'!L923&lt;=0),'선정 규칙'!$B$8,IF('제외 후보'!L923&lt;=1.5,'선정 규칙'!$B$9,IF('제외 후보'!L923&lt;=2,'선정 규칙'!$B$10,IF('제외 후보'!L923&lt;=2.5,'선정 규칙'!$B$11,IF('제외 후보'!L923&lt;=3,'선정 규칙'!$B$12,IF('제외 후보'!L923&lt;=3.5,'선정 규칙'!$B$13,IF('제외 후보'!L923&gt;=4.5,'선정 규칙'!$B$14,0)))))))</x:f>
        <x:v>12</x:v>
      </x:c>
      <x:c r="F923" s="11" t="n">
        <x:f>IF('제외 후보'!Y923=0,'선정 규칙'!$B$15,IF('제외 후보'!Y923&gt;=100,'선정 규칙'!$B$16,'선정 규칙'!$B$17))</x:f>
        <x:v>-25</x:v>
      </x:c>
      <x:c r="G923" s="11" t="n">
        <x:f>IF('제외 후보'!M923="있음",'선정 규칙'!$B$18,'선정 규칙'!$B$19)</x:f>
        <x:v>6</x:v>
      </x:c>
      <x:c r="H923" s="11" t="n">
        <x:f>IF(ISNUMBER(SEARCH("freq-core",'제외 후보'!AD923)),'선정 규칙'!$B$20,0)</x:f>
        <x:v>0</x:v>
      </x:c>
      <x:c r="I923" s="11" t="n">
        <x:f>IF(ISNUMBER(SEARCH("weak_legacy_content",'제외 후보'!P923)),'선정 규칙'!$B$21,0)</x:f>
        <x:v>5</x:v>
      </x:c>
      <x:c r="J923" s="11" t="n">
        <x:f>IF('제외 후보'!AC923&lt;&gt;"",'선정 규칙'!$B$22,0)</x:f>
        <x:v>0</x:v>
      </x:c>
      <x:c r="K923" s="11" t="n">
        <x:f>SUM(B923:J923)</x:f>
        <x:v>-2</x:v>
      </x:c>
      <x:c r="L923" s="11" t="n">
        <x:f>'제외 후보'!N923</x:f>
        <x:v>-2</x:v>
      </x:c>
      <x:c r="M923" s="2" t="str">
        <x:f>IF(K923=L923,"OK","MISMATCH")</x:f>
        <x:v>OK</x:v>
      </x:c>
    </x:row>
    <x:row r="924">
      <x:c r="A924" s="2" t="str">
        <x:f>'제외 후보'!G924</x:f>
        <x:v>w_af7c6ee4d900d8dd</x:v>
      </x:c>
      <x:c r="B924" s="11" t="n">
        <x:f>IF('제외 후보'!Q924&lt;&gt;"",'선정 규칙'!$B$4,0)</x:f>
        <x:v>0</x:v>
      </x:c>
      <x:c r="C924" s="11" t="n">
        <x:f>IF(ISNUMBER(SEARCH("jmdict_uncommon_or_irregular",'제외 후보'!P924)),'선정 규칙'!$B$5,IF(ISNUMBER(SEARCH("jmdict_rare_or_dated",'제외 후보'!P924)),'선정 규칙'!$B$6,0))</x:f>
        <x:v>0</x:v>
      </x:c>
      <x:c r="D924" s="11" t="n">
        <x:f>IF(ISNUMBER(SEARCH("jmdict_exact_pair_not_found",'제외 후보'!P924)),'선정 규칙'!$B$7,0)</x:f>
        <x:v>0</x:v>
      </x:c>
      <x:c r="E924" s="11" t="n">
        <x:f>IF(OR('제외 후보'!L924="",'제외 후보'!L924&lt;=0),'선정 규칙'!$B$8,IF('제외 후보'!L924&lt;=1.5,'선정 규칙'!$B$9,IF('제외 후보'!L924&lt;=2,'선정 규칙'!$B$10,IF('제외 후보'!L924&lt;=2.5,'선정 규칙'!$B$11,IF('제외 후보'!L924&lt;=3,'선정 규칙'!$B$12,IF('제외 후보'!L924&lt;=3.5,'선정 규칙'!$B$13,IF('제외 후보'!L924&gt;=4.5,'선정 규칙'!$B$14,0)))))))</x:f>
        <x:v>12</x:v>
      </x:c>
      <x:c r="F924" s="11" t="n">
        <x:f>IF('제외 후보'!Y924=0,'선정 규칙'!$B$15,IF('제외 후보'!Y924&gt;=100,'선정 규칙'!$B$16,'선정 규칙'!$B$17))</x:f>
        <x:v>-25</x:v>
      </x:c>
      <x:c r="G924" s="11" t="n">
        <x:f>IF('제외 후보'!M924="있음",'선정 규칙'!$B$18,'선정 규칙'!$B$19)</x:f>
        <x:v>6</x:v>
      </x:c>
      <x:c r="H924" s="11" t="n">
        <x:f>IF(ISNUMBER(SEARCH("freq-core",'제외 후보'!AD924)),'선정 규칙'!$B$20,0)</x:f>
        <x:v>0</x:v>
      </x:c>
      <x:c r="I924" s="11" t="n">
        <x:f>IF(ISNUMBER(SEARCH("weak_legacy_content",'제외 후보'!P924)),'선정 규칙'!$B$21,0)</x:f>
        <x:v>5</x:v>
      </x:c>
      <x:c r="J924" s="11" t="n">
        <x:f>IF('제외 후보'!AC924&lt;&gt;"",'선정 규칙'!$B$22,0)</x:f>
        <x:v>0</x:v>
      </x:c>
      <x:c r="K924" s="11" t="n">
        <x:f>SUM(B924:J924)</x:f>
        <x:v>-2</x:v>
      </x:c>
      <x:c r="L924" s="11" t="n">
        <x:f>'제외 후보'!N924</x:f>
        <x:v>-2</x:v>
      </x:c>
      <x:c r="M924" s="2" t="str">
        <x:f>IF(K924=L924,"OK","MISMATCH")</x:f>
        <x:v>OK</x:v>
      </x:c>
    </x:row>
    <x:row r="925">
      <x:c r="A925" s="2" t="str">
        <x:f>'제외 후보'!G925</x:f>
        <x:v>w_8065e96840fda82b</x:v>
      </x:c>
      <x:c r="B925" s="11" t="n">
        <x:f>IF('제외 후보'!Q925&lt;&gt;"",'선정 규칙'!$B$4,0)</x:f>
        <x:v>0</x:v>
      </x:c>
      <x:c r="C925" s="11" t="n">
        <x:f>IF(ISNUMBER(SEARCH("jmdict_uncommon_or_irregular",'제외 후보'!P925)),'선정 규칙'!$B$5,IF(ISNUMBER(SEARCH("jmdict_rare_or_dated",'제외 후보'!P925)),'선정 규칙'!$B$6,0))</x:f>
        <x:v>0</x:v>
      </x:c>
      <x:c r="D925" s="11" t="n">
        <x:f>IF(ISNUMBER(SEARCH("jmdict_exact_pair_not_found",'제외 후보'!P925)),'선정 규칙'!$B$7,0)</x:f>
        <x:v>0</x:v>
      </x:c>
      <x:c r="E925" s="11" t="n">
        <x:f>IF(OR('제외 후보'!L925="",'제외 후보'!L925&lt;=0),'선정 규칙'!$B$8,IF('제외 후보'!L925&lt;=1.5,'선정 규칙'!$B$9,IF('제외 후보'!L925&lt;=2,'선정 규칙'!$B$10,IF('제외 후보'!L925&lt;=2.5,'선정 규칙'!$B$11,IF('제외 후보'!L925&lt;=3,'선정 규칙'!$B$12,IF('제외 후보'!L925&lt;=3.5,'선정 규칙'!$B$13,IF('제외 후보'!L925&gt;=4.5,'선정 규칙'!$B$14,0)))))))</x:f>
        <x:v>12</x:v>
      </x:c>
      <x:c r="F925" s="11" t="n">
        <x:f>IF('제외 후보'!Y925=0,'선정 규칙'!$B$15,IF('제외 후보'!Y925&gt;=100,'선정 규칙'!$B$16,'선정 규칙'!$B$17))</x:f>
        <x:v>-25</x:v>
      </x:c>
      <x:c r="G925" s="11" t="n">
        <x:f>IF('제외 후보'!M925="있음",'선정 규칙'!$B$18,'선정 규칙'!$B$19)</x:f>
        <x:v>6</x:v>
      </x:c>
      <x:c r="H925" s="11" t="n">
        <x:f>IF(ISNUMBER(SEARCH("freq-core",'제외 후보'!AD925)),'선정 규칙'!$B$20,0)</x:f>
        <x:v>0</x:v>
      </x:c>
      <x:c r="I925" s="11" t="n">
        <x:f>IF(ISNUMBER(SEARCH("weak_legacy_content",'제외 후보'!P925)),'선정 규칙'!$B$21,0)</x:f>
        <x:v>5</x:v>
      </x:c>
      <x:c r="J925" s="11" t="n">
        <x:f>IF('제외 후보'!AC925&lt;&gt;"",'선정 규칙'!$B$22,0)</x:f>
        <x:v>0</x:v>
      </x:c>
      <x:c r="K925" s="11" t="n">
        <x:f>SUM(B925:J925)</x:f>
        <x:v>-2</x:v>
      </x:c>
      <x:c r="L925" s="11" t="n">
        <x:f>'제외 후보'!N925</x:f>
        <x:v>-2</x:v>
      </x:c>
      <x:c r="M925" s="2" t="str">
        <x:f>IF(K925=L925,"OK","MISMATCH")</x:f>
        <x:v>OK</x:v>
      </x:c>
    </x:row>
    <x:row r="926">
      <x:c r="A926" s="2" t="str">
        <x:f>'제외 후보'!G926</x:f>
        <x:v>w_76de3f77015383b1</x:v>
      </x:c>
      <x:c r="B926" s="11" t="n">
        <x:f>IF('제외 후보'!Q926&lt;&gt;"",'선정 규칙'!$B$4,0)</x:f>
        <x:v>0</x:v>
      </x:c>
      <x:c r="C926" s="11" t="n">
        <x:f>IF(ISNUMBER(SEARCH("jmdict_uncommon_or_irregular",'제외 후보'!P926)),'선정 규칙'!$B$5,IF(ISNUMBER(SEARCH("jmdict_rare_or_dated",'제외 후보'!P926)),'선정 규칙'!$B$6,0))</x:f>
        <x:v>0</x:v>
      </x:c>
      <x:c r="D926" s="11" t="n">
        <x:f>IF(ISNUMBER(SEARCH("jmdict_exact_pair_not_found",'제외 후보'!P926)),'선정 규칙'!$B$7,0)</x:f>
        <x:v>0</x:v>
      </x:c>
      <x:c r="E926" s="11" t="n">
        <x:f>IF(OR('제외 후보'!L926="",'제외 후보'!L926&lt;=0),'선정 규칙'!$B$8,IF('제외 후보'!L926&lt;=1.5,'선정 규칙'!$B$9,IF('제외 후보'!L926&lt;=2,'선정 규칙'!$B$10,IF('제외 후보'!L926&lt;=2.5,'선정 규칙'!$B$11,IF('제외 후보'!L926&lt;=3,'선정 규칙'!$B$12,IF('제외 후보'!L926&lt;=3.5,'선정 규칙'!$B$13,IF('제외 후보'!L926&gt;=4.5,'선정 규칙'!$B$14,0)))))))</x:f>
        <x:v>12</x:v>
      </x:c>
      <x:c r="F926" s="11" t="n">
        <x:f>IF('제외 후보'!Y926=0,'선정 규칙'!$B$15,IF('제외 후보'!Y926&gt;=100,'선정 규칙'!$B$16,'선정 규칙'!$B$17))</x:f>
        <x:v>-25</x:v>
      </x:c>
      <x:c r="G926" s="11" t="n">
        <x:f>IF('제외 후보'!M926="있음",'선정 규칙'!$B$18,'선정 규칙'!$B$19)</x:f>
        <x:v>6</x:v>
      </x:c>
      <x:c r="H926" s="11" t="n">
        <x:f>IF(ISNUMBER(SEARCH("freq-core",'제외 후보'!AD926)),'선정 규칙'!$B$20,0)</x:f>
        <x:v>0</x:v>
      </x:c>
      <x:c r="I926" s="11" t="n">
        <x:f>IF(ISNUMBER(SEARCH("weak_legacy_content",'제외 후보'!P926)),'선정 규칙'!$B$21,0)</x:f>
        <x:v>5</x:v>
      </x:c>
      <x:c r="J926" s="11" t="n">
        <x:f>IF('제외 후보'!AC926&lt;&gt;"",'선정 규칙'!$B$22,0)</x:f>
        <x:v>0</x:v>
      </x:c>
      <x:c r="K926" s="11" t="n">
        <x:f>SUM(B926:J926)</x:f>
        <x:v>-2</x:v>
      </x:c>
      <x:c r="L926" s="11" t="n">
        <x:f>'제외 후보'!N926</x:f>
        <x:v>-2</x:v>
      </x:c>
      <x:c r="M926" s="2" t="str">
        <x:f>IF(K926=L926,"OK","MISMATCH")</x:f>
        <x:v>OK</x:v>
      </x:c>
    </x:row>
    <x:row r="927">
      <x:c r="A927" s="2" t="str">
        <x:f>'제외 후보'!G927</x:f>
        <x:v>w_d094122866c35446</x:v>
      </x:c>
      <x:c r="B927" s="11" t="n">
        <x:f>IF('제외 후보'!Q927&lt;&gt;"",'선정 규칙'!$B$4,0)</x:f>
        <x:v>0</x:v>
      </x:c>
      <x:c r="C927" s="11" t="n">
        <x:f>IF(ISNUMBER(SEARCH("jmdict_uncommon_or_irregular",'제외 후보'!P927)),'선정 규칙'!$B$5,IF(ISNUMBER(SEARCH("jmdict_rare_or_dated",'제외 후보'!P927)),'선정 규칙'!$B$6,0))</x:f>
        <x:v>0</x:v>
      </x:c>
      <x:c r="D927" s="11" t="n">
        <x:f>IF(ISNUMBER(SEARCH("jmdict_exact_pair_not_found",'제외 후보'!P927)),'선정 규칙'!$B$7,0)</x:f>
        <x:v>0</x:v>
      </x:c>
      <x:c r="E927" s="11" t="n">
        <x:f>IF(OR('제외 후보'!L927="",'제외 후보'!L927&lt;=0),'선정 규칙'!$B$8,IF('제외 후보'!L927&lt;=1.5,'선정 규칙'!$B$9,IF('제외 후보'!L927&lt;=2,'선정 규칙'!$B$10,IF('제외 후보'!L927&lt;=2.5,'선정 규칙'!$B$11,IF('제외 후보'!L927&lt;=3,'선정 규칙'!$B$12,IF('제외 후보'!L927&lt;=3.5,'선정 규칙'!$B$13,IF('제외 후보'!L927&gt;=4.5,'선정 규칙'!$B$14,0)))))))</x:f>
        <x:v>12</x:v>
      </x:c>
      <x:c r="F927" s="11" t="n">
        <x:f>IF('제외 후보'!Y927=0,'선정 규칙'!$B$15,IF('제외 후보'!Y927&gt;=100,'선정 규칙'!$B$16,'선정 규칙'!$B$17))</x:f>
        <x:v>-25</x:v>
      </x:c>
      <x:c r="G927" s="11" t="n">
        <x:f>IF('제외 후보'!M927="있음",'선정 규칙'!$B$18,'선정 규칙'!$B$19)</x:f>
        <x:v>6</x:v>
      </x:c>
      <x:c r="H927" s="11" t="n">
        <x:f>IF(ISNUMBER(SEARCH("freq-core",'제외 후보'!AD927)),'선정 규칙'!$B$20,0)</x:f>
        <x:v>0</x:v>
      </x:c>
      <x:c r="I927" s="11" t="n">
        <x:f>IF(ISNUMBER(SEARCH("weak_legacy_content",'제외 후보'!P927)),'선정 규칙'!$B$21,0)</x:f>
        <x:v>5</x:v>
      </x:c>
      <x:c r="J927" s="11" t="n">
        <x:f>IF('제외 후보'!AC927&lt;&gt;"",'선정 규칙'!$B$22,0)</x:f>
        <x:v>0</x:v>
      </x:c>
      <x:c r="K927" s="11" t="n">
        <x:f>SUM(B927:J927)</x:f>
        <x:v>-2</x:v>
      </x:c>
      <x:c r="L927" s="11" t="n">
        <x:f>'제외 후보'!N927</x:f>
        <x:v>-2</x:v>
      </x:c>
      <x:c r="M927" s="2" t="str">
        <x:f>IF(K927=L927,"OK","MISMATCH")</x:f>
        <x:v>OK</x:v>
      </x:c>
    </x:row>
    <x:row r="928">
      <x:c r="A928" s="2" t="str">
        <x:f>'제외 후보'!G928</x:f>
        <x:v>w_4a158cf85f508820</x:v>
      </x:c>
      <x:c r="B928" s="11" t="n">
        <x:f>IF('제외 후보'!Q928&lt;&gt;"",'선정 규칙'!$B$4,0)</x:f>
        <x:v>0</x:v>
      </x:c>
      <x:c r="C928" s="11" t="n">
        <x:f>IF(ISNUMBER(SEARCH("jmdict_uncommon_or_irregular",'제외 후보'!P928)),'선정 규칙'!$B$5,IF(ISNUMBER(SEARCH("jmdict_rare_or_dated",'제외 후보'!P928)),'선정 규칙'!$B$6,0))</x:f>
        <x:v>0</x:v>
      </x:c>
      <x:c r="D928" s="11" t="n">
        <x:f>IF(ISNUMBER(SEARCH("jmdict_exact_pair_not_found",'제외 후보'!P928)),'선정 규칙'!$B$7,0)</x:f>
        <x:v>0</x:v>
      </x:c>
      <x:c r="E928" s="11" t="n">
        <x:f>IF(OR('제외 후보'!L928="",'제외 후보'!L928&lt;=0),'선정 규칙'!$B$8,IF('제외 후보'!L928&lt;=1.5,'선정 규칙'!$B$9,IF('제외 후보'!L928&lt;=2,'선정 규칙'!$B$10,IF('제외 후보'!L928&lt;=2.5,'선정 규칙'!$B$11,IF('제외 후보'!L928&lt;=3,'선정 규칙'!$B$12,IF('제외 후보'!L928&lt;=3.5,'선정 규칙'!$B$13,IF('제외 후보'!L928&gt;=4.5,'선정 규칙'!$B$14,0)))))))</x:f>
        <x:v>12</x:v>
      </x:c>
      <x:c r="F928" s="11" t="n">
        <x:f>IF('제외 후보'!Y928=0,'선정 규칙'!$B$15,IF('제외 후보'!Y928&gt;=100,'선정 규칙'!$B$16,'선정 규칙'!$B$17))</x:f>
        <x:v>-25</x:v>
      </x:c>
      <x:c r="G928" s="11" t="n">
        <x:f>IF('제외 후보'!M928="있음",'선정 규칙'!$B$18,'선정 규칙'!$B$19)</x:f>
        <x:v>6</x:v>
      </x:c>
      <x:c r="H928" s="11" t="n">
        <x:f>IF(ISNUMBER(SEARCH("freq-core",'제외 후보'!AD928)),'선정 규칙'!$B$20,0)</x:f>
        <x:v>0</x:v>
      </x:c>
      <x:c r="I928" s="11" t="n">
        <x:f>IF(ISNUMBER(SEARCH("weak_legacy_content",'제외 후보'!P928)),'선정 규칙'!$B$21,0)</x:f>
        <x:v>5</x:v>
      </x:c>
      <x:c r="J928" s="11" t="n">
        <x:f>IF('제외 후보'!AC928&lt;&gt;"",'선정 규칙'!$B$22,0)</x:f>
        <x:v>0</x:v>
      </x:c>
      <x:c r="K928" s="11" t="n">
        <x:f>SUM(B928:J928)</x:f>
        <x:v>-2</x:v>
      </x:c>
      <x:c r="L928" s="11" t="n">
        <x:f>'제외 후보'!N928</x:f>
        <x:v>-2</x:v>
      </x:c>
      <x:c r="M928" s="2" t="str">
        <x:f>IF(K928=L928,"OK","MISMATCH")</x:f>
        <x:v>OK</x:v>
      </x:c>
    </x:row>
    <x:row r="929">
      <x:c r="A929" s="2" t="str">
        <x:f>'제외 후보'!G929</x:f>
        <x:v>w_f1490708d286a532</x:v>
      </x:c>
      <x:c r="B929" s="11" t="n">
        <x:f>IF('제외 후보'!Q929&lt;&gt;"",'선정 규칙'!$B$4,0)</x:f>
        <x:v>0</x:v>
      </x:c>
      <x:c r="C929" s="11" t="n">
        <x:f>IF(ISNUMBER(SEARCH("jmdict_uncommon_or_irregular",'제외 후보'!P929)),'선정 규칙'!$B$5,IF(ISNUMBER(SEARCH("jmdict_rare_or_dated",'제외 후보'!P929)),'선정 규칙'!$B$6,0))</x:f>
        <x:v>0</x:v>
      </x:c>
      <x:c r="D929" s="11" t="n">
        <x:f>IF(ISNUMBER(SEARCH("jmdict_exact_pair_not_found",'제외 후보'!P929)),'선정 규칙'!$B$7,0)</x:f>
        <x:v>0</x:v>
      </x:c>
      <x:c r="E929" s="11" t="n">
        <x:f>IF(OR('제외 후보'!L929="",'제외 후보'!L929&lt;=0),'선정 규칙'!$B$8,IF('제외 후보'!L929&lt;=1.5,'선정 규칙'!$B$9,IF('제외 후보'!L929&lt;=2,'선정 규칙'!$B$10,IF('제외 후보'!L929&lt;=2.5,'선정 규칙'!$B$11,IF('제외 후보'!L929&lt;=3,'선정 규칙'!$B$12,IF('제외 후보'!L929&lt;=3.5,'선정 규칙'!$B$13,IF('제외 후보'!L929&gt;=4.5,'선정 규칙'!$B$14,0)))))))</x:f>
        <x:v>12</x:v>
      </x:c>
      <x:c r="F929" s="11" t="n">
        <x:f>IF('제외 후보'!Y929=0,'선정 규칙'!$B$15,IF('제외 후보'!Y929&gt;=100,'선정 규칙'!$B$16,'선정 규칙'!$B$17))</x:f>
        <x:v>-25</x:v>
      </x:c>
      <x:c r="G929" s="11" t="n">
        <x:f>IF('제외 후보'!M929="있음",'선정 규칙'!$B$18,'선정 규칙'!$B$19)</x:f>
        <x:v>6</x:v>
      </x:c>
      <x:c r="H929" s="11" t="n">
        <x:f>IF(ISNUMBER(SEARCH("freq-core",'제외 후보'!AD929)),'선정 규칙'!$B$20,0)</x:f>
        <x:v>0</x:v>
      </x:c>
      <x:c r="I929" s="11" t="n">
        <x:f>IF(ISNUMBER(SEARCH("weak_legacy_content",'제외 후보'!P929)),'선정 규칙'!$B$21,0)</x:f>
        <x:v>5</x:v>
      </x:c>
      <x:c r="J929" s="11" t="n">
        <x:f>IF('제외 후보'!AC929&lt;&gt;"",'선정 규칙'!$B$22,0)</x:f>
        <x:v>0</x:v>
      </x:c>
      <x:c r="K929" s="11" t="n">
        <x:f>SUM(B929:J929)</x:f>
        <x:v>-2</x:v>
      </x:c>
      <x:c r="L929" s="11" t="n">
        <x:f>'제외 후보'!N929</x:f>
        <x:v>-2</x:v>
      </x:c>
      <x:c r="M929" s="2" t="str">
        <x:f>IF(K929=L929,"OK","MISMATCH")</x:f>
        <x:v>OK</x:v>
      </x:c>
    </x:row>
    <x:row r="930">
      <x:c r="A930" s="2" t="str">
        <x:f>'제외 후보'!G930</x:f>
        <x:v>w_fe290cfcc396bca1</x:v>
      </x:c>
      <x:c r="B930" s="11" t="n">
        <x:f>IF('제외 후보'!Q930&lt;&gt;"",'선정 규칙'!$B$4,0)</x:f>
        <x:v>0</x:v>
      </x:c>
      <x:c r="C930" s="11" t="n">
        <x:f>IF(ISNUMBER(SEARCH("jmdict_uncommon_or_irregular",'제외 후보'!P930)),'선정 규칙'!$B$5,IF(ISNUMBER(SEARCH("jmdict_rare_or_dated",'제외 후보'!P930)),'선정 규칙'!$B$6,0))</x:f>
        <x:v>0</x:v>
      </x:c>
      <x:c r="D930" s="11" t="n">
        <x:f>IF(ISNUMBER(SEARCH("jmdict_exact_pair_not_found",'제외 후보'!P930)),'선정 규칙'!$B$7,0)</x:f>
        <x:v>0</x:v>
      </x:c>
      <x:c r="E930" s="11" t="n">
        <x:f>IF(OR('제외 후보'!L930="",'제외 후보'!L930&lt;=0),'선정 규칙'!$B$8,IF('제외 후보'!L930&lt;=1.5,'선정 규칙'!$B$9,IF('제외 후보'!L930&lt;=2,'선정 규칙'!$B$10,IF('제외 후보'!L930&lt;=2.5,'선정 규칙'!$B$11,IF('제외 후보'!L930&lt;=3,'선정 규칙'!$B$12,IF('제외 후보'!L930&lt;=3.5,'선정 규칙'!$B$13,IF('제외 후보'!L930&gt;=4.5,'선정 규칙'!$B$14,0)))))))</x:f>
        <x:v>12</x:v>
      </x:c>
      <x:c r="F930" s="11" t="n">
        <x:f>IF('제외 후보'!Y930=0,'선정 규칙'!$B$15,IF('제외 후보'!Y930&gt;=100,'선정 규칙'!$B$16,'선정 규칙'!$B$17))</x:f>
        <x:v>-25</x:v>
      </x:c>
      <x:c r="G930" s="11" t="n">
        <x:f>IF('제외 후보'!M930="있음",'선정 규칙'!$B$18,'선정 규칙'!$B$19)</x:f>
        <x:v>6</x:v>
      </x:c>
      <x:c r="H930" s="11" t="n">
        <x:f>IF(ISNUMBER(SEARCH("freq-core",'제외 후보'!AD930)),'선정 규칙'!$B$20,0)</x:f>
        <x:v>0</x:v>
      </x:c>
      <x:c r="I930" s="11" t="n">
        <x:f>IF(ISNUMBER(SEARCH("weak_legacy_content",'제외 후보'!P930)),'선정 규칙'!$B$21,0)</x:f>
        <x:v>5</x:v>
      </x:c>
      <x:c r="J930" s="11" t="n">
        <x:f>IF('제외 후보'!AC930&lt;&gt;"",'선정 규칙'!$B$22,0)</x:f>
        <x:v>0</x:v>
      </x:c>
      <x:c r="K930" s="11" t="n">
        <x:f>SUM(B930:J930)</x:f>
        <x:v>-2</x:v>
      </x:c>
      <x:c r="L930" s="11" t="n">
        <x:f>'제외 후보'!N930</x:f>
        <x:v>-2</x:v>
      </x:c>
      <x:c r="M930" s="2" t="str">
        <x:f>IF(K930=L930,"OK","MISMATCH")</x:f>
        <x:v>OK</x:v>
      </x:c>
    </x:row>
    <x:row r="931">
      <x:c r="A931" s="2" t="str">
        <x:f>'제외 후보'!G931</x:f>
        <x:v>w_65ce4b6319520a16</x:v>
      </x:c>
      <x:c r="B931" s="11" t="n">
        <x:f>IF('제외 후보'!Q931&lt;&gt;"",'선정 규칙'!$B$4,0)</x:f>
        <x:v>0</x:v>
      </x:c>
      <x:c r="C931" s="11" t="n">
        <x:f>IF(ISNUMBER(SEARCH("jmdict_uncommon_or_irregular",'제외 후보'!P931)),'선정 규칙'!$B$5,IF(ISNUMBER(SEARCH("jmdict_rare_or_dated",'제외 후보'!P931)),'선정 규칙'!$B$6,0))</x:f>
        <x:v>0</x:v>
      </x:c>
      <x:c r="D931" s="11" t="n">
        <x:f>IF(ISNUMBER(SEARCH("jmdict_exact_pair_not_found",'제외 후보'!P931)),'선정 규칙'!$B$7,0)</x:f>
        <x:v>0</x:v>
      </x:c>
      <x:c r="E931" s="11" t="n">
        <x:f>IF(OR('제외 후보'!L931="",'제외 후보'!L931&lt;=0),'선정 규칙'!$B$8,IF('제외 후보'!L931&lt;=1.5,'선정 규칙'!$B$9,IF('제외 후보'!L931&lt;=2,'선정 규칙'!$B$10,IF('제외 후보'!L931&lt;=2.5,'선정 규칙'!$B$11,IF('제외 후보'!L931&lt;=3,'선정 규칙'!$B$12,IF('제외 후보'!L931&lt;=3.5,'선정 규칙'!$B$13,IF('제외 후보'!L931&gt;=4.5,'선정 규칙'!$B$14,0)))))))</x:f>
        <x:v>12</x:v>
      </x:c>
      <x:c r="F931" s="11" t="n">
        <x:f>IF('제외 후보'!Y931=0,'선정 규칙'!$B$15,IF('제외 후보'!Y931&gt;=100,'선정 규칙'!$B$16,'선정 규칙'!$B$17))</x:f>
        <x:v>-25</x:v>
      </x:c>
      <x:c r="G931" s="11" t="n">
        <x:f>IF('제외 후보'!M931="있음",'선정 규칙'!$B$18,'선정 규칙'!$B$19)</x:f>
        <x:v>6</x:v>
      </x:c>
      <x:c r="H931" s="11" t="n">
        <x:f>IF(ISNUMBER(SEARCH("freq-core",'제외 후보'!AD931)),'선정 규칙'!$B$20,0)</x:f>
        <x:v>0</x:v>
      </x:c>
      <x:c r="I931" s="11" t="n">
        <x:f>IF(ISNUMBER(SEARCH("weak_legacy_content",'제외 후보'!P931)),'선정 규칙'!$B$21,0)</x:f>
        <x:v>5</x:v>
      </x:c>
      <x:c r="J931" s="11" t="n">
        <x:f>IF('제외 후보'!AC931&lt;&gt;"",'선정 규칙'!$B$22,0)</x:f>
        <x:v>0</x:v>
      </x:c>
      <x:c r="K931" s="11" t="n">
        <x:f>SUM(B931:J931)</x:f>
        <x:v>-2</x:v>
      </x:c>
      <x:c r="L931" s="11" t="n">
        <x:f>'제외 후보'!N931</x:f>
        <x:v>-2</x:v>
      </x:c>
      <x:c r="M931" s="2" t="str">
        <x:f>IF(K931=L931,"OK","MISMATCH")</x:f>
        <x:v>OK</x:v>
      </x:c>
    </x:row>
    <x:row r="932">
      <x:c r="A932" s="2" t="str">
        <x:f>'제외 후보'!G932</x:f>
        <x:v>w_e1f47a3d0e5c8116</x:v>
      </x:c>
      <x:c r="B932" s="11" t="n">
        <x:f>IF('제외 후보'!Q932&lt;&gt;"",'선정 규칙'!$B$4,0)</x:f>
        <x:v>0</x:v>
      </x:c>
      <x:c r="C932" s="11" t="n">
        <x:f>IF(ISNUMBER(SEARCH("jmdict_uncommon_or_irregular",'제외 후보'!P932)),'선정 규칙'!$B$5,IF(ISNUMBER(SEARCH("jmdict_rare_or_dated",'제외 후보'!P932)),'선정 규칙'!$B$6,0))</x:f>
        <x:v>0</x:v>
      </x:c>
      <x:c r="D932" s="11" t="n">
        <x:f>IF(ISNUMBER(SEARCH("jmdict_exact_pair_not_found",'제외 후보'!P932)),'선정 규칙'!$B$7,0)</x:f>
        <x:v>0</x:v>
      </x:c>
      <x:c r="E932" s="11" t="n">
        <x:f>IF(OR('제외 후보'!L932="",'제외 후보'!L932&lt;=0),'선정 규칙'!$B$8,IF('제외 후보'!L932&lt;=1.5,'선정 규칙'!$B$9,IF('제외 후보'!L932&lt;=2,'선정 규칙'!$B$10,IF('제외 후보'!L932&lt;=2.5,'선정 규칙'!$B$11,IF('제외 후보'!L932&lt;=3,'선정 규칙'!$B$12,IF('제외 후보'!L932&lt;=3.5,'선정 규칙'!$B$13,IF('제외 후보'!L932&gt;=4.5,'선정 규칙'!$B$14,0)))))))</x:f>
        <x:v>12</x:v>
      </x:c>
      <x:c r="F932" s="11" t="n">
        <x:f>IF('제외 후보'!Y932=0,'선정 규칙'!$B$15,IF('제외 후보'!Y932&gt;=100,'선정 규칙'!$B$16,'선정 규칙'!$B$17))</x:f>
        <x:v>-25</x:v>
      </x:c>
      <x:c r="G932" s="11" t="n">
        <x:f>IF('제외 후보'!M932="있음",'선정 규칙'!$B$18,'선정 규칙'!$B$19)</x:f>
        <x:v>6</x:v>
      </x:c>
      <x:c r="H932" s="11" t="n">
        <x:f>IF(ISNUMBER(SEARCH("freq-core",'제외 후보'!AD932)),'선정 규칙'!$B$20,0)</x:f>
        <x:v>0</x:v>
      </x:c>
      <x:c r="I932" s="11" t="n">
        <x:f>IF(ISNUMBER(SEARCH("weak_legacy_content",'제외 후보'!P932)),'선정 규칙'!$B$21,0)</x:f>
        <x:v>5</x:v>
      </x:c>
      <x:c r="J932" s="11" t="n">
        <x:f>IF('제외 후보'!AC932&lt;&gt;"",'선정 규칙'!$B$22,0)</x:f>
        <x:v>0</x:v>
      </x:c>
      <x:c r="K932" s="11" t="n">
        <x:f>SUM(B932:J932)</x:f>
        <x:v>-2</x:v>
      </x:c>
      <x:c r="L932" s="11" t="n">
        <x:f>'제외 후보'!N932</x:f>
        <x:v>-2</x:v>
      </x:c>
      <x:c r="M932" s="2" t="str">
        <x:f>IF(K932=L932,"OK","MISMATCH")</x:f>
        <x:v>OK</x:v>
      </x:c>
    </x:row>
    <x:row r="933">
      <x:c r="A933" s="2" t="str">
        <x:f>'제외 후보'!G933</x:f>
        <x:v>w_0aa4fd6ccca22959</x:v>
      </x:c>
      <x:c r="B933" s="11" t="n">
        <x:f>IF('제외 후보'!Q933&lt;&gt;"",'선정 규칙'!$B$4,0)</x:f>
        <x:v>0</x:v>
      </x:c>
      <x:c r="C933" s="11" t="n">
        <x:f>IF(ISNUMBER(SEARCH("jmdict_uncommon_or_irregular",'제외 후보'!P933)),'선정 규칙'!$B$5,IF(ISNUMBER(SEARCH("jmdict_rare_or_dated",'제외 후보'!P933)),'선정 규칙'!$B$6,0))</x:f>
        <x:v>0</x:v>
      </x:c>
      <x:c r="D933" s="11" t="n">
        <x:f>IF(ISNUMBER(SEARCH("jmdict_exact_pair_not_found",'제외 후보'!P933)),'선정 규칙'!$B$7,0)</x:f>
        <x:v>0</x:v>
      </x:c>
      <x:c r="E933" s="11" t="n">
        <x:f>IF(OR('제외 후보'!L933="",'제외 후보'!L933&lt;=0),'선정 규칙'!$B$8,IF('제외 후보'!L933&lt;=1.5,'선정 규칙'!$B$9,IF('제외 후보'!L933&lt;=2,'선정 규칙'!$B$10,IF('제외 후보'!L933&lt;=2.5,'선정 규칙'!$B$11,IF('제외 후보'!L933&lt;=3,'선정 규칙'!$B$12,IF('제외 후보'!L933&lt;=3.5,'선정 규칙'!$B$13,IF('제외 후보'!L933&gt;=4.5,'선정 규칙'!$B$14,0)))))))</x:f>
        <x:v>12</x:v>
      </x:c>
      <x:c r="F933" s="11" t="n">
        <x:f>IF('제외 후보'!Y933=0,'선정 규칙'!$B$15,IF('제외 후보'!Y933&gt;=100,'선정 규칙'!$B$16,'선정 규칙'!$B$17))</x:f>
        <x:v>-25</x:v>
      </x:c>
      <x:c r="G933" s="11" t="n">
        <x:f>IF('제외 후보'!M933="있음",'선정 규칙'!$B$18,'선정 규칙'!$B$19)</x:f>
        <x:v>6</x:v>
      </x:c>
      <x:c r="H933" s="11" t="n">
        <x:f>IF(ISNUMBER(SEARCH("freq-core",'제외 후보'!AD933)),'선정 규칙'!$B$20,0)</x:f>
        <x:v>0</x:v>
      </x:c>
      <x:c r="I933" s="11" t="n">
        <x:f>IF(ISNUMBER(SEARCH("weak_legacy_content",'제외 후보'!P933)),'선정 규칙'!$B$21,0)</x:f>
        <x:v>5</x:v>
      </x:c>
      <x:c r="J933" s="11" t="n">
        <x:f>IF('제외 후보'!AC933&lt;&gt;"",'선정 규칙'!$B$22,0)</x:f>
        <x:v>0</x:v>
      </x:c>
      <x:c r="K933" s="11" t="n">
        <x:f>SUM(B933:J933)</x:f>
        <x:v>-2</x:v>
      </x:c>
      <x:c r="L933" s="11" t="n">
        <x:f>'제외 후보'!N933</x:f>
        <x:v>-2</x:v>
      </x:c>
      <x:c r="M933" s="2" t="str">
        <x:f>IF(K933=L933,"OK","MISMATCH")</x:f>
        <x:v>OK</x:v>
      </x:c>
    </x:row>
    <x:row r="934">
      <x:c r="A934" s="2" t="str">
        <x:f>'제외 후보'!G934</x:f>
        <x:v>w_dd23ab623b85f108</x:v>
      </x:c>
      <x:c r="B934" s="11" t="n">
        <x:f>IF('제외 후보'!Q934&lt;&gt;"",'선정 규칙'!$B$4,0)</x:f>
        <x:v>0</x:v>
      </x:c>
      <x:c r="C934" s="11" t="n">
        <x:f>IF(ISNUMBER(SEARCH("jmdict_uncommon_or_irregular",'제외 후보'!P934)),'선정 규칙'!$B$5,IF(ISNUMBER(SEARCH("jmdict_rare_or_dated",'제외 후보'!P934)),'선정 규칙'!$B$6,0))</x:f>
        <x:v>0</x:v>
      </x:c>
      <x:c r="D934" s="11" t="n">
        <x:f>IF(ISNUMBER(SEARCH("jmdict_exact_pair_not_found",'제외 후보'!P934)),'선정 규칙'!$B$7,0)</x:f>
        <x:v>0</x:v>
      </x:c>
      <x:c r="E934" s="11" t="n">
        <x:f>IF(OR('제외 후보'!L934="",'제외 후보'!L934&lt;=0),'선정 규칙'!$B$8,IF('제외 후보'!L934&lt;=1.5,'선정 규칙'!$B$9,IF('제외 후보'!L934&lt;=2,'선정 규칙'!$B$10,IF('제외 후보'!L934&lt;=2.5,'선정 규칙'!$B$11,IF('제외 후보'!L934&lt;=3,'선정 규칙'!$B$12,IF('제외 후보'!L934&lt;=3.5,'선정 규칙'!$B$13,IF('제외 후보'!L934&gt;=4.5,'선정 규칙'!$B$14,0)))))))</x:f>
        <x:v>12</x:v>
      </x:c>
      <x:c r="F934" s="11" t="n">
        <x:f>IF('제외 후보'!Y934=0,'선정 규칙'!$B$15,IF('제외 후보'!Y934&gt;=100,'선정 규칙'!$B$16,'선정 규칙'!$B$17))</x:f>
        <x:v>-25</x:v>
      </x:c>
      <x:c r="G934" s="11" t="n">
        <x:f>IF('제외 후보'!M934="있음",'선정 규칙'!$B$18,'선정 규칙'!$B$19)</x:f>
        <x:v>6</x:v>
      </x:c>
      <x:c r="H934" s="11" t="n">
        <x:f>IF(ISNUMBER(SEARCH("freq-core",'제외 후보'!AD934)),'선정 규칙'!$B$20,0)</x:f>
        <x:v>0</x:v>
      </x:c>
      <x:c r="I934" s="11" t="n">
        <x:f>IF(ISNUMBER(SEARCH("weak_legacy_content",'제외 후보'!P934)),'선정 규칙'!$B$21,0)</x:f>
        <x:v>5</x:v>
      </x:c>
      <x:c r="J934" s="11" t="n">
        <x:f>IF('제외 후보'!AC934&lt;&gt;"",'선정 규칙'!$B$22,0)</x:f>
        <x:v>0</x:v>
      </x:c>
      <x:c r="K934" s="11" t="n">
        <x:f>SUM(B934:J934)</x:f>
        <x:v>-2</x:v>
      </x:c>
      <x:c r="L934" s="11" t="n">
        <x:f>'제외 후보'!N934</x:f>
        <x:v>-2</x:v>
      </x:c>
      <x:c r="M934" s="2" t="str">
        <x:f>IF(K934=L934,"OK","MISMATCH")</x:f>
        <x:v>OK</x:v>
      </x:c>
    </x:row>
    <x:row r="935">
      <x:c r="A935" s="2" t="str">
        <x:f>'제외 후보'!G935</x:f>
        <x:v>w_54b203f8e832014c</x:v>
      </x:c>
      <x:c r="B935" s="11" t="n">
        <x:f>IF('제외 후보'!Q935&lt;&gt;"",'선정 규칙'!$B$4,0)</x:f>
        <x:v>0</x:v>
      </x:c>
      <x:c r="C935" s="11" t="n">
        <x:f>IF(ISNUMBER(SEARCH("jmdict_uncommon_or_irregular",'제외 후보'!P935)),'선정 규칙'!$B$5,IF(ISNUMBER(SEARCH("jmdict_rare_or_dated",'제외 후보'!P935)),'선정 규칙'!$B$6,0))</x:f>
        <x:v>0</x:v>
      </x:c>
      <x:c r="D935" s="11" t="n">
        <x:f>IF(ISNUMBER(SEARCH("jmdict_exact_pair_not_found",'제외 후보'!P935)),'선정 규칙'!$B$7,0)</x:f>
        <x:v>0</x:v>
      </x:c>
      <x:c r="E935" s="11" t="n">
        <x:f>IF(OR('제외 후보'!L935="",'제외 후보'!L935&lt;=0),'선정 규칙'!$B$8,IF('제외 후보'!L935&lt;=1.5,'선정 규칙'!$B$9,IF('제외 후보'!L935&lt;=2,'선정 규칙'!$B$10,IF('제외 후보'!L935&lt;=2.5,'선정 규칙'!$B$11,IF('제외 후보'!L935&lt;=3,'선정 규칙'!$B$12,IF('제외 후보'!L935&lt;=3.5,'선정 규칙'!$B$13,IF('제외 후보'!L935&gt;=4.5,'선정 규칙'!$B$14,0)))))))</x:f>
        <x:v>12</x:v>
      </x:c>
      <x:c r="F935" s="11" t="n">
        <x:f>IF('제외 후보'!Y935=0,'선정 규칙'!$B$15,IF('제외 후보'!Y935&gt;=100,'선정 규칙'!$B$16,'선정 규칙'!$B$17))</x:f>
        <x:v>-25</x:v>
      </x:c>
      <x:c r="G935" s="11" t="n">
        <x:f>IF('제외 후보'!M935="있음",'선정 규칙'!$B$18,'선정 규칙'!$B$19)</x:f>
        <x:v>6</x:v>
      </x:c>
      <x:c r="H935" s="11" t="n">
        <x:f>IF(ISNUMBER(SEARCH("freq-core",'제외 후보'!AD935)),'선정 규칙'!$B$20,0)</x:f>
        <x:v>0</x:v>
      </x:c>
      <x:c r="I935" s="11" t="n">
        <x:f>IF(ISNUMBER(SEARCH("weak_legacy_content",'제외 후보'!P935)),'선정 규칙'!$B$21,0)</x:f>
        <x:v>5</x:v>
      </x:c>
      <x:c r="J935" s="11" t="n">
        <x:f>IF('제외 후보'!AC935&lt;&gt;"",'선정 규칙'!$B$22,0)</x:f>
        <x:v>0</x:v>
      </x:c>
      <x:c r="K935" s="11" t="n">
        <x:f>SUM(B935:J935)</x:f>
        <x:v>-2</x:v>
      </x:c>
      <x:c r="L935" s="11" t="n">
        <x:f>'제외 후보'!N935</x:f>
        <x:v>-2</x:v>
      </x:c>
      <x:c r="M935" s="2" t="str">
        <x:f>IF(K935=L935,"OK","MISMATCH")</x:f>
        <x:v>OK</x:v>
      </x:c>
    </x:row>
    <x:row r="936">
      <x:c r="A936" s="2" t="str">
        <x:f>'제외 후보'!G936</x:f>
        <x:v>w_52b71369ec5db591</x:v>
      </x:c>
      <x:c r="B936" s="11" t="n">
        <x:f>IF('제외 후보'!Q936&lt;&gt;"",'선정 규칙'!$B$4,0)</x:f>
        <x:v>0</x:v>
      </x:c>
      <x:c r="C936" s="11" t="n">
        <x:f>IF(ISNUMBER(SEARCH("jmdict_uncommon_or_irregular",'제외 후보'!P936)),'선정 규칙'!$B$5,IF(ISNUMBER(SEARCH("jmdict_rare_or_dated",'제외 후보'!P936)),'선정 규칙'!$B$6,0))</x:f>
        <x:v>0</x:v>
      </x:c>
      <x:c r="D936" s="11" t="n">
        <x:f>IF(ISNUMBER(SEARCH("jmdict_exact_pair_not_found",'제외 후보'!P936)),'선정 규칙'!$B$7,0)</x:f>
        <x:v>0</x:v>
      </x:c>
      <x:c r="E936" s="11" t="n">
        <x:f>IF(OR('제외 후보'!L936="",'제외 후보'!L936&lt;=0),'선정 규칙'!$B$8,IF('제외 후보'!L936&lt;=1.5,'선정 규칙'!$B$9,IF('제외 후보'!L936&lt;=2,'선정 규칙'!$B$10,IF('제외 후보'!L936&lt;=2.5,'선정 규칙'!$B$11,IF('제외 후보'!L936&lt;=3,'선정 규칙'!$B$12,IF('제외 후보'!L936&lt;=3.5,'선정 규칙'!$B$13,IF('제외 후보'!L936&gt;=4.5,'선정 규칙'!$B$14,0)))))))</x:f>
        <x:v>12</x:v>
      </x:c>
      <x:c r="F936" s="11" t="n">
        <x:f>IF('제외 후보'!Y936=0,'선정 규칙'!$B$15,IF('제외 후보'!Y936&gt;=100,'선정 규칙'!$B$16,'선정 규칙'!$B$17))</x:f>
        <x:v>-25</x:v>
      </x:c>
      <x:c r="G936" s="11" t="n">
        <x:f>IF('제외 후보'!M936="있음",'선정 규칙'!$B$18,'선정 규칙'!$B$19)</x:f>
        <x:v>6</x:v>
      </x:c>
      <x:c r="H936" s="11" t="n">
        <x:f>IF(ISNUMBER(SEARCH("freq-core",'제외 후보'!AD936)),'선정 규칙'!$B$20,0)</x:f>
        <x:v>0</x:v>
      </x:c>
      <x:c r="I936" s="11" t="n">
        <x:f>IF(ISNUMBER(SEARCH("weak_legacy_content",'제외 후보'!P936)),'선정 규칙'!$B$21,0)</x:f>
        <x:v>5</x:v>
      </x:c>
      <x:c r="J936" s="11" t="n">
        <x:f>IF('제외 후보'!AC936&lt;&gt;"",'선정 규칙'!$B$22,0)</x:f>
        <x:v>0</x:v>
      </x:c>
      <x:c r="K936" s="11" t="n">
        <x:f>SUM(B936:J936)</x:f>
        <x:v>-2</x:v>
      </x:c>
      <x:c r="L936" s="11" t="n">
        <x:f>'제외 후보'!N936</x:f>
        <x:v>-2</x:v>
      </x:c>
      <x:c r="M936" s="2" t="str">
        <x:f>IF(K936=L936,"OK","MISMATCH")</x:f>
        <x:v>OK</x:v>
      </x:c>
    </x:row>
    <x:row r="937">
      <x:c r="A937" s="2" t="str">
        <x:f>'제외 후보'!G937</x:f>
        <x:v>w_ef030ba39af0bee6</x:v>
      </x:c>
      <x:c r="B937" s="11" t="n">
        <x:f>IF('제외 후보'!Q937&lt;&gt;"",'선정 규칙'!$B$4,0)</x:f>
        <x:v>0</x:v>
      </x:c>
      <x:c r="C937" s="11" t="n">
        <x:f>IF(ISNUMBER(SEARCH("jmdict_uncommon_or_irregular",'제외 후보'!P937)),'선정 규칙'!$B$5,IF(ISNUMBER(SEARCH("jmdict_rare_or_dated",'제외 후보'!P937)),'선정 규칙'!$B$6,0))</x:f>
        <x:v>0</x:v>
      </x:c>
      <x:c r="D937" s="11" t="n">
        <x:f>IF(ISNUMBER(SEARCH("jmdict_exact_pair_not_found",'제외 후보'!P937)),'선정 규칙'!$B$7,0)</x:f>
        <x:v>0</x:v>
      </x:c>
      <x:c r="E937" s="11" t="n">
        <x:f>IF(OR('제외 후보'!L937="",'제외 후보'!L937&lt;=0),'선정 규칙'!$B$8,IF('제외 후보'!L937&lt;=1.5,'선정 규칙'!$B$9,IF('제외 후보'!L937&lt;=2,'선정 규칙'!$B$10,IF('제외 후보'!L937&lt;=2.5,'선정 규칙'!$B$11,IF('제외 후보'!L937&lt;=3,'선정 규칙'!$B$12,IF('제외 후보'!L937&lt;=3.5,'선정 규칙'!$B$13,IF('제외 후보'!L937&gt;=4.5,'선정 규칙'!$B$14,0)))))))</x:f>
        <x:v>12</x:v>
      </x:c>
      <x:c r="F937" s="11" t="n">
        <x:f>IF('제외 후보'!Y937=0,'선정 규칙'!$B$15,IF('제외 후보'!Y937&gt;=100,'선정 규칙'!$B$16,'선정 규칙'!$B$17))</x:f>
        <x:v>-25</x:v>
      </x:c>
      <x:c r="G937" s="11" t="n">
        <x:f>IF('제외 후보'!M937="있음",'선정 규칙'!$B$18,'선정 규칙'!$B$19)</x:f>
        <x:v>6</x:v>
      </x:c>
      <x:c r="H937" s="11" t="n">
        <x:f>IF(ISNUMBER(SEARCH("freq-core",'제외 후보'!AD937)),'선정 규칙'!$B$20,0)</x:f>
        <x:v>0</x:v>
      </x:c>
      <x:c r="I937" s="11" t="n">
        <x:f>IF(ISNUMBER(SEARCH("weak_legacy_content",'제외 후보'!P937)),'선정 규칙'!$B$21,0)</x:f>
        <x:v>5</x:v>
      </x:c>
      <x:c r="J937" s="11" t="n">
        <x:f>IF('제외 후보'!AC937&lt;&gt;"",'선정 규칙'!$B$22,0)</x:f>
        <x:v>0</x:v>
      </x:c>
      <x:c r="K937" s="11" t="n">
        <x:f>SUM(B937:J937)</x:f>
        <x:v>-2</x:v>
      </x:c>
      <x:c r="L937" s="11" t="n">
        <x:f>'제외 후보'!N937</x:f>
        <x:v>-2</x:v>
      </x:c>
      <x:c r="M937" s="2" t="str">
        <x:f>IF(K937=L937,"OK","MISMATCH")</x:f>
        <x:v>OK</x:v>
      </x:c>
    </x:row>
    <x:row r="938">
      <x:c r="A938" s="2" t="str">
        <x:f>'제외 후보'!G938</x:f>
        <x:v>w_64daaabdec7b758d</x:v>
      </x:c>
      <x:c r="B938" s="11" t="n">
        <x:f>IF('제외 후보'!Q938&lt;&gt;"",'선정 규칙'!$B$4,0)</x:f>
        <x:v>0</x:v>
      </x:c>
      <x:c r="C938" s="11" t="n">
        <x:f>IF(ISNUMBER(SEARCH("jmdict_uncommon_or_irregular",'제외 후보'!P938)),'선정 규칙'!$B$5,IF(ISNUMBER(SEARCH("jmdict_rare_or_dated",'제외 후보'!P938)),'선정 규칙'!$B$6,0))</x:f>
        <x:v>0</x:v>
      </x:c>
      <x:c r="D938" s="11" t="n">
        <x:f>IF(ISNUMBER(SEARCH("jmdict_exact_pair_not_found",'제외 후보'!P938)),'선정 규칙'!$B$7,0)</x:f>
        <x:v>0</x:v>
      </x:c>
      <x:c r="E938" s="11" t="n">
        <x:f>IF(OR('제외 후보'!L938="",'제외 후보'!L938&lt;=0),'선정 규칙'!$B$8,IF('제외 후보'!L938&lt;=1.5,'선정 규칙'!$B$9,IF('제외 후보'!L938&lt;=2,'선정 규칙'!$B$10,IF('제외 후보'!L938&lt;=2.5,'선정 규칙'!$B$11,IF('제외 후보'!L938&lt;=3,'선정 규칙'!$B$12,IF('제외 후보'!L938&lt;=3.5,'선정 규칙'!$B$13,IF('제외 후보'!L938&gt;=4.5,'선정 규칙'!$B$14,0)))))))</x:f>
        <x:v>12</x:v>
      </x:c>
      <x:c r="F938" s="11" t="n">
        <x:f>IF('제외 후보'!Y938=0,'선정 규칙'!$B$15,IF('제외 후보'!Y938&gt;=100,'선정 규칙'!$B$16,'선정 규칙'!$B$17))</x:f>
        <x:v>-25</x:v>
      </x:c>
      <x:c r="G938" s="11" t="n">
        <x:f>IF('제외 후보'!M938="있음",'선정 규칙'!$B$18,'선정 규칙'!$B$19)</x:f>
        <x:v>6</x:v>
      </x:c>
      <x:c r="H938" s="11" t="n">
        <x:f>IF(ISNUMBER(SEARCH("freq-core",'제외 후보'!AD938)),'선정 규칙'!$B$20,0)</x:f>
        <x:v>0</x:v>
      </x:c>
      <x:c r="I938" s="11" t="n">
        <x:f>IF(ISNUMBER(SEARCH("weak_legacy_content",'제외 후보'!P938)),'선정 규칙'!$B$21,0)</x:f>
        <x:v>5</x:v>
      </x:c>
      <x:c r="J938" s="11" t="n">
        <x:f>IF('제외 후보'!AC938&lt;&gt;"",'선정 규칙'!$B$22,0)</x:f>
        <x:v>0</x:v>
      </x:c>
      <x:c r="K938" s="11" t="n">
        <x:f>SUM(B938:J938)</x:f>
        <x:v>-2</x:v>
      </x:c>
      <x:c r="L938" s="11" t="n">
        <x:f>'제외 후보'!N938</x:f>
        <x:v>-2</x:v>
      </x:c>
      <x:c r="M938" s="2" t="str">
        <x:f>IF(K938=L938,"OK","MISMATCH")</x:f>
        <x:v>OK</x:v>
      </x:c>
    </x:row>
    <x:row r="939">
      <x:c r="A939" s="2" t="str">
        <x:f>'제외 후보'!G939</x:f>
        <x:v>w_08ca1df6137e84ac</x:v>
      </x:c>
      <x:c r="B939" s="11" t="n">
        <x:f>IF('제외 후보'!Q939&lt;&gt;"",'선정 규칙'!$B$4,0)</x:f>
        <x:v>0</x:v>
      </x:c>
      <x:c r="C939" s="11" t="n">
        <x:f>IF(ISNUMBER(SEARCH("jmdict_uncommon_or_irregular",'제외 후보'!P939)),'선정 규칙'!$B$5,IF(ISNUMBER(SEARCH("jmdict_rare_or_dated",'제외 후보'!P939)),'선정 규칙'!$B$6,0))</x:f>
        <x:v>0</x:v>
      </x:c>
      <x:c r="D939" s="11" t="n">
        <x:f>IF(ISNUMBER(SEARCH("jmdict_exact_pair_not_found",'제외 후보'!P939)),'선정 규칙'!$B$7,0)</x:f>
        <x:v>0</x:v>
      </x:c>
      <x:c r="E939" s="11" t="n">
        <x:f>IF(OR('제외 후보'!L939="",'제외 후보'!L939&lt;=0),'선정 규칙'!$B$8,IF('제외 후보'!L939&lt;=1.5,'선정 규칙'!$B$9,IF('제외 후보'!L939&lt;=2,'선정 규칙'!$B$10,IF('제외 후보'!L939&lt;=2.5,'선정 규칙'!$B$11,IF('제외 후보'!L939&lt;=3,'선정 규칙'!$B$12,IF('제외 후보'!L939&lt;=3.5,'선정 규칙'!$B$13,IF('제외 후보'!L939&gt;=4.5,'선정 규칙'!$B$14,0)))))))</x:f>
        <x:v>12</x:v>
      </x:c>
      <x:c r="F939" s="11" t="n">
        <x:f>IF('제외 후보'!Y939=0,'선정 규칙'!$B$15,IF('제외 후보'!Y939&gt;=100,'선정 규칙'!$B$16,'선정 규칙'!$B$17))</x:f>
        <x:v>-25</x:v>
      </x:c>
      <x:c r="G939" s="11" t="n">
        <x:f>IF('제외 후보'!M939="있음",'선정 규칙'!$B$18,'선정 규칙'!$B$19)</x:f>
        <x:v>6</x:v>
      </x:c>
      <x:c r="H939" s="11" t="n">
        <x:f>IF(ISNUMBER(SEARCH("freq-core",'제외 후보'!AD939)),'선정 규칙'!$B$20,0)</x:f>
        <x:v>0</x:v>
      </x:c>
      <x:c r="I939" s="11" t="n">
        <x:f>IF(ISNUMBER(SEARCH("weak_legacy_content",'제외 후보'!P939)),'선정 규칙'!$B$21,0)</x:f>
        <x:v>5</x:v>
      </x:c>
      <x:c r="J939" s="11" t="n">
        <x:f>IF('제외 후보'!AC939&lt;&gt;"",'선정 규칙'!$B$22,0)</x:f>
        <x:v>0</x:v>
      </x:c>
      <x:c r="K939" s="11" t="n">
        <x:f>SUM(B939:J939)</x:f>
        <x:v>-2</x:v>
      </x:c>
      <x:c r="L939" s="11" t="n">
        <x:f>'제외 후보'!N939</x:f>
        <x:v>-2</x:v>
      </x:c>
      <x:c r="M939" s="2" t="str">
        <x:f>IF(K939=L939,"OK","MISMATCH")</x:f>
        <x:v>OK</x:v>
      </x:c>
    </x:row>
    <x:row r="940">
      <x:c r="A940" s="2" t="str">
        <x:f>'제외 후보'!G940</x:f>
        <x:v>w_0f10aedeec365426</x:v>
      </x:c>
      <x:c r="B940" s="11" t="n">
        <x:f>IF('제외 후보'!Q940&lt;&gt;"",'선정 규칙'!$B$4,0)</x:f>
        <x:v>0</x:v>
      </x:c>
      <x:c r="C940" s="11" t="n">
        <x:f>IF(ISNUMBER(SEARCH("jmdict_uncommon_or_irregular",'제외 후보'!P940)),'선정 규칙'!$B$5,IF(ISNUMBER(SEARCH("jmdict_rare_or_dated",'제외 후보'!P940)),'선정 규칙'!$B$6,0))</x:f>
        <x:v>0</x:v>
      </x:c>
      <x:c r="D940" s="11" t="n">
        <x:f>IF(ISNUMBER(SEARCH("jmdict_exact_pair_not_found",'제외 후보'!P940)),'선정 규칙'!$B$7,0)</x:f>
        <x:v>0</x:v>
      </x:c>
      <x:c r="E940" s="11" t="n">
        <x:f>IF(OR('제외 후보'!L940="",'제외 후보'!L940&lt;=0),'선정 규칙'!$B$8,IF('제외 후보'!L940&lt;=1.5,'선정 규칙'!$B$9,IF('제외 후보'!L940&lt;=2,'선정 규칙'!$B$10,IF('제외 후보'!L940&lt;=2.5,'선정 규칙'!$B$11,IF('제외 후보'!L940&lt;=3,'선정 규칙'!$B$12,IF('제외 후보'!L940&lt;=3.5,'선정 규칙'!$B$13,IF('제외 후보'!L940&gt;=4.5,'선정 규칙'!$B$14,0)))))))</x:f>
        <x:v>12</x:v>
      </x:c>
      <x:c r="F940" s="11" t="n">
        <x:f>IF('제외 후보'!Y940=0,'선정 규칙'!$B$15,IF('제외 후보'!Y940&gt;=100,'선정 규칙'!$B$16,'선정 규칙'!$B$17))</x:f>
        <x:v>-25</x:v>
      </x:c>
      <x:c r="G940" s="11" t="n">
        <x:f>IF('제외 후보'!M940="있음",'선정 규칙'!$B$18,'선정 규칙'!$B$19)</x:f>
        <x:v>6</x:v>
      </x:c>
      <x:c r="H940" s="11" t="n">
        <x:f>IF(ISNUMBER(SEARCH("freq-core",'제외 후보'!AD940)),'선정 규칙'!$B$20,0)</x:f>
        <x:v>0</x:v>
      </x:c>
      <x:c r="I940" s="11" t="n">
        <x:f>IF(ISNUMBER(SEARCH("weak_legacy_content",'제외 후보'!P940)),'선정 규칙'!$B$21,0)</x:f>
        <x:v>5</x:v>
      </x:c>
      <x:c r="J940" s="11" t="n">
        <x:f>IF('제외 후보'!AC940&lt;&gt;"",'선정 규칙'!$B$22,0)</x:f>
        <x:v>0</x:v>
      </x:c>
      <x:c r="K940" s="11" t="n">
        <x:f>SUM(B940:J940)</x:f>
        <x:v>-2</x:v>
      </x:c>
      <x:c r="L940" s="11" t="n">
        <x:f>'제외 후보'!N940</x:f>
        <x:v>-2</x:v>
      </x:c>
      <x:c r="M940" s="2" t="str">
        <x:f>IF(K940=L940,"OK","MISMATCH")</x:f>
        <x:v>OK</x:v>
      </x:c>
    </x:row>
    <x:row r="941">
      <x:c r="A941" s="2" t="str">
        <x:f>'제외 후보'!G941</x:f>
        <x:v>w_e13f09519cb49365</x:v>
      </x:c>
      <x:c r="B941" s="11" t="n">
        <x:f>IF('제외 후보'!Q941&lt;&gt;"",'선정 규칙'!$B$4,0)</x:f>
        <x:v>0</x:v>
      </x:c>
      <x:c r="C941" s="11" t="n">
        <x:f>IF(ISNUMBER(SEARCH("jmdict_uncommon_or_irregular",'제외 후보'!P941)),'선정 규칙'!$B$5,IF(ISNUMBER(SEARCH("jmdict_rare_or_dated",'제외 후보'!P941)),'선정 규칙'!$B$6,0))</x:f>
        <x:v>0</x:v>
      </x:c>
      <x:c r="D941" s="11" t="n">
        <x:f>IF(ISNUMBER(SEARCH("jmdict_exact_pair_not_found",'제외 후보'!P941)),'선정 규칙'!$B$7,0)</x:f>
        <x:v>0</x:v>
      </x:c>
      <x:c r="E941" s="11" t="n">
        <x:f>IF(OR('제외 후보'!L941="",'제외 후보'!L941&lt;=0),'선정 규칙'!$B$8,IF('제외 후보'!L941&lt;=1.5,'선정 규칙'!$B$9,IF('제외 후보'!L941&lt;=2,'선정 규칙'!$B$10,IF('제외 후보'!L941&lt;=2.5,'선정 규칙'!$B$11,IF('제외 후보'!L941&lt;=3,'선정 규칙'!$B$12,IF('제외 후보'!L941&lt;=3.5,'선정 규칙'!$B$13,IF('제외 후보'!L941&gt;=4.5,'선정 규칙'!$B$14,0)))))))</x:f>
        <x:v>12</x:v>
      </x:c>
      <x:c r="F941" s="11" t="n">
        <x:f>IF('제외 후보'!Y941=0,'선정 규칙'!$B$15,IF('제외 후보'!Y941&gt;=100,'선정 규칙'!$B$16,'선정 규칙'!$B$17))</x:f>
        <x:v>-25</x:v>
      </x:c>
      <x:c r="G941" s="11" t="n">
        <x:f>IF('제외 후보'!M941="있음",'선정 규칙'!$B$18,'선정 규칙'!$B$19)</x:f>
        <x:v>6</x:v>
      </x:c>
      <x:c r="H941" s="11" t="n">
        <x:f>IF(ISNUMBER(SEARCH("freq-core",'제외 후보'!AD941)),'선정 규칙'!$B$20,0)</x:f>
        <x:v>0</x:v>
      </x:c>
      <x:c r="I941" s="11" t="n">
        <x:f>IF(ISNUMBER(SEARCH("weak_legacy_content",'제외 후보'!P941)),'선정 규칙'!$B$21,0)</x:f>
        <x:v>5</x:v>
      </x:c>
      <x:c r="J941" s="11" t="n">
        <x:f>IF('제외 후보'!AC941&lt;&gt;"",'선정 규칙'!$B$22,0)</x:f>
        <x:v>0</x:v>
      </x:c>
      <x:c r="K941" s="11" t="n">
        <x:f>SUM(B941:J941)</x:f>
        <x:v>-2</x:v>
      </x:c>
      <x:c r="L941" s="11" t="n">
        <x:f>'제외 후보'!N941</x:f>
        <x:v>-2</x:v>
      </x:c>
      <x:c r="M941" s="2" t="str">
        <x:f>IF(K941=L941,"OK","MISMATCH")</x:f>
        <x:v>OK</x:v>
      </x:c>
    </x:row>
    <x:row r="942">
      <x:c r="A942" s="2" t="str">
        <x:f>'제외 후보'!G942</x:f>
        <x:v>w_e1947d121eacb34e</x:v>
      </x:c>
      <x:c r="B942" s="11" t="n">
        <x:f>IF('제외 후보'!Q942&lt;&gt;"",'선정 규칙'!$B$4,0)</x:f>
        <x:v>0</x:v>
      </x:c>
      <x:c r="C942" s="11" t="n">
        <x:f>IF(ISNUMBER(SEARCH("jmdict_uncommon_or_irregular",'제외 후보'!P942)),'선정 규칙'!$B$5,IF(ISNUMBER(SEARCH("jmdict_rare_or_dated",'제외 후보'!P942)),'선정 규칙'!$B$6,0))</x:f>
        <x:v>0</x:v>
      </x:c>
      <x:c r="D942" s="11" t="n">
        <x:f>IF(ISNUMBER(SEARCH("jmdict_exact_pair_not_found",'제외 후보'!P942)),'선정 규칙'!$B$7,0)</x:f>
        <x:v>0</x:v>
      </x:c>
      <x:c r="E942" s="11" t="n">
        <x:f>IF(OR('제외 후보'!L942="",'제외 후보'!L942&lt;=0),'선정 규칙'!$B$8,IF('제외 후보'!L942&lt;=1.5,'선정 규칙'!$B$9,IF('제외 후보'!L942&lt;=2,'선정 규칙'!$B$10,IF('제외 후보'!L942&lt;=2.5,'선정 규칙'!$B$11,IF('제외 후보'!L942&lt;=3,'선정 규칙'!$B$12,IF('제외 후보'!L942&lt;=3.5,'선정 규칙'!$B$13,IF('제외 후보'!L942&gt;=4.5,'선정 규칙'!$B$14,0)))))))</x:f>
        <x:v>12</x:v>
      </x:c>
      <x:c r="F942" s="11" t="n">
        <x:f>IF('제외 후보'!Y942=0,'선정 규칙'!$B$15,IF('제외 후보'!Y942&gt;=100,'선정 규칙'!$B$16,'선정 규칙'!$B$17))</x:f>
        <x:v>-25</x:v>
      </x:c>
      <x:c r="G942" s="11" t="n">
        <x:f>IF('제외 후보'!M942="있음",'선정 규칙'!$B$18,'선정 규칙'!$B$19)</x:f>
        <x:v>6</x:v>
      </x:c>
      <x:c r="H942" s="11" t="n">
        <x:f>IF(ISNUMBER(SEARCH("freq-core",'제외 후보'!AD942)),'선정 규칙'!$B$20,0)</x:f>
        <x:v>0</x:v>
      </x:c>
      <x:c r="I942" s="11" t="n">
        <x:f>IF(ISNUMBER(SEARCH("weak_legacy_content",'제외 후보'!P942)),'선정 규칙'!$B$21,0)</x:f>
        <x:v>5</x:v>
      </x:c>
      <x:c r="J942" s="11" t="n">
        <x:f>IF('제외 후보'!AC942&lt;&gt;"",'선정 규칙'!$B$22,0)</x:f>
        <x:v>0</x:v>
      </x:c>
      <x:c r="K942" s="11" t="n">
        <x:f>SUM(B942:J942)</x:f>
        <x:v>-2</x:v>
      </x:c>
      <x:c r="L942" s="11" t="n">
        <x:f>'제외 후보'!N942</x:f>
        <x:v>-2</x:v>
      </x:c>
      <x:c r="M942" s="2" t="str">
        <x:f>IF(K942=L942,"OK","MISMATCH")</x:f>
        <x:v>OK</x:v>
      </x:c>
    </x:row>
    <x:row r="943">
      <x:c r="A943" s="2" t="str">
        <x:f>'제외 후보'!G943</x:f>
        <x:v>w_b9e6057728c37188</x:v>
      </x:c>
      <x:c r="B943" s="11" t="n">
        <x:f>IF('제외 후보'!Q943&lt;&gt;"",'선정 규칙'!$B$4,0)</x:f>
        <x:v>0</x:v>
      </x:c>
      <x:c r="C943" s="11" t="n">
        <x:f>IF(ISNUMBER(SEARCH("jmdict_uncommon_or_irregular",'제외 후보'!P943)),'선정 규칙'!$B$5,IF(ISNUMBER(SEARCH("jmdict_rare_or_dated",'제외 후보'!P943)),'선정 규칙'!$B$6,0))</x:f>
        <x:v>0</x:v>
      </x:c>
      <x:c r="D943" s="11" t="n">
        <x:f>IF(ISNUMBER(SEARCH("jmdict_exact_pair_not_found",'제외 후보'!P943)),'선정 규칙'!$B$7,0)</x:f>
        <x:v>0</x:v>
      </x:c>
      <x:c r="E943" s="11" t="n">
        <x:f>IF(OR('제외 후보'!L943="",'제외 후보'!L943&lt;=0),'선정 규칙'!$B$8,IF('제외 후보'!L943&lt;=1.5,'선정 규칙'!$B$9,IF('제외 후보'!L943&lt;=2,'선정 규칙'!$B$10,IF('제외 후보'!L943&lt;=2.5,'선정 규칙'!$B$11,IF('제외 후보'!L943&lt;=3,'선정 규칙'!$B$12,IF('제외 후보'!L943&lt;=3.5,'선정 규칙'!$B$13,IF('제외 후보'!L943&gt;=4.5,'선정 규칙'!$B$14,0)))))))</x:f>
        <x:v>12</x:v>
      </x:c>
      <x:c r="F943" s="11" t="n">
        <x:f>IF('제외 후보'!Y943=0,'선정 규칙'!$B$15,IF('제외 후보'!Y943&gt;=100,'선정 규칙'!$B$16,'선정 규칙'!$B$17))</x:f>
        <x:v>-25</x:v>
      </x:c>
      <x:c r="G943" s="11" t="n">
        <x:f>IF('제외 후보'!M943="있음",'선정 규칙'!$B$18,'선정 규칙'!$B$19)</x:f>
        <x:v>6</x:v>
      </x:c>
      <x:c r="H943" s="11" t="n">
        <x:f>IF(ISNUMBER(SEARCH("freq-core",'제외 후보'!AD943)),'선정 규칙'!$B$20,0)</x:f>
        <x:v>0</x:v>
      </x:c>
      <x:c r="I943" s="11" t="n">
        <x:f>IF(ISNUMBER(SEARCH("weak_legacy_content",'제외 후보'!P943)),'선정 규칙'!$B$21,0)</x:f>
        <x:v>5</x:v>
      </x:c>
      <x:c r="J943" s="11" t="n">
        <x:f>IF('제외 후보'!AC943&lt;&gt;"",'선정 규칙'!$B$22,0)</x:f>
        <x:v>0</x:v>
      </x:c>
      <x:c r="K943" s="11" t="n">
        <x:f>SUM(B943:J943)</x:f>
        <x:v>-2</x:v>
      </x:c>
      <x:c r="L943" s="11" t="n">
        <x:f>'제외 후보'!N943</x:f>
        <x:v>-2</x:v>
      </x:c>
      <x:c r="M943" s="2" t="str">
        <x:f>IF(K943=L943,"OK","MISMATCH")</x:f>
        <x:v>OK</x:v>
      </x:c>
    </x:row>
    <x:row r="944">
      <x:c r="A944" s="2" t="str">
        <x:f>'제외 후보'!G944</x:f>
        <x:v>w_dac196fe2469a2e6</x:v>
      </x:c>
      <x:c r="B944" s="11" t="n">
        <x:f>IF('제외 후보'!Q944&lt;&gt;"",'선정 규칙'!$B$4,0)</x:f>
        <x:v>0</x:v>
      </x:c>
      <x:c r="C944" s="11" t="n">
        <x:f>IF(ISNUMBER(SEARCH("jmdict_uncommon_or_irregular",'제외 후보'!P944)),'선정 규칙'!$B$5,IF(ISNUMBER(SEARCH("jmdict_rare_or_dated",'제외 후보'!P944)),'선정 규칙'!$B$6,0))</x:f>
        <x:v>0</x:v>
      </x:c>
      <x:c r="D944" s="11" t="n">
        <x:f>IF(ISNUMBER(SEARCH("jmdict_exact_pair_not_found",'제외 후보'!P944)),'선정 규칙'!$B$7,0)</x:f>
        <x:v>0</x:v>
      </x:c>
      <x:c r="E944" s="11" t="n">
        <x:f>IF(OR('제외 후보'!L944="",'제외 후보'!L944&lt;=0),'선정 규칙'!$B$8,IF('제외 후보'!L944&lt;=1.5,'선정 규칙'!$B$9,IF('제외 후보'!L944&lt;=2,'선정 규칙'!$B$10,IF('제외 후보'!L944&lt;=2.5,'선정 규칙'!$B$11,IF('제외 후보'!L944&lt;=3,'선정 규칙'!$B$12,IF('제외 후보'!L944&lt;=3.5,'선정 규칙'!$B$13,IF('제외 후보'!L944&gt;=4.5,'선정 규칙'!$B$14,0)))))))</x:f>
        <x:v>12</x:v>
      </x:c>
      <x:c r="F944" s="11" t="n">
        <x:f>IF('제외 후보'!Y944=0,'선정 규칙'!$B$15,IF('제외 후보'!Y944&gt;=100,'선정 규칙'!$B$16,'선정 규칙'!$B$17))</x:f>
        <x:v>-25</x:v>
      </x:c>
      <x:c r="G944" s="11" t="n">
        <x:f>IF('제외 후보'!M944="있음",'선정 규칙'!$B$18,'선정 규칙'!$B$19)</x:f>
        <x:v>6</x:v>
      </x:c>
      <x:c r="H944" s="11" t="n">
        <x:f>IF(ISNUMBER(SEARCH("freq-core",'제외 후보'!AD944)),'선정 규칙'!$B$20,0)</x:f>
        <x:v>0</x:v>
      </x:c>
      <x:c r="I944" s="11" t="n">
        <x:f>IF(ISNUMBER(SEARCH("weak_legacy_content",'제외 후보'!P944)),'선정 규칙'!$B$21,0)</x:f>
        <x:v>5</x:v>
      </x:c>
      <x:c r="J944" s="11" t="n">
        <x:f>IF('제외 후보'!AC944&lt;&gt;"",'선정 규칙'!$B$22,0)</x:f>
        <x:v>0</x:v>
      </x:c>
      <x:c r="K944" s="11" t="n">
        <x:f>SUM(B944:J944)</x:f>
        <x:v>-2</x:v>
      </x:c>
      <x:c r="L944" s="11" t="n">
        <x:f>'제외 후보'!N944</x:f>
        <x:v>-2</x:v>
      </x:c>
      <x:c r="M944" s="2" t="str">
        <x:f>IF(K944=L944,"OK","MISMATCH")</x:f>
        <x:v>OK</x:v>
      </x:c>
    </x:row>
    <x:row r="945">
      <x:c r="A945" s="2" t="str">
        <x:f>'제외 후보'!G945</x:f>
        <x:v>w_d4ac61fa88785484</x:v>
      </x:c>
      <x:c r="B945" s="11" t="n">
        <x:f>IF('제외 후보'!Q945&lt;&gt;"",'선정 규칙'!$B$4,0)</x:f>
        <x:v>0</x:v>
      </x:c>
      <x:c r="C945" s="11" t="n">
        <x:f>IF(ISNUMBER(SEARCH("jmdict_uncommon_or_irregular",'제외 후보'!P945)),'선정 규칙'!$B$5,IF(ISNUMBER(SEARCH("jmdict_rare_or_dated",'제외 후보'!P945)),'선정 규칙'!$B$6,0))</x:f>
        <x:v>0</x:v>
      </x:c>
      <x:c r="D945" s="11" t="n">
        <x:f>IF(ISNUMBER(SEARCH("jmdict_exact_pair_not_found",'제외 후보'!P945)),'선정 규칙'!$B$7,0)</x:f>
        <x:v>0</x:v>
      </x:c>
      <x:c r="E945" s="11" t="n">
        <x:f>IF(OR('제외 후보'!L945="",'제외 후보'!L945&lt;=0),'선정 규칙'!$B$8,IF('제외 후보'!L945&lt;=1.5,'선정 규칙'!$B$9,IF('제외 후보'!L945&lt;=2,'선정 규칙'!$B$10,IF('제외 후보'!L945&lt;=2.5,'선정 규칙'!$B$11,IF('제외 후보'!L945&lt;=3,'선정 규칙'!$B$12,IF('제외 후보'!L945&lt;=3.5,'선정 규칙'!$B$13,IF('제외 후보'!L945&gt;=4.5,'선정 규칙'!$B$14,0)))))))</x:f>
        <x:v>12</x:v>
      </x:c>
      <x:c r="F945" s="11" t="n">
        <x:f>IF('제외 후보'!Y945=0,'선정 규칙'!$B$15,IF('제외 후보'!Y945&gt;=100,'선정 규칙'!$B$16,'선정 규칙'!$B$17))</x:f>
        <x:v>-25</x:v>
      </x:c>
      <x:c r="G945" s="11" t="n">
        <x:f>IF('제외 후보'!M945="있음",'선정 규칙'!$B$18,'선정 규칙'!$B$19)</x:f>
        <x:v>6</x:v>
      </x:c>
      <x:c r="H945" s="11" t="n">
        <x:f>IF(ISNUMBER(SEARCH("freq-core",'제외 후보'!AD945)),'선정 규칙'!$B$20,0)</x:f>
        <x:v>0</x:v>
      </x:c>
      <x:c r="I945" s="11" t="n">
        <x:f>IF(ISNUMBER(SEARCH("weak_legacy_content",'제외 후보'!P945)),'선정 규칙'!$B$21,0)</x:f>
        <x:v>5</x:v>
      </x:c>
      <x:c r="J945" s="11" t="n">
        <x:f>IF('제외 후보'!AC945&lt;&gt;"",'선정 규칙'!$B$22,0)</x:f>
        <x:v>0</x:v>
      </x:c>
      <x:c r="K945" s="11" t="n">
        <x:f>SUM(B945:J945)</x:f>
        <x:v>-2</x:v>
      </x:c>
      <x:c r="L945" s="11" t="n">
        <x:f>'제외 후보'!N945</x:f>
        <x:v>-2</x:v>
      </x:c>
      <x:c r="M945" s="2" t="str">
        <x:f>IF(K945=L945,"OK","MISMATCH")</x:f>
        <x:v>OK</x:v>
      </x:c>
    </x:row>
    <x:row r="946">
      <x:c r="A946" s="2" t="str">
        <x:f>'제외 후보'!G946</x:f>
        <x:v>w_713d3830400d336b</x:v>
      </x:c>
      <x:c r="B946" s="11" t="n">
        <x:f>IF('제외 후보'!Q946&lt;&gt;"",'선정 규칙'!$B$4,0)</x:f>
        <x:v>0</x:v>
      </x:c>
      <x:c r="C946" s="11" t="n">
        <x:f>IF(ISNUMBER(SEARCH("jmdict_uncommon_or_irregular",'제외 후보'!P946)),'선정 규칙'!$B$5,IF(ISNUMBER(SEARCH("jmdict_rare_or_dated",'제외 후보'!P946)),'선정 규칙'!$B$6,0))</x:f>
        <x:v>0</x:v>
      </x:c>
      <x:c r="D946" s="11" t="n">
        <x:f>IF(ISNUMBER(SEARCH("jmdict_exact_pair_not_found",'제외 후보'!P946)),'선정 규칙'!$B$7,0)</x:f>
        <x:v>0</x:v>
      </x:c>
      <x:c r="E946" s="11" t="n">
        <x:f>IF(OR('제외 후보'!L946="",'제외 후보'!L946&lt;=0),'선정 규칙'!$B$8,IF('제외 후보'!L946&lt;=1.5,'선정 규칙'!$B$9,IF('제외 후보'!L946&lt;=2,'선정 규칙'!$B$10,IF('제외 후보'!L946&lt;=2.5,'선정 규칙'!$B$11,IF('제외 후보'!L946&lt;=3,'선정 규칙'!$B$12,IF('제외 후보'!L946&lt;=3.5,'선정 규칙'!$B$13,IF('제외 후보'!L946&gt;=4.5,'선정 규칙'!$B$14,0)))))))</x:f>
        <x:v>12</x:v>
      </x:c>
      <x:c r="F946" s="11" t="n">
        <x:f>IF('제외 후보'!Y946=0,'선정 규칙'!$B$15,IF('제외 후보'!Y946&gt;=100,'선정 규칙'!$B$16,'선정 규칙'!$B$17))</x:f>
        <x:v>-25</x:v>
      </x:c>
      <x:c r="G946" s="11" t="n">
        <x:f>IF('제외 후보'!M946="있음",'선정 규칙'!$B$18,'선정 규칙'!$B$19)</x:f>
        <x:v>6</x:v>
      </x:c>
      <x:c r="H946" s="11" t="n">
        <x:f>IF(ISNUMBER(SEARCH("freq-core",'제외 후보'!AD946)),'선정 규칙'!$B$20,0)</x:f>
        <x:v>0</x:v>
      </x:c>
      <x:c r="I946" s="11" t="n">
        <x:f>IF(ISNUMBER(SEARCH("weak_legacy_content",'제외 후보'!P946)),'선정 규칙'!$B$21,0)</x:f>
        <x:v>5</x:v>
      </x:c>
      <x:c r="J946" s="11" t="n">
        <x:f>IF('제외 후보'!AC946&lt;&gt;"",'선정 규칙'!$B$22,0)</x:f>
        <x:v>0</x:v>
      </x:c>
      <x:c r="K946" s="11" t="n">
        <x:f>SUM(B946:J946)</x:f>
        <x:v>-2</x:v>
      </x:c>
      <x:c r="L946" s="11" t="n">
        <x:f>'제외 후보'!N946</x:f>
        <x:v>-2</x:v>
      </x:c>
      <x:c r="M946" s="2" t="str">
        <x:f>IF(K946=L946,"OK","MISMATCH")</x:f>
        <x:v>OK</x:v>
      </x:c>
    </x:row>
    <x:row r="947">
      <x:c r="A947" s="2" t="str">
        <x:f>'제외 후보'!G947</x:f>
        <x:v>w_f995457ae8b962c8</x:v>
      </x:c>
      <x:c r="B947" s="11" t="n">
        <x:f>IF('제외 후보'!Q947&lt;&gt;"",'선정 규칙'!$B$4,0)</x:f>
        <x:v>0</x:v>
      </x:c>
      <x:c r="C947" s="11" t="n">
        <x:f>IF(ISNUMBER(SEARCH("jmdict_uncommon_or_irregular",'제외 후보'!P947)),'선정 규칙'!$B$5,IF(ISNUMBER(SEARCH("jmdict_rare_or_dated",'제외 후보'!P947)),'선정 규칙'!$B$6,0))</x:f>
        <x:v>0</x:v>
      </x:c>
      <x:c r="D947" s="11" t="n">
        <x:f>IF(ISNUMBER(SEARCH("jmdict_exact_pair_not_found",'제외 후보'!P947)),'선정 규칙'!$B$7,0)</x:f>
        <x:v>0</x:v>
      </x:c>
      <x:c r="E947" s="11" t="n">
        <x:f>IF(OR('제외 후보'!L947="",'제외 후보'!L947&lt;=0),'선정 규칙'!$B$8,IF('제외 후보'!L947&lt;=1.5,'선정 규칙'!$B$9,IF('제외 후보'!L947&lt;=2,'선정 규칙'!$B$10,IF('제외 후보'!L947&lt;=2.5,'선정 규칙'!$B$11,IF('제외 후보'!L947&lt;=3,'선정 규칙'!$B$12,IF('제외 후보'!L947&lt;=3.5,'선정 규칙'!$B$13,IF('제외 후보'!L947&gt;=4.5,'선정 규칙'!$B$14,0)))))))</x:f>
        <x:v>12</x:v>
      </x:c>
      <x:c r="F947" s="11" t="n">
        <x:f>IF('제외 후보'!Y947=0,'선정 규칙'!$B$15,IF('제외 후보'!Y947&gt;=100,'선정 규칙'!$B$16,'선정 규칙'!$B$17))</x:f>
        <x:v>-25</x:v>
      </x:c>
      <x:c r="G947" s="11" t="n">
        <x:f>IF('제외 후보'!M947="있음",'선정 규칙'!$B$18,'선정 규칙'!$B$19)</x:f>
        <x:v>6</x:v>
      </x:c>
      <x:c r="H947" s="11" t="n">
        <x:f>IF(ISNUMBER(SEARCH("freq-core",'제외 후보'!AD947)),'선정 규칙'!$B$20,0)</x:f>
        <x:v>0</x:v>
      </x:c>
      <x:c r="I947" s="11" t="n">
        <x:f>IF(ISNUMBER(SEARCH("weak_legacy_content",'제외 후보'!P947)),'선정 규칙'!$B$21,0)</x:f>
        <x:v>5</x:v>
      </x:c>
      <x:c r="J947" s="11" t="n">
        <x:f>IF('제외 후보'!AC947&lt;&gt;"",'선정 규칙'!$B$22,0)</x:f>
        <x:v>0</x:v>
      </x:c>
      <x:c r="K947" s="11" t="n">
        <x:f>SUM(B947:J947)</x:f>
        <x:v>-2</x:v>
      </x:c>
      <x:c r="L947" s="11" t="n">
        <x:f>'제외 후보'!N947</x:f>
        <x:v>-2</x:v>
      </x:c>
      <x:c r="M947" s="2" t="str">
        <x:f>IF(K947=L947,"OK","MISMATCH")</x:f>
        <x:v>OK</x:v>
      </x:c>
    </x:row>
    <x:row r="948">
      <x:c r="A948" s="2" t="str">
        <x:f>'제외 후보'!G948</x:f>
        <x:v>w_bb46313b17c5004b</x:v>
      </x:c>
      <x:c r="B948" s="11" t="n">
        <x:f>IF('제외 후보'!Q948&lt;&gt;"",'선정 규칙'!$B$4,0)</x:f>
        <x:v>0</x:v>
      </x:c>
      <x:c r="C948" s="11" t="n">
        <x:f>IF(ISNUMBER(SEARCH("jmdict_uncommon_or_irregular",'제외 후보'!P948)),'선정 규칙'!$B$5,IF(ISNUMBER(SEARCH("jmdict_rare_or_dated",'제외 후보'!P948)),'선정 규칙'!$B$6,0))</x:f>
        <x:v>0</x:v>
      </x:c>
      <x:c r="D948" s="11" t="n">
        <x:f>IF(ISNUMBER(SEARCH("jmdict_exact_pair_not_found",'제외 후보'!P948)),'선정 규칙'!$B$7,0)</x:f>
        <x:v>0</x:v>
      </x:c>
      <x:c r="E948" s="11" t="n">
        <x:f>IF(OR('제외 후보'!L948="",'제외 후보'!L948&lt;=0),'선정 규칙'!$B$8,IF('제외 후보'!L948&lt;=1.5,'선정 규칙'!$B$9,IF('제외 후보'!L948&lt;=2,'선정 규칙'!$B$10,IF('제외 후보'!L948&lt;=2.5,'선정 규칙'!$B$11,IF('제외 후보'!L948&lt;=3,'선정 규칙'!$B$12,IF('제외 후보'!L948&lt;=3.5,'선정 규칙'!$B$13,IF('제외 후보'!L948&gt;=4.5,'선정 규칙'!$B$14,0)))))))</x:f>
        <x:v>12</x:v>
      </x:c>
      <x:c r="F948" s="11" t="n">
        <x:f>IF('제외 후보'!Y948=0,'선정 규칙'!$B$15,IF('제외 후보'!Y948&gt;=100,'선정 규칙'!$B$16,'선정 규칙'!$B$17))</x:f>
        <x:v>-25</x:v>
      </x:c>
      <x:c r="G948" s="11" t="n">
        <x:f>IF('제외 후보'!M948="있음",'선정 규칙'!$B$18,'선정 규칙'!$B$19)</x:f>
        <x:v>6</x:v>
      </x:c>
      <x:c r="H948" s="11" t="n">
        <x:f>IF(ISNUMBER(SEARCH("freq-core",'제외 후보'!AD948)),'선정 규칙'!$B$20,0)</x:f>
        <x:v>0</x:v>
      </x:c>
      <x:c r="I948" s="11" t="n">
        <x:f>IF(ISNUMBER(SEARCH("weak_legacy_content",'제외 후보'!P948)),'선정 규칙'!$B$21,0)</x:f>
        <x:v>5</x:v>
      </x:c>
      <x:c r="J948" s="11" t="n">
        <x:f>IF('제외 후보'!AC948&lt;&gt;"",'선정 규칙'!$B$22,0)</x:f>
        <x:v>0</x:v>
      </x:c>
      <x:c r="K948" s="11" t="n">
        <x:f>SUM(B948:J948)</x:f>
        <x:v>-2</x:v>
      </x:c>
      <x:c r="L948" s="11" t="n">
        <x:f>'제외 후보'!N948</x:f>
        <x:v>-2</x:v>
      </x:c>
      <x:c r="M948" s="2" t="str">
        <x:f>IF(K948=L948,"OK","MISMATCH")</x:f>
        <x:v>OK</x:v>
      </x:c>
    </x:row>
    <x:row r="949">
      <x:c r="A949" s="2" t="str">
        <x:f>'제외 후보'!G949</x:f>
        <x:v>w_3a32b21fd16681e2</x:v>
      </x:c>
      <x:c r="B949" s="11" t="n">
        <x:f>IF('제외 후보'!Q949&lt;&gt;"",'선정 규칙'!$B$4,0)</x:f>
        <x:v>0</x:v>
      </x:c>
      <x:c r="C949" s="11" t="n">
        <x:f>IF(ISNUMBER(SEARCH("jmdict_uncommon_or_irregular",'제외 후보'!P949)),'선정 규칙'!$B$5,IF(ISNUMBER(SEARCH("jmdict_rare_or_dated",'제외 후보'!P949)),'선정 규칙'!$B$6,0))</x:f>
        <x:v>0</x:v>
      </x:c>
      <x:c r="D949" s="11" t="n">
        <x:f>IF(ISNUMBER(SEARCH("jmdict_exact_pair_not_found",'제외 후보'!P949)),'선정 규칙'!$B$7,0)</x:f>
        <x:v>0</x:v>
      </x:c>
      <x:c r="E949" s="11" t="n">
        <x:f>IF(OR('제외 후보'!L949="",'제외 후보'!L949&lt;=0),'선정 규칙'!$B$8,IF('제외 후보'!L949&lt;=1.5,'선정 규칙'!$B$9,IF('제외 후보'!L949&lt;=2,'선정 규칙'!$B$10,IF('제외 후보'!L949&lt;=2.5,'선정 규칙'!$B$11,IF('제외 후보'!L949&lt;=3,'선정 규칙'!$B$12,IF('제외 후보'!L949&lt;=3.5,'선정 규칙'!$B$13,IF('제외 후보'!L949&gt;=4.5,'선정 규칙'!$B$14,0)))))))</x:f>
        <x:v>12</x:v>
      </x:c>
      <x:c r="F949" s="11" t="n">
        <x:f>IF('제외 후보'!Y949=0,'선정 규칙'!$B$15,IF('제외 후보'!Y949&gt;=100,'선정 규칙'!$B$16,'선정 규칙'!$B$17))</x:f>
        <x:v>-25</x:v>
      </x:c>
      <x:c r="G949" s="11" t="n">
        <x:f>IF('제외 후보'!M949="있음",'선정 규칙'!$B$18,'선정 규칙'!$B$19)</x:f>
        <x:v>6</x:v>
      </x:c>
      <x:c r="H949" s="11" t="n">
        <x:f>IF(ISNUMBER(SEARCH("freq-core",'제외 후보'!AD949)),'선정 규칙'!$B$20,0)</x:f>
        <x:v>0</x:v>
      </x:c>
      <x:c r="I949" s="11" t="n">
        <x:f>IF(ISNUMBER(SEARCH("weak_legacy_content",'제외 후보'!P949)),'선정 규칙'!$B$21,0)</x:f>
        <x:v>5</x:v>
      </x:c>
      <x:c r="J949" s="11" t="n">
        <x:f>IF('제외 후보'!AC949&lt;&gt;"",'선정 규칙'!$B$22,0)</x:f>
        <x:v>0</x:v>
      </x:c>
      <x:c r="K949" s="11" t="n">
        <x:f>SUM(B949:J949)</x:f>
        <x:v>-2</x:v>
      </x:c>
      <x:c r="L949" s="11" t="n">
        <x:f>'제외 후보'!N949</x:f>
        <x:v>-2</x:v>
      </x:c>
      <x:c r="M949" s="2" t="str">
        <x:f>IF(K949=L949,"OK","MISMATCH")</x:f>
        <x:v>OK</x:v>
      </x:c>
    </x:row>
    <x:row r="950">
      <x:c r="A950" s="2" t="str">
        <x:f>'제외 후보'!G950</x:f>
        <x:v>w_4b4a110c5f535581</x:v>
      </x:c>
      <x:c r="B950" s="11" t="n">
        <x:f>IF('제외 후보'!Q950&lt;&gt;"",'선정 규칙'!$B$4,0)</x:f>
        <x:v>0</x:v>
      </x:c>
      <x:c r="C950" s="11" t="n">
        <x:f>IF(ISNUMBER(SEARCH("jmdict_uncommon_or_irregular",'제외 후보'!P950)),'선정 규칙'!$B$5,IF(ISNUMBER(SEARCH("jmdict_rare_or_dated",'제외 후보'!P950)),'선정 규칙'!$B$6,0))</x:f>
        <x:v>0</x:v>
      </x:c>
      <x:c r="D950" s="11" t="n">
        <x:f>IF(ISNUMBER(SEARCH("jmdict_exact_pair_not_found",'제외 후보'!P950)),'선정 규칙'!$B$7,0)</x:f>
        <x:v>0</x:v>
      </x:c>
      <x:c r="E950" s="11" t="n">
        <x:f>IF(OR('제외 후보'!L950="",'제외 후보'!L950&lt;=0),'선정 규칙'!$B$8,IF('제외 후보'!L950&lt;=1.5,'선정 규칙'!$B$9,IF('제외 후보'!L950&lt;=2,'선정 규칙'!$B$10,IF('제외 후보'!L950&lt;=2.5,'선정 규칙'!$B$11,IF('제외 후보'!L950&lt;=3,'선정 규칙'!$B$12,IF('제외 후보'!L950&lt;=3.5,'선정 규칙'!$B$13,IF('제외 후보'!L950&gt;=4.5,'선정 규칙'!$B$14,0)))))))</x:f>
        <x:v>12</x:v>
      </x:c>
      <x:c r="F950" s="11" t="n">
        <x:f>IF('제외 후보'!Y950=0,'선정 규칙'!$B$15,IF('제외 후보'!Y950&gt;=100,'선정 규칙'!$B$16,'선정 규칙'!$B$17))</x:f>
        <x:v>-25</x:v>
      </x:c>
      <x:c r="G950" s="11" t="n">
        <x:f>IF('제외 후보'!M950="있음",'선정 규칙'!$B$18,'선정 규칙'!$B$19)</x:f>
        <x:v>6</x:v>
      </x:c>
      <x:c r="H950" s="11" t="n">
        <x:f>IF(ISNUMBER(SEARCH("freq-core",'제외 후보'!AD950)),'선정 규칙'!$B$20,0)</x:f>
        <x:v>0</x:v>
      </x:c>
      <x:c r="I950" s="11" t="n">
        <x:f>IF(ISNUMBER(SEARCH("weak_legacy_content",'제외 후보'!P950)),'선정 규칙'!$B$21,0)</x:f>
        <x:v>5</x:v>
      </x:c>
      <x:c r="J950" s="11" t="n">
        <x:f>IF('제외 후보'!AC950&lt;&gt;"",'선정 규칙'!$B$22,0)</x:f>
        <x:v>0</x:v>
      </x:c>
      <x:c r="K950" s="11" t="n">
        <x:f>SUM(B950:J950)</x:f>
        <x:v>-2</x:v>
      </x:c>
      <x:c r="L950" s="11" t="n">
        <x:f>'제외 후보'!N950</x:f>
        <x:v>-2</x:v>
      </x:c>
      <x:c r="M950" s="2" t="str">
        <x:f>IF(K950=L950,"OK","MISMATCH")</x:f>
        <x:v>OK</x:v>
      </x:c>
    </x:row>
    <x:row r="951">
      <x:c r="A951" s="2" t="str">
        <x:f>'제외 후보'!G951</x:f>
        <x:v>w_7004b2b3d3f2f0f9</x:v>
      </x:c>
      <x:c r="B951" s="11" t="n">
        <x:f>IF('제외 후보'!Q951&lt;&gt;"",'선정 규칙'!$B$4,0)</x:f>
        <x:v>0</x:v>
      </x:c>
      <x:c r="C951" s="11" t="n">
        <x:f>IF(ISNUMBER(SEARCH("jmdict_uncommon_or_irregular",'제외 후보'!P951)),'선정 규칙'!$B$5,IF(ISNUMBER(SEARCH("jmdict_rare_or_dated",'제외 후보'!P951)),'선정 규칙'!$B$6,0))</x:f>
        <x:v>0</x:v>
      </x:c>
      <x:c r="D951" s="11" t="n">
        <x:f>IF(ISNUMBER(SEARCH("jmdict_exact_pair_not_found",'제외 후보'!P951)),'선정 규칙'!$B$7,0)</x:f>
        <x:v>0</x:v>
      </x:c>
      <x:c r="E951" s="11" t="n">
        <x:f>IF(OR('제외 후보'!L951="",'제외 후보'!L951&lt;=0),'선정 규칙'!$B$8,IF('제외 후보'!L951&lt;=1.5,'선정 규칙'!$B$9,IF('제외 후보'!L951&lt;=2,'선정 규칙'!$B$10,IF('제외 후보'!L951&lt;=2.5,'선정 규칙'!$B$11,IF('제외 후보'!L951&lt;=3,'선정 규칙'!$B$12,IF('제외 후보'!L951&lt;=3.5,'선정 규칙'!$B$13,IF('제외 후보'!L951&gt;=4.5,'선정 규칙'!$B$14,0)))))))</x:f>
        <x:v>12</x:v>
      </x:c>
      <x:c r="F951" s="11" t="n">
        <x:f>IF('제외 후보'!Y951=0,'선정 규칙'!$B$15,IF('제외 후보'!Y951&gt;=100,'선정 규칙'!$B$16,'선정 규칙'!$B$17))</x:f>
        <x:v>-25</x:v>
      </x:c>
      <x:c r="G951" s="11" t="n">
        <x:f>IF('제외 후보'!M951="있음",'선정 규칙'!$B$18,'선정 규칙'!$B$19)</x:f>
        <x:v>6</x:v>
      </x:c>
      <x:c r="H951" s="11" t="n">
        <x:f>IF(ISNUMBER(SEARCH("freq-core",'제외 후보'!AD951)),'선정 규칙'!$B$20,0)</x:f>
        <x:v>0</x:v>
      </x:c>
      <x:c r="I951" s="11" t="n">
        <x:f>IF(ISNUMBER(SEARCH("weak_legacy_content",'제외 후보'!P951)),'선정 규칙'!$B$21,0)</x:f>
        <x:v>5</x:v>
      </x:c>
      <x:c r="J951" s="11" t="n">
        <x:f>IF('제외 후보'!AC951&lt;&gt;"",'선정 규칙'!$B$22,0)</x:f>
        <x:v>0</x:v>
      </x:c>
      <x:c r="K951" s="11" t="n">
        <x:f>SUM(B951:J951)</x:f>
        <x:v>-2</x:v>
      </x:c>
      <x:c r="L951" s="11" t="n">
        <x:f>'제외 후보'!N951</x:f>
        <x:v>-2</x:v>
      </x:c>
      <x:c r="M951" s="2" t="str">
        <x:f>IF(K951=L951,"OK","MISMATCH")</x:f>
        <x:v>OK</x:v>
      </x:c>
    </x:row>
    <x:row r="952">
      <x:c r="A952" s="2" t="str">
        <x:f>'제외 후보'!G952</x:f>
        <x:v>w_0ad13c94c1b3dbe4</x:v>
      </x:c>
      <x:c r="B952" s="11" t="n">
        <x:f>IF('제외 후보'!Q952&lt;&gt;"",'선정 규칙'!$B$4,0)</x:f>
        <x:v>0</x:v>
      </x:c>
      <x:c r="C952" s="11" t="n">
        <x:f>IF(ISNUMBER(SEARCH("jmdict_uncommon_or_irregular",'제외 후보'!P952)),'선정 규칙'!$B$5,IF(ISNUMBER(SEARCH("jmdict_rare_or_dated",'제외 후보'!P952)),'선정 규칙'!$B$6,0))</x:f>
        <x:v>0</x:v>
      </x:c>
      <x:c r="D952" s="11" t="n">
        <x:f>IF(ISNUMBER(SEARCH("jmdict_exact_pair_not_found",'제외 후보'!P952)),'선정 규칙'!$B$7,0)</x:f>
        <x:v>0</x:v>
      </x:c>
      <x:c r="E952" s="11" t="n">
        <x:f>IF(OR('제외 후보'!L952="",'제외 후보'!L952&lt;=0),'선정 규칙'!$B$8,IF('제외 후보'!L952&lt;=1.5,'선정 규칙'!$B$9,IF('제외 후보'!L952&lt;=2,'선정 규칙'!$B$10,IF('제외 후보'!L952&lt;=2.5,'선정 규칙'!$B$11,IF('제외 후보'!L952&lt;=3,'선정 규칙'!$B$12,IF('제외 후보'!L952&lt;=3.5,'선정 규칙'!$B$13,IF('제외 후보'!L952&gt;=4.5,'선정 규칙'!$B$14,0)))))))</x:f>
        <x:v>12</x:v>
      </x:c>
      <x:c r="F952" s="11" t="n">
        <x:f>IF('제외 후보'!Y952=0,'선정 규칙'!$B$15,IF('제외 후보'!Y952&gt;=100,'선정 규칙'!$B$16,'선정 규칙'!$B$17))</x:f>
        <x:v>-25</x:v>
      </x:c>
      <x:c r="G952" s="11" t="n">
        <x:f>IF('제외 후보'!M952="있음",'선정 규칙'!$B$18,'선정 규칙'!$B$19)</x:f>
        <x:v>6</x:v>
      </x:c>
      <x:c r="H952" s="11" t="n">
        <x:f>IF(ISNUMBER(SEARCH("freq-core",'제외 후보'!AD952)),'선정 규칙'!$B$20,0)</x:f>
        <x:v>0</x:v>
      </x:c>
      <x:c r="I952" s="11" t="n">
        <x:f>IF(ISNUMBER(SEARCH("weak_legacy_content",'제외 후보'!P952)),'선정 규칙'!$B$21,0)</x:f>
        <x:v>5</x:v>
      </x:c>
      <x:c r="J952" s="11" t="n">
        <x:f>IF('제외 후보'!AC952&lt;&gt;"",'선정 규칙'!$B$22,0)</x:f>
        <x:v>0</x:v>
      </x:c>
      <x:c r="K952" s="11" t="n">
        <x:f>SUM(B952:J952)</x:f>
        <x:v>-2</x:v>
      </x:c>
      <x:c r="L952" s="11" t="n">
        <x:f>'제외 후보'!N952</x:f>
        <x:v>-2</x:v>
      </x:c>
      <x:c r="M952" s="2" t="str">
        <x:f>IF(K952=L952,"OK","MISMATCH")</x:f>
        <x:v>OK</x:v>
      </x:c>
    </x:row>
    <x:row r="953">
      <x:c r="A953" s="2" t="str">
        <x:f>'제외 후보'!G953</x:f>
        <x:v>w_a3f5e6e7275bce2f</x:v>
      </x:c>
      <x:c r="B953" s="11" t="n">
        <x:f>IF('제외 후보'!Q953&lt;&gt;"",'선정 규칙'!$B$4,0)</x:f>
        <x:v>0</x:v>
      </x:c>
      <x:c r="C953" s="11" t="n">
        <x:f>IF(ISNUMBER(SEARCH("jmdict_uncommon_or_irregular",'제외 후보'!P953)),'선정 규칙'!$B$5,IF(ISNUMBER(SEARCH("jmdict_rare_or_dated",'제외 후보'!P953)),'선정 규칙'!$B$6,0))</x:f>
        <x:v>0</x:v>
      </x:c>
      <x:c r="D953" s="11" t="n">
        <x:f>IF(ISNUMBER(SEARCH("jmdict_exact_pair_not_found",'제외 후보'!P953)),'선정 규칙'!$B$7,0)</x:f>
        <x:v>0</x:v>
      </x:c>
      <x:c r="E953" s="11" t="n">
        <x:f>IF(OR('제외 후보'!L953="",'제외 후보'!L953&lt;=0),'선정 규칙'!$B$8,IF('제외 후보'!L953&lt;=1.5,'선정 규칙'!$B$9,IF('제외 후보'!L953&lt;=2,'선정 규칙'!$B$10,IF('제외 후보'!L953&lt;=2.5,'선정 규칙'!$B$11,IF('제외 후보'!L953&lt;=3,'선정 규칙'!$B$12,IF('제외 후보'!L953&lt;=3.5,'선정 규칙'!$B$13,IF('제외 후보'!L953&gt;=4.5,'선정 규칙'!$B$14,0)))))))</x:f>
        <x:v>12</x:v>
      </x:c>
      <x:c r="F953" s="11" t="n">
        <x:f>IF('제외 후보'!Y953=0,'선정 규칙'!$B$15,IF('제외 후보'!Y953&gt;=100,'선정 규칙'!$B$16,'선정 규칙'!$B$17))</x:f>
        <x:v>-25</x:v>
      </x:c>
      <x:c r="G953" s="11" t="n">
        <x:f>IF('제외 후보'!M953="있음",'선정 규칙'!$B$18,'선정 규칙'!$B$19)</x:f>
        <x:v>6</x:v>
      </x:c>
      <x:c r="H953" s="11" t="n">
        <x:f>IF(ISNUMBER(SEARCH("freq-core",'제외 후보'!AD953)),'선정 규칙'!$B$20,0)</x:f>
        <x:v>0</x:v>
      </x:c>
      <x:c r="I953" s="11" t="n">
        <x:f>IF(ISNUMBER(SEARCH("weak_legacy_content",'제외 후보'!P953)),'선정 규칙'!$B$21,0)</x:f>
        <x:v>5</x:v>
      </x:c>
      <x:c r="J953" s="11" t="n">
        <x:f>IF('제외 후보'!AC953&lt;&gt;"",'선정 규칙'!$B$22,0)</x:f>
        <x:v>0</x:v>
      </x:c>
      <x:c r="K953" s="11" t="n">
        <x:f>SUM(B953:J953)</x:f>
        <x:v>-2</x:v>
      </x:c>
      <x:c r="L953" s="11" t="n">
        <x:f>'제외 후보'!N953</x:f>
        <x:v>-2</x:v>
      </x:c>
      <x:c r="M953" s="2" t="str">
        <x:f>IF(K953=L953,"OK","MISMATCH")</x:f>
        <x:v>OK</x:v>
      </x:c>
    </x:row>
    <x:row r="954">
      <x:c r="A954" s="2" t="str">
        <x:f>'제외 후보'!G954</x:f>
        <x:v>w_b8b84241de34022f</x:v>
      </x:c>
      <x:c r="B954" s="11" t="n">
        <x:f>IF('제외 후보'!Q954&lt;&gt;"",'선정 규칙'!$B$4,0)</x:f>
        <x:v>0</x:v>
      </x:c>
      <x:c r="C954" s="11" t="n">
        <x:f>IF(ISNUMBER(SEARCH("jmdict_uncommon_or_irregular",'제외 후보'!P954)),'선정 규칙'!$B$5,IF(ISNUMBER(SEARCH("jmdict_rare_or_dated",'제외 후보'!P954)),'선정 규칙'!$B$6,0))</x:f>
        <x:v>0</x:v>
      </x:c>
      <x:c r="D954" s="11" t="n">
        <x:f>IF(ISNUMBER(SEARCH("jmdict_exact_pair_not_found",'제외 후보'!P954)),'선정 규칙'!$B$7,0)</x:f>
        <x:v>0</x:v>
      </x:c>
      <x:c r="E954" s="11" t="n">
        <x:f>IF(OR('제외 후보'!L954="",'제외 후보'!L954&lt;=0),'선정 규칙'!$B$8,IF('제외 후보'!L954&lt;=1.5,'선정 규칙'!$B$9,IF('제외 후보'!L954&lt;=2,'선정 규칙'!$B$10,IF('제외 후보'!L954&lt;=2.5,'선정 규칙'!$B$11,IF('제외 후보'!L954&lt;=3,'선정 규칙'!$B$12,IF('제외 후보'!L954&lt;=3.5,'선정 규칙'!$B$13,IF('제외 후보'!L954&gt;=4.5,'선정 규칙'!$B$14,0)))))))</x:f>
        <x:v>12</x:v>
      </x:c>
      <x:c r="F954" s="11" t="n">
        <x:f>IF('제외 후보'!Y954=0,'선정 규칙'!$B$15,IF('제외 후보'!Y954&gt;=100,'선정 규칙'!$B$16,'선정 규칙'!$B$17))</x:f>
        <x:v>-25</x:v>
      </x:c>
      <x:c r="G954" s="11" t="n">
        <x:f>IF('제외 후보'!M954="있음",'선정 규칙'!$B$18,'선정 규칙'!$B$19)</x:f>
        <x:v>6</x:v>
      </x:c>
      <x:c r="H954" s="11" t="n">
        <x:f>IF(ISNUMBER(SEARCH("freq-core",'제외 후보'!AD954)),'선정 규칙'!$B$20,0)</x:f>
        <x:v>0</x:v>
      </x:c>
      <x:c r="I954" s="11" t="n">
        <x:f>IF(ISNUMBER(SEARCH("weak_legacy_content",'제외 후보'!P954)),'선정 규칙'!$B$21,0)</x:f>
        <x:v>5</x:v>
      </x:c>
      <x:c r="J954" s="11" t="n">
        <x:f>IF('제외 후보'!AC954&lt;&gt;"",'선정 규칙'!$B$22,0)</x:f>
        <x:v>0</x:v>
      </x:c>
      <x:c r="K954" s="11" t="n">
        <x:f>SUM(B954:J954)</x:f>
        <x:v>-2</x:v>
      </x:c>
      <x:c r="L954" s="11" t="n">
        <x:f>'제외 후보'!N954</x:f>
        <x:v>-2</x:v>
      </x:c>
      <x:c r="M954" s="2" t="str">
        <x:f>IF(K954=L954,"OK","MISMATCH")</x:f>
        <x:v>OK</x:v>
      </x:c>
    </x:row>
    <x:row r="955">
      <x:c r="A955" s="2" t="str">
        <x:f>'제외 후보'!G955</x:f>
        <x:v>w_41aca0c015c1811d</x:v>
      </x:c>
      <x:c r="B955" s="11" t="n">
        <x:f>IF('제외 후보'!Q955&lt;&gt;"",'선정 규칙'!$B$4,0)</x:f>
        <x:v>0</x:v>
      </x:c>
      <x:c r="C955" s="11" t="n">
        <x:f>IF(ISNUMBER(SEARCH("jmdict_uncommon_or_irregular",'제외 후보'!P955)),'선정 규칙'!$B$5,IF(ISNUMBER(SEARCH("jmdict_rare_or_dated",'제외 후보'!P955)),'선정 규칙'!$B$6,0))</x:f>
        <x:v>0</x:v>
      </x:c>
      <x:c r="D955" s="11" t="n">
        <x:f>IF(ISNUMBER(SEARCH("jmdict_exact_pair_not_found",'제외 후보'!P955)),'선정 규칙'!$B$7,0)</x:f>
        <x:v>0</x:v>
      </x:c>
      <x:c r="E955" s="11" t="n">
        <x:f>IF(OR('제외 후보'!L955="",'제외 후보'!L955&lt;=0),'선정 규칙'!$B$8,IF('제외 후보'!L955&lt;=1.5,'선정 규칙'!$B$9,IF('제외 후보'!L955&lt;=2,'선정 규칙'!$B$10,IF('제외 후보'!L955&lt;=2.5,'선정 규칙'!$B$11,IF('제외 후보'!L955&lt;=3,'선정 규칙'!$B$12,IF('제외 후보'!L955&lt;=3.5,'선정 규칙'!$B$13,IF('제외 후보'!L955&gt;=4.5,'선정 규칙'!$B$14,0)))))))</x:f>
        <x:v>12</x:v>
      </x:c>
      <x:c r="F955" s="11" t="n">
        <x:f>IF('제외 후보'!Y955=0,'선정 규칙'!$B$15,IF('제외 후보'!Y955&gt;=100,'선정 규칙'!$B$16,'선정 규칙'!$B$17))</x:f>
        <x:v>-25</x:v>
      </x:c>
      <x:c r="G955" s="11" t="n">
        <x:f>IF('제외 후보'!M955="있음",'선정 규칙'!$B$18,'선정 규칙'!$B$19)</x:f>
        <x:v>6</x:v>
      </x:c>
      <x:c r="H955" s="11" t="n">
        <x:f>IF(ISNUMBER(SEARCH("freq-core",'제외 후보'!AD955)),'선정 규칙'!$B$20,0)</x:f>
        <x:v>0</x:v>
      </x:c>
      <x:c r="I955" s="11" t="n">
        <x:f>IF(ISNUMBER(SEARCH("weak_legacy_content",'제외 후보'!P955)),'선정 규칙'!$B$21,0)</x:f>
        <x:v>5</x:v>
      </x:c>
      <x:c r="J955" s="11" t="n">
        <x:f>IF('제외 후보'!AC955&lt;&gt;"",'선정 규칙'!$B$22,0)</x:f>
        <x:v>0</x:v>
      </x:c>
      <x:c r="K955" s="11" t="n">
        <x:f>SUM(B955:J955)</x:f>
        <x:v>-2</x:v>
      </x:c>
      <x:c r="L955" s="11" t="n">
        <x:f>'제외 후보'!N955</x:f>
        <x:v>-2</x:v>
      </x:c>
      <x:c r="M955" s="2" t="str">
        <x:f>IF(K955=L955,"OK","MISMATCH")</x:f>
        <x:v>OK</x:v>
      </x:c>
    </x:row>
    <x:row r="956">
      <x:c r="A956" s="2" t="str">
        <x:f>'제외 후보'!G956</x:f>
        <x:v>w_a66198a344df39a0</x:v>
      </x:c>
      <x:c r="B956" s="11" t="n">
        <x:f>IF('제외 후보'!Q956&lt;&gt;"",'선정 규칙'!$B$4,0)</x:f>
        <x:v>0</x:v>
      </x:c>
      <x:c r="C956" s="11" t="n">
        <x:f>IF(ISNUMBER(SEARCH("jmdict_uncommon_or_irregular",'제외 후보'!P956)),'선정 규칙'!$B$5,IF(ISNUMBER(SEARCH("jmdict_rare_or_dated",'제외 후보'!P956)),'선정 규칙'!$B$6,0))</x:f>
        <x:v>0</x:v>
      </x:c>
      <x:c r="D956" s="11" t="n">
        <x:f>IF(ISNUMBER(SEARCH("jmdict_exact_pair_not_found",'제외 후보'!P956)),'선정 규칙'!$B$7,0)</x:f>
        <x:v>0</x:v>
      </x:c>
      <x:c r="E956" s="11" t="n">
        <x:f>IF(OR('제외 후보'!L956="",'제외 후보'!L956&lt;=0),'선정 규칙'!$B$8,IF('제외 후보'!L956&lt;=1.5,'선정 규칙'!$B$9,IF('제외 후보'!L956&lt;=2,'선정 규칙'!$B$10,IF('제외 후보'!L956&lt;=2.5,'선정 규칙'!$B$11,IF('제외 후보'!L956&lt;=3,'선정 규칙'!$B$12,IF('제외 후보'!L956&lt;=3.5,'선정 규칙'!$B$13,IF('제외 후보'!L956&gt;=4.5,'선정 규칙'!$B$14,0)))))))</x:f>
        <x:v>12</x:v>
      </x:c>
      <x:c r="F956" s="11" t="n">
        <x:f>IF('제외 후보'!Y956=0,'선정 규칙'!$B$15,IF('제외 후보'!Y956&gt;=100,'선정 규칙'!$B$16,'선정 규칙'!$B$17))</x:f>
        <x:v>-25</x:v>
      </x:c>
      <x:c r="G956" s="11" t="n">
        <x:f>IF('제외 후보'!M956="있음",'선정 규칙'!$B$18,'선정 규칙'!$B$19)</x:f>
        <x:v>6</x:v>
      </x:c>
      <x:c r="H956" s="11" t="n">
        <x:f>IF(ISNUMBER(SEARCH("freq-core",'제외 후보'!AD956)),'선정 규칙'!$B$20,0)</x:f>
        <x:v>0</x:v>
      </x:c>
      <x:c r="I956" s="11" t="n">
        <x:f>IF(ISNUMBER(SEARCH("weak_legacy_content",'제외 후보'!P956)),'선정 규칙'!$B$21,0)</x:f>
        <x:v>5</x:v>
      </x:c>
      <x:c r="J956" s="11" t="n">
        <x:f>IF('제외 후보'!AC956&lt;&gt;"",'선정 규칙'!$B$22,0)</x:f>
        <x:v>0</x:v>
      </x:c>
      <x:c r="K956" s="11" t="n">
        <x:f>SUM(B956:J956)</x:f>
        <x:v>-2</x:v>
      </x:c>
      <x:c r="L956" s="11" t="n">
        <x:f>'제외 후보'!N956</x:f>
        <x:v>-2</x:v>
      </x:c>
      <x:c r="M956" s="2" t="str">
        <x:f>IF(K956=L956,"OK","MISMATCH")</x:f>
        <x:v>OK</x:v>
      </x:c>
    </x:row>
    <x:row r="957">
      <x:c r="A957" s="2" t="str">
        <x:f>'제외 후보'!G957</x:f>
        <x:v>w_9b272f3cfc15c8d6</x:v>
      </x:c>
      <x:c r="B957" s="11" t="n">
        <x:f>IF('제외 후보'!Q957&lt;&gt;"",'선정 규칙'!$B$4,0)</x:f>
        <x:v>0</x:v>
      </x:c>
      <x:c r="C957" s="11" t="n">
        <x:f>IF(ISNUMBER(SEARCH("jmdict_uncommon_or_irregular",'제외 후보'!P957)),'선정 규칙'!$B$5,IF(ISNUMBER(SEARCH("jmdict_rare_or_dated",'제외 후보'!P957)),'선정 규칙'!$B$6,0))</x:f>
        <x:v>0</x:v>
      </x:c>
      <x:c r="D957" s="11" t="n">
        <x:f>IF(ISNUMBER(SEARCH("jmdict_exact_pair_not_found",'제외 후보'!P957)),'선정 규칙'!$B$7,0)</x:f>
        <x:v>0</x:v>
      </x:c>
      <x:c r="E957" s="11" t="n">
        <x:f>IF(OR('제외 후보'!L957="",'제외 후보'!L957&lt;=0),'선정 규칙'!$B$8,IF('제외 후보'!L957&lt;=1.5,'선정 규칙'!$B$9,IF('제외 후보'!L957&lt;=2,'선정 규칙'!$B$10,IF('제외 후보'!L957&lt;=2.5,'선정 규칙'!$B$11,IF('제외 후보'!L957&lt;=3,'선정 규칙'!$B$12,IF('제외 후보'!L957&lt;=3.5,'선정 규칙'!$B$13,IF('제외 후보'!L957&gt;=4.5,'선정 규칙'!$B$14,0)))))))</x:f>
        <x:v>12</x:v>
      </x:c>
      <x:c r="F957" s="11" t="n">
        <x:f>IF('제외 후보'!Y957=0,'선정 규칙'!$B$15,IF('제외 후보'!Y957&gt;=100,'선정 규칙'!$B$16,'선정 규칙'!$B$17))</x:f>
        <x:v>-25</x:v>
      </x:c>
      <x:c r="G957" s="11" t="n">
        <x:f>IF('제외 후보'!M957="있음",'선정 규칙'!$B$18,'선정 규칙'!$B$19)</x:f>
        <x:v>6</x:v>
      </x:c>
      <x:c r="H957" s="11" t="n">
        <x:f>IF(ISNUMBER(SEARCH("freq-core",'제외 후보'!AD957)),'선정 규칙'!$B$20,0)</x:f>
        <x:v>0</x:v>
      </x:c>
      <x:c r="I957" s="11" t="n">
        <x:f>IF(ISNUMBER(SEARCH("weak_legacy_content",'제외 후보'!P957)),'선정 규칙'!$B$21,0)</x:f>
        <x:v>5</x:v>
      </x:c>
      <x:c r="J957" s="11" t="n">
        <x:f>IF('제외 후보'!AC957&lt;&gt;"",'선정 규칙'!$B$22,0)</x:f>
        <x:v>0</x:v>
      </x:c>
      <x:c r="K957" s="11" t="n">
        <x:f>SUM(B957:J957)</x:f>
        <x:v>-2</x:v>
      </x:c>
      <x:c r="L957" s="11" t="n">
        <x:f>'제외 후보'!N957</x:f>
        <x:v>-2</x:v>
      </x:c>
      <x:c r="M957" s="2" t="str">
        <x:f>IF(K957=L957,"OK","MISMATCH")</x:f>
        <x:v>OK</x:v>
      </x:c>
    </x:row>
    <x:row r="958">
      <x:c r="A958" s="2" t="str">
        <x:f>'제외 후보'!G958</x:f>
        <x:v>w_e4f54ea798784465</x:v>
      </x:c>
      <x:c r="B958" s="11" t="n">
        <x:f>IF('제외 후보'!Q958&lt;&gt;"",'선정 규칙'!$B$4,0)</x:f>
        <x:v>0</x:v>
      </x:c>
      <x:c r="C958" s="11" t="n">
        <x:f>IF(ISNUMBER(SEARCH("jmdict_uncommon_or_irregular",'제외 후보'!P958)),'선정 규칙'!$B$5,IF(ISNUMBER(SEARCH("jmdict_rare_or_dated",'제외 후보'!P958)),'선정 규칙'!$B$6,0))</x:f>
        <x:v>0</x:v>
      </x:c>
      <x:c r="D958" s="11" t="n">
        <x:f>IF(ISNUMBER(SEARCH("jmdict_exact_pair_not_found",'제외 후보'!P958)),'선정 규칙'!$B$7,0)</x:f>
        <x:v>0</x:v>
      </x:c>
      <x:c r="E958" s="11" t="n">
        <x:f>IF(OR('제외 후보'!L958="",'제외 후보'!L958&lt;=0),'선정 규칙'!$B$8,IF('제외 후보'!L958&lt;=1.5,'선정 규칙'!$B$9,IF('제외 후보'!L958&lt;=2,'선정 규칙'!$B$10,IF('제외 후보'!L958&lt;=2.5,'선정 규칙'!$B$11,IF('제외 후보'!L958&lt;=3,'선정 규칙'!$B$12,IF('제외 후보'!L958&lt;=3.5,'선정 규칙'!$B$13,IF('제외 후보'!L958&gt;=4.5,'선정 규칙'!$B$14,0)))))))</x:f>
        <x:v>12</x:v>
      </x:c>
      <x:c r="F958" s="11" t="n">
        <x:f>IF('제외 후보'!Y958=0,'선정 규칙'!$B$15,IF('제외 후보'!Y958&gt;=100,'선정 규칙'!$B$16,'선정 규칙'!$B$17))</x:f>
        <x:v>-25</x:v>
      </x:c>
      <x:c r="G958" s="11" t="n">
        <x:f>IF('제외 후보'!M958="있음",'선정 규칙'!$B$18,'선정 규칙'!$B$19)</x:f>
        <x:v>6</x:v>
      </x:c>
      <x:c r="H958" s="11" t="n">
        <x:f>IF(ISNUMBER(SEARCH("freq-core",'제외 후보'!AD958)),'선정 규칙'!$B$20,0)</x:f>
        <x:v>0</x:v>
      </x:c>
      <x:c r="I958" s="11" t="n">
        <x:f>IF(ISNUMBER(SEARCH("weak_legacy_content",'제외 후보'!P958)),'선정 규칙'!$B$21,0)</x:f>
        <x:v>5</x:v>
      </x:c>
      <x:c r="J958" s="11" t="n">
        <x:f>IF('제외 후보'!AC958&lt;&gt;"",'선정 규칙'!$B$22,0)</x:f>
        <x:v>0</x:v>
      </x:c>
      <x:c r="K958" s="11" t="n">
        <x:f>SUM(B958:J958)</x:f>
        <x:v>-2</x:v>
      </x:c>
      <x:c r="L958" s="11" t="n">
        <x:f>'제외 후보'!N958</x:f>
        <x:v>-2</x:v>
      </x:c>
      <x:c r="M958" s="2" t="str">
        <x:f>IF(K958=L958,"OK","MISMATCH")</x:f>
        <x:v>OK</x:v>
      </x:c>
    </x:row>
    <x:row r="959">
      <x:c r="A959" s="2" t="str">
        <x:f>'제외 후보'!G959</x:f>
        <x:v>w_0ba45b64de9c3a57</x:v>
      </x:c>
      <x:c r="B959" s="11" t="n">
        <x:f>IF('제외 후보'!Q959&lt;&gt;"",'선정 규칙'!$B$4,0)</x:f>
        <x:v>0</x:v>
      </x:c>
      <x:c r="C959" s="11" t="n">
        <x:f>IF(ISNUMBER(SEARCH("jmdict_uncommon_or_irregular",'제외 후보'!P959)),'선정 규칙'!$B$5,IF(ISNUMBER(SEARCH("jmdict_rare_or_dated",'제외 후보'!P959)),'선정 규칙'!$B$6,0))</x:f>
        <x:v>0</x:v>
      </x:c>
      <x:c r="D959" s="11" t="n">
        <x:f>IF(ISNUMBER(SEARCH("jmdict_exact_pair_not_found",'제외 후보'!P959)),'선정 규칙'!$B$7,0)</x:f>
        <x:v>0</x:v>
      </x:c>
      <x:c r="E959" s="11" t="n">
        <x:f>IF(OR('제외 후보'!L959="",'제외 후보'!L959&lt;=0),'선정 규칙'!$B$8,IF('제외 후보'!L959&lt;=1.5,'선정 규칙'!$B$9,IF('제외 후보'!L959&lt;=2,'선정 규칙'!$B$10,IF('제외 후보'!L959&lt;=2.5,'선정 규칙'!$B$11,IF('제외 후보'!L959&lt;=3,'선정 규칙'!$B$12,IF('제외 후보'!L959&lt;=3.5,'선정 규칙'!$B$13,IF('제외 후보'!L959&gt;=4.5,'선정 규칙'!$B$14,0)))))))</x:f>
        <x:v>12</x:v>
      </x:c>
      <x:c r="F959" s="11" t="n">
        <x:f>IF('제외 후보'!Y959=0,'선정 규칙'!$B$15,IF('제외 후보'!Y959&gt;=100,'선정 규칙'!$B$16,'선정 규칙'!$B$17))</x:f>
        <x:v>-25</x:v>
      </x:c>
      <x:c r="G959" s="11" t="n">
        <x:f>IF('제외 후보'!M959="있음",'선정 규칙'!$B$18,'선정 규칙'!$B$19)</x:f>
        <x:v>6</x:v>
      </x:c>
      <x:c r="H959" s="11" t="n">
        <x:f>IF(ISNUMBER(SEARCH("freq-core",'제외 후보'!AD959)),'선정 규칙'!$B$20,0)</x:f>
        <x:v>0</x:v>
      </x:c>
      <x:c r="I959" s="11" t="n">
        <x:f>IF(ISNUMBER(SEARCH("weak_legacy_content",'제외 후보'!P959)),'선정 규칙'!$B$21,0)</x:f>
        <x:v>5</x:v>
      </x:c>
      <x:c r="J959" s="11" t="n">
        <x:f>IF('제외 후보'!AC959&lt;&gt;"",'선정 규칙'!$B$22,0)</x:f>
        <x:v>0</x:v>
      </x:c>
      <x:c r="K959" s="11" t="n">
        <x:f>SUM(B959:J959)</x:f>
        <x:v>-2</x:v>
      </x:c>
      <x:c r="L959" s="11" t="n">
        <x:f>'제외 후보'!N959</x:f>
        <x:v>-2</x:v>
      </x:c>
      <x:c r="M959" s="2" t="str">
        <x:f>IF(K959=L959,"OK","MISMATCH")</x:f>
        <x:v>OK</x:v>
      </x:c>
    </x:row>
    <x:row r="960">
      <x:c r="A960" s="2" t="str">
        <x:f>'제외 후보'!G960</x:f>
        <x:v>w_3e694bca0ac0aeac</x:v>
      </x:c>
      <x:c r="B960" s="11" t="n">
        <x:f>IF('제외 후보'!Q960&lt;&gt;"",'선정 규칙'!$B$4,0)</x:f>
        <x:v>0</x:v>
      </x:c>
      <x:c r="C960" s="11" t="n">
        <x:f>IF(ISNUMBER(SEARCH("jmdict_uncommon_or_irregular",'제외 후보'!P960)),'선정 규칙'!$B$5,IF(ISNUMBER(SEARCH("jmdict_rare_or_dated",'제외 후보'!P960)),'선정 규칙'!$B$6,0))</x:f>
        <x:v>0</x:v>
      </x:c>
      <x:c r="D960" s="11" t="n">
        <x:f>IF(ISNUMBER(SEARCH("jmdict_exact_pair_not_found",'제외 후보'!P960)),'선정 규칙'!$B$7,0)</x:f>
        <x:v>0</x:v>
      </x:c>
      <x:c r="E960" s="11" t="n">
        <x:f>IF(OR('제외 후보'!L960="",'제외 후보'!L960&lt;=0),'선정 규칙'!$B$8,IF('제외 후보'!L960&lt;=1.5,'선정 규칙'!$B$9,IF('제외 후보'!L960&lt;=2,'선정 규칙'!$B$10,IF('제외 후보'!L960&lt;=2.5,'선정 규칙'!$B$11,IF('제외 후보'!L960&lt;=3,'선정 규칙'!$B$12,IF('제외 후보'!L960&lt;=3.5,'선정 규칙'!$B$13,IF('제외 후보'!L960&gt;=4.5,'선정 규칙'!$B$14,0)))))))</x:f>
        <x:v>12</x:v>
      </x:c>
      <x:c r="F960" s="11" t="n">
        <x:f>IF('제외 후보'!Y960=0,'선정 규칙'!$B$15,IF('제외 후보'!Y960&gt;=100,'선정 규칙'!$B$16,'선정 규칙'!$B$17))</x:f>
        <x:v>-25</x:v>
      </x:c>
      <x:c r="G960" s="11" t="n">
        <x:f>IF('제외 후보'!M960="있음",'선정 규칙'!$B$18,'선정 규칙'!$B$19)</x:f>
        <x:v>6</x:v>
      </x:c>
      <x:c r="H960" s="11" t="n">
        <x:f>IF(ISNUMBER(SEARCH("freq-core",'제외 후보'!AD960)),'선정 규칙'!$B$20,0)</x:f>
        <x:v>0</x:v>
      </x:c>
      <x:c r="I960" s="11" t="n">
        <x:f>IF(ISNUMBER(SEARCH("weak_legacy_content",'제외 후보'!P960)),'선정 규칙'!$B$21,0)</x:f>
        <x:v>5</x:v>
      </x:c>
      <x:c r="J960" s="11" t="n">
        <x:f>IF('제외 후보'!AC960&lt;&gt;"",'선정 규칙'!$B$22,0)</x:f>
        <x:v>0</x:v>
      </x:c>
      <x:c r="K960" s="11" t="n">
        <x:f>SUM(B960:J960)</x:f>
        <x:v>-2</x:v>
      </x:c>
      <x:c r="L960" s="11" t="n">
        <x:f>'제외 후보'!N960</x:f>
        <x:v>-2</x:v>
      </x:c>
      <x:c r="M960" s="2" t="str">
        <x:f>IF(K960=L960,"OK","MISMATCH")</x:f>
        <x:v>OK</x:v>
      </x:c>
    </x:row>
    <x:row r="961">
      <x:c r="A961" s="2" t="str">
        <x:f>'제외 후보'!G961</x:f>
        <x:v>w_32c90bf4d0b53af4</x:v>
      </x:c>
      <x:c r="B961" s="11" t="n">
        <x:f>IF('제외 후보'!Q961&lt;&gt;"",'선정 규칙'!$B$4,0)</x:f>
        <x:v>0</x:v>
      </x:c>
      <x:c r="C961" s="11" t="n">
        <x:f>IF(ISNUMBER(SEARCH("jmdict_uncommon_or_irregular",'제외 후보'!P961)),'선정 규칙'!$B$5,IF(ISNUMBER(SEARCH("jmdict_rare_or_dated",'제외 후보'!P961)),'선정 규칙'!$B$6,0))</x:f>
        <x:v>0</x:v>
      </x:c>
      <x:c r="D961" s="11" t="n">
        <x:f>IF(ISNUMBER(SEARCH("jmdict_exact_pair_not_found",'제외 후보'!P961)),'선정 규칙'!$B$7,0)</x:f>
        <x:v>0</x:v>
      </x:c>
      <x:c r="E961" s="11" t="n">
        <x:f>IF(OR('제외 후보'!L961="",'제외 후보'!L961&lt;=0),'선정 규칙'!$B$8,IF('제외 후보'!L961&lt;=1.5,'선정 규칙'!$B$9,IF('제외 후보'!L961&lt;=2,'선정 규칙'!$B$10,IF('제외 후보'!L961&lt;=2.5,'선정 규칙'!$B$11,IF('제외 후보'!L961&lt;=3,'선정 규칙'!$B$12,IF('제외 후보'!L961&lt;=3.5,'선정 규칙'!$B$13,IF('제외 후보'!L961&gt;=4.5,'선정 규칙'!$B$14,0)))))))</x:f>
        <x:v>12</x:v>
      </x:c>
      <x:c r="F961" s="11" t="n">
        <x:f>IF('제외 후보'!Y961=0,'선정 규칙'!$B$15,IF('제외 후보'!Y961&gt;=100,'선정 규칙'!$B$16,'선정 규칙'!$B$17))</x:f>
        <x:v>-25</x:v>
      </x:c>
      <x:c r="G961" s="11" t="n">
        <x:f>IF('제외 후보'!M961="있음",'선정 규칙'!$B$18,'선정 규칙'!$B$19)</x:f>
        <x:v>6</x:v>
      </x:c>
      <x:c r="H961" s="11" t="n">
        <x:f>IF(ISNUMBER(SEARCH("freq-core",'제외 후보'!AD961)),'선정 규칙'!$B$20,0)</x:f>
        <x:v>0</x:v>
      </x:c>
      <x:c r="I961" s="11" t="n">
        <x:f>IF(ISNUMBER(SEARCH("weak_legacy_content",'제외 후보'!P961)),'선정 규칙'!$B$21,0)</x:f>
        <x:v>5</x:v>
      </x:c>
      <x:c r="J961" s="11" t="n">
        <x:f>IF('제외 후보'!AC961&lt;&gt;"",'선정 규칙'!$B$22,0)</x:f>
        <x:v>0</x:v>
      </x:c>
      <x:c r="K961" s="11" t="n">
        <x:f>SUM(B961:J961)</x:f>
        <x:v>-2</x:v>
      </x:c>
      <x:c r="L961" s="11" t="n">
        <x:f>'제외 후보'!N961</x:f>
        <x:v>-2</x:v>
      </x:c>
      <x:c r="M961" s="2" t="str">
        <x:f>IF(K961=L961,"OK","MISMATCH")</x:f>
        <x:v>OK</x:v>
      </x:c>
    </x:row>
    <x:row r="962">
      <x:c r="A962" s="2" t="str">
        <x:f>'제외 후보'!G962</x:f>
        <x:v>w_475ed81fb0fca7ed</x:v>
      </x:c>
      <x:c r="B962" s="11" t="n">
        <x:f>IF('제외 후보'!Q962&lt;&gt;"",'선정 규칙'!$B$4,0)</x:f>
        <x:v>0</x:v>
      </x:c>
      <x:c r="C962" s="11" t="n">
        <x:f>IF(ISNUMBER(SEARCH("jmdict_uncommon_or_irregular",'제외 후보'!P962)),'선정 규칙'!$B$5,IF(ISNUMBER(SEARCH("jmdict_rare_or_dated",'제외 후보'!P962)),'선정 규칙'!$B$6,0))</x:f>
        <x:v>0</x:v>
      </x:c>
      <x:c r="D962" s="11" t="n">
        <x:f>IF(ISNUMBER(SEARCH("jmdict_exact_pair_not_found",'제외 후보'!P962)),'선정 규칙'!$B$7,0)</x:f>
        <x:v>0</x:v>
      </x:c>
      <x:c r="E962" s="11" t="n">
        <x:f>IF(OR('제외 후보'!L962="",'제외 후보'!L962&lt;=0),'선정 규칙'!$B$8,IF('제외 후보'!L962&lt;=1.5,'선정 규칙'!$B$9,IF('제외 후보'!L962&lt;=2,'선정 규칙'!$B$10,IF('제외 후보'!L962&lt;=2.5,'선정 규칙'!$B$11,IF('제외 후보'!L962&lt;=3,'선정 규칙'!$B$12,IF('제외 후보'!L962&lt;=3.5,'선정 규칙'!$B$13,IF('제외 후보'!L962&gt;=4.5,'선정 규칙'!$B$14,0)))))))</x:f>
        <x:v>12</x:v>
      </x:c>
      <x:c r="F962" s="11" t="n">
        <x:f>IF('제외 후보'!Y962=0,'선정 규칙'!$B$15,IF('제외 후보'!Y962&gt;=100,'선정 규칙'!$B$16,'선정 규칙'!$B$17))</x:f>
        <x:v>-25</x:v>
      </x:c>
      <x:c r="G962" s="11" t="n">
        <x:f>IF('제외 후보'!M962="있음",'선정 규칙'!$B$18,'선정 규칙'!$B$19)</x:f>
        <x:v>6</x:v>
      </x:c>
      <x:c r="H962" s="11" t="n">
        <x:f>IF(ISNUMBER(SEARCH("freq-core",'제외 후보'!AD962)),'선정 규칙'!$B$20,0)</x:f>
        <x:v>0</x:v>
      </x:c>
      <x:c r="I962" s="11" t="n">
        <x:f>IF(ISNUMBER(SEARCH("weak_legacy_content",'제외 후보'!P962)),'선정 규칙'!$B$21,0)</x:f>
        <x:v>5</x:v>
      </x:c>
      <x:c r="J962" s="11" t="n">
        <x:f>IF('제외 후보'!AC962&lt;&gt;"",'선정 규칙'!$B$22,0)</x:f>
        <x:v>0</x:v>
      </x:c>
      <x:c r="K962" s="11" t="n">
        <x:f>SUM(B962:J962)</x:f>
        <x:v>-2</x:v>
      </x:c>
      <x:c r="L962" s="11" t="n">
        <x:f>'제외 후보'!N962</x:f>
        <x:v>-2</x:v>
      </x:c>
      <x:c r="M962" s="2" t="str">
        <x:f>IF(K962=L962,"OK","MISMATCH")</x:f>
        <x:v>OK</x:v>
      </x:c>
    </x:row>
    <x:row r="963">
      <x:c r="A963" s="2" t="str">
        <x:f>'제외 후보'!G963</x:f>
        <x:v>w_ccbf1de13dfa8cfe</x:v>
      </x:c>
      <x:c r="B963" s="11" t="n">
        <x:f>IF('제외 후보'!Q963&lt;&gt;"",'선정 규칙'!$B$4,0)</x:f>
        <x:v>0</x:v>
      </x:c>
      <x:c r="C963" s="11" t="n">
        <x:f>IF(ISNUMBER(SEARCH("jmdict_uncommon_or_irregular",'제외 후보'!P963)),'선정 규칙'!$B$5,IF(ISNUMBER(SEARCH("jmdict_rare_or_dated",'제외 후보'!P963)),'선정 규칙'!$B$6,0))</x:f>
        <x:v>0</x:v>
      </x:c>
      <x:c r="D963" s="11" t="n">
        <x:f>IF(ISNUMBER(SEARCH("jmdict_exact_pair_not_found",'제외 후보'!P963)),'선정 규칙'!$B$7,0)</x:f>
        <x:v>0</x:v>
      </x:c>
      <x:c r="E963" s="11" t="n">
        <x:f>IF(OR('제외 후보'!L963="",'제외 후보'!L963&lt;=0),'선정 규칙'!$B$8,IF('제외 후보'!L963&lt;=1.5,'선정 규칙'!$B$9,IF('제외 후보'!L963&lt;=2,'선정 규칙'!$B$10,IF('제외 후보'!L963&lt;=2.5,'선정 규칙'!$B$11,IF('제외 후보'!L963&lt;=3,'선정 규칙'!$B$12,IF('제외 후보'!L963&lt;=3.5,'선정 규칙'!$B$13,IF('제외 후보'!L963&gt;=4.5,'선정 규칙'!$B$14,0)))))))</x:f>
        <x:v>12</x:v>
      </x:c>
      <x:c r="F963" s="11" t="n">
        <x:f>IF('제외 후보'!Y963=0,'선정 규칙'!$B$15,IF('제외 후보'!Y963&gt;=100,'선정 규칙'!$B$16,'선정 규칙'!$B$17))</x:f>
        <x:v>-25</x:v>
      </x:c>
      <x:c r="G963" s="11" t="n">
        <x:f>IF('제외 후보'!M963="있음",'선정 규칙'!$B$18,'선정 규칙'!$B$19)</x:f>
        <x:v>6</x:v>
      </x:c>
      <x:c r="H963" s="11" t="n">
        <x:f>IF(ISNUMBER(SEARCH("freq-core",'제외 후보'!AD963)),'선정 규칙'!$B$20,0)</x:f>
        <x:v>0</x:v>
      </x:c>
      <x:c r="I963" s="11" t="n">
        <x:f>IF(ISNUMBER(SEARCH("weak_legacy_content",'제외 후보'!P963)),'선정 규칙'!$B$21,0)</x:f>
        <x:v>5</x:v>
      </x:c>
      <x:c r="J963" s="11" t="n">
        <x:f>IF('제외 후보'!AC963&lt;&gt;"",'선정 규칙'!$B$22,0)</x:f>
        <x:v>0</x:v>
      </x:c>
      <x:c r="K963" s="11" t="n">
        <x:f>SUM(B963:J963)</x:f>
        <x:v>-2</x:v>
      </x:c>
      <x:c r="L963" s="11" t="n">
        <x:f>'제외 후보'!N963</x:f>
        <x:v>-2</x:v>
      </x:c>
      <x:c r="M963" s="2" t="str">
        <x:f>IF(K963=L963,"OK","MISMATCH")</x:f>
        <x:v>OK</x:v>
      </x:c>
    </x:row>
    <x:row r="964">
      <x:c r="A964" s="2" t="str">
        <x:f>'제외 후보'!G964</x:f>
        <x:v>w_f8f401f47c14479b</x:v>
      </x:c>
      <x:c r="B964" s="11" t="n">
        <x:f>IF('제외 후보'!Q964&lt;&gt;"",'선정 규칙'!$B$4,0)</x:f>
        <x:v>0</x:v>
      </x:c>
      <x:c r="C964" s="11" t="n">
        <x:f>IF(ISNUMBER(SEARCH("jmdict_uncommon_or_irregular",'제외 후보'!P964)),'선정 규칙'!$B$5,IF(ISNUMBER(SEARCH("jmdict_rare_or_dated",'제외 후보'!P964)),'선정 규칙'!$B$6,0))</x:f>
        <x:v>0</x:v>
      </x:c>
      <x:c r="D964" s="11" t="n">
        <x:f>IF(ISNUMBER(SEARCH("jmdict_exact_pair_not_found",'제외 후보'!P964)),'선정 규칙'!$B$7,0)</x:f>
        <x:v>0</x:v>
      </x:c>
      <x:c r="E964" s="11" t="n">
        <x:f>IF(OR('제외 후보'!L964="",'제외 후보'!L964&lt;=0),'선정 규칙'!$B$8,IF('제외 후보'!L964&lt;=1.5,'선정 규칙'!$B$9,IF('제외 후보'!L964&lt;=2,'선정 규칙'!$B$10,IF('제외 후보'!L964&lt;=2.5,'선정 규칙'!$B$11,IF('제외 후보'!L964&lt;=3,'선정 규칙'!$B$12,IF('제외 후보'!L964&lt;=3.5,'선정 규칙'!$B$13,IF('제외 후보'!L964&gt;=4.5,'선정 규칙'!$B$14,0)))))))</x:f>
        <x:v>12</x:v>
      </x:c>
      <x:c r="F964" s="11" t="n">
        <x:f>IF('제외 후보'!Y964=0,'선정 규칙'!$B$15,IF('제외 후보'!Y964&gt;=100,'선정 규칙'!$B$16,'선정 규칙'!$B$17))</x:f>
        <x:v>-25</x:v>
      </x:c>
      <x:c r="G964" s="11" t="n">
        <x:f>IF('제외 후보'!M964="있음",'선정 규칙'!$B$18,'선정 규칙'!$B$19)</x:f>
        <x:v>6</x:v>
      </x:c>
      <x:c r="H964" s="11" t="n">
        <x:f>IF(ISNUMBER(SEARCH("freq-core",'제외 후보'!AD964)),'선정 규칙'!$B$20,0)</x:f>
        <x:v>0</x:v>
      </x:c>
      <x:c r="I964" s="11" t="n">
        <x:f>IF(ISNUMBER(SEARCH("weak_legacy_content",'제외 후보'!P964)),'선정 규칙'!$B$21,0)</x:f>
        <x:v>5</x:v>
      </x:c>
      <x:c r="J964" s="11" t="n">
        <x:f>IF('제외 후보'!AC964&lt;&gt;"",'선정 규칙'!$B$22,0)</x:f>
        <x:v>0</x:v>
      </x:c>
      <x:c r="K964" s="11" t="n">
        <x:f>SUM(B964:J964)</x:f>
        <x:v>-2</x:v>
      </x:c>
      <x:c r="L964" s="11" t="n">
        <x:f>'제외 후보'!N964</x:f>
        <x:v>-2</x:v>
      </x:c>
      <x:c r="M964" s="2" t="str">
        <x:f>IF(K964=L964,"OK","MISMATCH")</x:f>
        <x:v>OK</x:v>
      </x:c>
    </x:row>
    <x:row r="965">
      <x:c r="A965" s="2" t="str">
        <x:f>'제외 후보'!G965</x:f>
        <x:v>w_f889521b53ba61cd</x:v>
      </x:c>
      <x:c r="B965" s="11" t="n">
        <x:f>IF('제외 후보'!Q965&lt;&gt;"",'선정 규칙'!$B$4,0)</x:f>
        <x:v>0</x:v>
      </x:c>
      <x:c r="C965" s="11" t="n">
        <x:f>IF(ISNUMBER(SEARCH("jmdict_uncommon_or_irregular",'제외 후보'!P965)),'선정 규칙'!$B$5,IF(ISNUMBER(SEARCH("jmdict_rare_or_dated",'제외 후보'!P965)),'선정 규칙'!$B$6,0))</x:f>
        <x:v>0</x:v>
      </x:c>
      <x:c r="D965" s="11" t="n">
        <x:f>IF(ISNUMBER(SEARCH("jmdict_exact_pair_not_found",'제외 후보'!P965)),'선정 규칙'!$B$7,0)</x:f>
        <x:v>0</x:v>
      </x:c>
      <x:c r="E965" s="11" t="n">
        <x:f>IF(OR('제외 후보'!L965="",'제외 후보'!L965&lt;=0),'선정 규칙'!$B$8,IF('제외 후보'!L965&lt;=1.5,'선정 규칙'!$B$9,IF('제외 후보'!L965&lt;=2,'선정 규칙'!$B$10,IF('제외 후보'!L965&lt;=2.5,'선정 규칙'!$B$11,IF('제외 후보'!L965&lt;=3,'선정 규칙'!$B$12,IF('제외 후보'!L965&lt;=3.5,'선정 규칙'!$B$13,IF('제외 후보'!L965&gt;=4.5,'선정 규칙'!$B$14,0)))))))</x:f>
        <x:v>12</x:v>
      </x:c>
      <x:c r="F965" s="11" t="n">
        <x:f>IF('제외 후보'!Y965=0,'선정 규칙'!$B$15,IF('제외 후보'!Y965&gt;=100,'선정 규칙'!$B$16,'선정 규칙'!$B$17))</x:f>
        <x:v>-25</x:v>
      </x:c>
      <x:c r="G965" s="11" t="n">
        <x:f>IF('제외 후보'!M965="있음",'선정 규칙'!$B$18,'선정 규칙'!$B$19)</x:f>
        <x:v>6</x:v>
      </x:c>
      <x:c r="H965" s="11" t="n">
        <x:f>IF(ISNUMBER(SEARCH("freq-core",'제외 후보'!AD965)),'선정 규칙'!$B$20,0)</x:f>
        <x:v>0</x:v>
      </x:c>
      <x:c r="I965" s="11" t="n">
        <x:f>IF(ISNUMBER(SEARCH("weak_legacy_content",'제외 후보'!P965)),'선정 규칙'!$B$21,0)</x:f>
        <x:v>5</x:v>
      </x:c>
      <x:c r="J965" s="11" t="n">
        <x:f>IF('제외 후보'!AC965&lt;&gt;"",'선정 규칙'!$B$22,0)</x:f>
        <x:v>0</x:v>
      </x:c>
      <x:c r="K965" s="11" t="n">
        <x:f>SUM(B965:J965)</x:f>
        <x:v>-2</x:v>
      </x:c>
      <x:c r="L965" s="11" t="n">
        <x:f>'제외 후보'!N965</x:f>
        <x:v>-2</x:v>
      </x:c>
      <x:c r="M965" s="2" t="str">
        <x:f>IF(K965=L965,"OK","MISMATCH")</x:f>
        <x:v>OK</x:v>
      </x:c>
    </x:row>
    <x:row r="966">
      <x:c r="A966" s="2" t="str">
        <x:f>'제외 후보'!G966</x:f>
        <x:v>w_121525e8ce9ac54e</x:v>
      </x:c>
      <x:c r="B966" s="11" t="n">
        <x:f>IF('제외 후보'!Q966&lt;&gt;"",'선정 규칙'!$B$4,0)</x:f>
        <x:v>0</x:v>
      </x:c>
      <x:c r="C966" s="11" t="n">
        <x:f>IF(ISNUMBER(SEARCH("jmdict_uncommon_or_irregular",'제외 후보'!P966)),'선정 규칙'!$B$5,IF(ISNUMBER(SEARCH("jmdict_rare_or_dated",'제외 후보'!P966)),'선정 규칙'!$B$6,0))</x:f>
        <x:v>0</x:v>
      </x:c>
      <x:c r="D966" s="11" t="n">
        <x:f>IF(ISNUMBER(SEARCH("jmdict_exact_pair_not_found",'제외 후보'!P966)),'선정 규칙'!$B$7,0)</x:f>
        <x:v>0</x:v>
      </x:c>
      <x:c r="E966" s="11" t="n">
        <x:f>IF(OR('제외 후보'!L966="",'제외 후보'!L966&lt;=0),'선정 규칙'!$B$8,IF('제외 후보'!L966&lt;=1.5,'선정 규칙'!$B$9,IF('제외 후보'!L966&lt;=2,'선정 규칙'!$B$10,IF('제외 후보'!L966&lt;=2.5,'선정 규칙'!$B$11,IF('제외 후보'!L966&lt;=3,'선정 규칙'!$B$12,IF('제외 후보'!L966&lt;=3.5,'선정 규칙'!$B$13,IF('제외 후보'!L966&gt;=4.5,'선정 규칙'!$B$14,0)))))))</x:f>
        <x:v>12</x:v>
      </x:c>
      <x:c r="F966" s="11" t="n">
        <x:f>IF('제외 후보'!Y966=0,'선정 규칙'!$B$15,IF('제외 후보'!Y966&gt;=100,'선정 규칙'!$B$16,'선정 규칙'!$B$17))</x:f>
        <x:v>-25</x:v>
      </x:c>
      <x:c r="G966" s="11" t="n">
        <x:f>IF('제외 후보'!M966="있음",'선정 규칙'!$B$18,'선정 규칙'!$B$19)</x:f>
        <x:v>6</x:v>
      </x:c>
      <x:c r="H966" s="11" t="n">
        <x:f>IF(ISNUMBER(SEARCH("freq-core",'제외 후보'!AD966)),'선정 규칙'!$B$20,0)</x:f>
        <x:v>0</x:v>
      </x:c>
      <x:c r="I966" s="11" t="n">
        <x:f>IF(ISNUMBER(SEARCH("weak_legacy_content",'제외 후보'!P966)),'선정 규칙'!$B$21,0)</x:f>
        <x:v>5</x:v>
      </x:c>
      <x:c r="J966" s="11" t="n">
        <x:f>IF('제외 후보'!AC966&lt;&gt;"",'선정 규칙'!$B$22,0)</x:f>
        <x:v>0</x:v>
      </x:c>
      <x:c r="K966" s="11" t="n">
        <x:f>SUM(B966:J966)</x:f>
        <x:v>-2</x:v>
      </x:c>
      <x:c r="L966" s="11" t="n">
        <x:f>'제외 후보'!N966</x:f>
        <x:v>-2</x:v>
      </x:c>
      <x:c r="M966" s="2" t="str">
        <x:f>IF(K966=L966,"OK","MISMATCH")</x:f>
        <x:v>OK</x:v>
      </x:c>
    </x:row>
    <x:row r="967">
      <x:c r="A967" s="2" t="str">
        <x:f>'제외 후보'!G967</x:f>
        <x:v>w_27ea49ce54c03299</x:v>
      </x:c>
      <x:c r="B967" s="11" t="n">
        <x:f>IF('제외 후보'!Q967&lt;&gt;"",'선정 규칙'!$B$4,0)</x:f>
        <x:v>0</x:v>
      </x:c>
      <x:c r="C967" s="11" t="n">
        <x:f>IF(ISNUMBER(SEARCH("jmdict_uncommon_or_irregular",'제외 후보'!P967)),'선정 규칙'!$B$5,IF(ISNUMBER(SEARCH("jmdict_rare_or_dated",'제외 후보'!P967)),'선정 규칙'!$B$6,0))</x:f>
        <x:v>0</x:v>
      </x:c>
      <x:c r="D967" s="11" t="n">
        <x:f>IF(ISNUMBER(SEARCH("jmdict_exact_pair_not_found",'제외 후보'!P967)),'선정 규칙'!$B$7,0)</x:f>
        <x:v>0</x:v>
      </x:c>
      <x:c r="E967" s="11" t="n">
        <x:f>IF(OR('제외 후보'!L967="",'제외 후보'!L967&lt;=0),'선정 규칙'!$B$8,IF('제외 후보'!L967&lt;=1.5,'선정 규칙'!$B$9,IF('제외 후보'!L967&lt;=2,'선정 규칙'!$B$10,IF('제외 후보'!L967&lt;=2.5,'선정 규칙'!$B$11,IF('제외 후보'!L967&lt;=3,'선정 규칙'!$B$12,IF('제외 후보'!L967&lt;=3.5,'선정 규칙'!$B$13,IF('제외 후보'!L967&gt;=4.5,'선정 규칙'!$B$14,0)))))))</x:f>
        <x:v>12</x:v>
      </x:c>
      <x:c r="F967" s="11" t="n">
        <x:f>IF('제외 후보'!Y967=0,'선정 규칙'!$B$15,IF('제외 후보'!Y967&gt;=100,'선정 규칙'!$B$16,'선정 규칙'!$B$17))</x:f>
        <x:v>-25</x:v>
      </x:c>
      <x:c r="G967" s="11" t="n">
        <x:f>IF('제외 후보'!M967="있음",'선정 규칙'!$B$18,'선정 규칙'!$B$19)</x:f>
        <x:v>6</x:v>
      </x:c>
      <x:c r="H967" s="11" t="n">
        <x:f>IF(ISNUMBER(SEARCH("freq-core",'제외 후보'!AD967)),'선정 규칙'!$B$20,0)</x:f>
        <x:v>0</x:v>
      </x:c>
      <x:c r="I967" s="11" t="n">
        <x:f>IF(ISNUMBER(SEARCH("weak_legacy_content",'제외 후보'!P967)),'선정 규칙'!$B$21,0)</x:f>
        <x:v>5</x:v>
      </x:c>
      <x:c r="J967" s="11" t="n">
        <x:f>IF('제외 후보'!AC967&lt;&gt;"",'선정 규칙'!$B$22,0)</x:f>
        <x:v>0</x:v>
      </x:c>
      <x:c r="K967" s="11" t="n">
        <x:f>SUM(B967:J967)</x:f>
        <x:v>-2</x:v>
      </x:c>
      <x:c r="L967" s="11" t="n">
        <x:f>'제외 후보'!N967</x:f>
        <x:v>-2</x:v>
      </x:c>
      <x:c r="M967" s="2" t="str">
        <x:f>IF(K967=L967,"OK","MISMATCH")</x:f>
        <x:v>OK</x:v>
      </x:c>
    </x:row>
    <x:row r="968">
      <x:c r="A968" s="2" t="str">
        <x:f>'제외 후보'!G968</x:f>
        <x:v>w_8cbecda005e65fb1</x:v>
      </x:c>
      <x:c r="B968" s="11" t="n">
        <x:f>IF('제외 후보'!Q968&lt;&gt;"",'선정 규칙'!$B$4,0)</x:f>
        <x:v>0</x:v>
      </x:c>
      <x:c r="C968" s="11" t="n">
        <x:f>IF(ISNUMBER(SEARCH("jmdict_uncommon_or_irregular",'제외 후보'!P968)),'선정 규칙'!$B$5,IF(ISNUMBER(SEARCH("jmdict_rare_or_dated",'제외 후보'!P968)),'선정 규칙'!$B$6,0))</x:f>
        <x:v>0</x:v>
      </x:c>
      <x:c r="D968" s="11" t="n">
        <x:f>IF(ISNUMBER(SEARCH("jmdict_exact_pair_not_found",'제외 후보'!P968)),'선정 규칙'!$B$7,0)</x:f>
        <x:v>0</x:v>
      </x:c>
      <x:c r="E968" s="11" t="n">
        <x:f>IF(OR('제외 후보'!L968="",'제외 후보'!L968&lt;=0),'선정 규칙'!$B$8,IF('제외 후보'!L968&lt;=1.5,'선정 규칙'!$B$9,IF('제외 후보'!L968&lt;=2,'선정 규칙'!$B$10,IF('제외 후보'!L968&lt;=2.5,'선정 규칙'!$B$11,IF('제외 후보'!L968&lt;=3,'선정 규칙'!$B$12,IF('제외 후보'!L968&lt;=3.5,'선정 규칙'!$B$13,IF('제외 후보'!L968&gt;=4.5,'선정 규칙'!$B$14,0)))))))</x:f>
        <x:v>12</x:v>
      </x:c>
      <x:c r="F968" s="11" t="n">
        <x:f>IF('제외 후보'!Y968=0,'선정 규칙'!$B$15,IF('제외 후보'!Y968&gt;=100,'선정 규칙'!$B$16,'선정 규칙'!$B$17))</x:f>
        <x:v>-25</x:v>
      </x:c>
      <x:c r="G968" s="11" t="n">
        <x:f>IF('제외 후보'!M968="있음",'선정 규칙'!$B$18,'선정 규칙'!$B$19)</x:f>
        <x:v>6</x:v>
      </x:c>
      <x:c r="H968" s="11" t="n">
        <x:f>IF(ISNUMBER(SEARCH("freq-core",'제외 후보'!AD968)),'선정 규칙'!$B$20,0)</x:f>
        <x:v>0</x:v>
      </x:c>
      <x:c r="I968" s="11" t="n">
        <x:f>IF(ISNUMBER(SEARCH("weak_legacy_content",'제외 후보'!P968)),'선정 규칙'!$B$21,0)</x:f>
        <x:v>5</x:v>
      </x:c>
      <x:c r="J968" s="11" t="n">
        <x:f>IF('제외 후보'!AC968&lt;&gt;"",'선정 규칙'!$B$22,0)</x:f>
        <x:v>0</x:v>
      </x:c>
      <x:c r="K968" s="11" t="n">
        <x:f>SUM(B968:J968)</x:f>
        <x:v>-2</x:v>
      </x:c>
      <x:c r="L968" s="11" t="n">
        <x:f>'제외 후보'!N968</x:f>
        <x:v>-2</x:v>
      </x:c>
      <x:c r="M968" s="2" t="str">
        <x:f>IF(K968=L968,"OK","MISMATCH")</x:f>
        <x:v>OK</x:v>
      </x:c>
    </x:row>
    <x:row r="969">
      <x:c r="A969" s="2" t="str">
        <x:f>'제외 후보'!G969</x:f>
        <x:v>w_91f0d29d4488ce58</x:v>
      </x:c>
      <x:c r="B969" s="11" t="n">
        <x:f>IF('제외 후보'!Q969&lt;&gt;"",'선정 규칙'!$B$4,0)</x:f>
        <x:v>0</x:v>
      </x:c>
      <x:c r="C969" s="11" t="n">
        <x:f>IF(ISNUMBER(SEARCH("jmdict_uncommon_or_irregular",'제외 후보'!P969)),'선정 규칙'!$B$5,IF(ISNUMBER(SEARCH("jmdict_rare_or_dated",'제외 후보'!P969)),'선정 규칙'!$B$6,0))</x:f>
        <x:v>0</x:v>
      </x:c>
      <x:c r="D969" s="11" t="n">
        <x:f>IF(ISNUMBER(SEARCH("jmdict_exact_pair_not_found",'제외 후보'!P969)),'선정 규칙'!$B$7,0)</x:f>
        <x:v>0</x:v>
      </x:c>
      <x:c r="E969" s="11" t="n">
        <x:f>IF(OR('제외 후보'!L969="",'제외 후보'!L969&lt;=0),'선정 규칙'!$B$8,IF('제외 후보'!L969&lt;=1.5,'선정 규칙'!$B$9,IF('제외 후보'!L969&lt;=2,'선정 규칙'!$B$10,IF('제외 후보'!L969&lt;=2.5,'선정 규칙'!$B$11,IF('제외 후보'!L969&lt;=3,'선정 규칙'!$B$12,IF('제외 후보'!L969&lt;=3.5,'선정 규칙'!$B$13,IF('제외 후보'!L969&gt;=4.5,'선정 규칙'!$B$14,0)))))))</x:f>
        <x:v>12</x:v>
      </x:c>
      <x:c r="F969" s="11" t="n">
        <x:f>IF('제외 후보'!Y969=0,'선정 규칙'!$B$15,IF('제외 후보'!Y969&gt;=100,'선정 규칙'!$B$16,'선정 규칙'!$B$17))</x:f>
        <x:v>-25</x:v>
      </x:c>
      <x:c r="G969" s="11" t="n">
        <x:f>IF('제외 후보'!M969="있음",'선정 규칙'!$B$18,'선정 규칙'!$B$19)</x:f>
        <x:v>6</x:v>
      </x:c>
      <x:c r="H969" s="11" t="n">
        <x:f>IF(ISNUMBER(SEARCH("freq-core",'제외 후보'!AD969)),'선정 규칙'!$B$20,0)</x:f>
        <x:v>0</x:v>
      </x:c>
      <x:c r="I969" s="11" t="n">
        <x:f>IF(ISNUMBER(SEARCH("weak_legacy_content",'제외 후보'!P969)),'선정 규칙'!$B$21,0)</x:f>
        <x:v>5</x:v>
      </x:c>
      <x:c r="J969" s="11" t="n">
        <x:f>IF('제외 후보'!AC969&lt;&gt;"",'선정 규칙'!$B$22,0)</x:f>
        <x:v>0</x:v>
      </x:c>
      <x:c r="K969" s="11" t="n">
        <x:f>SUM(B969:J969)</x:f>
        <x:v>-2</x:v>
      </x:c>
      <x:c r="L969" s="11" t="n">
        <x:f>'제외 후보'!N969</x:f>
        <x:v>-2</x:v>
      </x:c>
      <x:c r="M969" s="2" t="str">
        <x:f>IF(K969=L969,"OK","MISMATCH")</x:f>
        <x:v>OK</x:v>
      </x:c>
    </x:row>
    <x:row r="970">
      <x:c r="A970" s="2" t="str">
        <x:f>'제외 후보'!G970</x:f>
        <x:v>w_0cc60591ba0b7b66</x:v>
      </x:c>
      <x:c r="B970" s="11" t="n">
        <x:f>IF('제외 후보'!Q970&lt;&gt;"",'선정 규칙'!$B$4,0)</x:f>
        <x:v>0</x:v>
      </x:c>
      <x:c r="C970" s="11" t="n">
        <x:f>IF(ISNUMBER(SEARCH("jmdict_uncommon_or_irregular",'제외 후보'!P970)),'선정 규칙'!$B$5,IF(ISNUMBER(SEARCH("jmdict_rare_or_dated",'제외 후보'!P970)),'선정 규칙'!$B$6,0))</x:f>
        <x:v>0</x:v>
      </x:c>
      <x:c r="D970" s="11" t="n">
        <x:f>IF(ISNUMBER(SEARCH("jmdict_exact_pair_not_found",'제외 후보'!P970)),'선정 규칙'!$B$7,0)</x:f>
        <x:v>0</x:v>
      </x:c>
      <x:c r="E970" s="11" t="n">
        <x:f>IF(OR('제외 후보'!L970="",'제외 후보'!L970&lt;=0),'선정 규칙'!$B$8,IF('제외 후보'!L970&lt;=1.5,'선정 규칙'!$B$9,IF('제외 후보'!L970&lt;=2,'선정 규칙'!$B$10,IF('제외 후보'!L970&lt;=2.5,'선정 규칙'!$B$11,IF('제외 후보'!L970&lt;=3,'선정 규칙'!$B$12,IF('제외 후보'!L970&lt;=3.5,'선정 규칙'!$B$13,IF('제외 후보'!L970&gt;=4.5,'선정 규칙'!$B$14,0)))))))</x:f>
        <x:v>12</x:v>
      </x:c>
      <x:c r="F970" s="11" t="n">
        <x:f>IF('제외 후보'!Y970=0,'선정 규칙'!$B$15,IF('제외 후보'!Y970&gt;=100,'선정 규칙'!$B$16,'선정 규칙'!$B$17))</x:f>
        <x:v>-25</x:v>
      </x:c>
      <x:c r="G970" s="11" t="n">
        <x:f>IF('제외 후보'!M970="있음",'선정 규칙'!$B$18,'선정 규칙'!$B$19)</x:f>
        <x:v>6</x:v>
      </x:c>
      <x:c r="H970" s="11" t="n">
        <x:f>IF(ISNUMBER(SEARCH("freq-core",'제외 후보'!AD970)),'선정 규칙'!$B$20,0)</x:f>
        <x:v>0</x:v>
      </x:c>
      <x:c r="I970" s="11" t="n">
        <x:f>IF(ISNUMBER(SEARCH("weak_legacy_content",'제외 후보'!P970)),'선정 규칙'!$B$21,0)</x:f>
        <x:v>5</x:v>
      </x:c>
      <x:c r="J970" s="11" t="n">
        <x:f>IF('제외 후보'!AC970&lt;&gt;"",'선정 규칙'!$B$22,0)</x:f>
        <x:v>0</x:v>
      </x:c>
      <x:c r="K970" s="11" t="n">
        <x:f>SUM(B970:J970)</x:f>
        <x:v>-2</x:v>
      </x:c>
      <x:c r="L970" s="11" t="n">
        <x:f>'제외 후보'!N970</x:f>
        <x:v>-2</x:v>
      </x:c>
      <x:c r="M970" s="2" t="str">
        <x:f>IF(K970=L970,"OK","MISMATCH")</x:f>
        <x:v>OK</x:v>
      </x:c>
    </x:row>
    <x:row r="971">
      <x:c r="A971" s="2" t="str">
        <x:f>'제외 후보'!G971</x:f>
        <x:v>w_8c9397dee5f57aaf</x:v>
      </x:c>
      <x:c r="B971" s="11" t="n">
        <x:f>IF('제외 후보'!Q971&lt;&gt;"",'선정 규칙'!$B$4,0)</x:f>
        <x:v>0</x:v>
      </x:c>
      <x:c r="C971" s="11" t="n">
        <x:f>IF(ISNUMBER(SEARCH("jmdict_uncommon_or_irregular",'제외 후보'!P971)),'선정 규칙'!$B$5,IF(ISNUMBER(SEARCH("jmdict_rare_or_dated",'제외 후보'!P971)),'선정 규칙'!$B$6,0))</x:f>
        <x:v>0</x:v>
      </x:c>
      <x:c r="D971" s="11" t="n">
        <x:f>IF(ISNUMBER(SEARCH("jmdict_exact_pair_not_found",'제외 후보'!P971)),'선정 규칙'!$B$7,0)</x:f>
        <x:v>0</x:v>
      </x:c>
      <x:c r="E971" s="11" t="n">
        <x:f>IF(OR('제외 후보'!L971="",'제외 후보'!L971&lt;=0),'선정 규칙'!$B$8,IF('제외 후보'!L971&lt;=1.5,'선정 규칙'!$B$9,IF('제외 후보'!L971&lt;=2,'선정 규칙'!$B$10,IF('제외 후보'!L971&lt;=2.5,'선정 규칙'!$B$11,IF('제외 후보'!L971&lt;=3,'선정 규칙'!$B$12,IF('제외 후보'!L971&lt;=3.5,'선정 규칙'!$B$13,IF('제외 후보'!L971&gt;=4.5,'선정 규칙'!$B$14,0)))))))</x:f>
        <x:v>12</x:v>
      </x:c>
      <x:c r="F971" s="11" t="n">
        <x:f>IF('제외 후보'!Y971=0,'선정 규칙'!$B$15,IF('제외 후보'!Y971&gt;=100,'선정 규칙'!$B$16,'선정 규칙'!$B$17))</x:f>
        <x:v>-25</x:v>
      </x:c>
      <x:c r="G971" s="11" t="n">
        <x:f>IF('제외 후보'!M971="있음",'선정 규칙'!$B$18,'선정 규칙'!$B$19)</x:f>
        <x:v>6</x:v>
      </x:c>
      <x:c r="H971" s="11" t="n">
        <x:f>IF(ISNUMBER(SEARCH("freq-core",'제외 후보'!AD971)),'선정 규칙'!$B$20,0)</x:f>
        <x:v>0</x:v>
      </x:c>
      <x:c r="I971" s="11" t="n">
        <x:f>IF(ISNUMBER(SEARCH("weak_legacy_content",'제외 후보'!P971)),'선정 규칙'!$B$21,0)</x:f>
        <x:v>5</x:v>
      </x:c>
      <x:c r="J971" s="11" t="n">
        <x:f>IF('제외 후보'!AC971&lt;&gt;"",'선정 규칙'!$B$22,0)</x:f>
        <x:v>0</x:v>
      </x:c>
      <x:c r="K971" s="11" t="n">
        <x:f>SUM(B971:J971)</x:f>
        <x:v>-2</x:v>
      </x:c>
      <x:c r="L971" s="11" t="n">
        <x:f>'제외 후보'!N971</x:f>
        <x:v>-2</x:v>
      </x:c>
      <x:c r="M971" s="2" t="str">
        <x:f>IF(K971=L971,"OK","MISMATCH")</x:f>
        <x:v>OK</x:v>
      </x:c>
    </x:row>
    <x:row r="972">
      <x:c r="A972" s="2" t="str">
        <x:f>'제외 후보'!G972</x:f>
        <x:v>w_871701ef4118a88f</x:v>
      </x:c>
      <x:c r="B972" s="11" t="n">
        <x:f>IF('제외 후보'!Q972&lt;&gt;"",'선정 규칙'!$B$4,0)</x:f>
        <x:v>0</x:v>
      </x:c>
      <x:c r="C972" s="11" t="n">
        <x:f>IF(ISNUMBER(SEARCH("jmdict_uncommon_or_irregular",'제외 후보'!P972)),'선정 규칙'!$B$5,IF(ISNUMBER(SEARCH("jmdict_rare_or_dated",'제외 후보'!P972)),'선정 규칙'!$B$6,0))</x:f>
        <x:v>0</x:v>
      </x:c>
      <x:c r="D972" s="11" t="n">
        <x:f>IF(ISNUMBER(SEARCH("jmdict_exact_pair_not_found",'제외 후보'!P972)),'선정 규칙'!$B$7,0)</x:f>
        <x:v>0</x:v>
      </x:c>
      <x:c r="E972" s="11" t="n">
        <x:f>IF(OR('제외 후보'!L972="",'제외 후보'!L972&lt;=0),'선정 규칙'!$B$8,IF('제외 후보'!L972&lt;=1.5,'선정 규칙'!$B$9,IF('제외 후보'!L972&lt;=2,'선정 규칙'!$B$10,IF('제외 후보'!L972&lt;=2.5,'선정 규칙'!$B$11,IF('제외 후보'!L972&lt;=3,'선정 규칙'!$B$12,IF('제외 후보'!L972&lt;=3.5,'선정 규칙'!$B$13,IF('제외 후보'!L972&gt;=4.5,'선정 규칙'!$B$14,0)))))))</x:f>
        <x:v>12</x:v>
      </x:c>
      <x:c r="F972" s="11" t="n">
        <x:f>IF('제외 후보'!Y972=0,'선정 규칙'!$B$15,IF('제외 후보'!Y972&gt;=100,'선정 규칙'!$B$16,'선정 규칙'!$B$17))</x:f>
        <x:v>-25</x:v>
      </x:c>
      <x:c r="G972" s="11" t="n">
        <x:f>IF('제외 후보'!M972="있음",'선정 규칙'!$B$18,'선정 규칙'!$B$19)</x:f>
        <x:v>6</x:v>
      </x:c>
      <x:c r="H972" s="11" t="n">
        <x:f>IF(ISNUMBER(SEARCH("freq-core",'제외 후보'!AD972)),'선정 규칙'!$B$20,0)</x:f>
        <x:v>0</x:v>
      </x:c>
      <x:c r="I972" s="11" t="n">
        <x:f>IF(ISNUMBER(SEARCH("weak_legacy_content",'제외 후보'!P972)),'선정 규칙'!$B$21,0)</x:f>
        <x:v>5</x:v>
      </x:c>
      <x:c r="J972" s="11" t="n">
        <x:f>IF('제외 후보'!AC972&lt;&gt;"",'선정 규칙'!$B$22,0)</x:f>
        <x:v>0</x:v>
      </x:c>
      <x:c r="K972" s="11" t="n">
        <x:f>SUM(B972:J972)</x:f>
        <x:v>-2</x:v>
      </x:c>
      <x:c r="L972" s="11" t="n">
        <x:f>'제외 후보'!N972</x:f>
        <x:v>-2</x:v>
      </x:c>
      <x:c r="M972" s="2" t="str">
        <x:f>IF(K972=L972,"OK","MISMATCH")</x:f>
        <x:v>OK</x:v>
      </x:c>
    </x:row>
    <x:row r="973">
      <x:c r="A973" s="2" t="str">
        <x:f>'제외 후보'!G973</x:f>
        <x:v>w_09d31b5d3e96cc64</x:v>
      </x:c>
      <x:c r="B973" s="11" t="n">
        <x:f>IF('제외 후보'!Q973&lt;&gt;"",'선정 규칙'!$B$4,0)</x:f>
        <x:v>0</x:v>
      </x:c>
      <x:c r="C973" s="11" t="n">
        <x:f>IF(ISNUMBER(SEARCH("jmdict_uncommon_or_irregular",'제외 후보'!P973)),'선정 규칙'!$B$5,IF(ISNUMBER(SEARCH("jmdict_rare_or_dated",'제외 후보'!P973)),'선정 규칙'!$B$6,0))</x:f>
        <x:v>0</x:v>
      </x:c>
      <x:c r="D973" s="11" t="n">
        <x:f>IF(ISNUMBER(SEARCH("jmdict_exact_pair_not_found",'제외 후보'!P973)),'선정 규칙'!$B$7,0)</x:f>
        <x:v>0</x:v>
      </x:c>
      <x:c r="E973" s="11" t="n">
        <x:f>IF(OR('제외 후보'!L973="",'제외 후보'!L973&lt;=0),'선정 규칙'!$B$8,IF('제외 후보'!L973&lt;=1.5,'선정 규칙'!$B$9,IF('제외 후보'!L973&lt;=2,'선정 규칙'!$B$10,IF('제외 후보'!L973&lt;=2.5,'선정 규칙'!$B$11,IF('제외 후보'!L973&lt;=3,'선정 규칙'!$B$12,IF('제외 후보'!L973&lt;=3.5,'선정 규칙'!$B$13,IF('제외 후보'!L973&gt;=4.5,'선정 규칙'!$B$14,0)))))))</x:f>
        <x:v>12</x:v>
      </x:c>
      <x:c r="F973" s="11" t="n">
        <x:f>IF('제외 후보'!Y973=0,'선정 규칙'!$B$15,IF('제외 후보'!Y973&gt;=100,'선정 규칙'!$B$16,'선정 규칙'!$B$17))</x:f>
        <x:v>-25</x:v>
      </x:c>
      <x:c r="G973" s="11" t="n">
        <x:f>IF('제외 후보'!M973="있음",'선정 규칙'!$B$18,'선정 규칙'!$B$19)</x:f>
        <x:v>6</x:v>
      </x:c>
      <x:c r="H973" s="11" t="n">
        <x:f>IF(ISNUMBER(SEARCH("freq-core",'제외 후보'!AD973)),'선정 규칙'!$B$20,0)</x:f>
        <x:v>0</x:v>
      </x:c>
      <x:c r="I973" s="11" t="n">
        <x:f>IF(ISNUMBER(SEARCH("weak_legacy_content",'제외 후보'!P973)),'선정 규칙'!$B$21,0)</x:f>
        <x:v>5</x:v>
      </x:c>
      <x:c r="J973" s="11" t="n">
        <x:f>IF('제외 후보'!AC973&lt;&gt;"",'선정 규칙'!$B$22,0)</x:f>
        <x:v>0</x:v>
      </x:c>
      <x:c r="K973" s="11" t="n">
        <x:f>SUM(B973:J973)</x:f>
        <x:v>-2</x:v>
      </x:c>
      <x:c r="L973" s="11" t="n">
        <x:f>'제외 후보'!N973</x:f>
        <x:v>-2</x:v>
      </x:c>
      <x:c r="M973" s="2" t="str">
        <x:f>IF(K973=L973,"OK","MISMATCH")</x:f>
        <x:v>OK</x:v>
      </x:c>
    </x:row>
    <x:row r="974">
      <x:c r="A974" s="2" t="str">
        <x:f>'제외 후보'!G974</x:f>
        <x:v>w_b36e6034a0f6af76</x:v>
      </x:c>
      <x:c r="B974" s="11" t="n">
        <x:f>IF('제외 후보'!Q974&lt;&gt;"",'선정 규칙'!$B$4,0)</x:f>
        <x:v>0</x:v>
      </x:c>
      <x:c r="C974" s="11" t="n">
        <x:f>IF(ISNUMBER(SEARCH("jmdict_uncommon_or_irregular",'제외 후보'!P974)),'선정 규칙'!$B$5,IF(ISNUMBER(SEARCH("jmdict_rare_or_dated",'제외 후보'!P974)),'선정 규칙'!$B$6,0))</x:f>
        <x:v>0</x:v>
      </x:c>
      <x:c r="D974" s="11" t="n">
        <x:f>IF(ISNUMBER(SEARCH("jmdict_exact_pair_not_found",'제외 후보'!P974)),'선정 규칙'!$B$7,0)</x:f>
        <x:v>0</x:v>
      </x:c>
      <x:c r="E974" s="11" t="n">
        <x:f>IF(OR('제외 후보'!L974="",'제외 후보'!L974&lt;=0),'선정 규칙'!$B$8,IF('제외 후보'!L974&lt;=1.5,'선정 규칙'!$B$9,IF('제외 후보'!L974&lt;=2,'선정 규칙'!$B$10,IF('제외 후보'!L974&lt;=2.5,'선정 규칙'!$B$11,IF('제외 후보'!L974&lt;=3,'선정 규칙'!$B$12,IF('제외 후보'!L974&lt;=3.5,'선정 규칙'!$B$13,IF('제외 후보'!L974&gt;=4.5,'선정 규칙'!$B$14,0)))))))</x:f>
        <x:v>12</x:v>
      </x:c>
      <x:c r="F974" s="11" t="n">
        <x:f>IF('제외 후보'!Y974=0,'선정 규칙'!$B$15,IF('제외 후보'!Y974&gt;=100,'선정 규칙'!$B$16,'선정 규칙'!$B$17))</x:f>
        <x:v>-25</x:v>
      </x:c>
      <x:c r="G974" s="11" t="n">
        <x:f>IF('제외 후보'!M974="있음",'선정 규칙'!$B$18,'선정 규칙'!$B$19)</x:f>
        <x:v>6</x:v>
      </x:c>
      <x:c r="H974" s="11" t="n">
        <x:f>IF(ISNUMBER(SEARCH("freq-core",'제외 후보'!AD974)),'선정 규칙'!$B$20,0)</x:f>
        <x:v>0</x:v>
      </x:c>
      <x:c r="I974" s="11" t="n">
        <x:f>IF(ISNUMBER(SEARCH("weak_legacy_content",'제외 후보'!P974)),'선정 규칙'!$B$21,0)</x:f>
        <x:v>5</x:v>
      </x:c>
      <x:c r="J974" s="11" t="n">
        <x:f>IF('제외 후보'!AC974&lt;&gt;"",'선정 규칙'!$B$22,0)</x:f>
        <x:v>0</x:v>
      </x:c>
      <x:c r="K974" s="11" t="n">
        <x:f>SUM(B974:J974)</x:f>
        <x:v>-2</x:v>
      </x:c>
      <x:c r="L974" s="11" t="n">
        <x:f>'제외 후보'!N974</x:f>
        <x:v>-2</x:v>
      </x:c>
      <x:c r="M974" s="2" t="str">
        <x:f>IF(K974=L974,"OK","MISMATCH")</x:f>
        <x:v>OK</x:v>
      </x:c>
    </x:row>
    <x:row r="975">
      <x:c r="A975" s="2" t="str">
        <x:f>'제외 후보'!G975</x:f>
        <x:v>w_4e787162989e0bc2</x:v>
      </x:c>
      <x:c r="B975" s="11" t="n">
        <x:f>IF('제외 후보'!Q975&lt;&gt;"",'선정 규칙'!$B$4,0)</x:f>
        <x:v>0</x:v>
      </x:c>
      <x:c r="C975" s="11" t="n">
        <x:f>IF(ISNUMBER(SEARCH("jmdict_uncommon_or_irregular",'제외 후보'!P975)),'선정 규칙'!$B$5,IF(ISNUMBER(SEARCH("jmdict_rare_or_dated",'제외 후보'!P975)),'선정 규칙'!$B$6,0))</x:f>
        <x:v>0</x:v>
      </x:c>
      <x:c r="D975" s="11" t="n">
        <x:f>IF(ISNUMBER(SEARCH("jmdict_exact_pair_not_found",'제외 후보'!P975)),'선정 규칙'!$B$7,0)</x:f>
        <x:v>0</x:v>
      </x:c>
      <x:c r="E975" s="11" t="n">
        <x:f>IF(OR('제외 후보'!L975="",'제외 후보'!L975&lt;=0),'선정 규칙'!$B$8,IF('제외 후보'!L975&lt;=1.5,'선정 규칙'!$B$9,IF('제외 후보'!L975&lt;=2,'선정 규칙'!$B$10,IF('제외 후보'!L975&lt;=2.5,'선정 규칙'!$B$11,IF('제외 후보'!L975&lt;=3,'선정 규칙'!$B$12,IF('제외 후보'!L975&lt;=3.5,'선정 규칙'!$B$13,IF('제외 후보'!L975&gt;=4.5,'선정 규칙'!$B$14,0)))))))</x:f>
        <x:v>12</x:v>
      </x:c>
      <x:c r="F975" s="11" t="n">
        <x:f>IF('제외 후보'!Y975=0,'선정 규칙'!$B$15,IF('제외 후보'!Y975&gt;=100,'선정 규칙'!$B$16,'선정 규칙'!$B$17))</x:f>
        <x:v>-25</x:v>
      </x:c>
      <x:c r="G975" s="11" t="n">
        <x:f>IF('제외 후보'!M975="있음",'선정 규칙'!$B$18,'선정 규칙'!$B$19)</x:f>
        <x:v>6</x:v>
      </x:c>
      <x:c r="H975" s="11" t="n">
        <x:f>IF(ISNUMBER(SEARCH("freq-core",'제외 후보'!AD975)),'선정 규칙'!$B$20,0)</x:f>
        <x:v>0</x:v>
      </x:c>
      <x:c r="I975" s="11" t="n">
        <x:f>IF(ISNUMBER(SEARCH("weak_legacy_content",'제외 후보'!P975)),'선정 규칙'!$B$21,0)</x:f>
        <x:v>5</x:v>
      </x:c>
      <x:c r="J975" s="11" t="n">
        <x:f>IF('제외 후보'!AC975&lt;&gt;"",'선정 규칙'!$B$22,0)</x:f>
        <x:v>0</x:v>
      </x:c>
      <x:c r="K975" s="11" t="n">
        <x:f>SUM(B975:J975)</x:f>
        <x:v>-2</x:v>
      </x:c>
      <x:c r="L975" s="11" t="n">
        <x:f>'제외 후보'!N975</x:f>
        <x:v>-2</x:v>
      </x:c>
      <x:c r="M975" s="2" t="str">
        <x:f>IF(K975=L975,"OK","MISMATCH")</x:f>
        <x:v>OK</x:v>
      </x:c>
    </x:row>
    <x:row r="976">
      <x:c r="A976" s="2" t="str">
        <x:f>'제외 후보'!G976</x:f>
        <x:v>w_5a7bd88c0a5719a2</x:v>
      </x:c>
      <x:c r="B976" s="11" t="n">
        <x:f>IF('제외 후보'!Q976&lt;&gt;"",'선정 규칙'!$B$4,0)</x:f>
        <x:v>0</x:v>
      </x:c>
      <x:c r="C976" s="11" t="n">
        <x:f>IF(ISNUMBER(SEARCH("jmdict_uncommon_or_irregular",'제외 후보'!P976)),'선정 규칙'!$B$5,IF(ISNUMBER(SEARCH("jmdict_rare_or_dated",'제외 후보'!P976)),'선정 규칙'!$B$6,0))</x:f>
        <x:v>0</x:v>
      </x:c>
      <x:c r="D976" s="11" t="n">
        <x:f>IF(ISNUMBER(SEARCH("jmdict_exact_pair_not_found",'제외 후보'!P976)),'선정 규칙'!$B$7,0)</x:f>
        <x:v>0</x:v>
      </x:c>
      <x:c r="E976" s="11" t="n">
        <x:f>IF(OR('제외 후보'!L976="",'제외 후보'!L976&lt;=0),'선정 규칙'!$B$8,IF('제외 후보'!L976&lt;=1.5,'선정 규칙'!$B$9,IF('제외 후보'!L976&lt;=2,'선정 규칙'!$B$10,IF('제외 후보'!L976&lt;=2.5,'선정 규칙'!$B$11,IF('제외 후보'!L976&lt;=3,'선정 규칙'!$B$12,IF('제외 후보'!L976&lt;=3.5,'선정 규칙'!$B$13,IF('제외 후보'!L976&gt;=4.5,'선정 규칙'!$B$14,0)))))))</x:f>
        <x:v>12</x:v>
      </x:c>
      <x:c r="F976" s="11" t="n">
        <x:f>IF('제외 후보'!Y976=0,'선정 규칙'!$B$15,IF('제외 후보'!Y976&gt;=100,'선정 규칙'!$B$16,'선정 규칙'!$B$17))</x:f>
        <x:v>-25</x:v>
      </x:c>
      <x:c r="G976" s="11" t="n">
        <x:f>IF('제외 후보'!M976="있음",'선정 규칙'!$B$18,'선정 규칙'!$B$19)</x:f>
        <x:v>6</x:v>
      </x:c>
      <x:c r="H976" s="11" t="n">
        <x:f>IF(ISNUMBER(SEARCH("freq-core",'제외 후보'!AD976)),'선정 규칙'!$B$20,0)</x:f>
        <x:v>0</x:v>
      </x:c>
      <x:c r="I976" s="11" t="n">
        <x:f>IF(ISNUMBER(SEARCH("weak_legacy_content",'제외 후보'!P976)),'선정 규칙'!$B$21,0)</x:f>
        <x:v>5</x:v>
      </x:c>
      <x:c r="J976" s="11" t="n">
        <x:f>IF('제외 후보'!AC976&lt;&gt;"",'선정 규칙'!$B$22,0)</x:f>
        <x:v>0</x:v>
      </x:c>
      <x:c r="K976" s="11" t="n">
        <x:f>SUM(B976:J976)</x:f>
        <x:v>-2</x:v>
      </x:c>
      <x:c r="L976" s="11" t="n">
        <x:f>'제외 후보'!N976</x:f>
        <x:v>-2</x:v>
      </x:c>
      <x:c r="M976" s="2" t="str">
        <x:f>IF(K976=L976,"OK","MISMATCH")</x:f>
        <x:v>OK</x:v>
      </x:c>
    </x:row>
    <x:row r="977">
      <x:c r="A977" s="2" t="str">
        <x:f>'제외 후보'!G977</x:f>
        <x:v>w_d8b0a97be89cbefb</x:v>
      </x:c>
      <x:c r="B977" s="11" t="n">
        <x:f>IF('제외 후보'!Q977&lt;&gt;"",'선정 규칙'!$B$4,0)</x:f>
        <x:v>0</x:v>
      </x:c>
      <x:c r="C977" s="11" t="n">
        <x:f>IF(ISNUMBER(SEARCH("jmdict_uncommon_or_irregular",'제외 후보'!P977)),'선정 규칙'!$B$5,IF(ISNUMBER(SEARCH("jmdict_rare_or_dated",'제외 후보'!P977)),'선정 규칙'!$B$6,0))</x:f>
        <x:v>0</x:v>
      </x:c>
      <x:c r="D977" s="11" t="n">
        <x:f>IF(ISNUMBER(SEARCH("jmdict_exact_pair_not_found",'제외 후보'!P977)),'선정 규칙'!$B$7,0)</x:f>
        <x:v>0</x:v>
      </x:c>
      <x:c r="E977" s="11" t="n">
        <x:f>IF(OR('제외 후보'!L977="",'제외 후보'!L977&lt;=0),'선정 규칙'!$B$8,IF('제외 후보'!L977&lt;=1.5,'선정 규칙'!$B$9,IF('제외 후보'!L977&lt;=2,'선정 규칙'!$B$10,IF('제외 후보'!L977&lt;=2.5,'선정 규칙'!$B$11,IF('제외 후보'!L977&lt;=3,'선정 규칙'!$B$12,IF('제외 후보'!L977&lt;=3.5,'선정 규칙'!$B$13,IF('제외 후보'!L977&gt;=4.5,'선정 규칙'!$B$14,0)))))))</x:f>
        <x:v>12</x:v>
      </x:c>
      <x:c r="F977" s="11" t="n">
        <x:f>IF('제외 후보'!Y977=0,'선정 규칙'!$B$15,IF('제외 후보'!Y977&gt;=100,'선정 규칙'!$B$16,'선정 규칙'!$B$17))</x:f>
        <x:v>-25</x:v>
      </x:c>
      <x:c r="G977" s="11" t="n">
        <x:f>IF('제외 후보'!M977="있음",'선정 규칙'!$B$18,'선정 규칙'!$B$19)</x:f>
        <x:v>6</x:v>
      </x:c>
      <x:c r="H977" s="11" t="n">
        <x:f>IF(ISNUMBER(SEARCH("freq-core",'제외 후보'!AD977)),'선정 규칙'!$B$20,0)</x:f>
        <x:v>0</x:v>
      </x:c>
      <x:c r="I977" s="11" t="n">
        <x:f>IF(ISNUMBER(SEARCH("weak_legacy_content",'제외 후보'!P977)),'선정 규칙'!$B$21,0)</x:f>
        <x:v>5</x:v>
      </x:c>
      <x:c r="J977" s="11" t="n">
        <x:f>IF('제외 후보'!AC977&lt;&gt;"",'선정 규칙'!$B$22,0)</x:f>
        <x:v>0</x:v>
      </x:c>
      <x:c r="K977" s="11" t="n">
        <x:f>SUM(B977:J977)</x:f>
        <x:v>-2</x:v>
      </x:c>
      <x:c r="L977" s="11" t="n">
        <x:f>'제외 후보'!N977</x:f>
        <x:v>-2</x:v>
      </x:c>
      <x:c r="M977" s="2" t="str">
        <x:f>IF(K977=L977,"OK","MISMATCH")</x:f>
        <x:v>OK</x:v>
      </x:c>
    </x:row>
    <x:row r="978">
      <x:c r="A978" s="2" t="str">
        <x:f>'제외 후보'!G978</x:f>
        <x:v>w_31294705cbecd19b</x:v>
      </x:c>
      <x:c r="B978" s="11" t="n">
        <x:f>IF('제외 후보'!Q978&lt;&gt;"",'선정 규칙'!$B$4,0)</x:f>
        <x:v>0</x:v>
      </x:c>
      <x:c r="C978" s="11" t="n">
        <x:f>IF(ISNUMBER(SEARCH("jmdict_uncommon_or_irregular",'제외 후보'!P978)),'선정 규칙'!$B$5,IF(ISNUMBER(SEARCH("jmdict_rare_or_dated",'제외 후보'!P978)),'선정 규칙'!$B$6,0))</x:f>
        <x:v>0</x:v>
      </x:c>
      <x:c r="D978" s="11" t="n">
        <x:f>IF(ISNUMBER(SEARCH("jmdict_exact_pair_not_found",'제외 후보'!P978)),'선정 규칙'!$B$7,0)</x:f>
        <x:v>0</x:v>
      </x:c>
      <x:c r="E978" s="11" t="n">
        <x:f>IF(OR('제외 후보'!L978="",'제외 후보'!L978&lt;=0),'선정 규칙'!$B$8,IF('제외 후보'!L978&lt;=1.5,'선정 규칙'!$B$9,IF('제외 후보'!L978&lt;=2,'선정 규칙'!$B$10,IF('제외 후보'!L978&lt;=2.5,'선정 규칙'!$B$11,IF('제외 후보'!L978&lt;=3,'선정 규칙'!$B$12,IF('제외 후보'!L978&lt;=3.5,'선정 규칙'!$B$13,IF('제외 후보'!L978&gt;=4.5,'선정 규칙'!$B$14,0)))))))</x:f>
        <x:v>12</x:v>
      </x:c>
      <x:c r="F978" s="11" t="n">
        <x:f>IF('제외 후보'!Y978=0,'선정 규칙'!$B$15,IF('제외 후보'!Y978&gt;=100,'선정 규칙'!$B$16,'선정 규칙'!$B$17))</x:f>
        <x:v>-25</x:v>
      </x:c>
      <x:c r="G978" s="11" t="n">
        <x:f>IF('제외 후보'!M978="있음",'선정 규칙'!$B$18,'선정 규칙'!$B$19)</x:f>
        <x:v>6</x:v>
      </x:c>
      <x:c r="H978" s="11" t="n">
        <x:f>IF(ISNUMBER(SEARCH("freq-core",'제외 후보'!AD978)),'선정 규칙'!$B$20,0)</x:f>
        <x:v>0</x:v>
      </x:c>
      <x:c r="I978" s="11" t="n">
        <x:f>IF(ISNUMBER(SEARCH("weak_legacy_content",'제외 후보'!P978)),'선정 규칙'!$B$21,0)</x:f>
        <x:v>5</x:v>
      </x:c>
      <x:c r="J978" s="11" t="n">
        <x:f>IF('제외 후보'!AC978&lt;&gt;"",'선정 규칙'!$B$22,0)</x:f>
        <x:v>0</x:v>
      </x:c>
      <x:c r="K978" s="11" t="n">
        <x:f>SUM(B978:J978)</x:f>
        <x:v>-2</x:v>
      </x:c>
      <x:c r="L978" s="11" t="n">
        <x:f>'제외 후보'!N978</x:f>
        <x:v>-2</x:v>
      </x:c>
      <x:c r="M978" s="2" t="str">
        <x:f>IF(K978=L978,"OK","MISMATCH")</x:f>
        <x:v>OK</x:v>
      </x:c>
    </x:row>
    <x:row r="979">
      <x:c r="A979" s="2" t="str">
        <x:f>'제외 후보'!G979</x:f>
        <x:v>w_269ddebb94cfa099</x:v>
      </x:c>
      <x:c r="B979" s="11" t="n">
        <x:f>IF('제외 후보'!Q979&lt;&gt;"",'선정 규칙'!$B$4,0)</x:f>
        <x:v>0</x:v>
      </x:c>
      <x:c r="C979" s="11" t="n">
        <x:f>IF(ISNUMBER(SEARCH("jmdict_uncommon_or_irregular",'제외 후보'!P979)),'선정 규칙'!$B$5,IF(ISNUMBER(SEARCH("jmdict_rare_or_dated",'제외 후보'!P979)),'선정 규칙'!$B$6,0))</x:f>
        <x:v>0</x:v>
      </x:c>
      <x:c r="D979" s="11" t="n">
        <x:f>IF(ISNUMBER(SEARCH("jmdict_exact_pair_not_found",'제외 후보'!P979)),'선정 규칙'!$B$7,0)</x:f>
        <x:v>0</x:v>
      </x:c>
      <x:c r="E979" s="11" t="n">
        <x:f>IF(OR('제외 후보'!L979="",'제외 후보'!L979&lt;=0),'선정 규칙'!$B$8,IF('제외 후보'!L979&lt;=1.5,'선정 규칙'!$B$9,IF('제외 후보'!L979&lt;=2,'선정 규칙'!$B$10,IF('제외 후보'!L979&lt;=2.5,'선정 규칙'!$B$11,IF('제외 후보'!L979&lt;=3,'선정 규칙'!$B$12,IF('제외 후보'!L979&lt;=3.5,'선정 규칙'!$B$13,IF('제외 후보'!L979&gt;=4.5,'선정 규칙'!$B$14,0)))))))</x:f>
        <x:v>12</x:v>
      </x:c>
      <x:c r="F979" s="11" t="n">
        <x:f>IF('제외 후보'!Y979=0,'선정 규칙'!$B$15,IF('제외 후보'!Y979&gt;=100,'선정 규칙'!$B$16,'선정 규칙'!$B$17))</x:f>
        <x:v>-25</x:v>
      </x:c>
      <x:c r="G979" s="11" t="n">
        <x:f>IF('제외 후보'!M979="있음",'선정 규칙'!$B$18,'선정 규칙'!$B$19)</x:f>
        <x:v>6</x:v>
      </x:c>
      <x:c r="H979" s="11" t="n">
        <x:f>IF(ISNUMBER(SEARCH("freq-core",'제외 후보'!AD979)),'선정 규칙'!$B$20,0)</x:f>
        <x:v>0</x:v>
      </x:c>
      <x:c r="I979" s="11" t="n">
        <x:f>IF(ISNUMBER(SEARCH("weak_legacy_content",'제외 후보'!P979)),'선정 규칙'!$B$21,0)</x:f>
        <x:v>5</x:v>
      </x:c>
      <x:c r="J979" s="11" t="n">
        <x:f>IF('제외 후보'!AC979&lt;&gt;"",'선정 규칙'!$B$22,0)</x:f>
        <x:v>0</x:v>
      </x:c>
      <x:c r="K979" s="11" t="n">
        <x:f>SUM(B979:J979)</x:f>
        <x:v>-2</x:v>
      </x:c>
      <x:c r="L979" s="11" t="n">
        <x:f>'제외 후보'!N979</x:f>
        <x:v>-2</x:v>
      </x:c>
      <x:c r="M979" s="2" t="str">
        <x:f>IF(K979=L979,"OK","MISMATCH")</x:f>
        <x:v>OK</x:v>
      </x:c>
    </x:row>
    <x:row r="980">
      <x:c r="A980" s="2" t="str">
        <x:f>'제외 후보'!G980</x:f>
        <x:v>w_348f9fe2c48c6f73</x:v>
      </x:c>
      <x:c r="B980" s="11" t="n">
        <x:f>IF('제외 후보'!Q980&lt;&gt;"",'선정 규칙'!$B$4,0)</x:f>
        <x:v>0</x:v>
      </x:c>
      <x:c r="C980" s="11" t="n">
        <x:f>IF(ISNUMBER(SEARCH("jmdict_uncommon_or_irregular",'제외 후보'!P980)),'선정 규칙'!$B$5,IF(ISNUMBER(SEARCH("jmdict_rare_or_dated",'제외 후보'!P980)),'선정 규칙'!$B$6,0))</x:f>
        <x:v>0</x:v>
      </x:c>
      <x:c r="D980" s="11" t="n">
        <x:f>IF(ISNUMBER(SEARCH("jmdict_exact_pair_not_found",'제외 후보'!P980)),'선정 규칙'!$B$7,0)</x:f>
        <x:v>0</x:v>
      </x:c>
      <x:c r="E980" s="11" t="n">
        <x:f>IF(OR('제외 후보'!L980="",'제외 후보'!L980&lt;=0),'선정 규칙'!$B$8,IF('제외 후보'!L980&lt;=1.5,'선정 규칙'!$B$9,IF('제외 후보'!L980&lt;=2,'선정 규칙'!$B$10,IF('제외 후보'!L980&lt;=2.5,'선정 규칙'!$B$11,IF('제외 후보'!L980&lt;=3,'선정 규칙'!$B$12,IF('제외 후보'!L980&lt;=3.5,'선정 규칙'!$B$13,IF('제외 후보'!L980&gt;=4.5,'선정 규칙'!$B$14,0)))))))</x:f>
        <x:v>12</x:v>
      </x:c>
      <x:c r="F980" s="11" t="n">
        <x:f>IF('제외 후보'!Y980=0,'선정 규칙'!$B$15,IF('제외 후보'!Y980&gt;=100,'선정 규칙'!$B$16,'선정 규칙'!$B$17))</x:f>
        <x:v>-25</x:v>
      </x:c>
      <x:c r="G980" s="11" t="n">
        <x:f>IF('제외 후보'!M980="있음",'선정 규칙'!$B$18,'선정 규칙'!$B$19)</x:f>
        <x:v>6</x:v>
      </x:c>
      <x:c r="H980" s="11" t="n">
        <x:f>IF(ISNUMBER(SEARCH("freq-core",'제외 후보'!AD980)),'선정 규칙'!$B$20,0)</x:f>
        <x:v>0</x:v>
      </x:c>
      <x:c r="I980" s="11" t="n">
        <x:f>IF(ISNUMBER(SEARCH("weak_legacy_content",'제외 후보'!P980)),'선정 규칙'!$B$21,0)</x:f>
        <x:v>5</x:v>
      </x:c>
      <x:c r="J980" s="11" t="n">
        <x:f>IF('제외 후보'!AC980&lt;&gt;"",'선정 규칙'!$B$22,0)</x:f>
        <x:v>0</x:v>
      </x:c>
      <x:c r="K980" s="11" t="n">
        <x:f>SUM(B980:J980)</x:f>
        <x:v>-2</x:v>
      </x:c>
      <x:c r="L980" s="11" t="n">
        <x:f>'제외 후보'!N980</x:f>
        <x:v>-2</x:v>
      </x:c>
      <x:c r="M980" s="2" t="str">
        <x:f>IF(K980=L980,"OK","MISMATCH")</x:f>
        <x:v>OK</x:v>
      </x:c>
    </x:row>
    <x:row r="981">
      <x:c r="A981" s="2" t="str">
        <x:f>'제외 후보'!G981</x:f>
        <x:v>w_36803638e1726a98</x:v>
      </x:c>
      <x:c r="B981" s="11" t="n">
        <x:f>IF('제외 후보'!Q981&lt;&gt;"",'선정 규칙'!$B$4,0)</x:f>
        <x:v>0</x:v>
      </x:c>
      <x:c r="C981" s="11" t="n">
        <x:f>IF(ISNUMBER(SEARCH("jmdict_uncommon_or_irregular",'제외 후보'!P981)),'선정 규칙'!$B$5,IF(ISNUMBER(SEARCH("jmdict_rare_or_dated",'제외 후보'!P981)),'선정 규칙'!$B$6,0))</x:f>
        <x:v>0</x:v>
      </x:c>
      <x:c r="D981" s="11" t="n">
        <x:f>IF(ISNUMBER(SEARCH("jmdict_exact_pair_not_found",'제외 후보'!P981)),'선정 규칙'!$B$7,0)</x:f>
        <x:v>0</x:v>
      </x:c>
      <x:c r="E981" s="11" t="n">
        <x:f>IF(OR('제외 후보'!L981="",'제외 후보'!L981&lt;=0),'선정 규칙'!$B$8,IF('제외 후보'!L981&lt;=1.5,'선정 규칙'!$B$9,IF('제외 후보'!L981&lt;=2,'선정 규칙'!$B$10,IF('제외 후보'!L981&lt;=2.5,'선정 규칙'!$B$11,IF('제외 후보'!L981&lt;=3,'선정 규칙'!$B$12,IF('제외 후보'!L981&lt;=3.5,'선정 규칙'!$B$13,IF('제외 후보'!L981&gt;=4.5,'선정 규칙'!$B$14,0)))))))</x:f>
        <x:v>12</x:v>
      </x:c>
      <x:c r="F981" s="11" t="n">
        <x:f>IF('제외 후보'!Y981=0,'선정 규칙'!$B$15,IF('제외 후보'!Y981&gt;=100,'선정 규칙'!$B$16,'선정 규칙'!$B$17))</x:f>
        <x:v>-25</x:v>
      </x:c>
      <x:c r="G981" s="11" t="n">
        <x:f>IF('제외 후보'!M981="있음",'선정 규칙'!$B$18,'선정 규칙'!$B$19)</x:f>
        <x:v>6</x:v>
      </x:c>
      <x:c r="H981" s="11" t="n">
        <x:f>IF(ISNUMBER(SEARCH("freq-core",'제외 후보'!AD981)),'선정 규칙'!$B$20,0)</x:f>
        <x:v>0</x:v>
      </x:c>
      <x:c r="I981" s="11" t="n">
        <x:f>IF(ISNUMBER(SEARCH("weak_legacy_content",'제외 후보'!P981)),'선정 규칙'!$B$21,0)</x:f>
        <x:v>5</x:v>
      </x:c>
      <x:c r="J981" s="11" t="n">
        <x:f>IF('제외 후보'!AC981&lt;&gt;"",'선정 규칙'!$B$22,0)</x:f>
        <x:v>0</x:v>
      </x:c>
      <x:c r="K981" s="11" t="n">
        <x:f>SUM(B981:J981)</x:f>
        <x:v>-2</x:v>
      </x:c>
      <x:c r="L981" s="11" t="n">
        <x:f>'제외 후보'!N981</x:f>
        <x:v>-2</x:v>
      </x:c>
      <x:c r="M981" s="2" t="str">
        <x:f>IF(K981=L981,"OK","MISMATCH")</x:f>
        <x:v>OK</x:v>
      </x:c>
    </x:row>
    <x:row r="982">
      <x:c r="A982" s="2" t="str">
        <x:f>'제외 후보'!G982</x:f>
        <x:v>w_874a69ed8bec774f</x:v>
      </x:c>
      <x:c r="B982" s="11" t="n">
        <x:f>IF('제외 후보'!Q982&lt;&gt;"",'선정 규칙'!$B$4,0)</x:f>
        <x:v>0</x:v>
      </x:c>
      <x:c r="C982" s="11" t="n">
        <x:f>IF(ISNUMBER(SEARCH("jmdict_uncommon_or_irregular",'제외 후보'!P982)),'선정 규칙'!$B$5,IF(ISNUMBER(SEARCH("jmdict_rare_or_dated",'제외 후보'!P982)),'선정 규칙'!$B$6,0))</x:f>
        <x:v>0</x:v>
      </x:c>
      <x:c r="D982" s="11" t="n">
        <x:f>IF(ISNUMBER(SEARCH("jmdict_exact_pair_not_found",'제외 후보'!P982)),'선정 규칙'!$B$7,0)</x:f>
        <x:v>0</x:v>
      </x:c>
      <x:c r="E982" s="11" t="n">
        <x:f>IF(OR('제외 후보'!L982="",'제외 후보'!L982&lt;=0),'선정 규칙'!$B$8,IF('제외 후보'!L982&lt;=1.5,'선정 규칙'!$B$9,IF('제외 후보'!L982&lt;=2,'선정 규칙'!$B$10,IF('제외 후보'!L982&lt;=2.5,'선정 규칙'!$B$11,IF('제외 후보'!L982&lt;=3,'선정 규칙'!$B$12,IF('제외 후보'!L982&lt;=3.5,'선정 규칙'!$B$13,IF('제외 후보'!L982&gt;=4.5,'선정 규칙'!$B$14,0)))))))</x:f>
        <x:v>12</x:v>
      </x:c>
      <x:c r="F982" s="11" t="n">
        <x:f>IF('제외 후보'!Y982=0,'선정 규칙'!$B$15,IF('제외 후보'!Y982&gt;=100,'선정 규칙'!$B$16,'선정 규칙'!$B$17))</x:f>
        <x:v>-25</x:v>
      </x:c>
      <x:c r="G982" s="11" t="n">
        <x:f>IF('제외 후보'!M982="있음",'선정 규칙'!$B$18,'선정 규칙'!$B$19)</x:f>
        <x:v>6</x:v>
      </x:c>
      <x:c r="H982" s="11" t="n">
        <x:f>IF(ISNUMBER(SEARCH("freq-core",'제외 후보'!AD982)),'선정 규칙'!$B$20,0)</x:f>
        <x:v>0</x:v>
      </x:c>
      <x:c r="I982" s="11" t="n">
        <x:f>IF(ISNUMBER(SEARCH("weak_legacy_content",'제외 후보'!P982)),'선정 규칙'!$B$21,0)</x:f>
        <x:v>5</x:v>
      </x:c>
      <x:c r="J982" s="11" t="n">
        <x:f>IF('제외 후보'!AC982&lt;&gt;"",'선정 규칙'!$B$22,0)</x:f>
        <x:v>0</x:v>
      </x:c>
      <x:c r="K982" s="11" t="n">
        <x:f>SUM(B982:J982)</x:f>
        <x:v>-2</x:v>
      </x:c>
      <x:c r="L982" s="11" t="n">
        <x:f>'제외 후보'!N982</x:f>
        <x:v>-2</x:v>
      </x:c>
      <x:c r="M982" s="2" t="str">
        <x:f>IF(K982=L982,"OK","MISMATCH")</x:f>
        <x:v>OK</x:v>
      </x:c>
    </x:row>
    <x:row r="983">
      <x:c r="A983" s="2" t="str">
        <x:f>'제외 후보'!G983</x:f>
        <x:v>w_4e68adf3b15aecc4</x:v>
      </x:c>
      <x:c r="B983" s="11" t="n">
        <x:f>IF('제외 후보'!Q983&lt;&gt;"",'선정 규칙'!$B$4,0)</x:f>
        <x:v>0</x:v>
      </x:c>
      <x:c r="C983" s="11" t="n">
        <x:f>IF(ISNUMBER(SEARCH("jmdict_uncommon_or_irregular",'제외 후보'!P983)),'선정 규칙'!$B$5,IF(ISNUMBER(SEARCH("jmdict_rare_or_dated",'제외 후보'!P983)),'선정 규칙'!$B$6,0))</x:f>
        <x:v>0</x:v>
      </x:c>
      <x:c r="D983" s="11" t="n">
        <x:f>IF(ISNUMBER(SEARCH("jmdict_exact_pair_not_found",'제외 후보'!P983)),'선정 규칙'!$B$7,0)</x:f>
        <x:v>0</x:v>
      </x:c>
      <x:c r="E983" s="11" t="n">
        <x:f>IF(OR('제외 후보'!L983="",'제외 후보'!L983&lt;=0),'선정 규칙'!$B$8,IF('제외 후보'!L983&lt;=1.5,'선정 규칙'!$B$9,IF('제외 후보'!L983&lt;=2,'선정 규칙'!$B$10,IF('제외 후보'!L983&lt;=2.5,'선정 규칙'!$B$11,IF('제외 후보'!L983&lt;=3,'선정 규칙'!$B$12,IF('제외 후보'!L983&lt;=3.5,'선정 규칙'!$B$13,IF('제외 후보'!L983&gt;=4.5,'선정 규칙'!$B$14,0)))))))</x:f>
        <x:v>12</x:v>
      </x:c>
      <x:c r="F983" s="11" t="n">
        <x:f>IF('제외 후보'!Y983=0,'선정 규칙'!$B$15,IF('제외 후보'!Y983&gt;=100,'선정 규칙'!$B$16,'선정 규칙'!$B$17))</x:f>
        <x:v>-25</x:v>
      </x:c>
      <x:c r="G983" s="11" t="n">
        <x:f>IF('제외 후보'!M983="있음",'선정 규칙'!$B$18,'선정 규칙'!$B$19)</x:f>
        <x:v>6</x:v>
      </x:c>
      <x:c r="H983" s="11" t="n">
        <x:f>IF(ISNUMBER(SEARCH("freq-core",'제외 후보'!AD983)),'선정 규칙'!$B$20,0)</x:f>
        <x:v>0</x:v>
      </x:c>
      <x:c r="I983" s="11" t="n">
        <x:f>IF(ISNUMBER(SEARCH("weak_legacy_content",'제외 후보'!P983)),'선정 규칙'!$B$21,0)</x:f>
        <x:v>5</x:v>
      </x:c>
      <x:c r="J983" s="11" t="n">
        <x:f>IF('제외 후보'!AC983&lt;&gt;"",'선정 규칙'!$B$22,0)</x:f>
        <x:v>0</x:v>
      </x:c>
      <x:c r="K983" s="11" t="n">
        <x:f>SUM(B983:J983)</x:f>
        <x:v>-2</x:v>
      </x:c>
      <x:c r="L983" s="11" t="n">
        <x:f>'제외 후보'!N983</x:f>
        <x:v>-2</x:v>
      </x:c>
      <x:c r="M983" s="2" t="str">
        <x:f>IF(K983=L983,"OK","MISMATCH")</x:f>
        <x:v>OK</x:v>
      </x:c>
    </x:row>
    <x:row r="984">
      <x:c r="A984" s="2" t="str">
        <x:f>'제외 후보'!G984</x:f>
        <x:v>w_81756aee05f201cc</x:v>
      </x:c>
      <x:c r="B984" s="11" t="n">
        <x:f>IF('제외 후보'!Q984&lt;&gt;"",'선정 규칙'!$B$4,0)</x:f>
        <x:v>0</x:v>
      </x:c>
      <x:c r="C984" s="11" t="n">
        <x:f>IF(ISNUMBER(SEARCH("jmdict_uncommon_or_irregular",'제외 후보'!P984)),'선정 규칙'!$B$5,IF(ISNUMBER(SEARCH("jmdict_rare_or_dated",'제외 후보'!P984)),'선정 규칙'!$B$6,0))</x:f>
        <x:v>0</x:v>
      </x:c>
      <x:c r="D984" s="11" t="n">
        <x:f>IF(ISNUMBER(SEARCH("jmdict_exact_pair_not_found",'제외 후보'!P984)),'선정 규칙'!$B$7,0)</x:f>
        <x:v>0</x:v>
      </x:c>
      <x:c r="E984" s="11" t="n">
        <x:f>IF(OR('제외 후보'!L984="",'제외 후보'!L984&lt;=0),'선정 규칙'!$B$8,IF('제외 후보'!L984&lt;=1.5,'선정 규칙'!$B$9,IF('제외 후보'!L984&lt;=2,'선정 규칙'!$B$10,IF('제외 후보'!L984&lt;=2.5,'선정 규칙'!$B$11,IF('제외 후보'!L984&lt;=3,'선정 규칙'!$B$12,IF('제외 후보'!L984&lt;=3.5,'선정 규칙'!$B$13,IF('제외 후보'!L984&gt;=4.5,'선정 규칙'!$B$14,0)))))))</x:f>
        <x:v>12</x:v>
      </x:c>
      <x:c r="F984" s="11" t="n">
        <x:f>IF('제외 후보'!Y984=0,'선정 규칙'!$B$15,IF('제외 후보'!Y984&gt;=100,'선정 규칙'!$B$16,'선정 규칙'!$B$17))</x:f>
        <x:v>-25</x:v>
      </x:c>
      <x:c r="G984" s="11" t="n">
        <x:f>IF('제외 후보'!M984="있음",'선정 규칙'!$B$18,'선정 규칙'!$B$19)</x:f>
        <x:v>6</x:v>
      </x:c>
      <x:c r="H984" s="11" t="n">
        <x:f>IF(ISNUMBER(SEARCH("freq-core",'제외 후보'!AD984)),'선정 규칙'!$B$20,0)</x:f>
        <x:v>0</x:v>
      </x:c>
      <x:c r="I984" s="11" t="n">
        <x:f>IF(ISNUMBER(SEARCH("weak_legacy_content",'제외 후보'!P984)),'선정 규칙'!$B$21,0)</x:f>
        <x:v>5</x:v>
      </x:c>
      <x:c r="J984" s="11" t="n">
        <x:f>IF('제외 후보'!AC984&lt;&gt;"",'선정 규칙'!$B$22,0)</x:f>
        <x:v>0</x:v>
      </x:c>
      <x:c r="K984" s="11" t="n">
        <x:f>SUM(B984:J984)</x:f>
        <x:v>-2</x:v>
      </x:c>
      <x:c r="L984" s="11" t="n">
        <x:f>'제외 후보'!N984</x:f>
        <x:v>-2</x:v>
      </x:c>
      <x:c r="M984" s="2" t="str">
        <x:f>IF(K984=L984,"OK","MISMATCH")</x:f>
        <x:v>OK</x:v>
      </x:c>
    </x:row>
    <x:row r="985">
      <x:c r="A985" s="2" t="str">
        <x:f>'제외 후보'!G985</x:f>
        <x:v>w_90b77c29a7a2b047</x:v>
      </x:c>
      <x:c r="B985" s="11" t="n">
        <x:f>IF('제외 후보'!Q985&lt;&gt;"",'선정 규칙'!$B$4,0)</x:f>
        <x:v>0</x:v>
      </x:c>
      <x:c r="C985" s="11" t="n">
        <x:f>IF(ISNUMBER(SEARCH("jmdict_uncommon_or_irregular",'제외 후보'!P985)),'선정 규칙'!$B$5,IF(ISNUMBER(SEARCH("jmdict_rare_or_dated",'제외 후보'!P985)),'선정 규칙'!$B$6,0))</x:f>
        <x:v>0</x:v>
      </x:c>
      <x:c r="D985" s="11" t="n">
        <x:f>IF(ISNUMBER(SEARCH("jmdict_exact_pair_not_found",'제외 후보'!P985)),'선정 규칙'!$B$7,0)</x:f>
        <x:v>0</x:v>
      </x:c>
      <x:c r="E985" s="11" t="n">
        <x:f>IF(OR('제외 후보'!L985="",'제외 후보'!L985&lt;=0),'선정 규칙'!$B$8,IF('제외 후보'!L985&lt;=1.5,'선정 규칙'!$B$9,IF('제외 후보'!L985&lt;=2,'선정 규칙'!$B$10,IF('제외 후보'!L985&lt;=2.5,'선정 규칙'!$B$11,IF('제외 후보'!L985&lt;=3,'선정 규칙'!$B$12,IF('제외 후보'!L985&lt;=3.5,'선정 규칙'!$B$13,IF('제외 후보'!L985&gt;=4.5,'선정 규칙'!$B$14,0)))))))</x:f>
        <x:v>12</x:v>
      </x:c>
      <x:c r="F985" s="11" t="n">
        <x:f>IF('제외 후보'!Y985=0,'선정 규칙'!$B$15,IF('제외 후보'!Y985&gt;=100,'선정 규칙'!$B$16,'선정 규칙'!$B$17))</x:f>
        <x:v>-25</x:v>
      </x:c>
      <x:c r="G985" s="11" t="n">
        <x:f>IF('제외 후보'!M985="있음",'선정 규칙'!$B$18,'선정 규칙'!$B$19)</x:f>
        <x:v>6</x:v>
      </x:c>
      <x:c r="H985" s="11" t="n">
        <x:f>IF(ISNUMBER(SEARCH("freq-core",'제외 후보'!AD985)),'선정 규칙'!$B$20,0)</x:f>
        <x:v>0</x:v>
      </x:c>
      <x:c r="I985" s="11" t="n">
        <x:f>IF(ISNUMBER(SEARCH("weak_legacy_content",'제외 후보'!P985)),'선정 규칙'!$B$21,0)</x:f>
        <x:v>5</x:v>
      </x:c>
      <x:c r="J985" s="11" t="n">
        <x:f>IF('제외 후보'!AC985&lt;&gt;"",'선정 규칙'!$B$22,0)</x:f>
        <x:v>0</x:v>
      </x:c>
      <x:c r="K985" s="11" t="n">
        <x:f>SUM(B985:J985)</x:f>
        <x:v>-2</x:v>
      </x:c>
      <x:c r="L985" s="11" t="n">
        <x:f>'제외 후보'!N985</x:f>
        <x:v>-2</x:v>
      </x:c>
      <x:c r="M985" s="2" t="str">
        <x:f>IF(K985=L985,"OK","MISMATCH")</x:f>
        <x:v>OK</x:v>
      </x:c>
    </x:row>
    <x:row r="986">
      <x:c r="A986" s="2" t="str">
        <x:f>'제외 후보'!G986</x:f>
        <x:v>w_465a387573468160</x:v>
      </x:c>
      <x:c r="B986" s="11" t="n">
        <x:f>IF('제외 후보'!Q986&lt;&gt;"",'선정 규칙'!$B$4,0)</x:f>
        <x:v>0</x:v>
      </x:c>
      <x:c r="C986" s="11" t="n">
        <x:f>IF(ISNUMBER(SEARCH("jmdict_uncommon_or_irregular",'제외 후보'!P986)),'선정 규칙'!$B$5,IF(ISNUMBER(SEARCH("jmdict_rare_or_dated",'제외 후보'!P986)),'선정 규칙'!$B$6,0))</x:f>
        <x:v>0</x:v>
      </x:c>
      <x:c r="D986" s="11" t="n">
        <x:f>IF(ISNUMBER(SEARCH("jmdict_exact_pair_not_found",'제외 후보'!P986)),'선정 규칙'!$B$7,0)</x:f>
        <x:v>0</x:v>
      </x:c>
      <x:c r="E986" s="11" t="n">
        <x:f>IF(OR('제외 후보'!L986="",'제외 후보'!L986&lt;=0),'선정 규칙'!$B$8,IF('제외 후보'!L986&lt;=1.5,'선정 규칙'!$B$9,IF('제외 후보'!L986&lt;=2,'선정 규칙'!$B$10,IF('제외 후보'!L986&lt;=2.5,'선정 규칙'!$B$11,IF('제외 후보'!L986&lt;=3,'선정 규칙'!$B$12,IF('제외 후보'!L986&lt;=3.5,'선정 규칙'!$B$13,IF('제외 후보'!L986&gt;=4.5,'선정 규칙'!$B$14,0)))))))</x:f>
        <x:v>12</x:v>
      </x:c>
      <x:c r="F986" s="11" t="n">
        <x:f>IF('제외 후보'!Y986=0,'선정 규칙'!$B$15,IF('제외 후보'!Y986&gt;=100,'선정 규칙'!$B$16,'선정 규칙'!$B$17))</x:f>
        <x:v>-25</x:v>
      </x:c>
      <x:c r="G986" s="11" t="n">
        <x:f>IF('제외 후보'!M986="있음",'선정 규칙'!$B$18,'선정 규칙'!$B$19)</x:f>
        <x:v>6</x:v>
      </x:c>
      <x:c r="H986" s="11" t="n">
        <x:f>IF(ISNUMBER(SEARCH("freq-core",'제외 후보'!AD986)),'선정 규칙'!$B$20,0)</x:f>
        <x:v>0</x:v>
      </x:c>
      <x:c r="I986" s="11" t="n">
        <x:f>IF(ISNUMBER(SEARCH("weak_legacy_content",'제외 후보'!P986)),'선정 규칙'!$B$21,0)</x:f>
        <x:v>5</x:v>
      </x:c>
      <x:c r="J986" s="11" t="n">
        <x:f>IF('제외 후보'!AC986&lt;&gt;"",'선정 규칙'!$B$22,0)</x:f>
        <x:v>0</x:v>
      </x:c>
      <x:c r="K986" s="11" t="n">
        <x:f>SUM(B986:J986)</x:f>
        <x:v>-2</x:v>
      </x:c>
      <x:c r="L986" s="11" t="n">
        <x:f>'제외 후보'!N986</x:f>
        <x:v>-2</x:v>
      </x:c>
      <x:c r="M986" s="2" t="str">
        <x:f>IF(K986=L986,"OK","MISMATCH")</x:f>
        <x:v>OK</x:v>
      </x:c>
    </x:row>
    <x:row r="987">
      <x:c r="A987" s="2" t="str">
        <x:f>'제외 후보'!G987</x:f>
        <x:v>w_8518c3195cf69801</x:v>
      </x:c>
      <x:c r="B987" s="11" t="n">
        <x:f>IF('제외 후보'!Q987&lt;&gt;"",'선정 규칙'!$B$4,0)</x:f>
        <x:v>0</x:v>
      </x:c>
      <x:c r="C987" s="11" t="n">
        <x:f>IF(ISNUMBER(SEARCH("jmdict_uncommon_or_irregular",'제외 후보'!P987)),'선정 규칙'!$B$5,IF(ISNUMBER(SEARCH("jmdict_rare_or_dated",'제외 후보'!P987)),'선정 규칙'!$B$6,0))</x:f>
        <x:v>0</x:v>
      </x:c>
      <x:c r="D987" s="11" t="n">
        <x:f>IF(ISNUMBER(SEARCH("jmdict_exact_pair_not_found",'제외 후보'!P987)),'선정 규칙'!$B$7,0)</x:f>
        <x:v>0</x:v>
      </x:c>
      <x:c r="E987" s="11" t="n">
        <x:f>IF(OR('제외 후보'!L987="",'제외 후보'!L987&lt;=0),'선정 규칙'!$B$8,IF('제외 후보'!L987&lt;=1.5,'선정 규칙'!$B$9,IF('제외 후보'!L987&lt;=2,'선정 규칙'!$B$10,IF('제외 후보'!L987&lt;=2.5,'선정 규칙'!$B$11,IF('제외 후보'!L987&lt;=3,'선정 규칙'!$B$12,IF('제외 후보'!L987&lt;=3.5,'선정 규칙'!$B$13,IF('제외 후보'!L987&gt;=4.5,'선정 규칙'!$B$14,0)))))))</x:f>
        <x:v>12</x:v>
      </x:c>
      <x:c r="F987" s="11" t="n">
        <x:f>IF('제외 후보'!Y987=0,'선정 규칙'!$B$15,IF('제외 후보'!Y987&gt;=100,'선정 규칙'!$B$16,'선정 규칙'!$B$17))</x:f>
        <x:v>-25</x:v>
      </x:c>
      <x:c r="G987" s="11" t="n">
        <x:f>IF('제외 후보'!M987="있음",'선정 규칙'!$B$18,'선정 규칙'!$B$19)</x:f>
        <x:v>6</x:v>
      </x:c>
      <x:c r="H987" s="11" t="n">
        <x:f>IF(ISNUMBER(SEARCH("freq-core",'제외 후보'!AD987)),'선정 규칙'!$B$20,0)</x:f>
        <x:v>0</x:v>
      </x:c>
      <x:c r="I987" s="11" t="n">
        <x:f>IF(ISNUMBER(SEARCH("weak_legacy_content",'제외 후보'!P987)),'선정 규칙'!$B$21,0)</x:f>
        <x:v>5</x:v>
      </x:c>
      <x:c r="J987" s="11" t="n">
        <x:f>IF('제외 후보'!AC987&lt;&gt;"",'선정 규칙'!$B$22,0)</x:f>
        <x:v>0</x:v>
      </x:c>
      <x:c r="K987" s="11" t="n">
        <x:f>SUM(B987:J987)</x:f>
        <x:v>-2</x:v>
      </x:c>
      <x:c r="L987" s="11" t="n">
        <x:f>'제외 후보'!N987</x:f>
        <x:v>-2</x:v>
      </x:c>
      <x:c r="M987" s="2" t="str">
        <x:f>IF(K987=L987,"OK","MISMATCH")</x:f>
        <x:v>OK</x:v>
      </x:c>
    </x:row>
    <x:row r="988">
      <x:c r="A988" s="2" t="str">
        <x:f>'제외 후보'!G988</x:f>
        <x:v>w_fb8df02f91c60955</x:v>
      </x:c>
      <x:c r="B988" s="11" t="n">
        <x:f>IF('제외 후보'!Q988&lt;&gt;"",'선정 규칙'!$B$4,0)</x:f>
        <x:v>0</x:v>
      </x:c>
      <x:c r="C988" s="11" t="n">
        <x:f>IF(ISNUMBER(SEARCH("jmdict_uncommon_or_irregular",'제외 후보'!P988)),'선정 규칙'!$B$5,IF(ISNUMBER(SEARCH("jmdict_rare_or_dated",'제외 후보'!P988)),'선정 규칙'!$B$6,0))</x:f>
        <x:v>0</x:v>
      </x:c>
      <x:c r="D988" s="11" t="n">
        <x:f>IF(ISNUMBER(SEARCH("jmdict_exact_pair_not_found",'제외 후보'!P988)),'선정 규칙'!$B$7,0)</x:f>
        <x:v>0</x:v>
      </x:c>
      <x:c r="E988" s="11" t="n">
        <x:f>IF(OR('제외 후보'!L988="",'제외 후보'!L988&lt;=0),'선정 규칙'!$B$8,IF('제외 후보'!L988&lt;=1.5,'선정 규칙'!$B$9,IF('제외 후보'!L988&lt;=2,'선정 규칙'!$B$10,IF('제외 후보'!L988&lt;=2.5,'선정 규칙'!$B$11,IF('제외 후보'!L988&lt;=3,'선정 규칙'!$B$12,IF('제외 후보'!L988&lt;=3.5,'선정 규칙'!$B$13,IF('제외 후보'!L988&gt;=4.5,'선정 규칙'!$B$14,0)))))))</x:f>
        <x:v>12</x:v>
      </x:c>
      <x:c r="F988" s="11" t="n">
        <x:f>IF('제외 후보'!Y988=0,'선정 규칙'!$B$15,IF('제외 후보'!Y988&gt;=100,'선정 규칙'!$B$16,'선정 규칙'!$B$17))</x:f>
        <x:v>-25</x:v>
      </x:c>
      <x:c r="G988" s="11" t="n">
        <x:f>IF('제외 후보'!M988="있음",'선정 규칙'!$B$18,'선정 규칙'!$B$19)</x:f>
        <x:v>6</x:v>
      </x:c>
      <x:c r="H988" s="11" t="n">
        <x:f>IF(ISNUMBER(SEARCH("freq-core",'제외 후보'!AD988)),'선정 규칙'!$B$20,0)</x:f>
        <x:v>0</x:v>
      </x:c>
      <x:c r="I988" s="11" t="n">
        <x:f>IF(ISNUMBER(SEARCH("weak_legacy_content",'제외 후보'!P988)),'선정 규칙'!$B$21,0)</x:f>
        <x:v>5</x:v>
      </x:c>
      <x:c r="J988" s="11" t="n">
        <x:f>IF('제외 후보'!AC988&lt;&gt;"",'선정 규칙'!$B$22,0)</x:f>
        <x:v>0</x:v>
      </x:c>
      <x:c r="K988" s="11" t="n">
        <x:f>SUM(B988:J988)</x:f>
        <x:v>-2</x:v>
      </x:c>
      <x:c r="L988" s="11" t="n">
        <x:f>'제외 후보'!N988</x:f>
        <x:v>-2</x:v>
      </x:c>
      <x:c r="M988" s="2" t="str">
        <x:f>IF(K988=L988,"OK","MISMATCH")</x:f>
        <x:v>OK</x:v>
      </x:c>
    </x:row>
    <x:row r="989">
      <x:c r="A989" s="2" t="str">
        <x:f>'제외 후보'!G989</x:f>
        <x:v>w_2dedb5be17e88b1e</x:v>
      </x:c>
      <x:c r="B989" s="11" t="n">
        <x:f>IF('제외 후보'!Q989&lt;&gt;"",'선정 규칙'!$B$4,0)</x:f>
        <x:v>0</x:v>
      </x:c>
      <x:c r="C989" s="11" t="n">
        <x:f>IF(ISNUMBER(SEARCH("jmdict_uncommon_or_irregular",'제외 후보'!P989)),'선정 규칙'!$B$5,IF(ISNUMBER(SEARCH("jmdict_rare_or_dated",'제외 후보'!P989)),'선정 규칙'!$B$6,0))</x:f>
        <x:v>0</x:v>
      </x:c>
      <x:c r="D989" s="11" t="n">
        <x:f>IF(ISNUMBER(SEARCH("jmdict_exact_pair_not_found",'제외 후보'!P989)),'선정 규칙'!$B$7,0)</x:f>
        <x:v>0</x:v>
      </x:c>
      <x:c r="E989" s="11" t="n">
        <x:f>IF(OR('제외 후보'!L989="",'제외 후보'!L989&lt;=0),'선정 규칙'!$B$8,IF('제외 후보'!L989&lt;=1.5,'선정 규칙'!$B$9,IF('제외 후보'!L989&lt;=2,'선정 규칙'!$B$10,IF('제외 후보'!L989&lt;=2.5,'선정 규칙'!$B$11,IF('제외 후보'!L989&lt;=3,'선정 규칙'!$B$12,IF('제외 후보'!L989&lt;=3.5,'선정 규칙'!$B$13,IF('제외 후보'!L989&gt;=4.5,'선정 규칙'!$B$14,0)))))))</x:f>
        <x:v>12</x:v>
      </x:c>
      <x:c r="F989" s="11" t="n">
        <x:f>IF('제외 후보'!Y989=0,'선정 규칙'!$B$15,IF('제외 후보'!Y989&gt;=100,'선정 규칙'!$B$16,'선정 규칙'!$B$17))</x:f>
        <x:v>-25</x:v>
      </x:c>
      <x:c r="G989" s="11" t="n">
        <x:f>IF('제외 후보'!M989="있음",'선정 규칙'!$B$18,'선정 규칙'!$B$19)</x:f>
        <x:v>6</x:v>
      </x:c>
      <x:c r="H989" s="11" t="n">
        <x:f>IF(ISNUMBER(SEARCH("freq-core",'제외 후보'!AD989)),'선정 규칙'!$B$20,0)</x:f>
        <x:v>0</x:v>
      </x:c>
      <x:c r="I989" s="11" t="n">
        <x:f>IF(ISNUMBER(SEARCH("weak_legacy_content",'제외 후보'!P989)),'선정 규칙'!$B$21,0)</x:f>
        <x:v>5</x:v>
      </x:c>
      <x:c r="J989" s="11" t="n">
        <x:f>IF('제외 후보'!AC989&lt;&gt;"",'선정 규칙'!$B$22,0)</x:f>
        <x:v>0</x:v>
      </x:c>
      <x:c r="K989" s="11" t="n">
        <x:f>SUM(B989:J989)</x:f>
        <x:v>-2</x:v>
      </x:c>
      <x:c r="L989" s="11" t="n">
        <x:f>'제외 후보'!N989</x:f>
        <x:v>-2</x:v>
      </x:c>
      <x:c r="M989" s="2" t="str">
        <x:f>IF(K989=L989,"OK","MISMATCH")</x:f>
        <x:v>OK</x:v>
      </x:c>
    </x:row>
    <x:row r="990">
      <x:c r="A990" s="2" t="str">
        <x:f>'제외 후보'!G990</x:f>
        <x:v>w_3e8f47768886cb87</x:v>
      </x:c>
      <x:c r="B990" s="11" t="n">
        <x:f>IF('제외 후보'!Q990&lt;&gt;"",'선정 규칙'!$B$4,0)</x:f>
        <x:v>0</x:v>
      </x:c>
      <x:c r="C990" s="11" t="n">
        <x:f>IF(ISNUMBER(SEARCH("jmdict_uncommon_or_irregular",'제외 후보'!P990)),'선정 규칙'!$B$5,IF(ISNUMBER(SEARCH("jmdict_rare_or_dated",'제외 후보'!P990)),'선정 규칙'!$B$6,0))</x:f>
        <x:v>0</x:v>
      </x:c>
      <x:c r="D990" s="11" t="n">
        <x:f>IF(ISNUMBER(SEARCH("jmdict_exact_pair_not_found",'제외 후보'!P990)),'선정 규칙'!$B$7,0)</x:f>
        <x:v>0</x:v>
      </x:c>
      <x:c r="E990" s="11" t="n">
        <x:f>IF(OR('제외 후보'!L990="",'제외 후보'!L990&lt;=0),'선정 규칙'!$B$8,IF('제외 후보'!L990&lt;=1.5,'선정 규칙'!$B$9,IF('제외 후보'!L990&lt;=2,'선정 규칙'!$B$10,IF('제외 후보'!L990&lt;=2.5,'선정 규칙'!$B$11,IF('제외 후보'!L990&lt;=3,'선정 규칙'!$B$12,IF('제외 후보'!L990&lt;=3.5,'선정 규칙'!$B$13,IF('제외 후보'!L990&gt;=4.5,'선정 규칙'!$B$14,0)))))))</x:f>
        <x:v>12</x:v>
      </x:c>
      <x:c r="F990" s="11" t="n">
        <x:f>IF('제외 후보'!Y990=0,'선정 규칙'!$B$15,IF('제외 후보'!Y990&gt;=100,'선정 규칙'!$B$16,'선정 규칙'!$B$17))</x:f>
        <x:v>-25</x:v>
      </x:c>
      <x:c r="G990" s="11" t="n">
        <x:f>IF('제외 후보'!M990="있음",'선정 규칙'!$B$18,'선정 규칙'!$B$19)</x:f>
        <x:v>6</x:v>
      </x:c>
      <x:c r="H990" s="11" t="n">
        <x:f>IF(ISNUMBER(SEARCH("freq-core",'제외 후보'!AD990)),'선정 규칙'!$B$20,0)</x:f>
        <x:v>0</x:v>
      </x:c>
      <x:c r="I990" s="11" t="n">
        <x:f>IF(ISNUMBER(SEARCH("weak_legacy_content",'제외 후보'!P990)),'선정 규칙'!$B$21,0)</x:f>
        <x:v>5</x:v>
      </x:c>
      <x:c r="J990" s="11" t="n">
        <x:f>IF('제외 후보'!AC990&lt;&gt;"",'선정 규칙'!$B$22,0)</x:f>
        <x:v>0</x:v>
      </x:c>
      <x:c r="K990" s="11" t="n">
        <x:f>SUM(B990:J990)</x:f>
        <x:v>-2</x:v>
      </x:c>
      <x:c r="L990" s="11" t="n">
        <x:f>'제외 후보'!N990</x:f>
        <x:v>-2</x:v>
      </x:c>
      <x:c r="M990" s="2" t="str">
        <x:f>IF(K990=L990,"OK","MISMATCH")</x:f>
        <x:v>OK</x:v>
      </x:c>
    </x:row>
    <x:row r="991">
      <x:c r="A991" s="2" t="str">
        <x:f>'제외 후보'!G991</x:f>
        <x:v>w_25445796060f4e71</x:v>
      </x:c>
      <x:c r="B991" s="11" t="n">
        <x:f>IF('제외 후보'!Q991&lt;&gt;"",'선정 규칙'!$B$4,0)</x:f>
        <x:v>0</x:v>
      </x:c>
      <x:c r="C991" s="11" t="n">
        <x:f>IF(ISNUMBER(SEARCH("jmdict_uncommon_or_irregular",'제외 후보'!P991)),'선정 규칙'!$B$5,IF(ISNUMBER(SEARCH("jmdict_rare_or_dated",'제외 후보'!P991)),'선정 규칙'!$B$6,0))</x:f>
        <x:v>0</x:v>
      </x:c>
      <x:c r="D991" s="11" t="n">
        <x:f>IF(ISNUMBER(SEARCH("jmdict_exact_pair_not_found",'제외 후보'!P991)),'선정 규칙'!$B$7,0)</x:f>
        <x:v>0</x:v>
      </x:c>
      <x:c r="E991" s="11" t="n">
        <x:f>IF(OR('제외 후보'!L991="",'제외 후보'!L991&lt;=0),'선정 규칙'!$B$8,IF('제외 후보'!L991&lt;=1.5,'선정 규칙'!$B$9,IF('제외 후보'!L991&lt;=2,'선정 규칙'!$B$10,IF('제외 후보'!L991&lt;=2.5,'선정 규칙'!$B$11,IF('제외 후보'!L991&lt;=3,'선정 규칙'!$B$12,IF('제외 후보'!L991&lt;=3.5,'선정 규칙'!$B$13,IF('제외 후보'!L991&gt;=4.5,'선정 규칙'!$B$14,0)))))))</x:f>
        <x:v>12</x:v>
      </x:c>
      <x:c r="F991" s="11" t="n">
        <x:f>IF('제외 후보'!Y991=0,'선정 규칙'!$B$15,IF('제외 후보'!Y991&gt;=100,'선정 규칙'!$B$16,'선정 규칙'!$B$17))</x:f>
        <x:v>-25</x:v>
      </x:c>
      <x:c r="G991" s="11" t="n">
        <x:f>IF('제외 후보'!M991="있음",'선정 규칙'!$B$18,'선정 규칙'!$B$19)</x:f>
        <x:v>6</x:v>
      </x:c>
      <x:c r="H991" s="11" t="n">
        <x:f>IF(ISNUMBER(SEARCH("freq-core",'제외 후보'!AD991)),'선정 규칙'!$B$20,0)</x:f>
        <x:v>0</x:v>
      </x:c>
      <x:c r="I991" s="11" t="n">
        <x:f>IF(ISNUMBER(SEARCH("weak_legacy_content",'제외 후보'!P991)),'선정 규칙'!$B$21,0)</x:f>
        <x:v>5</x:v>
      </x:c>
      <x:c r="J991" s="11" t="n">
        <x:f>IF('제외 후보'!AC991&lt;&gt;"",'선정 규칙'!$B$22,0)</x:f>
        <x:v>0</x:v>
      </x:c>
      <x:c r="K991" s="11" t="n">
        <x:f>SUM(B991:J991)</x:f>
        <x:v>-2</x:v>
      </x:c>
      <x:c r="L991" s="11" t="n">
        <x:f>'제외 후보'!N991</x:f>
        <x:v>-2</x:v>
      </x:c>
      <x:c r="M991" s="2" t="str">
        <x:f>IF(K991=L991,"OK","MISMATCH")</x:f>
        <x:v>OK</x:v>
      </x:c>
    </x:row>
    <x:row r="992">
      <x:c r="A992" s="2" t="str">
        <x:f>'제외 후보'!G992</x:f>
        <x:v>w_9f8b49adff0b1564</x:v>
      </x:c>
      <x:c r="B992" s="11" t="n">
        <x:f>IF('제외 후보'!Q992&lt;&gt;"",'선정 규칙'!$B$4,0)</x:f>
        <x:v>0</x:v>
      </x:c>
      <x:c r="C992" s="11" t="n">
        <x:f>IF(ISNUMBER(SEARCH("jmdict_uncommon_or_irregular",'제외 후보'!P992)),'선정 규칙'!$B$5,IF(ISNUMBER(SEARCH("jmdict_rare_or_dated",'제외 후보'!P992)),'선정 규칙'!$B$6,0))</x:f>
        <x:v>0</x:v>
      </x:c>
      <x:c r="D992" s="11" t="n">
        <x:f>IF(ISNUMBER(SEARCH("jmdict_exact_pair_not_found",'제외 후보'!P992)),'선정 규칙'!$B$7,0)</x:f>
        <x:v>0</x:v>
      </x:c>
      <x:c r="E992" s="11" t="n">
        <x:f>IF(OR('제외 후보'!L992="",'제외 후보'!L992&lt;=0),'선정 규칙'!$B$8,IF('제외 후보'!L992&lt;=1.5,'선정 규칙'!$B$9,IF('제외 후보'!L992&lt;=2,'선정 규칙'!$B$10,IF('제외 후보'!L992&lt;=2.5,'선정 규칙'!$B$11,IF('제외 후보'!L992&lt;=3,'선정 규칙'!$B$12,IF('제외 후보'!L992&lt;=3.5,'선정 규칙'!$B$13,IF('제외 후보'!L992&gt;=4.5,'선정 규칙'!$B$14,0)))))))</x:f>
        <x:v>12</x:v>
      </x:c>
      <x:c r="F992" s="11" t="n">
        <x:f>IF('제외 후보'!Y992=0,'선정 규칙'!$B$15,IF('제외 후보'!Y992&gt;=100,'선정 규칙'!$B$16,'선정 규칙'!$B$17))</x:f>
        <x:v>-25</x:v>
      </x:c>
      <x:c r="G992" s="11" t="n">
        <x:f>IF('제외 후보'!M992="있음",'선정 규칙'!$B$18,'선정 규칙'!$B$19)</x:f>
        <x:v>6</x:v>
      </x:c>
      <x:c r="H992" s="11" t="n">
        <x:f>IF(ISNUMBER(SEARCH("freq-core",'제외 후보'!AD992)),'선정 규칙'!$B$20,0)</x:f>
        <x:v>0</x:v>
      </x:c>
      <x:c r="I992" s="11" t="n">
        <x:f>IF(ISNUMBER(SEARCH("weak_legacy_content",'제외 후보'!P992)),'선정 규칙'!$B$21,0)</x:f>
        <x:v>5</x:v>
      </x:c>
      <x:c r="J992" s="11" t="n">
        <x:f>IF('제외 후보'!AC992&lt;&gt;"",'선정 규칙'!$B$22,0)</x:f>
        <x:v>0</x:v>
      </x:c>
      <x:c r="K992" s="11" t="n">
        <x:f>SUM(B992:J992)</x:f>
        <x:v>-2</x:v>
      </x:c>
      <x:c r="L992" s="11" t="n">
        <x:f>'제외 후보'!N992</x:f>
        <x:v>-2</x:v>
      </x:c>
      <x:c r="M992" s="2" t="str">
        <x:f>IF(K992=L992,"OK","MISMATCH")</x:f>
        <x:v>OK</x:v>
      </x:c>
    </x:row>
    <x:row r="993">
      <x:c r="A993" s="2" t="str">
        <x:f>'제외 후보'!G993</x:f>
        <x:v>w_43b38d78d9fe572b</x:v>
      </x:c>
      <x:c r="B993" s="11" t="n">
        <x:f>IF('제외 후보'!Q993&lt;&gt;"",'선정 규칙'!$B$4,0)</x:f>
        <x:v>0</x:v>
      </x:c>
      <x:c r="C993" s="11" t="n">
        <x:f>IF(ISNUMBER(SEARCH("jmdict_uncommon_or_irregular",'제외 후보'!P993)),'선정 규칙'!$B$5,IF(ISNUMBER(SEARCH("jmdict_rare_or_dated",'제외 후보'!P993)),'선정 규칙'!$B$6,0))</x:f>
        <x:v>0</x:v>
      </x:c>
      <x:c r="D993" s="11" t="n">
        <x:f>IF(ISNUMBER(SEARCH("jmdict_exact_pair_not_found",'제외 후보'!P993)),'선정 규칙'!$B$7,0)</x:f>
        <x:v>0</x:v>
      </x:c>
      <x:c r="E993" s="11" t="n">
        <x:f>IF(OR('제외 후보'!L993="",'제외 후보'!L993&lt;=0),'선정 규칙'!$B$8,IF('제외 후보'!L993&lt;=1.5,'선정 규칙'!$B$9,IF('제외 후보'!L993&lt;=2,'선정 규칙'!$B$10,IF('제외 후보'!L993&lt;=2.5,'선정 규칙'!$B$11,IF('제외 후보'!L993&lt;=3,'선정 규칙'!$B$12,IF('제외 후보'!L993&lt;=3.5,'선정 규칙'!$B$13,IF('제외 후보'!L993&gt;=4.5,'선정 규칙'!$B$14,0)))))))</x:f>
        <x:v>12</x:v>
      </x:c>
      <x:c r="F993" s="11" t="n">
        <x:f>IF('제외 후보'!Y993=0,'선정 규칙'!$B$15,IF('제외 후보'!Y993&gt;=100,'선정 규칙'!$B$16,'선정 규칙'!$B$17))</x:f>
        <x:v>-25</x:v>
      </x:c>
      <x:c r="G993" s="11" t="n">
        <x:f>IF('제외 후보'!M993="있음",'선정 규칙'!$B$18,'선정 규칙'!$B$19)</x:f>
        <x:v>6</x:v>
      </x:c>
      <x:c r="H993" s="11" t="n">
        <x:f>IF(ISNUMBER(SEARCH("freq-core",'제외 후보'!AD993)),'선정 규칙'!$B$20,0)</x:f>
        <x:v>0</x:v>
      </x:c>
      <x:c r="I993" s="11" t="n">
        <x:f>IF(ISNUMBER(SEARCH("weak_legacy_content",'제외 후보'!P993)),'선정 규칙'!$B$21,0)</x:f>
        <x:v>5</x:v>
      </x:c>
      <x:c r="J993" s="11" t="n">
        <x:f>IF('제외 후보'!AC993&lt;&gt;"",'선정 규칙'!$B$22,0)</x:f>
        <x:v>0</x:v>
      </x:c>
      <x:c r="K993" s="11" t="n">
        <x:f>SUM(B993:J993)</x:f>
        <x:v>-2</x:v>
      </x:c>
      <x:c r="L993" s="11" t="n">
        <x:f>'제외 후보'!N993</x:f>
        <x:v>-2</x:v>
      </x:c>
      <x:c r="M993" s="2" t="str">
        <x:f>IF(K993=L993,"OK","MISMATCH")</x:f>
        <x:v>OK</x:v>
      </x:c>
    </x:row>
    <x:row r="994">
      <x:c r="A994" s="2" t="str">
        <x:f>'제외 후보'!G994</x:f>
        <x:v>w_a029f97e41adcce1</x:v>
      </x:c>
      <x:c r="B994" s="11" t="n">
        <x:f>IF('제외 후보'!Q994&lt;&gt;"",'선정 규칙'!$B$4,0)</x:f>
        <x:v>0</x:v>
      </x:c>
      <x:c r="C994" s="11" t="n">
        <x:f>IF(ISNUMBER(SEARCH("jmdict_uncommon_or_irregular",'제외 후보'!P994)),'선정 규칙'!$B$5,IF(ISNUMBER(SEARCH("jmdict_rare_or_dated",'제외 후보'!P994)),'선정 규칙'!$B$6,0))</x:f>
        <x:v>0</x:v>
      </x:c>
      <x:c r="D994" s="11" t="n">
        <x:f>IF(ISNUMBER(SEARCH("jmdict_exact_pair_not_found",'제외 후보'!P994)),'선정 규칙'!$B$7,0)</x:f>
        <x:v>0</x:v>
      </x:c>
      <x:c r="E994" s="11" t="n">
        <x:f>IF(OR('제외 후보'!L994="",'제외 후보'!L994&lt;=0),'선정 규칙'!$B$8,IF('제외 후보'!L994&lt;=1.5,'선정 규칙'!$B$9,IF('제외 후보'!L994&lt;=2,'선정 규칙'!$B$10,IF('제외 후보'!L994&lt;=2.5,'선정 규칙'!$B$11,IF('제외 후보'!L994&lt;=3,'선정 규칙'!$B$12,IF('제외 후보'!L994&lt;=3.5,'선정 규칙'!$B$13,IF('제외 후보'!L994&gt;=4.5,'선정 규칙'!$B$14,0)))))))</x:f>
        <x:v>12</x:v>
      </x:c>
      <x:c r="F994" s="11" t="n">
        <x:f>IF('제외 후보'!Y994=0,'선정 규칙'!$B$15,IF('제외 후보'!Y994&gt;=100,'선정 규칙'!$B$16,'선정 규칙'!$B$17))</x:f>
        <x:v>-25</x:v>
      </x:c>
      <x:c r="G994" s="11" t="n">
        <x:f>IF('제외 후보'!M994="있음",'선정 규칙'!$B$18,'선정 규칙'!$B$19)</x:f>
        <x:v>6</x:v>
      </x:c>
      <x:c r="H994" s="11" t="n">
        <x:f>IF(ISNUMBER(SEARCH("freq-core",'제외 후보'!AD994)),'선정 규칙'!$B$20,0)</x:f>
        <x:v>0</x:v>
      </x:c>
      <x:c r="I994" s="11" t="n">
        <x:f>IF(ISNUMBER(SEARCH("weak_legacy_content",'제외 후보'!P994)),'선정 규칙'!$B$21,0)</x:f>
        <x:v>5</x:v>
      </x:c>
      <x:c r="J994" s="11" t="n">
        <x:f>IF('제외 후보'!AC994&lt;&gt;"",'선정 규칙'!$B$22,0)</x:f>
        <x:v>0</x:v>
      </x:c>
      <x:c r="K994" s="11" t="n">
        <x:f>SUM(B994:J994)</x:f>
        <x:v>-2</x:v>
      </x:c>
      <x:c r="L994" s="11" t="n">
        <x:f>'제외 후보'!N994</x:f>
        <x:v>-2</x:v>
      </x:c>
      <x:c r="M994" s="2" t="str">
        <x:f>IF(K994=L994,"OK","MISMATCH")</x:f>
        <x:v>OK</x:v>
      </x:c>
    </x:row>
    <x:row r="995">
      <x:c r="A995" s="2" t="str">
        <x:f>'제외 후보'!G995</x:f>
        <x:v>w_f96ea90a260ddcf2</x:v>
      </x:c>
      <x:c r="B995" s="11" t="n">
        <x:f>IF('제외 후보'!Q995&lt;&gt;"",'선정 규칙'!$B$4,0)</x:f>
        <x:v>0</x:v>
      </x:c>
      <x:c r="C995" s="11" t="n">
        <x:f>IF(ISNUMBER(SEARCH("jmdict_uncommon_or_irregular",'제외 후보'!P995)),'선정 규칙'!$B$5,IF(ISNUMBER(SEARCH("jmdict_rare_or_dated",'제외 후보'!P995)),'선정 규칙'!$B$6,0))</x:f>
        <x:v>0</x:v>
      </x:c>
      <x:c r="D995" s="11" t="n">
        <x:f>IF(ISNUMBER(SEARCH("jmdict_exact_pair_not_found",'제외 후보'!P995)),'선정 규칙'!$B$7,0)</x:f>
        <x:v>0</x:v>
      </x:c>
      <x:c r="E995" s="11" t="n">
        <x:f>IF(OR('제외 후보'!L995="",'제외 후보'!L995&lt;=0),'선정 규칙'!$B$8,IF('제외 후보'!L995&lt;=1.5,'선정 규칙'!$B$9,IF('제외 후보'!L995&lt;=2,'선정 규칙'!$B$10,IF('제외 후보'!L995&lt;=2.5,'선정 규칙'!$B$11,IF('제외 후보'!L995&lt;=3,'선정 규칙'!$B$12,IF('제외 후보'!L995&lt;=3.5,'선정 규칙'!$B$13,IF('제외 후보'!L995&gt;=4.5,'선정 규칙'!$B$14,0)))))))</x:f>
        <x:v>12</x:v>
      </x:c>
      <x:c r="F995" s="11" t="n">
        <x:f>IF('제외 후보'!Y995=0,'선정 규칙'!$B$15,IF('제외 후보'!Y995&gt;=100,'선정 규칙'!$B$16,'선정 규칙'!$B$17))</x:f>
        <x:v>-25</x:v>
      </x:c>
      <x:c r="G995" s="11" t="n">
        <x:f>IF('제외 후보'!M995="있음",'선정 규칙'!$B$18,'선정 규칙'!$B$19)</x:f>
        <x:v>6</x:v>
      </x:c>
      <x:c r="H995" s="11" t="n">
        <x:f>IF(ISNUMBER(SEARCH("freq-core",'제외 후보'!AD995)),'선정 규칙'!$B$20,0)</x:f>
        <x:v>0</x:v>
      </x:c>
      <x:c r="I995" s="11" t="n">
        <x:f>IF(ISNUMBER(SEARCH("weak_legacy_content",'제외 후보'!P995)),'선정 규칙'!$B$21,0)</x:f>
        <x:v>5</x:v>
      </x:c>
      <x:c r="J995" s="11" t="n">
        <x:f>IF('제외 후보'!AC995&lt;&gt;"",'선정 규칙'!$B$22,0)</x:f>
        <x:v>0</x:v>
      </x:c>
      <x:c r="K995" s="11" t="n">
        <x:f>SUM(B995:J995)</x:f>
        <x:v>-2</x:v>
      </x:c>
      <x:c r="L995" s="11" t="n">
        <x:f>'제외 후보'!N995</x:f>
        <x:v>-2</x:v>
      </x:c>
      <x:c r="M995" s="2" t="str">
        <x:f>IF(K995=L995,"OK","MISMATCH")</x:f>
        <x:v>OK</x:v>
      </x:c>
    </x:row>
    <x:row r="996">
      <x:c r="A996" s="2" t="str">
        <x:f>'제외 후보'!G996</x:f>
        <x:v>w_09de3ae40ccf459c</x:v>
      </x:c>
      <x:c r="B996" s="11" t="n">
        <x:f>IF('제외 후보'!Q996&lt;&gt;"",'선정 규칙'!$B$4,0)</x:f>
        <x:v>0</x:v>
      </x:c>
      <x:c r="C996" s="11" t="n">
        <x:f>IF(ISNUMBER(SEARCH("jmdict_uncommon_or_irregular",'제외 후보'!P996)),'선정 규칙'!$B$5,IF(ISNUMBER(SEARCH("jmdict_rare_or_dated",'제외 후보'!P996)),'선정 규칙'!$B$6,0))</x:f>
        <x:v>0</x:v>
      </x:c>
      <x:c r="D996" s="11" t="n">
        <x:f>IF(ISNUMBER(SEARCH("jmdict_exact_pair_not_found",'제외 후보'!P996)),'선정 규칙'!$B$7,0)</x:f>
        <x:v>0</x:v>
      </x:c>
      <x:c r="E996" s="11" t="n">
        <x:f>IF(OR('제외 후보'!L996="",'제외 후보'!L996&lt;=0),'선정 규칙'!$B$8,IF('제외 후보'!L996&lt;=1.5,'선정 규칙'!$B$9,IF('제외 후보'!L996&lt;=2,'선정 규칙'!$B$10,IF('제외 후보'!L996&lt;=2.5,'선정 규칙'!$B$11,IF('제외 후보'!L996&lt;=3,'선정 규칙'!$B$12,IF('제외 후보'!L996&lt;=3.5,'선정 규칙'!$B$13,IF('제외 후보'!L996&gt;=4.5,'선정 규칙'!$B$14,0)))))))</x:f>
        <x:v>12</x:v>
      </x:c>
      <x:c r="F996" s="11" t="n">
        <x:f>IF('제외 후보'!Y996=0,'선정 규칙'!$B$15,IF('제외 후보'!Y996&gt;=100,'선정 규칙'!$B$16,'선정 규칙'!$B$17))</x:f>
        <x:v>-25</x:v>
      </x:c>
      <x:c r="G996" s="11" t="n">
        <x:f>IF('제외 후보'!M996="있음",'선정 규칙'!$B$18,'선정 규칙'!$B$19)</x:f>
        <x:v>6</x:v>
      </x:c>
      <x:c r="H996" s="11" t="n">
        <x:f>IF(ISNUMBER(SEARCH("freq-core",'제외 후보'!AD996)),'선정 규칙'!$B$20,0)</x:f>
        <x:v>0</x:v>
      </x:c>
      <x:c r="I996" s="11" t="n">
        <x:f>IF(ISNUMBER(SEARCH("weak_legacy_content",'제외 후보'!P996)),'선정 규칙'!$B$21,0)</x:f>
        <x:v>5</x:v>
      </x:c>
      <x:c r="J996" s="11" t="n">
        <x:f>IF('제외 후보'!AC996&lt;&gt;"",'선정 규칙'!$B$22,0)</x:f>
        <x:v>0</x:v>
      </x:c>
      <x:c r="K996" s="11" t="n">
        <x:f>SUM(B996:J996)</x:f>
        <x:v>-2</x:v>
      </x:c>
      <x:c r="L996" s="11" t="n">
        <x:f>'제외 후보'!N996</x:f>
        <x:v>-2</x:v>
      </x:c>
      <x:c r="M996" s="2" t="str">
        <x:f>IF(K996=L996,"OK","MISMATCH")</x:f>
        <x:v>OK</x:v>
      </x:c>
    </x:row>
    <x:row r="997">
      <x:c r="A997" s="2" t="str">
        <x:f>'제외 후보'!G997</x:f>
        <x:v>w_75b0b9d6475d8175</x:v>
      </x:c>
      <x:c r="B997" s="11" t="n">
        <x:f>IF('제외 후보'!Q997&lt;&gt;"",'선정 규칙'!$B$4,0)</x:f>
        <x:v>0</x:v>
      </x:c>
      <x:c r="C997" s="11" t="n">
        <x:f>IF(ISNUMBER(SEARCH("jmdict_uncommon_or_irregular",'제외 후보'!P997)),'선정 규칙'!$B$5,IF(ISNUMBER(SEARCH("jmdict_rare_or_dated",'제외 후보'!P997)),'선정 규칙'!$B$6,0))</x:f>
        <x:v>0</x:v>
      </x:c>
      <x:c r="D997" s="11" t="n">
        <x:f>IF(ISNUMBER(SEARCH("jmdict_exact_pair_not_found",'제외 후보'!P997)),'선정 규칙'!$B$7,0)</x:f>
        <x:v>0</x:v>
      </x:c>
      <x:c r="E997" s="11" t="n">
        <x:f>IF(OR('제외 후보'!L997="",'제외 후보'!L997&lt;=0),'선정 규칙'!$B$8,IF('제외 후보'!L997&lt;=1.5,'선정 규칙'!$B$9,IF('제외 후보'!L997&lt;=2,'선정 규칙'!$B$10,IF('제외 후보'!L997&lt;=2.5,'선정 규칙'!$B$11,IF('제외 후보'!L997&lt;=3,'선정 규칙'!$B$12,IF('제외 후보'!L997&lt;=3.5,'선정 규칙'!$B$13,IF('제외 후보'!L997&gt;=4.5,'선정 규칙'!$B$14,0)))))))</x:f>
        <x:v>12</x:v>
      </x:c>
      <x:c r="F997" s="11" t="n">
        <x:f>IF('제외 후보'!Y997=0,'선정 규칙'!$B$15,IF('제외 후보'!Y997&gt;=100,'선정 규칙'!$B$16,'선정 규칙'!$B$17))</x:f>
        <x:v>-25</x:v>
      </x:c>
      <x:c r="G997" s="11" t="n">
        <x:f>IF('제외 후보'!M997="있음",'선정 규칙'!$B$18,'선정 규칙'!$B$19)</x:f>
        <x:v>6</x:v>
      </x:c>
      <x:c r="H997" s="11" t="n">
        <x:f>IF(ISNUMBER(SEARCH("freq-core",'제외 후보'!AD997)),'선정 규칙'!$B$20,0)</x:f>
        <x:v>0</x:v>
      </x:c>
      <x:c r="I997" s="11" t="n">
        <x:f>IF(ISNUMBER(SEARCH("weak_legacy_content",'제외 후보'!P997)),'선정 규칙'!$B$21,0)</x:f>
        <x:v>5</x:v>
      </x:c>
      <x:c r="J997" s="11" t="n">
        <x:f>IF('제외 후보'!AC997&lt;&gt;"",'선정 규칙'!$B$22,0)</x:f>
        <x:v>0</x:v>
      </x:c>
      <x:c r="K997" s="11" t="n">
        <x:f>SUM(B997:J997)</x:f>
        <x:v>-2</x:v>
      </x:c>
      <x:c r="L997" s="11" t="n">
        <x:f>'제외 후보'!N997</x:f>
        <x:v>-2</x:v>
      </x:c>
      <x:c r="M997" s="2" t="str">
        <x:f>IF(K997=L997,"OK","MISMATCH")</x:f>
        <x:v>OK</x:v>
      </x:c>
    </x:row>
    <x:row r="998">
      <x:c r="A998" s="2" t="str">
        <x:f>'제외 후보'!G998</x:f>
        <x:v>w_f048e6ae66b0fa0e</x:v>
      </x:c>
      <x:c r="B998" s="11" t="n">
        <x:f>IF('제외 후보'!Q998&lt;&gt;"",'선정 규칙'!$B$4,0)</x:f>
        <x:v>0</x:v>
      </x:c>
      <x:c r="C998" s="11" t="n">
        <x:f>IF(ISNUMBER(SEARCH("jmdict_uncommon_or_irregular",'제외 후보'!P998)),'선정 규칙'!$B$5,IF(ISNUMBER(SEARCH("jmdict_rare_or_dated",'제외 후보'!P998)),'선정 규칙'!$B$6,0))</x:f>
        <x:v>0</x:v>
      </x:c>
      <x:c r="D998" s="11" t="n">
        <x:f>IF(ISNUMBER(SEARCH("jmdict_exact_pair_not_found",'제외 후보'!P998)),'선정 규칙'!$B$7,0)</x:f>
        <x:v>0</x:v>
      </x:c>
      <x:c r="E998" s="11" t="n">
        <x:f>IF(OR('제외 후보'!L998="",'제외 후보'!L998&lt;=0),'선정 규칙'!$B$8,IF('제외 후보'!L998&lt;=1.5,'선정 규칙'!$B$9,IF('제외 후보'!L998&lt;=2,'선정 규칙'!$B$10,IF('제외 후보'!L998&lt;=2.5,'선정 규칙'!$B$11,IF('제외 후보'!L998&lt;=3,'선정 규칙'!$B$12,IF('제외 후보'!L998&lt;=3.5,'선정 규칙'!$B$13,IF('제외 후보'!L998&gt;=4.5,'선정 규칙'!$B$14,0)))))))</x:f>
        <x:v>12</x:v>
      </x:c>
      <x:c r="F998" s="11" t="n">
        <x:f>IF('제외 후보'!Y998=0,'선정 규칙'!$B$15,IF('제외 후보'!Y998&gt;=100,'선정 규칙'!$B$16,'선정 규칙'!$B$17))</x:f>
        <x:v>-25</x:v>
      </x:c>
      <x:c r="G998" s="11" t="n">
        <x:f>IF('제외 후보'!M998="있음",'선정 규칙'!$B$18,'선정 규칙'!$B$19)</x:f>
        <x:v>6</x:v>
      </x:c>
      <x:c r="H998" s="11" t="n">
        <x:f>IF(ISNUMBER(SEARCH("freq-core",'제외 후보'!AD998)),'선정 규칙'!$B$20,0)</x:f>
        <x:v>0</x:v>
      </x:c>
      <x:c r="I998" s="11" t="n">
        <x:f>IF(ISNUMBER(SEARCH("weak_legacy_content",'제외 후보'!P998)),'선정 규칙'!$B$21,0)</x:f>
        <x:v>5</x:v>
      </x:c>
      <x:c r="J998" s="11" t="n">
        <x:f>IF('제외 후보'!AC998&lt;&gt;"",'선정 규칙'!$B$22,0)</x:f>
        <x:v>0</x:v>
      </x:c>
      <x:c r="K998" s="11" t="n">
        <x:f>SUM(B998:J998)</x:f>
        <x:v>-2</x:v>
      </x:c>
      <x:c r="L998" s="11" t="n">
        <x:f>'제외 후보'!N998</x:f>
        <x:v>-2</x:v>
      </x:c>
      <x:c r="M998" s="2" t="str">
        <x:f>IF(K998=L998,"OK","MISMATCH")</x:f>
        <x:v>OK</x:v>
      </x:c>
    </x:row>
    <x:row r="999">
      <x:c r="A999" s="2" t="str">
        <x:f>'제외 후보'!G999</x:f>
        <x:v>w_2a87144508502bd1</x:v>
      </x:c>
      <x:c r="B999" s="11" t="n">
        <x:f>IF('제외 후보'!Q999&lt;&gt;"",'선정 규칙'!$B$4,0)</x:f>
        <x:v>0</x:v>
      </x:c>
      <x:c r="C999" s="11" t="n">
        <x:f>IF(ISNUMBER(SEARCH("jmdict_uncommon_or_irregular",'제외 후보'!P999)),'선정 규칙'!$B$5,IF(ISNUMBER(SEARCH("jmdict_rare_or_dated",'제외 후보'!P999)),'선정 규칙'!$B$6,0))</x:f>
        <x:v>0</x:v>
      </x:c>
      <x:c r="D999" s="11" t="n">
        <x:f>IF(ISNUMBER(SEARCH("jmdict_exact_pair_not_found",'제외 후보'!P999)),'선정 규칙'!$B$7,0)</x:f>
        <x:v>0</x:v>
      </x:c>
      <x:c r="E999" s="11" t="n">
        <x:f>IF(OR('제외 후보'!L999="",'제외 후보'!L999&lt;=0),'선정 규칙'!$B$8,IF('제외 후보'!L999&lt;=1.5,'선정 규칙'!$B$9,IF('제외 후보'!L999&lt;=2,'선정 규칙'!$B$10,IF('제외 후보'!L999&lt;=2.5,'선정 규칙'!$B$11,IF('제외 후보'!L999&lt;=3,'선정 규칙'!$B$12,IF('제외 후보'!L999&lt;=3.5,'선정 규칙'!$B$13,IF('제외 후보'!L999&gt;=4.5,'선정 규칙'!$B$14,0)))))))</x:f>
        <x:v>12</x:v>
      </x:c>
      <x:c r="F999" s="11" t="n">
        <x:f>IF('제외 후보'!Y999=0,'선정 규칙'!$B$15,IF('제외 후보'!Y999&gt;=100,'선정 규칙'!$B$16,'선정 규칙'!$B$17))</x:f>
        <x:v>-25</x:v>
      </x:c>
      <x:c r="G999" s="11" t="n">
        <x:f>IF('제외 후보'!M999="있음",'선정 규칙'!$B$18,'선정 규칙'!$B$19)</x:f>
        <x:v>6</x:v>
      </x:c>
      <x:c r="H999" s="11" t="n">
        <x:f>IF(ISNUMBER(SEARCH("freq-core",'제외 후보'!AD999)),'선정 규칙'!$B$20,0)</x:f>
        <x:v>0</x:v>
      </x:c>
      <x:c r="I999" s="11" t="n">
        <x:f>IF(ISNUMBER(SEARCH("weak_legacy_content",'제외 후보'!P999)),'선정 규칙'!$B$21,0)</x:f>
        <x:v>5</x:v>
      </x:c>
      <x:c r="J999" s="11" t="n">
        <x:f>IF('제외 후보'!AC999&lt;&gt;"",'선정 규칙'!$B$22,0)</x:f>
        <x:v>0</x:v>
      </x:c>
      <x:c r="K999" s="11" t="n">
        <x:f>SUM(B999:J999)</x:f>
        <x:v>-2</x:v>
      </x:c>
      <x:c r="L999" s="11" t="n">
        <x:f>'제외 후보'!N999</x:f>
        <x:v>-2</x:v>
      </x:c>
      <x:c r="M999" s="2" t="str">
        <x:f>IF(K999=L999,"OK","MISMATCH")</x:f>
        <x:v>OK</x:v>
      </x:c>
    </x:row>
    <x:row r="1000">
      <x:c r="A1000" s="2" t="str">
        <x:f>'제외 후보'!G1000</x:f>
        <x:v>w_8d174bfc2f12fead</x:v>
      </x:c>
      <x:c r="B1000" s="11" t="n">
        <x:f>IF('제외 후보'!Q1000&lt;&gt;"",'선정 규칙'!$B$4,0)</x:f>
        <x:v>0</x:v>
      </x:c>
      <x:c r="C1000" s="11" t="n">
        <x:f>IF(ISNUMBER(SEARCH("jmdict_uncommon_or_irregular",'제외 후보'!P1000)),'선정 규칙'!$B$5,IF(ISNUMBER(SEARCH("jmdict_rare_or_dated",'제외 후보'!P1000)),'선정 규칙'!$B$6,0))</x:f>
        <x:v>0</x:v>
      </x:c>
      <x:c r="D1000" s="11" t="n">
        <x:f>IF(ISNUMBER(SEARCH("jmdict_exact_pair_not_found",'제외 후보'!P1000)),'선정 규칙'!$B$7,0)</x:f>
        <x:v>0</x:v>
      </x:c>
      <x:c r="E1000" s="11" t="n">
        <x:f>IF(OR('제외 후보'!L1000="",'제외 후보'!L1000&lt;=0),'선정 규칙'!$B$8,IF('제외 후보'!L1000&lt;=1.5,'선정 규칙'!$B$9,IF('제외 후보'!L1000&lt;=2,'선정 규칙'!$B$10,IF('제외 후보'!L1000&lt;=2.5,'선정 규칙'!$B$11,IF('제외 후보'!L1000&lt;=3,'선정 규칙'!$B$12,IF('제외 후보'!L1000&lt;=3.5,'선정 규칙'!$B$13,IF('제외 후보'!L1000&gt;=4.5,'선정 규칙'!$B$14,0)))))))</x:f>
        <x:v>12</x:v>
      </x:c>
      <x:c r="F1000" s="11" t="n">
        <x:f>IF('제외 후보'!Y1000=0,'선정 규칙'!$B$15,IF('제외 후보'!Y1000&gt;=100,'선정 규칙'!$B$16,'선정 규칙'!$B$17))</x:f>
        <x:v>-25</x:v>
      </x:c>
      <x:c r="G1000" s="11" t="n">
        <x:f>IF('제외 후보'!M1000="있음",'선정 규칙'!$B$18,'선정 규칙'!$B$19)</x:f>
        <x:v>6</x:v>
      </x:c>
      <x:c r="H1000" s="11" t="n">
        <x:f>IF(ISNUMBER(SEARCH("freq-core",'제외 후보'!AD1000)),'선정 규칙'!$B$20,0)</x:f>
        <x:v>0</x:v>
      </x:c>
      <x:c r="I1000" s="11" t="n">
        <x:f>IF(ISNUMBER(SEARCH("weak_legacy_content",'제외 후보'!P1000)),'선정 규칙'!$B$21,0)</x:f>
        <x:v>5</x:v>
      </x:c>
      <x:c r="J1000" s="11" t="n">
        <x:f>IF('제외 후보'!AC1000&lt;&gt;"",'선정 규칙'!$B$22,0)</x:f>
        <x:v>0</x:v>
      </x:c>
      <x:c r="K1000" s="11" t="n">
        <x:f>SUM(B1000:J1000)</x:f>
        <x:v>-2</x:v>
      </x:c>
      <x:c r="L1000" s="11" t="n">
        <x:f>'제외 후보'!N1000</x:f>
        <x:v>-2</x:v>
      </x:c>
      <x:c r="M1000" s="2" t="str">
        <x:f>IF(K1000=L1000,"OK","MISMATCH")</x:f>
        <x:v>OK</x:v>
      </x:c>
    </x:row>
    <x:row r="1001">
      <x:c r="A1001" s="2" t="str">
        <x:f>'제외 후보'!G1001</x:f>
        <x:v>w_53ae1816aa456be5</x:v>
      </x:c>
      <x:c r="B1001" s="11" t="n">
        <x:f>IF('제외 후보'!Q1001&lt;&gt;"",'선정 규칙'!$B$4,0)</x:f>
        <x:v>0</x:v>
      </x:c>
      <x:c r="C1001" s="11" t="n">
        <x:f>IF(ISNUMBER(SEARCH("jmdict_uncommon_or_irregular",'제외 후보'!P1001)),'선정 규칙'!$B$5,IF(ISNUMBER(SEARCH("jmdict_rare_or_dated",'제외 후보'!P1001)),'선정 규칙'!$B$6,0))</x:f>
        <x:v>0</x:v>
      </x:c>
      <x:c r="D1001" s="11" t="n">
        <x:f>IF(ISNUMBER(SEARCH("jmdict_exact_pair_not_found",'제외 후보'!P1001)),'선정 규칙'!$B$7,0)</x:f>
        <x:v>0</x:v>
      </x:c>
      <x:c r="E1001" s="11" t="n">
        <x:f>IF(OR('제외 후보'!L1001="",'제외 후보'!L1001&lt;=0),'선정 규칙'!$B$8,IF('제외 후보'!L1001&lt;=1.5,'선정 규칙'!$B$9,IF('제외 후보'!L1001&lt;=2,'선정 규칙'!$B$10,IF('제외 후보'!L1001&lt;=2.5,'선정 규칙'!$B$11,IF('제외 후보'!L1001&lt;=3,'선정 규칙'!$B$12,IF('제외 후보'!L1001&lt;=3.5,'선정 규칙'!$B$13,IF('제외 후보'!L1001&gt;=4.5,'선정 규칙'!$B$14,0)))))))</x:f>
        <x:v>12</x:v>
      </x:c>
      <x:c r="F1001" s="11" t="n">
        <x:f>IF('제외 후보'!Y1001=0,'선정 규칙'!$B$15,IF('제외 후보'!Y1001&gt;=100,'선정 규칙'!$B$16,'선정 규칙'!$B$17))</x:f>
        <x:v>-25</x:v>
      </x:c>
      <x:c r="G1001" s="11" t="n">
        <x:f>IF('제외 후보'!M1001="있음",'선정 규칙'!$B$18,'선정 규칙'!$B$19)</x:f>
        <x:v>6</x:v>
      </x:c>
      <x:c r="H1001" s="11" t="n">
        <x:f>IF(ISNUMBER(SEARCH("freq-core",'제외 후보'!AD1001)),'선정 규칙'!$B$20,0)</x:f>
        <x:v>0</x:v>
      </x:c>
      <x:c r="I1001" s="11" t="n">
        <x:f>IF(ISNUMBER(SEARCH("weak_legacy_content",'제외 후보'!P1001)),'선정 규칙'!$B$21,0)</x:f>
        <x:v>5</x:v>
      </x:c>
      <x:c r="J1001" s="11" t="n">
        <x:f>IF('제외 후보'!AC1001&lt;&gt;"",'선정 규칙'!$B$22,0)</x:f>
        <x:v>0</x:v>
      </x:c>
      <x:c r="K1001" s="11" t="n">
        <x:f>SUM(B1001:J1001)</x:f>
        <x:v>-2</x:v>
      </x:c>
      <x:c r="L1001" s="11" t="n">
        <x:f>'제외 후보'!N1001</x:f>
        <x:v>-2</x:v>
      </x:c>
      <x:c r="M1001" s="2" t="str">
        <x:f>IF(K1001=L1001,"OK","MISMATCH")</x:f>
        <x:v>OK</x:v>
      </x:c>
    </x:row>
    <x:row r="1002">
      <x:c r="A1002" s="2" t="str">
        <x:f>'제외 후보'!G1002</x:f>
        <x:v>w_076d9f4f4dce14ac</x:v>
      </x:c>
      <x:c r="B1002" s="11" t="n">
        <x:f>IF('제외 후보'!Q1002&lt;&gt;"",'선정 규칙'!$B$4,0)</x:f>
        <x:v>0</x:v>
      </x:c>
      <x:c r="C1002" s="11" t="n">
        <x:f>IF(ISNUMBER(SEARCH("jmdict_uncommon_or_irregular",'제외 후보'!P1002)),'선정 규칙'!$B$5,IF(ISNUMBER(SEARCH("jmdict_rare_or_dated",'제외 후보'!P1002)),'선정 규칙'!$B$6,0))</x:f>
        <x:v>0</x:v>
      </x:c>
      <x:c r="D1002" s="11" t="n">
        <x:f>IF(ISNUMBER(SEARCH("jmdict_exact_pair_not_found",'제외 후보'!P1002)),'선정 규칙'!$B$7,0)</x:f>
        <x:v>0</x:v>
      </x:c>
      <x:c r="E1002" s="11" t="n">
        <x:f>IF(OR('제외 후보'!L1002="",'제외 후보'!L1002&lt;=0),'선정 규칙'!$B$8,IF('제외 후보'!L1002&lt;=1.5,'선정 규칙'!$B$9,IF('제외 후보'!L1002&lt;=2,'선정 규칙'!$B$10,IF('제외 후보'!L1002&lt;=2.5,'선정 규칙'!$B$11,IF('제외 후보'!L1002&lt;=3,'선정 규칙'!$B$12,IF('제외 후보'!L1002&lt;=3.5,'선정 규칙'!$B$13,IF('제외 후보'!L1002&gt;=4.5,'선정 규칙'!$B$14,0)))))))</x:f>
        <x:v>12</x:v>
      </x:c>
      <x:c r="F1002" s="11" t="n">
        <x:f>IF('제외 후보'!Y1002=0,'선정 규칙'!$B$15,IF('제외 후보'!Y1002&gt;=100,'선정 규칙'!$B$16,'선정 규칙'!$B$17))</x:f>
        <x:v>-25</x:v>
      </x:c>
      <x:c r="G1002" s="11" t="n">
        <x:f>IF('제외 후보'!M1002="있음",'선정 규칙'!$B$18,'선정 규칙'!$B$19)</x:f>
        <x:v>6</x:v>
      </x:c>
      <x:c r="H1002" s="11" t="n">
        <x:f>IF(ISNUMBER(SEARCH("freq-core",'제외 후보'!AD1002)),'선정 규칙'!$B$20,0)</x:f>
        <x:v>0</x:v>
      </x:c>
      <x:c r="I1002" s="11" t="n">
        <x:f>IF(ISNUMBER(SEARCH("weak_legacy_content",'제외 후보'!P1002)),'선정 규칙'!$B$21,0)</x:f>
        <x:v>5</x:v>
      </x:c>
      <x:c r="J1002" s="11" t="n">
        <x:f>IF('제외 후보'!AC1002&lt;&gt;"",'선정 규칙'!$B$22,0)</x:f>
        <x:v>0</x:v>
      </x:c>
      <x:c r="K1002" s="11" t="n">
        <x:f>SUM(B1002:J1002)</x:f>
        <x:v>-2</x:v>
      </x:c>
      <x:c r="L1002" s="11" t="n">
        <x:f>'제외 후보'!N1002</x:f>
        <x:v>-2</x:v>
      </x:c>
      <x:c r="M1002" s="2" t="str">
        <x:f>IF(K1002=L1002,"OK","MISMATCH")</x:f>
        <x:v>OK</x:v>
      </x:c>
    </x:row>
    <x:row r="1003">
      <x:c r="A1003" s="2" t="str">
        <x:f>'제외 후보'!G1003</x:f>
        <x:v>w_1e2a728f9fcabb4d</x:v>
      </x:c>
      <x:c r="B1003" s="11" t="n">
        <x:f>IF('제외 후보'!Q1003&lt;&gt;"",'선정 규칙'!$B$4,0)</x:f>
        <x:v>0</x:v>
      </x:c>
      <x:c r="C1003" s="11" t="n">
        <x:f>IF(ISNUMBER(SEARCH("jmdict_uncommon_or_irregular",'제외 후보'!P1003)),'선정 규칙'!$B$5,IF(ISNUMBER(SEARCH("jmdict_rare_or_dated",'제외 후보'!P1003)),'선정 규칙'!$B$6,0))</x:f>
        <x:v>0</x:v>
      </x:c>
      <x:c r="D1003" s="11" t="n">
        <x:f>IF(ISNUMBER(SEARCH("jmdict_exact_pair_not_found",'제외 후보'!P1003)),'선정 규칙'!$B$7,0)</x:f>
        <x:v>0</x:v>
      </x:c>
      <x:c r="E1003" s="11" t="n">
        <x:f>IF(OR('제외 후보'!L1003="",'제외 후보'!L1003&lt;=0),'선정 규칙'!$B$8,IF('제외 후보'!L1003&lt;=1.5,'선정 규칙'!$B$9,IF('제외 후보'!L1003&lt;=2,'선정 규칙'!$B$10,IF('제외 후보'!L1003&lt;=2.5,'선정 규칙'!$B$11,IF('제외 후보'!L1003&lt;=3,'선정 규칙'!$B$12,IF('제외 후보'!L1003&lt;=3.5,'선정 규칙'!$B$13,IF('제외 후보'!L1003&gt;=4.5,'선정 규칙'!$B$14,0)))))))</x:f>
        <x:v>12</x:v>
      </x:c>
      <x:c r="F1003" s="11" t="n">
        <x:f>IF('제외 후보'!Y1003=0,'선정 규칙'!$B$15,IF('제외 후보'!Y1003&gt;=100,'선정 규칙'!$B$16,'선정 규칙'!$B$17))</x:f>
        <x:v>-25</x:v>
      </x:c>
      <x:c r="G1003" s="11" t="n">
        <x:f>IF('제외 후보'!M1003="있음",'선정 규칙'!$B$18,'선정 규칙'!$B$19)</x:f>
        <x:v>6</x:v>
      </x:c>
      <x:c r="H1003" s="11" t="n">
        <x:f>IF(ISNUMBER(SEARCH("freq-core",'제외 후보'!AD1003)),'선정 규칙'!$B$20,0)</x:f>
        <x:v>0</x:v>
      </x:c>
      <x:c r="I1003" s="11" t="n">
        <x:f>IF(ISNUMBER(SEARCH("weak_legacy_content",'제외 후보'!P1003)),'선정 규칙'!$B$21,0)</x:f>
        <x:v>5</x:v>
      </x:c>
      <x:c r="J1003" s="11" t="n">
        <x:f>IF('제외 후보'!AC1003&lt;&gt;"",'선정 규칙'!$B$22,0)</x:f>
        <x:v>0</x:v>
      </x:c>
      <x:c r="K1003" s="11" t="n">
        <x:f>SUM(B1003:J1003)</x:f>
        <x:v>-2</x:v>
      </x:c>
      <x:c r="L1003" s="11" t="n">
        <x:f>'제외 후보'!N1003</x:f>
        <x:v>-2</x:v>
      </x:c>
      <x:c r="M1003" s="2" t="str">
        <x:f>IF(K1003=L1003,"OK","MISMATCH")</x:f>
        <x:v>OK</x:v>
      </x:c>
    </x:row>
    <x:row r="1004">
      <x:c r="A1004" s="2" t="str">
        <x:f>'제외 후보'!G1004</x:f>
        <x:v>w_6c180e630a91f293</x:v>
      </x:c>
      <x:c r="B1004" s="11" t="n">
        <x:f>IF('제외 후보'!Q1004&lt;&gt;"",'선정 규칙'!$B$4,0)</x:f>
        <x:v>0</x:v>
      </x:c>
      <x:c r="C1004" s="11" t="n">
        <x:f>IF(ISNUMBER(SEARCH("jmdict_uncommon_or_irregular",'제외 후보'!P1004)),'선정 규칙'!$B$5,IF(ISNUMBER(SEARCH("jmdict_rare_or_dated",'제외 후보'!P1004)),'선정 규칙'!$B$6,0))</x:f>
        <x:v>0</x:v>
      </x:c>
      <x:c r="D1004" s="11" t="n">
        <x:f>IF(ISNUMBER(SEARCH("jmdict_exact_pair_not_found",'제외 후보'!P1004)),'선정 규칙'!$B$7,0)</x:f>
        <x:v>0</x:v>
      </x:c>
      <x:c r="E1004" s="11" t="n">
        <x:f>IF(OR('제외 후보'!L1004="",'제외 후보'!L1004&lt;=0),'선정 규칙'!$B$8,IF('제외 후보'!L1004&lt;=1.5,'선정 규칙'!$B$9,IF('제외 후보'!L1004&lt;=2,'선정 규칙'!$B$10,IF('제외 후보'!L1004&lt;=2.5,'선정 규칙'!$B$11,IF('제외 후보'!L1004&lt;=3,'선정 규칙'!$B$12,IF('제외 후보'!L1004&lt;=3.5,'선정 규칙'!$B$13,IF('제외 후보'!L1004&gt;=4.5,'선정 규칙'!$B$14,0)))))))</x:f>
        <x:v>12</x:v>
      </x:c>
      <x:c r="F1004" s="11" t="n">
        <x:f>IF('제외 후보'!Y1004=0,'선정 규칙'!$B$15,IF('제외 후보'!Y1004&gt;=100,'선정 규칙'!$B$16,'선정 규칙'!$B$17))</x:f>
        <x:v>-25</x:v>
      </x:c>
      <x:c r="G1004" s="11" t="n">
        <x:f>IF('제외 후보'!M1004="있음",'선정 규칙'!$B$18,'선정 규칙'!$B$19)</x:f>
        <x:v>6</x:v>
      </x:c>
      <x:c r="H1004" s="11" t="n">
        <x:f>IF(ISNUMBER(SEARCH("freq-core",'제외 후보'!AD1004)),'선정 규칙'!$B$20,0)</x:f>
        <x:v>0</x:v>
      </x:c>
      <x:c r="I1004" s="11" t="n">
        <x:f>IF(ISNUMBER(SEARCH("weak_legacy_content",'제외 후보'!P1004)),'선정 규칙'!$B$21,0)</x:f>
        <x:v>5</x:v>
      </x:c>
      <x:c r="J1004" s="11" t="n">
        <x:f>IF('제외 후보'!AC1004&lt;&gt;"",'선정 규칙'!$B$22,0)</x:f>
        <x:v>0</x:v>
      </x:c>
      <x:c r="K1004" s="11" t="n">
        <x:f>SUM(B1004:J1004)</x:f>
        <x:v>-2</x:v>
      </x:c>
      <x:c r="L1004" s="11" t="n">
        <x:f>'제외 후보'!N1004</x:f>
        <x:v>-2</x:v>
      </x:c>
      <x:c r="M1004" s="2" t="str">
        <x:f>IF(K1004=L1004,"OK","MISMATCH")</x:f>
        <x:v>OK</x:v>
      </x:c>
    </x:row>
    <x:row r="1005">
      <x:c r="A1005" s="2" t="str">
        <x:f>'제외 후보'!G1005</x:f>
        <x:v>w_69f93eeaa41ca495</x:v>
      </x:c>
      <x:c r="B1005" s="11" t="n">
        <x:f>IF('제외 후보'!Q1005&lt;&gt;"",'선정 규칙'!$B$4,0)</x:f>
        <x:v>0</x:v>
      </x:c>
      <x:c r="C1005" s="11" t="n">
        <x:f>IF(ISNUMBER(SEARCH("jmdict_uncommon_or_irregular",'제외 후보'!P1005)),'선정 규칙'!$B$5,IF(ISNUMBER(SEARCH("jmdict_rare_or_dated",'제외 후보'!P1005)),'선정 규칙'!$B$6,0))</x:f>
        <x:v>0</x:v>
      </x:c>
      <x:c r="D1005" s="11" t="n">
        <x:f>IF(ISNUMBER(SEARCH("jmdict_exact_pair_not_found",'제외 후보'!P1005)),'선정 규칙'!$B$7,0)</x:f>
        <x:v>0</x:v>
      </x:c>
      <x:c r="E1005" s="11" t="n">
        <x:f>IF(OR('제외 후보'!L1005="",'제외 후보'!L1005&lt;=0),'선정 규칙'!$B$8,IF('제외 후보'!L1005&lt;=1.5,'선정 규칙'!$B$9,IF('제외 후보'!L1005&lt;=2,'선정 규칙'!$B$10,IF('제외 후보'!L1005&lt;=2.5,'선정 규칙'!$B$11,IF('제외 후보'!L1005&lt;=3,'선정 규칙'!$B$12,IF('제외 후보'!L1005&lt;=3.5,'선정 규칙'!$B$13,IF('제외 후보'!L1005&gt;=4.5,'선정 규칙'!$B$14,0)))))))</x:f>
        <x:v>12</x:v>
      </x:c>
      <x:c r="F1005" s="11" t="n">
        <x:f>IF('제외 후보'!Y1005=0,'선정 규칙'!$B$15,IF('제외 후보'!Y1005&gt;=100,'선정 규칙'!$B$16,'선정 규칙'!$B$17))</x:f>
        <x:v>-25</x:v>
      </x:c>
      <x:c r="G1005" s="11" t="n">
        <x:f>IF('제외 후보'!M1005="있음",'선정 규칙'!$B$18,'선정 규칙'!$B$19)</x:f>
        <x:v>6</x:v>
      </x:c>
      <x:c r="H1005" s="11" t="n">
        <x:f>IF(ISNUMBER(SEARCH("freq-core",'제외 후보'!AD1005)),'선정 규칙'!$B$20,0)</x:f>
        <x:v>0</x:v>
      </x:c>
      <x:c r="I1005" s="11" t="n">
        <x:f>IF(ISNUMBER(SEARCH("weak_legacy_content",'제외 후보'!P1005)),'선정 규칙'!$B$21,0)</x:f>
        <x:v>5</x:v>
      </x:c>
      <x:c r="J1005" s="11" t="n">
        <x:f>IF('제외 후보'!AC1005&lt;&gt;"",'선정 규칙'!$B$22,0)</x:f>
        <x:v>0</x:v>
      </x:c>
      <x:c r="K1005" s="11" t="n">
        <x:f>SUM(B1005:J1005)</x:f>
        <x:v>-2</x:v>
      </x:c>
      <x:c r="L1005" s="11" t="n">
        <x:f>'제외 후보'!N1005</x:f>
        <x:v>-2</x:v>
      </x:c>
      <x:c r="M1005" s="2" t="str">
        <x:f>IF(K1005=L1005,"OK","MISMATCH")</x:f>
        <x:v>OK</x:v>
      </x:c>
    </x:row>
    <x:row r="1006">
      <x:c r="A1006" s="2" t="str">
        <x:f>'제외 후보'!G1006</x:f>
        <x:v>w_8209d27b08704155</x:v>
      </x:c>
      <x:c r="B1006" s="11" t="n">
        <x:f>IF('제외 후보'!Q1006&lt;&gt;"",'선정 규칙'!$B$4,0)</x:f>
        <x:v>0</x:v>
      </x:c>
      <x:c r="C1006" s="11" t="n">
        <x:f>IF(ISNUMBER(SEARCH("jmdict_uncommon_or_irregular",'제외 후보'!P1006)),'선정 규칙'!$B$5,IF(ISNUMBER(SEARCH("jmdict_rare_or_dated",'제외 후보'!P1006)),'선정 규칙'!$B$6,0))</x:f>
        <x:v>0</x:v>
      </x:c>
      <x:c r="D1006" s="11" t="n">
        <x:f>IF(ISNUMBER(SEARCH("jmdict_exact_pair_not_found",'제외 후보'!P1006)),'선정 규칙'!$B$7,0)</x:f>
        <x:v>0</x:v>
      </x:c>
      <x:c r="E1006" s="11" t="n">
        <x:f>IF(OR('제외 후보'!L1006="",'제외 후보'!L1006&lt;=0),'선정 규칙'!$B$8,IF('제외 후보'!L1006&lt;=1.5,'선정 규칙'!$B$9,IF('제외 후보'!L1006&lt;=2,'선정 규칙'!$B$10,IF('제외 후보'!L1006&lt;=2.5,'선정 규칙'!$B$11,IF('제외 후보'!L1006&lt;=3,'선정 규칙'!$B$12,IF('제외 후보'!L1006&lt;=3.5,'선정 규칙'!$B$13,IF('제외 후보'!L1006&gt;=4.5,'선정 규칙'!$B$14,0)))))))</x:f>
        <x:v>12</x:v>
      </x:c>
      <x:c r="F1006" s="11" t="n">
        <x:f>IF('제외 후보'!Y1006=0,'선정 규칙'!$B$15,IF('제외 후보'!Y1006&gt;=100,'선정 규칙'!$B$16,'선정 규칙'!$B$17))</x:f>
        <x:v>-25</x:v>
      </x:c>
      <x:c r="G1006" s="11" t="n">
        <x:f>IF('제외 후보'!M1006="있음",'선정 규칙'!$B$18,'선정 규칙'!$B$19)</x:f>
        <x:v>6</x:v>
      </x:c>
      <x:c r="H1006" s="11" t="n">
        <x:f>IF(ISNUMBER(SEARCH("freq-core",'제외 후보'!AD1006)),'선정 규칙'!$B$20,0)</x:f>
        <x:v>0</x:v>
      </x:c>
      <x:c r="I1006" s="11" t="n">
        <x:f>IF(ISNUMBER(SEARCH("weak_legacy_content",'제외 후보'!P1006)),'선정 규칙'!$B$21,0)</x:f>
        <x:v>5</x:v>
      </x:c>
      <x:c r="J1006" s="11" t="n">
        <x:f>IF('제외 후보'!AC1006&lt;&gt;"",'선정 규칙'!$B$22,0)</x:f>
        <x:v>0</x:v>
      </x:c>
      <x:c r="K1006" s="11" t="n">
        <x:f>SUM(B1006:J1006)</x:f>
        <x:v>-2</x:v>
      </x:c>
      <x:c r="L1006" s="11" t="n">
        <x:f>'제외 후보'!N1006</x:f>
        <x:v>-2</x:v>
      </x:c>
      <x:c r="M1006" s="2" t="str">
        <x:f>IF(K1006=L1006,"OK","MISMATCH")</x:f>
        <x:v>OK</x:v>
      </x:c>
    </x:row>
    <x:row r="1007">
      <x:c r="A1007" s="2" t="str">
        <x:f>'제외 후보'!G1007</x:f>
        <x:v>w_b59c4e111c8e5426</x:v>
      </x:c>
      <x:c r="B1007" s="11" t="n">
        <x:f>IF('제외 후보'!Q1007&lt;&gt;"",'선정 규칙'!$B$4,0)</x:f>
        <x:v>0</x:v>
      </x:c>
      <x:c r="C1007" s="11" t="n">
        <x:f>IF(ISNUMBER(SEARCH("jmdict_uncommon_or_irregular",'제외 후보'!P1007)),'선정 규칙'!$B$5,IF(ISNUMBER(SEARCH("jmdict_rare_or_dated",'제외 후보'!P1007)),'선정 규칙'!$B$6,0))</x:f>
        <x:v>0</x:v>
      </x:c>
      <x:c r="D1007" s="11" t="n">
        <x:f>IF(ISNUMBER(SEARCH("jmdict_exact_pair_not_found",'제외 후보'!P1007)),'선정 규칙'!$B$7,0)</x:f>
        <x:v>0</x:v>
      </x:c>
      <x:c r="E1007" s="11" t="n">
        <x:f>IF(OR('제외 후보'!L1007="",'제외 후보'!L1007&lt;=0),'선정 규칙'!$B$8,IF('제외 후보'!L1007&lt;=1.5,'선정 규칙'!$B$9,IF('제외 후보'!L1007&lt;=2,'선정 규칙'!$B$10,IF('제외 후보'!L1007&lt;=2.5,'선정 규칙'!$B$11,IF('제외 후보'!L1007&lt;=3,'선정 규칙'!$B$12,IF('제외 후보'!L1007&lt;=3.5,'선정 규칙'!$B$13,IF('제외 후보'!L1007&gt;=4.5,'선정 규칙'!$B$14,0)))))))</x:f>
        <x:v>12</x:v>
      </x:c>
      <x:c r="F1007" s="11" t="n">
        <x:f>IF('제외 후보'!Y1007=0,'선정 규칙'!$B$15,IF('제외 후보'!Y1007&gt;=100,'선정 규칙'!$B$16,'선정 규칙'!$B$17))</x:f>
        <x:v>-25</x:v>
      </x:c>
      <x:c r="G1007" s="11" t="n">
        <x:f>IF('제외 후보'!M1007="있음",'선정 규칙'!$B$18,'선정 규칙'!$B$19)</x:f>
        <x:v>6</x:v>
      </x:c>
      <x:c r="H1007" s="11" t="n">
        <x:f>IF(ISNUMBER(SEARCH("freq-core",'제외 후보'!AD1007)),'선정 규칙'!$B$20,0)</x:f>
        <x:v>0</x:v>
      </x:c>
      <x:c r="I1007" s="11" t="n">
        <x:f>IF(ISNUMBER(SEARCH("weak_legacy_content",'제외 후보'!P1007)),'선정 규칙'!$B$21,0)</x:f>
        <x:v>5</x:v>
      </x:c>
      <x:c r="J1007" s="11" t="n">
        <x:f>IF('제외 후보'!AC1007&lt;&gt;"",'선정 규칙'!$B$22,0)</x:f>
        <x:v>0</x:v>
      </x:c>
      <x:c r="K1007" s="11" t="n">
        <x:f>SUM(B1007:J1007)</x:f>
        <x:v>-2</x:v>
      </x:c>
      <x:c r="L1007" s="11" t="n">
        <x:f>'제외 후보'!N1007</x:f>
        <x:v>-2</x:v>
      </x:c>
      <x:c r="M1007" s="2" t="str">
        <x:f>IF(K1007=L1007,"OK","MISMATCH")</x:f>
        <x:v>OK</x:v>
      </x:c>
    </x:row>
    <x:row r="1008">
      <x:c r="A1008" s="2" t="str">
        <x:f>'제외 후보'!G1008</x:f>
        <x:v>w_c61d08b46212d3f6</x:v>
      </x:c>
      <x:c r="B1008" s="11" t="n">
        <x:f>IF('제외 후보'!Q1008&lt;&gt;"",'선정 규칙'!$B$4,0)</x:f>
        <x:v>0</x:v>
      </x:c>
      <x:c r="C1008" s="11" t="n">
        <x:f>IF(ISNUMBER(SEARCH("jmdict_uncommon_or_irregular",'제외 후보'!P1008)),'선정 규칙'!$B$5,IF(ISNUMBER(SEARCH("jmdict_rare_or_dated",'제외 후보'!P1008)),'선정 규칙'!$B$6,0))</x:f>
        <x:v>0</x:v>
      </x:c>
      <x:c r="D1008" s="11" t="n">
        <x:f>IF(ISNUMBER(SEARCH("jmdict_exact_pair_not_found",'제외 후보'!P1008)),'선정 규칙'!$B$7,0)</x:f>
        <x:v>0</x:v>
      </x:c>
      <x:c r="E1008" s="11" t="n">
        <x:f>IF(OR('제외 후보'!L1008="",'제외 후보'!L1008&lt;=0),'선정 규칙'!$B$8,IF('제외 후보'!L1008&lt;=1.5,'선정 규칙'!$B$9,IF('제외 후보'!L1008&lt;=2,'선정 규칙'!$B$10,IF('제외 후보'!L1008&lt;=2.5,'선정 규칙'!$B$11,IF('제외 후보'!L1008&lt;=3,'선정 규칙'!$B$12,IF('제외 후보'!L1008&lt;=3.5,'선정 규칙'!$B$13,IF('제외 후보'!L1008&gt;=4.5,'선정 규칙'!$B$14,0)))))))</x:f>
        <x:v>12</x:v>
      </x:c>
      <x:c r="F1008" s="11" t="n">
        <x:f>IF('제외 후보'!Y1008=0,'선정 규칙'!$B$15,IF('제외 후보'!Y1008&gt;=100,'선정 규칙'!$B$16,'선정 규칙'!$B$17))</x:f>
        <x:v>-25</x:v>
      </x:c>
      <x:c r="G1008" s="11" t="n">
        <x:f>IF('제외 후보'!M1008="있음",'선정 규칙'!$B$18,'선정 규칙'!$B$19)</x:f>
        <x:v>6</x:v>
      </x:c>
      <x:c r="H1008" s="11" t="n">
        <x:f>IF(ISNUMBER(SEARCH("freq-core",'제외 후보'!AD1008)),'선정 규칙'!$B$20,0)</x:f>
        <x:v>0</x:v>
      </x:c>
      <x:c r="I1008" s="11" t="n">
        <x:f>IF(ISNUMBER(SEARCH("weak_legacy_content",'제외 후보'!P1008)),'선정 규칙'!$B$21,0)</x:f>
        <x:v>5</x:v>
      </x:c>
      <x:c r="J1008" s="11" t="n">
        <x:f>IF('제외 후보'!AC1008&lt;&gt;"",'선정 규칙'!$B$22,0)</x:f>
        <x:v>0</x:v>
      </x:c>
      <x:c r="K1008" s="11" t="n">
        <x:f>SUM(B1008:J1008)</x:f>
        <x:v>-2</x:v>
      </x:c>
      <x:c r="L1008" s="11" t="n">
        <x:f>'제외 후보'!N1008</x:f>
        <x:v>-2</x:v>
      </x:c>
      <x:c r="M1008" s="2" t="str">
        <x:f>IF(K1008=L1008,"OK","MISMATCH")</x:f>
        <x:v>OK</x:v>
      </x:c>
    </x:row>
    <x:row r="1009">
      <x:c r="A1009" s="2" t="str">
        <x:f>'제외 후보'!G1009</x:f>
        <x:v>w_f6a2e20f749791eb</x:v>
      </x:c>
      <x:c r="B1009" s="11" t="n">
        <x:f>IF('제외 후보'!Q1009&lt;&gt;"",'선정 규칙'!$B$4,0)</x:f>
        <x:v>0</x:v>
      </x:c>
      <x:c r="C1009" s="11" t="n">
        <x:f>IF(ISNUMBER(SEARCH("jmdict_uncommon_or_irregular",'제외 후보'!P1009)),'선정 규칙'!$B$5,IF(ISNUMBER(SEARCH("jmdict_rare_or_dated",'제외 후보'!P1009)),'선정 규칙'!$B$6,0))</x:f>
        <x:v>0</x:v>
      </x:c>
      <x:c r="D1009" s="11" t="n">
        <x:f>IF(ISNUMBER(SEARCH("jmdict_exact_pair_not_found",'제외 후보'!P1009)),'선정 규칙'!$B$7,0)</x:f>
        <x:v>0</x:v>
      </x:c>
      <x:c r="E1009" s="11" t="n">
        <x:f>IF(OR('제외 후보'!L1009="",'제외 후보'!L1009&lt;=0),'선정 규칙'!$B$8,IF('제외 후보'!L1009&lt;=1.5,'선정 규칙'!$B$9,IF('제외 후보'!L1009&lt;=2,'선정 규칙'!$B$10,IF('제외 후보'!L1009&lt;=2.5,'선정 규칙'!$B$11,IF('제외 후보'!L1009&lt;=3,'선정 규칙'!$B$12,IF('제외 후보'!L1009&lt;=3.5,'선정 규칙'!$B$13,IF('제외 후보'!L1009&gt;=4.5,'선정 규칙'!$B$14,0)))))))</x:f>
        <x:v>12</x:v>
      </x:c>
      <x:c r="F1009" s="11" t="n">
        <x:f>IF('제외 후보'!Y1009=0,'선정 규칙'!$B$15,IF('제외 후보'!Y1009&gt;=100,'선정 규칙'!$B$16,'선정 규칙'!$B$17))</x:f>
        <x:v>-25</x:v>
      </x:c>
      <x:c r="G1009" s="11" t="n">
        <x:f>IF('제외 후보'!M1009="있음",'선정 규칙'!$B$18,'선정 규칙'!$B$19)</x:f>
        <x:v>6</x:v>
      </x:c>
      <x:c r="H1009" s="11" t="n">
        <x:f>IF(ISNUMBER(SEARCH("freq-core",'제외 후보'!AD1009)),'선정 규칙'!$B$20,0)</x:f>
        <x:v>0</x:v>
      </x:c>
      <x:c r="I1009" s="11" t="n">
        <x:f>IF(ISNUMBER(SEARCH("weak_legacy_content",'제외 후보'!P1009)),'선정 규칙'!$B$21,0)</x:f>
        <x:v>5</x:v>
      </x:c>
      <x:c r="J1009" s="11" t="n">
        <x:f>IF('제외 후보'!AC1009&lt;&gt;"",'선정 규칙'!$B$22,0)</x:f>
        <x:v>0</x:v>
      </x:c>
      <x:c r="K1009" s="11" t="n">
        <x:f>SUM(B1009:J1009)</x:f>
        <x:v>-2</x:v>
      </x:c>
      <x:c r="L1009" s="11" t="n">
        <x:f>'제외 후보'!N1009</x:f>
        <x:v>-2</x:v>
      </x:c>
      <x:c r="M1009" s="2" t="str">
        <x:f>IF(K1009=L1009,"OK","MISMATCH")</x:f>
        <x:v>OK</x:v>
      </x:c>
    </x:row>
    <x:row r="1010">
      <x:c r="A1010" s="2" t="str">
        <x:f>'제외 후보'!G1010</x:f>
        <x:v>w_941cab42122d160a</x:v>
      </x:c>
      <x:c r="B1010" s="11" t="n">
        <x:f>IF('제외 후보'!Q1010&lt;&gt;"",'선정 규칙'!$B$4,0)</x:f>
        <x:v>0</x:v>
      </x:c>
      <x:c r="C1010" s="11" t="n">
        <x:f>IF(ISNUMBER(SEARCH("jmdict_uncommon_or_irregular",'제외 후보'!P1010)),'선정 규칙'!$B$5,IF(ISNUMBER(SEARCH("jmdict_rare_or_dated",'제외 후보'!P1010)),'선정 규칙'!$B$6,0))</x:f>
        <x:v>0</x:v>
      </x:c>
      <x:c r="D1010" s="11" t="n">
        <x:f>IF(ISNUMBER(SEARCH("jmdict_exact_pair_not_found",'제외 후보'!P1010)),'선정 규칙'!$B$7,0)</x:f>
        <x:v>0</x:v>
      </x:c>
      <x:c r="E1010" s="11" t="n">
        <x:f>IF(OR('제외 후보'!L1010="",'제외 후보'!L1010&lt;=0),'선정 규칙'!$B$8,IF('제외 후보'!L1010&lt;=1.5,'선정 규칙'!$B$9,IF('제외 후보'!L1010&lt;=2,'선정 규칙'!$B$10,IF('제외 후보'!L1010&lt;=2.5,'선정 규칙'!$B$11,IF('제외 후보'!L1010&lt;=3,'선정 규칙'!$B$12,IF('제외 후보'!L1010&lt;=3.5,'선정 규칙'!$B$13,IF('제외 후보'!L1010&gt;=4.5,'선정 규칙'!$B$14,0)))))))</x:f>
        <x:v>12</x:v>
      </x:c>
      <x:c r="F1010" s="11" t="n">
        <x:f>IF('제외 후보'!Y1010=0,'선정 규칙'!$B$15,IF('제외 후보'!Y1010&gt;=100,'선정 규칙'!$B$16,'선정 규칙'!$B$17))</x:f>
        <x:v>-25</x:v>
      </x:c>
      <x:c r="G1010" s="11" t="n">
        <x:f>IF('제외 후보'!M1010="있음",'선정 규칙'!$B$18,'선정 규칙'!$B$19)</x:f>
        <x:v>6</x:v>
      </x:c>
      <x:c r="H1010" s="11" t="n">
        <x:f>IF(ISNUMBER(SEARCH("freq-core",'제외 후보'!AD1010)),'선정 규칙'!$B$20,0)</x:f>
        <x:v>0</x:v>
      </x:c>
      <x:c r="I1010" s="11" t="n">
        <x:f>IF(ISNUMBER(SEARCH("weak_legacy_content",'제외 후보'!P1010)),'선정 규칙'!$B$21,0)</x:f>
        <x:v>5</x:v>
      </x:c>
      <x:c r="J1010" s="11" t="n">
        <x:f>IF('제외 후보'!AC1010&lt;&gt;"",'선정 규칙'!$B$22,0)</x:f>
        <x:v>0</x:v>
      </x:c>
      <x:c r="K1010" s="11" t="n">
        <x:f>SUM(B1010:J1010)</x:f>
        <x:v>-2</x:v>
      </x:c>
      <x:c r="L1010" s="11" t="n">
        <x:f>'제외 후보'!N1010</x:f>
        <x:v>-2</x:v>
      </x:c>
      <x:c r="M1010" s="2" t="str">
        <x:f>IF(K1010=L1010,"OK","MISMATCH")</x:f>
        <x:v>OK</x:v>
      </x:c>
    </x:row>
    <x:row r="1011">
      <x:c r="A1011" s="2" t="str">
        <x:f>'제외 후보'!G1011</x:f>
        <x:v>w_0def2704e8a8e772</x:v>
      </x:c>
      <x:c r="B1011" s="11" t="n">
        <x:f>IF('제외 후보'!Q1011&lt;&gt;"",'선정 규칙'!$B$4,0)</x:f>
        <x:v>0</x:v>
      </x:c>
      <x:c r="C1011" s="11" t="n">
        <x:f>IF(ISNUMBER(SEARCH("jmdict_uncommon_or_irregular",'제외 후보'!P1011)),'선정 규칙'!$B$5,IF(ISNUMBER(SEARCH("jmdict_rare_or_dated",'제외 후보'!P1011)),'선정 규칙'!$B$6,0))</x:f>
        <x:v>0</x:v>
      </x:c>
      <x:c r="D1011" s="11" t="n">
        <x:f>IF(ISNUMBER(SEARCH("jmdict_exact_pair_not_found",'제외 후보'!P1011)),'선정 규칙'!$B$7,0)</x:f>
        <x:v>0</x:v>
      </x:c>
      <x:c r="E1011" s="11" t="n">
        <x:f>IF(OR('제외 후보'!L1011="",'제외 후보'!L1011&lt;=0),'선정 규칙'!$B$8,IF('제외 후보'!L1011&lt;=1.5,'선정 규칙'!$B$9,IF('제외 후보'!L1011&lt;=2,'선정 규칙'!$B$10,IF('제외 후보'!L1011&lt;=2.5,'선정 규칙'!$B$11,IF('제외 후보'!L1011&lt;=3,'선정 규칙'!$B$12,IF('제외 후보'!L1011&lt;=3.5,'선정 규칙'!$B$13,IF('제외 후보'!L1011&gt;=4.5,'선정 규칙'!$B$14,0)))))))</x:f>
        <x:v>12</x:v>
      </x:c>
      <x:c r="F1011" s="11" t="n">
        <x:f>IF('제외 후보'!Y1011=0,'선정 규칙'!$B$15,IF('제외 후보'!Y1011&gt;=100,'선정 규칙'!$B$16,'선정 규칙'!$B$17))</x:f>
        <x:v>-25</x:v>
      </x:c>
      <x:c r="G1011" s="11" t="n">
        <x:f>IF('제외 후보'!M1011="있음",'선정 규칙'!$B$18,'선정 규칙'!$B$19)</x:f>
        <x:v>6</x:v>
      </x:c>
      <x:c r="H1011" s="11" t="n">
        <x:f>IF(ISNUMBER(SEARCH("freq-core",'제외 후보'!AD1011)),'선정 규칙'!$B$20,0)</x:f>
        <x:v>0</x:v>
      </x:c>
      <x:c r="I1011" s="11" t="n">
        <x:f>IF(ISNUMBER(SEARCH("weak_legacy_content",'제외 후보'!P1011)),'선정 규칙'!$B$21,0)</x:f>
        <x:v>5</x:v>
      </x:c>
      <x:c r="J1011" s="11" t="n">
        <x:f>IF('제외 후보'!AC1011&lt;&gt;"",'선정 규칙'!$B$22,0)</x:f>
        <x:v>0</x:v>
      </x:c>
      <x:c r="K1011" s="11" t="n">
        <x:f>SUM(B1011:J1011)</x:f>
        <x:v>-2</x:v>
      </x:c>
      <x:c r="L1011" s="11" t="n">
        <x:f>'제외 후보'!N1011</x:f>
        <x:v>-2</x:v>
      </x:c>
      <x:c r="M1011" s="2" t="str">
        <x:f>IF(K1011=L1011,"OK","MISMATCH")</x:f>
        <x:v>OK</x:v>
      </x:c>
    </x:row>
    <x:row r="1012">
      <x:c r="A1012" s="2" t="str">
        <x:f>'제외 후보'!G1012</x:f>
        <x:v>w_353a93fcbb7c13d6</x:v>
      </x:c>
      <x:c r="B1012" s="11" t="n">
        <x:f>IF('제외 후보'!Q1012&lt;&gt;"",'선정 규칙'!$B$4,0)</x:f>
        <x:v>0</x:v>
      </x:c>
      <x:c r="C1012" s="11" t="n">
        <x:f>IF(ISNUMBER(SEARCH("jmdict_uncommon_or_irregular",'제외 후보'!P1012)),'선정 규칙'!$B$5,IF(ISNUMBER(SEARCH("jmdict_rare_or_dated",'제외 후보'!P1012)),'선정 규칙'!$B$6,0))</x:f>
        <x:v>0</x:v>
      </x:c>
      <x:c r="D1012" s="11" t="n">
        <x:f>IF(ISNUMBER(SEARCH("jmdict_exact_pair_not_found",'제외 후보'!P1012)),'선정 규칙'!$B$7,0)</x:f>
        <x:v>0</x:v>
      </x:c>
      <x:c r="E1012" s="11" t="n">
        <x:f>IF(OR('제외 후보'!L1012="",'제외 후보'!L1012&lt;=0),'선정 규칙'!$B$8,IF('제외 후보'!L1012&lt;=1.5,'선정 규칙'!$B$9,IF('제외 후보'!L1012&lt;=2,'선정 규칙'!$B$10,IF('제외 후보'!L1012&lt;=2.5,'선정 규칙'!$B$11,IF('제외 후보'!L1012&lt;=3,'선정 규칙'!$B$12,IF('제외 후보'!L1012&lt;=3.5,'선정 규칙'!$B$13,IF('제외 후보'!L1012&gt;=4.5,'선정 규칙'!$B$14,0)))))))</x:f>
        <x:v>12</x:v>
      </x:c>
      <x:c r="F1012" s="11" t="n">
        <x:f>IF('제외 후보'!Y1012=0,'선정 규칙'!$B$15,IF('제외 후보'!Y1012&gt;=100,'선정 규칙'!$B$16,'선정 규칙'!$B$17))</x:f>
        <x:v>-25</x:v>
      </x:c>
      <x:c r="G1012" s="11" t="n">
        <x:f>IF('제외 후보'!M1012="있음",'선정 규칙'!$B$18,'선정 규칙'!$B$19)</x:f>
        <x:v>6</x:v>
      </x:c>
      <x:c r="H1012" s="11" t="n">
        <x:f>IF(ISNUMBER(SEARCH("freq-core",'제외 후보'!AD1012)),'선정 규칙'!$B$20,0)</x:f>
        <x:v>0</x:v>
      </x:c>
      <x:c r="I1012" s="11" t="n">
        <x:f>IF(ISNUMBER(SEARCH("weak_legacy_content",'제외 후보'!P1012)),'선정 규칙'!$B$21,0)</x:f>
        <x:v>5</x:v>
      </x:c>
      <x:c r="J1012" s="11" t="n">
        <x:f>IF('제외 후보'!AC1012&lt;&gt;"",'선정 규칙'!$B$22,0)</x:f>
        <x:v>0</x:v>
      </x:c>
      <x:c r="K1012" s="11" t="n">
        <x:f>SUM(B1012:J1012)</x:f>
        <x:v>-2</x:v>
      </x:c>
      <x:c r="L1012" s="11" t="n">
        <x:f>'제외 후보'!N1012</x:f>
        <x:v>-2</x:v>
      </x:c>
      <x:c r="M1012" s="2" t="str">
        <x:f>IF(K1012=L1012,"OK","MISMATCH")</x:f>
        <x:v>OK</x:v>
      </x:c>
    </x:row>
    <x:row r="1013">
      <x:c r="A1013" s="2" t="str">
        <x:f>'제외 후보'!G1013</x:f>
        <x:v>w_3a75b395a770a603</x:v>
      </x:c>
      <x:c r="B1013" s="11" t="n">
        <x:f>IF('제외 후보'!Q1013&lt;&gt;"",'선정 규칙'!$B$4,0)</x:f>
        <x:v>0</x:v>
      </x:c>
      <x:c r="C1013" s="11" t="n">
        <x:f>IF(ISNUMBER(SEARCH("jmdict_uncommon_or_irregular",'제외 후보'!P1013)),'선정 규칙'!$B$5,IF(ISNUMBER(SEARCH("jmdict_rare_or_dated",'제외 후보'!P1013)),'선정 규칙'!$B$6,0))</x:f>
        <x:v>0</x:v>
      </x:c>
      <x:c r="D1013" s="11" t="n">
        <x:f>IF(ISNUMBER(SEARCH("jmdict_exact_pair_not_found",'제외 후보'!P1013)),'선정 규칙'!$B$7,0)</x:f>
        <x:v>0</x:v>
      </x:c>
      <x:c r="E1013" s="11" t="n">
        <x:f>IF(OR('제외 후보'!L1013="",'제외 후보'!L1013&lt;=0),'선정 규칙'!$B$8,IF('제외 후보'!L1013&lt;=1.5,'선정 규칙'!$B$9,IF('제외 후보'!L1013&lt;=2,'선정 규칙'!$B$10,IF('제외 후보'!L1013&lt;=2.5,'선정 규칙'!$B$11,IF('제외 후보'!L1013&lt;=3,'선정 규칙'!$B$12,IF('제외 후보'!L1013&lt;=3.5,'선정 규칙'!$B$13,IF('제외 후보'!L1013&gt;=4.5,'선정 규칙'!$B$14,0)))))))</x:f>
        <x:v>12</x:v>
      </x:c>
      <x:c r="F1013" s="11" t="n">
        <x:f>IF('제외 후보'!Y1013=0,'선정 규칙'!$B$15,IF('제외 후보'!Y1013&gt;=100,'선정 규칙'!$B$16,'선정 규칙'!$B$17))</x:f>
        <x:v>-25</x:v>
      </x:c>
      <x:c r="G1013" s="11" t="n">
        <x:f>IF('제외 후보'!M1013="있음",'선정 규칙'!$B$18,'선정 규칙'!$B$19)</x:f>
        <x:v>6</x:v>
      </x:c>
      <x:c r="H1013" s="11" t="n">
        <x:f>IF(ISNUMBER(SEARCH("freq-core",'제외 후보'!AD1013)),'선정 규칙'!$B$20,0)</x:f>
        <x:v>0</x:v>
      </x:c>
      <x:c r="I1013" s="11" t="n">
        <x:f>IF(ISNUMBER(SEARCH("weak_legacy_content",'제외 후보'!P1013)),'선정 규칙'!$B$21,0)</x:f>
        <x:v>5</x:v>
      </x:c>
      <x:c r="J1013" s="11" t="n">
        <x:f>IF('제외 후보'!AC1013&lt;&gt;"",'선정 규칙'!$B$22,0)</x:f>
        <x:v>0</x:v>
      </x:c>
      <x:c r="K1013" s="11" t="n">
        <x:f>SUM(B1013:J1013)</x:f>
        <x:v>-2</x:v>
      </x:c>
      <x:c r="L1013" s="11" t="n">
        <x:f>'제외 후보'!N1013</x:f>
        <x:v>-2</x:v>
      </x:c>
      <x:c r="M1013" s="2" t="str">
        <x:f>IF(K1013=L1013,"OK","MISMATCH")</x:f>
        <x:v>OK</x:v>
      </x:c>
    </x:row>
    <x:row r="1014">
      <x:c r="A1014" s="2" t="str">
        <x:f>'제외 후보'!G1014</x:f>
        <x:v>w_0beeafd0189a47d8</x:v>
      </x:c>
      <x:c r="B1014" s="11" t="n">
        <x:f>IF('제외 후보'!Q1014&lt;&gt;"",'선정 규칙'!$B$4,0)</x:f>
        <x:v>0</x:v>
      </x:c>
      <x:c r="C1014" s="11" t="n">
        <x:f>IF(ISNUMBER(SEARCH("jmdict_uncommon_or_irregular",'제외 후보'!P1014)),'선정 규칙'!$B$5,IF(ISNUMBER(SEARCH("jmdict_rare_or_dated",'제외 후보'!P1014)),'선정 규칙'!$B$6,0))</x:f>
        <x:v>0</x:v>
      </x:c>
      <x:c r="D1014" s="11" t="n">
        <x:f>IF(ISNUMBER(SEARCH("jmdict_exact_pair_not_found",'제외 후보'!P1014)),'선정 규칙'!$B$7,0)</x:f>
        <x:v>0</x:v>
      </x:c>
      <x:c r="E1014" s="11" t="n">
        <x:f>IF(OR('제외 후보'!L1014="",'제외 후보'!L1014&lt;=0),'선정 규칙'!$B$8,IF('제외 후보'!L1014&lt;=1.5,'선정 규칙'!$B$9,IF('제외 후보'!L1014&lt;=2,'선정 규칙'!$B$10,IF('제외 후보'!L1014&lt;=2.5,'선정 규칙'!$B$11,IF('제외 후보'!L1014&lt;=3,'선정 규칙'!$B$12,IF('제외 후보'!L1014&lt;=3.5,'선정 규칙'!$B$13,IF('제외 후보'!L1014&gt;=4.5,'선정 규칙'!$B$14,0)))))))</x:f>
        <x:v>12</x:v>
      </x:c>
      <x:c r="F1014" s="11" t="n">
        <x:f>IF('제외 후보'!Y1014=0,'선정 규칙'!$B$15,IF('제외 후보'!Y1014&gt;=100,'선정 규칙'!$B$16,'선정 규칙'!$B$17))</x:f>
        <x:v>-25</x:v>
      </x:c>
      <x:c r="G1014" s="11" t="n">
        <x:f>IF('제외 후보'!M1014="있음",'선정 규칙'!$B$18,'선정 규칙'!$B$19)</x:f>
        <x:v>6</x:v>
      </x:c>
      <x:c r="H1014" s="11" t="n">
        <x:f>IF(ISNUMBER(SEARCH("freq-core",'제외 후보'!AD1014)),'선정 규칙'!$B$20,0)</x:f>
        <x:v>0</x:v>
      </x:c>
      <x:c r="I1014" s="11" t="n">
        <x:f>IF(ISNUMBER(SEARCH("weak_legacy_content",'제외 후보'!P1014)),'선정 규칙'!$B$21,0)</x:f>
        <x:v>5</x:v>
      </x:c>
      <x:c r="J1014" s="11" t="n">
        <x:f>IF('제외 후보'!AC1014&lt;&gt;"",'선정 규칙'!$B$22,0)</x:f>
        <x:v>0</x:v>
      </x:c>
      <x:c r="K1014" s="11" t="n">
        <x:f>SUM(B1014:J1014)</x:f>
        <x:v>-2</x:v>
      </x:c>
      <x:c r="L1014" s="11" t="n">
        <x:f>'제외 후보'!N1014</x:f>
        <x:v>-2</x:v>
      </x:c>
      <x:c r="M1014" s="2" t="str">
        <x:f>IF(K1014=L1014,"OK","MISMATCH")</x:f>
        <x:v>OK</x:v>
      </x:c>
    </x:row>
    <x:row r="1015">
      <x:c r="A1015" s="2" t="str">
        <x:f>'제외 후보'!G1015</x:f>
        <x:v>w_6e944754268c9b91</x:v>
      </x:c>
      <x:c r="B1015" s="11" t="n">
        <x:f>IF('제외 후보'!Q1015&lt;&gt;"",'선정 규칙'!$B$4,0)</x:f>
        <x:v>0</x:v>
      </x:c>
      <x:c r="C1015" s="11" t="n">
        <x:f>IF(ISNUMBER(SEARCH("jmdict_uncommon_or_irregular",'제외 후보'!P1015)),'선정 규칙'!$B$5,IF(ISNUMBER(SEARCH("jmdict_rare_or_dated",'제외 후보'!P1015)),'선정 규칙'!$B$6,0))</x:f>
        <x:v>0</x:v>
      </x:c>
      <x:c r="D1015" s="11" t="n">
        <x:f>IF(ISNUMBER(SEARCH("jmdict_exact_pair_not_found",'제외 후보'!P1015)),'선정 규칙'!$B$7,0)</x:f>
        <x:v>0</x:v>
      </x:c>
      <x:c r="E1015" s="11" t="n">
        <x:f>IF(OR('제외 후보'!L1015="",'제외 후보'!L1015&lt;=0),'선정 규칙'!$B$8,IF('제외 후보'!L1015&lt;=1.5,'선정 규칙'!$B$9,IF('제외 후보'!L1015&lt;=2,'선정 규칙'!$B$10,IF('제외 후보'!L1015&lt;=2.5,'선정 규칙'!$B$11,IF('제외 후보'!L1015&lt;=3,'선정 규칙'!$B$12,IF('제외 후보'!L1015&lt;=3.5,'선정 규칙'!$B$13,IF('제외 후보'!L1015&gt;=4.5,'선정 규칙'!$B$14,0)))))))</x:f>
        <x:v>12</x:v>
      </x:c>
      <x:c r="F1015" s="11" t="n">
        <x:f>IF('제외 후보'!Y1015=0,'선정 규칙'!$B$15,IF('제외 후보'!Y1015&gt;=100,'선정 규칙'!$B$16,'선정 규칙'!$B$17))</x:f>
        <x:v>-25</x:v>
      </x:c>
      <x:c r="G1015" s="11" t="n">
        <x:f>IF('제외 후보'!M1015="있음",'선정 규칙'!$B$18,'선정 규칙'!$B$19)</x:f>
        <x:v>6</x:v>
      </x:c>
      <x:c r="H1015" s="11" t="n">
        <x:f>IF(ISNUMBER(SEARCH("freq-core",'제외 후보'!AD1015)),'선정 규칙'!$B$20,0)</x:f>
        <x:v>0</x:v>
      </x:c>
      <x:c r="I1015" s="11" t="n">
        <x:f>IF(ISNUMBER(SEARCH("weak_legacy_content",'제외 후보'!P1015)),'선정 규칙'!$B$21,0)</x:f>
        <x:v>5</x:v>
      </x:c>
      <x:c r="J1015" s="11" t="n">
        <x:f>IF('제외 후보'!AC1015&lt;&gt;"",'선정 규칙'!$B$22,0)</x:f>
        <x:v>0</x:v>
      </x:c>
      <x:c r="K1015" s="11" t="n">
        <x:f>SUM(B1015:J1015)</x:f>
        <x:v>-2</x:v>
      </x:c>
      <x:c r="L1015" s="11" t="n">
        <x:f>'제외 후보'!N1015</x:f>
        <x:v>-2</x:v>
      </x:c>
      <x:c r="M1015" s="2" t="str">
        <x:f>IF(K1015=L1015,"OK","MISMATCH")</x:f>
        <x:v>OK</x:v>
      </x:c>
    </x:row>
    <x:row r="1016">
      <x:c r="A1016" s="2" t="str">
        <x:f>'제외 후보'!G1016</x:f>
        <x:v>w_ec5c1b86798fb7c1</x:v>
      </x:c>
      <x:c r="B1016" s="11" t="n">
        <x:f>IF('제외 후보'!Q1016&lt;&gt;"",'선정 규칙'!$B$4,0)</x:f>
        <x:v>0</x:v>
      </x:c>
      <x:c r="C1016" s="11" t="n">
        <x:f>IF(ISNUMBER(SEARCH("jmdict_uncommon_or_irregular",'제외 후보'!P1016)),'선정 규칙'!$B$5,IF(ISNUMBER(SEARCH("jmdict_rare_or_dated",'제외 후보'!P1016)),'선정 규칙'!$B$6,0))</x:f>
        <x:v>0</x:v>
      </x:c>
      <x:c r="D1016" s="11" t="n">
        <x:f>IF(ISNUMBER(SEARCH("jmdict_exact_pair_not_found",'제외 후보'!P1016)),'선정 규칙'!$B$7,0)</x:f>
        <x:v>0</x:v>
      </x:c>
      <x:c r="E1016" s="11" t="n">
        <x:f>IF(OR('제외 후보'!L1016="",'제외 후보'!L1016&lt;=0),'선정 규칙'!$B$8,IF('제외 후보'!L1016&lt;=1.5,'선정 규칙'!$B$9,IF('제외 후보'!L1016&lt;=2,'선정 규칙'!$B$10,IF('제외 후보'!L1016&lt;=2.5,'선정 규칙'!$B$11,IF('제외 후보'!L1016&lt;=3,'선정 규칙'!$B$12,IF('제외 후보'!L1016&lt;=3.5,'선정 규칙'!$B$13,IF('제외 후보'!L1016&gt;=4.5,'선정 규칙'!$B$14,0)))))))</x:f>
        <x:v>12</x:v>
      </x:c>
      <x:c r="F1016" s="11" t="n">
        <x:f>IF('제외 후보'!Y1016=0,'선정 규칙'!$B$15,IF('제외 후보'!Y1016&gt;=100,'선정 규칙'!$B$16,'선정 규칙'!$B$17))</x:f>
        <x:v>-25</x:v>
      </x:c>
      <x:c r="G1016" s="11" t="n">
        <x:f>IF('제외 후보'!M1016="있음",'선정 규칙'!$B$18,'선정 규칙'!$B$19)</x:f>
        <x:v>6</x:v>
      </x:c>
      <x:c r="H1016" s="11" t="n">
        <x:f>IF(ISNUMBER(SEARCH("freq-core",'제외 후보'!AD1016)),'선정 규칙'!$B$20,0)</x:f>
        <x:v>0</x:v>
      </x:c>
      <x:c r="I1016" s="11" t="n">
        <x:f>IF(ISNUMBER(SEARCH("weak_legacy_content",'제외 후보'!P1016)),'선정 규칙'!$B$21,0)</x:f>
        <x:v>5</x:v>
      </x:c>
      <x:c r="J1016" s="11" t="n">
        <x:f>IF('제외 후보'!AC1016&lt;&gt;"",'선정 규칙'!$B$22,0)</x:f>
        <x:v>0</x:v>
      </x:c>
      <x:c r="K1016" s="11" t="n">
        <x:f>SUM(B1016:J1016)</x:f>
        <x:v>-2</x:v>
      </x:c>
      <x:c r="L1016" s="11" t="n">
        <x:f>'제외 후보'!N1016</x:f>
        <x:v>-2</x:v>
      </x:c>
      <x:c r="M1016" s="2" t="str">
        <x:f>IF(K1016=L1016,"OK","MISMATCH")</x:f>
        <x:v>OK</x:v>
      </x:c>
    </x:row>
    <x:row r="1017">
      <x:c r="A1017" s="2" t="str">
        <x:f>'제외 후보'!G1017</x:f>
        <x:v>w_9484300c5113a170</x:v>
      </x:c>
      <x:c r="B1017" s="11" t="n">
        <x:f>IF('제외 후보'!Q1017&lt;&gt;"",'선정 규칙'!$B$4,0)</x:f>
        <x:v>0</x:v>
      </x:c>
      <x:c r="C1017" s="11" t="n">
        <x:f>IF(ISNUMBER(SEARCH("jmdict_uncommon_or_irregular",'제외 후보'!P1017)),'선정 규칙'!$B$5,IF(ISNUMBER(SEARCH("jmdict_rare_or_dated",'제외 후보'!P1017)),'선정 규칙'!$B$6,0))</x:f>
        <x:v>0</x:v>
      </x:c>
      <x:c r="D1017" s="11" t="n">
        <x:f>IF(ISNUMBER(SEARCH("jmdict_exact_pair_not_found",'제외 후보'!P1017)),'선정 규칙'!$B$7,0)</x:f>
        <x:v>0</x:v>
      </x:c>
      <x:c r="E1017" s="11" t="n">
        <x:f>IF(OR('제외 후보'!L1017="",'제외 후보'!L1017&lt;=0),'선정 규칙'!$B$8,IF('제외 후보'!L1017&lt;=1.5,'선정 규칙'!$B$9,IF('제외 후보'!L1017&lt;=2,'선정 규칙'!$B$10,IF('제외 후보'!L1017&lt;=2.5,'선정 규칙'!$B$11,IF('제외 후보'!L1017&lt;=3,'선정 규칙'!$B$12,IF('제외 후보'!L1017&lt;=3.5,'선정 규칙'!$B$13,IF('제외 후보'!L1017&gt;=4.5,'선정 규칙'!$B$14,0)))))))</x:f>
        <x:v>12</x:v>
      </x:c>
      <x:c r="F1017" s="11" t="n">
        <x:f>IF('제외 후보'!Y1017=0,'선정 규칙'!$B$15,IF('제외 후보'!Y1017&gt;=100,'선정 규칙'!$B$16,'선정 규칙'!$B$17))</x:f>
        <x:v>-25</x:v>
      </x:c>
      <x:c r="G1017" s="11" t="n">
        <x:f>IF('제외 후보'!M1017="있음",'선정 규칙'!$B$18,'선정 규칙'!$B$19)</x:f>
        <x:v>6</x:v>
      </x:c>
      <x:c r="H1017" s="11" t="n">
        <x:f>IF(ISNUMBER(SEARCH("freq-core",'제외 후보'!AD1017)),'선정 규칙'!$B$20,0)</x:f>
        <x:v>0</x:v>
      </x:c>
      <x:c r="I1017" s="11" t="n">
        <x:f>IF(ISNUMBER(SEARCH("weak_legacy_content",'제외 후보'!P1017)),'선정 규칙'!$B$21,0)</x:f>
        <x:v>5</x:v>
      </x:c>
      <x:c r="J1017" s="11" t="n">
        <x:f>IF('제외 후보'!AC1017&lt;&gt;"",'선정 규칙'!$B$22,0)</x:f>
        <x:v>0</x:v>
      </x:c>
      <x:c r="K1017" s="11" t="n">
        <x:f>SUM(B1017:J1017)</x:f>
        <x:v>-2</x:v>
      </x:c>
      <x:c r="L1017" s="11" t="n">
        <x:f>'제외 후보'!N1017</x:f>
        <x:v>-2</x:v>
      </x:c>
      <x:c r="M1017" s="2" t="str">
        <x:f>IF(K1017=L1017,"OK","MISMATCH")</x:f>
        <x:v>OK</x:v>
      </x:c>
    </x:row>
    <x:row r="1018">
      <x:c r="A1018" s="2" t="str">
        <x:f>'제외 후보'!G1018</x:f>
        <x:v>w_b69f8cd19581f34a</x:v>
      </x:c>
      <x:c r="B1018" s="11" t="n">
        <x:f>IF('제외 후보'!Q1018&lt;&gt;"",'선정 규칙'!$B$4,0)</x:f>
        <x:v>0</x:v>
      </x:c>
      <x:c r="C1018" s="11" t="n">
        <x:f>IF(ISNUMBER(SEARCH("jmdict_uncommon_or_irregular",'제외 후보'!P1018)),'선정 규칙'!$B$5,IF(ISNUMBER(SEARCH("jmdict_rare_or_dated",'제외 후보'!P1018)),'선정 규칙'!$B$6,0))</x:f>
        <x:v>0</x:v>
      </x:c>
      <x:c r="D1018" s="11" t="n">
        <x:f>IF(ISNUMBER(SEARCH("jmdict_exact_pair_not_found",'제외 후보'!P1018)),'선정 규칙'!$B$7,0)</x:f>
        <x:v>0</x:v>
      </x:c>
      <x:c r="E1018" s="11" t="n">
        <x:f>IF(OR('제외 후보'!L1018="",'제외 후보'!L1018&lt;=0),'선정 규칙'!$B$8,IF('제외 후보'!L1018&lt;=1.5,'선정 규칙'!$B$9,IF('제외 후보'!L1018&lt;=2,'선정 규칙'!$B$10,IF('제외 후보'!L1018&lt;=2.5,'선정 규칙'!$B$11,IF('제외 후보'!L1018&lt;=3,'선정 규칙'!$B$12,IF('제외 후보'!L1018&lt;=3.5,'선정 규칙'!$B$13,IF('제외 후보'!L1018&gt;=4.5,'선정 규칙'!$B$14,0)))))))</x:f>
        <x:v>12</x:v>
      </x:c>
      <x:c r="F1018" s="11" t="n">
        <x:f>IF('제외 후보'!Y1018=0,'선정 규칙'!$B$15,IF('제외 후보'!Y1018&gt;=100,'선정 규칙'!$B$16,'선정 규칙'!$B$17))</x:f>
        <x:v>-25</x:v>
      </x:c>
      <x:c r="G1018" s="11" t="n">
        <x:f>IF('제외 후보'!M1018="있음",'선정 규칙'!$B$18,'선정 규칙'!$B$19)</x:f>
        <x:v>6</x:v>
      </x:c>
      <x:c r="H1018" s="11" t="n">
        <x:f>IF(ISNUMBER(SEARCH("freq-core",'제외 후보'!AD1018)),'선정 규칙'!$B$20,0)</x:f>
        <x:v>0</x:v>
      </x:c>
      <x:c r="I1018" s="11" t="n">
        <x:f>IF(ISNUMBER(SEARCH("weak_legacy_content",'제외 후보'!P1018)),'선정 규칙'!$B$21,0)</x:f>
        <x:v>5</x:v>
      </x:c>
      <x:c r="J1018" s="11" t="n">
        <x:f>IF('제외 후보'!AC1018&lt;&gt;"",'선정 규칙'!$B$22,0)</x:f>
        <x:v>0</x:v>
      </x:c>
      <x:c r="K1018" s="11" t="n">
        <x:f>SUM(B1018:J1018)</x:f>
        <x:v>-2</x:v>
      </x:c>
      <x:c r="L1018" s="11" t="n">
        <x:f>'제외 후보'!N1018</x:f>
        <x:v>-2</x:v>
      </x:c>
      <x:c r="M1018" s="2" t="str">
        <x:f>IF(K1018=L1018,"OK","MISMATCH")</x:f>
        <x:v>OK</x:v>
      </x:c>
    </x:row>
    <x:row r="1019">
      <x:c r="A1019" s="2" t="str">
        <x:f>'제외 후보'!G1019</x:f>
        <x:v>w_d3d86f4ea708b113</x:v>
      </x:c>
      <x:c r="B1019" s="11" t="n">
        <x:f>IF('제외 후보'!Q1019&lt;&gt;"",'선정 규칙'!$B$4,0)</x:f>
        <x:v>0</x:v>
      </x:c>
      <x:c r="C1019" s="11" t="n">
        <x:f>IF(ISNUMBER(SEARCH("jmdict_uncommon_or_irregular",'제외 후보'!P1019)),'선정 규칙'!$B$5,IF(ISNUMBER(SEARCH("jmdict_rare_or_dated",'제외 후보'!P1019)),'선정 규칙'!$B$6,0))</x:f>
        <x:v>0</x:v>
      </x:c>
      <x:c r="D1019" s="11" t="n">
        <x:f>IF(ISNUMBER(SEARCH("jmdict_exact_pair_not_found",'제외 후보'!P1019)),'선정 규칙'!$B$7,0)</x:f>
        <x:v>0</x:v>
      </x:c>
      <x:c r="E1019" s="11" t="n">
        <x:f>IF(OR('제외 후보'!L1019="",'제외 후보'!L1019&lt;=0),'선정 규칙'!$B$8,IF('제외 후보'!L1019&lt;=1.5,'선정 규칙'!$B$9,IF('제외 후보'!L1019&lt;=2,'선정 규칙'!$B$10,IF('제외 후보'!L1019&lt;=2.5,'선정 규칙'!$B$11,IF('제외 후보'!L1019&lt;=3,'선정 규칙'!$B$12,IF('제외 후보'!L1019&lt;=3.5,'선정 규칙'!$B$13,IF('제외 후보'!L1019&gt;=4.5,'선정 규칙'!$B$14,0)))))))</x:f>
        <x:v>12</x:v>
      </x:c>
      <x:c r="F1019" s="11" t="n">
        <x:f>IF('제외 후보'!Y1019=0,'선정 규칙'!$B$15,IF('제외 후보'!Y1019&gt;=100,'선정 규칙'!$B$16,'선정 규칙'!$B$17))</x:f>
        <x:v>-25</x:v>
      </x:c>
      <x:c r="G1019" s="11" t="n">
        <x:f>IF('제외 후보'!M1019="있음",'선정 규칙'!$B$18,'선정 규칙'!$B$19)</x:f>
        <x:v>6</x:v>
      </x:c>
      <x:c r="H1019" s="11" t="n">
        <x:f>IF(ISNUMBER(SEARCH("freq-core",'제외 후보'!AD1019)),'선정 규칙'!$B$20,0)</x:f>
        <x:v>0</x:v>
      </x:c>
      <x:c r="I1019" s="11" t="n">
        <x:f>IF(ISNUMBER(SEARCH("weak_legacy_content",'제외 후보'!P1019)),'선정 규칙'!$B$21,0)</x:f>
        <x:v>5</x:v>
      </x:c>
      <x:c r="J1019" s="11" t="n">
        <x:f>IF('제외 후보'!AC1019&lt;&gt;"",'선정 규칙'!$B$22,0)</x:f>
        <x:v>0</x:v>
      </x:c>
      <x:c r="K1019" s="11" t="n">
        <x:f>SUM(B1019:J1019)</x:f>
        <x:v>-2</x:v>
      </x:c>
      <x:c r="L1019" s="11" t="n">
        <x:f>'제외 후보'!N1019</x:f>
        <x:v>-2</x:v>
      </x:c>
      <x:c r="M1019" s="2" t="str">
        <x:f>IF(K1019=L1019,"OK","MISMATCH")</x:f>
        <x:v>OK</x:v>
      </x:c>
    </x:row>
    <x:row r="1020">
      <x:c r="A1020" s="2" t="str">
        <x:f>'제외 후보'!G1020</x:f>
        <x:v>w_9222afcf72d2af72</x:v>
      </x:c>
      <x:c r="B1020" s="11" t="n">
        <x:f>IF('제외 후보'!Q1020&lt;&gt;"",'선정 규칙'!$B$4,0)</x:f>
        <x:v>0</x:v>
      </x:c>
      <x:c r="C1020" s="11" t="n">
        <x:f>IF(ISNUMBER(SEARCH("jmdict_uncommon_or_irregular",'제외 후보'!P1020)),'선정 규칙'!$B$5,IF(ISNUMBER(SEARCH("jmdict_rare_or_dated",'제외 후보'!P1020)),'선정 규칙'!$B$6,0))</x:f>
        <x:v>0</x:v>
      </x:c>
      <x:c r="D1020" s="11" t="n">
        <x:f>IF(ISNUMBER(SEARCH("jmdict_exact_pair_not_found",'제외 후보'!P1020)),'선정 규칙'!$B$7,0)</x:f>
        <x:v>0</x:v>
      </x:c>
      <x:c r="E1020" s="11" t="n">
        <x:f>IF(OR('제외 후보'!L1020="",'제외 후보'!L1020&lt;=0),'선정 규칙'!$B$8,IF('제외 후보'!L1020&lt;=1.5,'선정 규칙'!$B$9,IF('제외 후보'!L1020&lt;=2,'선정 규칙'!$B$10,IF('제외 후보'!L1020&lt;=2.5,'선정 규칙'!$B$11,IF('제외 후보'!L1020&lt;=3,'선정 규칙'!$B$12,IF('제외 후보'!L1020&lt;=3.5,'선정 규칙'!$B$13,IF('제외 후보'!L1020&gt;=4.5,'선정 규칙'!$B$14,0)))))))</x:f>
        <x:v>12</x:v>
      </x:c>
      <x:c r="F1020" s="11" t="n">
        <x:f>IF('제외 후보'!Y1020=0,'선정 규칙'!$B$15,IF('제외 후보'!Y1020&gt;=100,'선정 규칙'!$B$16,'선정 규칙'!$B$17))</x:f>
        <x:v>-25</x:v>
      </x:c>
      <x:c r="G1020" s="11" t="n">
        <x:f>IF('제외 후보'!M1020="있음",'선정 규칙'!$B$18,'선정 규칙'!$B$19)</x:f>
        <x:v>6</x:v>
      </x:c>
      <x:c r="H1020" s="11" t="n">
        <x:f>IF(ISNUMBER(SEARCH("freq-core",'제외 후보'!AD1020)),'선정 규칙'!$B$20,0)</x:f>
        <x:v>0</x:v>
      </x:c>
      <x:c r="I1020" s="11" t="n">
        <x:f>IF(ISNUMBER(SEARCH("weak_legacy_content",'제외 후보'!P1020)),'선정 규칙'!$B$21,0)</x:f>
        <x:v>5</x:v>
      </x:c>
      <x:c r="J1020" s="11" t="n">
        <x:f>IF('제외 후보'!AC1020&lt;&gt;"",'선정 규칙'!$B$22,0)</x:f>
        <x:v>0</x:v>
      </x:c>
      <x:c r="K1020" s="11" t="n">
        <x:f>SUM(B1020:J1020)</x:f>
        <x:v>-2</x:v>
      </x:c>
      <x:c r="L1020" s="11" t="n">
        <x:f>'제외 후보'!N1020</x:f>
        <x:v>-2</x:v>
      </x:c>
      <x:c r="M1020" s="2" t="str">
        <x:f>IF(K1020=L1020,"OK","MISMATCH")</x:f>
        <x:v>OK</x:v>
      </x:c>
    </x:row>
    <x:row r="1021">
      <x:c r="A1021" s="2" t="str">
        <x:f>'제외 후보'!G1021</x:f>
        <x:v>w_08f82cfeac877a86</x:v>
      </x:c>
      <x:c r="B1021" s="11" t="n">
        <x:f>IF('제외 후보'!Q1021&lt;&gt;"",'선정 규칙'!$B$4,0)</x:f>
        <x:v>0</x:v>
      </x:c>
      <x:c r="C1021" s="11" t="n">
        <x:f>IF(ISNUMBER(SEARCH("jmdict_uncommon_or_irregular",'제외 후보'!P1021)),'선정 규칙'!$B$5,IF(ISNUMBER(SEARCH("jmdict_rare_or_dated",'제외 후보'!P1021)),'선정 규칙'!$B$6,0))</x:f>
        <x:v>0</x:v>
      </x:c>
      <x:c r="D1021" s="11" t="n">
        <x:f>IF(ISNUMBER(SEARCH("jmdict_exact_pair_not_found",'제외 후보'!P1021)),'선정 규칙'!$B$7,0)</x:f>
        <x:v>0</x:v>
      </x:c>
      <x:c r="E1021" s="11" t="n">
        <x:f>IF(OR('제외 후보'!L1021="",'제외 후보'!L1021&lt;=0),'선정 규칙'!$B$8,IF('제외 후보'!L1021&lt;=1.5,'선정 규칙'!$B$9,IF('제외 후보'!L1021&lt;=2,'선정 규칙'!$B$10,IF('제외 후보'!L1021&lt;=2.5,'선정 규칙'!$B$11,IF('제외 후보'!L1021&lt;=3,'선정 규칙'!$B$12,IF('제외 후보'!L1021&lt;=3.5,'선정 규칙'!$B$13,IF('제외 후보'!L1021&gt;=4.5,'선정 규칙'!$B$14,0)))))))</x:f>
        <x:v>12</x:v>
      </x:c>
      <x:c r="F1021" s="11" t="n">
        <x:f>IF('제외 후보'!Y1021=0,'선정 규칙'!$B$15,IF('제외 후보'!Y1021&gt;=100,'선정 규칙'!$B$16,'선정 규칙'!$B$17))</x:f>
        <x:v>-25</x:v>
      </x:c>
      <x:c r="G1021" s="11" t="n">
        <x:f>IF('제외 후보'!M1021="있음",'선정 규칙'!$B$18,'선정 규칙'!$B$19)</x:f>
        <x:v>6</x:v>
      </x:c>
      <x:c r="H1021" s="11" t="n">
        <x:f>IF(ISNUMBER(SEARCH("freq-core",'제외 후보'!AD1021)),'선정 규칙'!$B$20,0)</x:f>
        <x:v>0</x:v>
      </x:c>
      <x:c r="I1021" s="11" t="n">
        <x:f>IF(ISNUMBER(SEARCH("weak_legacy_content",'제외 후보'!P1021)),'선정 규칙'!$B$21,0)</x:f>
        <x:v>5</x:v>
      </x:c>
      <x:c r="J1021" s="11" t="n">
        <x:f>IF('제외 후보'!AC1021&lt;&gt;"",'선정 규칙'!$B$22,0)</x:f>
        <x:v>0</x:v>
      </x:c>
      <x:c r="K1021" s="11" t="n">
        <x:f>SUM(B1021:J1021)</x:f>
        <x:v>-2</x:v>
      </x:c>
      <x:c r="L1021" s="11" t="n">
        <x:f>'제외 후보'!N1021</x:f>
        <x:v>-2</x:v>
      </x:c>
      <x:c r="M1021" s="2" t="str">
        <x:f>IF(K1021=L1021,"OK","MISMATCH")</x:f>
        <x:v>OK</x:v>
      </x:c>
    </x:row>
    <x:row r="1022">
      <x:c r="A1022" s="2" t="str">
        <x:f>'제외 후보'!G1022</x:f>
        <x:v>w_fe2ae196b88c474f</x:v>
      </x:c>
      <x:c r="B1022" s="11" t="n">
        <x:f>IF('제외 후보'!Q1022&lt;&gt;"",'선정 규칙'!$B$4,0)</x:f>
        <x:v>0</x:v>
      </x:c>
      <x:c r="C1022" s="11" t="n">
        <x:f>IF(ISNUMBER(SEARCH("jmdict_uncommon_or_irregular",'제외 후보'!P1022)),'선정 규칙'!$B$5,IF(ISNUMBER(SEARCH("jmdict_rare_or_dated",'제외 후보'!P1022)),'선정 규칙'!$B$6,0))</x:f>
        <x:v>0</x:v>
      </x:c>
      <x:c r="D1022" s="11" t="n">
        <x:f>IF(ISNUMBER(SEARCH("jmdict_exact_pair_not_found",'제외 후보'!P1022)),'선정 규칙'!$B$7,0)</x:f>
        <x:v>0</x:v>
      </x:c>
      <x:c r="E1022" s="11" t="n">
        <x:f>IF(OR('제외 후보'!L1022="",'제외 후보'!L1022&lt;=0),'선정 규칙'!$B$8,IF('제외 후보'!L1022&lt;=1.5,'선정 규칙'!$B$9,IF('제외 후보'!L1022&lt;=2,'선정 규칙'!$B$10,IF('제외 후보'!L1022&lt;=2.5,'선정 규칙'!$B$11,IF('제외 후보'!L1022&lt;=3,'선정 규칙'!$B$12,IF('제외 후보'!L1022&lt;=3.5,'선정 규칙'!$B$13,IF('제외 후보'!L1022&gt;=4.5,'선정 규칙'!$B$14,0)))))))</x:f>
        <x:v>12</x:v>
      </x:c>
      <x:c r="F1022" s="11" t="n">
        <x:f>IF('제외 후보'!Y1022=0,'선정 규칙'!$B$15,IF('제외 후보'!Y1022&gt;=100,'선정 규칙'!$B$16,'선정 규칙'!$B$17))</x:f>
        <x:v>-25</x:v>
      </x:c>
      <x:c r="G1022" s="11" t="n">
        <x:f>IF('제외 후보'!M1022="있음",'선정 규칙'!$B$18,'선정 규칙'!$B$19)</x:f>
        <x:v>6</x:v>
      </x:c>
      <x:c r="H1022" s="11" t="n">
        <x:f>IF(ISNUMBER(SEARCH("freq-core",'제외 후보'!AD1022)),'선정 규칙'!$B$20,0)</x:f>
        <x:v>0</x:v>
      </x:c>
      <x:c r="I1022" s="11" t="n">
        <x:f>IF(ISNUMBER(SEARCH("weak_legacy_content",'제외 후보'!P1022)),'선정 규칙'!$B$21,0)</x:f>
        <x:v>5</x:v>
      </x:c>
      <x:c r="J1022" s="11" t="n">
        <x:f>IF('제외 후보'!AC1022&lt;&gt;"",'선정 규칙'!$B$22,0)</x:f>
        <x:v>0</x:v>
      </x:c>
      <x:c r="K1022" s="11" t="n">
        <x:f>SUM(B1022:J1022)</x:f>
        <x:v>-2</x:v>
      </x:c>
      <x:c r="L1022" s="11" t="n">
        <x:f>'제외 후보'!N1022</x:f>
        <x:v>-2</x:v>
      </x:c>
      <x:c r="M1022" s="2" t="str">
        <x:f>IF(K1022=L1022,"OK","MISMATCH")</x:f>
        <x:v>OK</x:v>
      </x:c>
    </x:row>
    <x:row r="1023">
      <x:c r="A1023" s="2" t="str">
        <x:f>'제외 후보'!G1023</x:f>
        <x:v>w_0dc7924b50348485</x:v>
      </x:c>
      <x:c r="B1023" s="11" t="n">
        <x:f>IF('제외 후보'!Q1023&lt;&gt;"",'선정 규칙'!$B$4,0)</x:f>
        <x:v>0</x:v>
      </x:c>
      <x:c r="C1023" s="11" t="n">
        <x:f>IF(ISNUMBER(SEARCH("jmdict_uncommon_or_irregular",'제외 후보'!P1023)),'선정 규칙'!$B$5,IF(ISNUMBER(SEARCH("jmdict_rare_or_dated",'제외 후보'!P1023)),'선정 규칙'!$B$6,0))</x:f>
        <x:v>0</x:v>
      </x:c>
      <x:c r="D1023" s="11" t="n">
        <x:f>IF(ISNUMBER(SEARCH("jmdict_exact_pair_not_found",'제외 후보'!P1023)),'선정 규칙'!$B$7,0)</x:f>
        <x:v>0</x:v>
      </x:c>
      <x:c r="E1023" s="11" t="n">
        <x:f>IF(OR('제외 후보'!L1023="",'제외 후보'!L1023&lt;=0),'선정 규칙'!$B$8,IF('제외 후보'!L1023&lt;=1.5,'선정 규칙'!$B$9,IF('제외 후보'!L1023&lt;=2,'선정 규칙'!$B$10,IF('제외 후보'!L1023&lt;=2.5,'선정 규칙'!$B$11,IF('제외 후보'!L1023&lt;=3,'선정 규칙'!$B$12,IF('제외 후보'!L1023&lt;=3.5,'선정 규칙'!$B$13,IF('제외 후보'!L1023&gt;=4.5,'선정 규칙'!$B$14,0)))))))</x:f>
        <x:v>12</x:v>
      </x:c>
      <x:c r="F1023" s="11" t="n">
        <x:f>IF('제외 후보'!Y1023=0,'선정 규칙'!$B$15,IF('제외 후보'!Y1023&gt;=100,'선정 규칙'!$B$16,'선정 규칙'!$B$17))</x:f>
        <x:v>-25</x:v>
      </x:c>
      <x:c r="G1023" s="11" t="n">
        <x:f>IF('제외 후보'!M1023="있음",'선정 규칙'!$B$18,'선정 규칙'!$B$19)</x:f>
        <x:v>6</x:v>
      </x:c>
      <x:c r="H1023" s="11" t="n">
        <x:f>IF(ISNUMBER(SEARCH("freq-core",'제외 후보'!AD1023)),'선정 규칙'!$B$20,0)</x:f>
        <x:v>0</x:v>
      </x:c>
      <x:c r="I1023" s="11" t="n">
        <x:f>IF(ISNUMBER(SEARCH("weak_legacy_content",'제외 후보'!P1023)),'선정 규칙'!$B$21,0)</x:f>
        <x:v>5</x:v>
      </x:c>
      <x:c r="J1023" s="11" t="n">
        <x:f>IF('제외 후보'!AC1023&lt;&gt;"",'선정 규칙'!$B$22,0)</x:f>
        <x:v>0</x:v>
      </x:c>
      <x:c r="K1023" s="11" t="n">
        <x:f>SUM(B1023:J1023)</x:f>
        <x:v>-2</x:v>
      </x:c>
      <x:c r="L1023" s="11" t="n">
        <x:f>'제외 후보'!N1023</x:f>
        <x:v>-2</x:v>
      </x:c>
      <x:c r="M1023" s="2" t="str">
        <x:f>IF(K1023=L1023,"OK","MISMATCH")</x:f>
        <x:v>OK</x:v>
      </x:c>
    </x:row>
    <x:row r="1024">
      <x:c r="A1024" s="2" t="str">
        <x:f>'제외 후보'!G1024</x:f>
        <x:v>w_35f57cc9ec210e3a</x:v>
      </x:c>
      <x:c r="B1024" s="11" t="n">
        <x:f>IF('제외 후보'!Q1024&lt;&gt;"",'선정 규칙'!$B$4,0)</x:f>
        <x:v>0</x:v>
      </x:c>
      <x:c r="C1024" s="11" t="n">
        <x:f>IF(ISNUMBER(SEARCH("jmdict_uncommon_or_irregular",'제외 후보'!P1024)),'선정 규칙'!$B$5,IF(ISNUMBER(SEARCH("jmdict_rare_or_dated",'제외 후보'!P1024)),'선정 규칙'!$B$6,0))</x:f>
        <x:v>0</x:v>
      </x:c>
      <x:c r="D1024" s="11" t="n">
        <x:f>IF(ISNUMBER(SEARCH("jmdict_exact_pair_not_found",'제외 후보'!P1024)),'선정 규칙'!$B$7,0)</x:f>
        <x:v>0</x:v>
      </x:c>
      <x:c r="E1024" s="11" t="n">
        <x:f>IF(OR('제외 후보'!L1024="",'제외 후보'!L1024&lt;=0),'선정 규칙'!$B$8,IF('제외 후보'!L1024&lt;=1.5,'선정 규칙'!$B$9,IF('제외 후보'!L1024&lt;=2,'선정 규칙'!$B$10,IF('제외 후보'!L1024&lt;=2.5,'선정 규칙'!$B$11,IF('제외 후보'!L1024&lt;=3,'선정 규칙'!$B$12,IF('제외 후보'!L1024&lt;=3.5,'선정 규칙'!$B$13,IF('제외 후보'!L1024&gt;=4.5,'선정 규칙'!$B$14,0)))))))</x:f>
        <x:v>12</x:v>
      </x:c>
      <x:c r="F1024" s="11" t="n">
        <x:f>IF('제외 후보'!Y1024=0,'선정 규칙'!$B$15,IF('제외 후보'!Y1024&gt;=100,'선정 규칙'!$B$16,'선정 규칙'!$B$17))</x:f>
        <x:v>-25</x:v>
      </x:c>
      <x:c r="G1024" s="11" t="n">
        <x:f>IF('제외 후보'!M1024="있음",'선정 규칙'!$B$18,'선정 규칙'!$B$19)</x:f>
        <x:v>6</x:v>
      </x:c>
      <x:c r="H1024" s="11" t="n">
        <x:f>IF(ISNUMBER(SEARCH("freq-core",'제외 후보'!AD1024)),'선정 규칙'!$B$20,0)</x:f>
        <x:v>0</x:v>
      </x:c>
      <x:c r="I1024" s="11" t="n">
        <x:f>IF(ISNUMBER(SEARCH("weak_legacy_content",'제외 후보'!P1024)),'선정 규칙'!$B$21,0)</x:f>
        <x:v>5</x:v>
      </x:c>
      <x:c r="J1024" s="11" t="n">
        <x:f>IF('제외 후보'!AC1024&lt;&gt;"",'선정 규칙'!$B$22,0)</x:f>
        <x:v>0</x:v>
      </x:c>
      <x:c r="K1024" s="11" t="n">
        <x:f>SUM(B1024:J1024)</x:f>
        <x:v>-2</x:v>
      </x:c>
      <x:c r="L1024" s="11" t="n">
        <x:f>'제외 후보'!N1024</x:f>
        <x:v>-2</x:v>
      </x:c>
      <x:c r="M1024" s="2" t="str">
        <x:f>IF(K1024=L1024,"OK","MISMATCH")</x:f>
        <x:v>OK</x:v>
      </x:c>
    </x:row>
    <x:row r="1025">
      <x:c r="A1025" s="2" t="str">
        <x:f>'제외 후보'!G1025</x:f>
        <x:v>w_d947a0c1f9392a00</x:v>
      </x:c>
      <x:c r="B1025" s="11" t="n">
        <x:f>IF('제외 후보'!Q1025&lt;&gt;"",'선정 규칙'!$B$4,0)</x:f>
        <x:v>0</x:v>
      </x:c>
      <x:c r="C1025" s="11" t="n">
        <x:f>IF(ISNUMBER(SEARCH("jmdict_uncommon_or_irregular",'제외 후보'!P1025)),'선정 규칙'!$B$5,IF(ISNUMBER(SEARCH("jmdict_rare_or_dated",'제외 후보'!P1025)),'선정 규칙'!$B$6,0))</x:f>
        <x:v>0</x:v>
      </x:c>
      <x:c r="D1025" s="11" t="n">
        <x:f>IF(ISNUMBER(SEARCH("jmdict_exact_pair_not_found",'제외 후보'!P1025)),'선정 규칙'!$B$7,0)</x:f>
        <x:v>0</x:v>
      </x:c>
      <x:c r="E1025" s="11" t="n">
        <x:f>IF(OR('제외 후보'!L1025="",'제외 후보'!L1025&lt;=0),'선정 규칙'!$B$8,IF('제외 후보'!L1025&lt;=1.5,'선정 규칙'!$B$9,IF('제외 후보'!L1025&lt;=2,'선정 규칙'!$B$10,IF('제외 후보'!L1025&lt;=2.5,'선정 규칙'!$B$11,IF('제외 후보'!L1025&lt;=3,'선정 규칙'!$B$12,IF('제외 후보'!L1025&lt;=3.5,'선정 규칙'!$B$13,IF('제외 후보'!L1025&gt;=4.5,'선정 규칙'!$B$14,0)))))))</x:f>
        <x:v>12</x:v>
      </x:c>
      <x:c r="F1025" s="11" t="n">
        <x:f>IF('제외 후보'!Y1025=0,'선정 규칙'!$B$15,IF('제외 후보'!Y1025&gt;=100,'선정 규칙'!$B$16,'선정 규칙'!$B$17))</x:f>
        <x:v>-25</x:v>
      </x:c>
      <x:c r="G1025" s="11" t="n">
        <x:f>IF('제외 후보'!M1025="있음",'선정 규칙'!$B$18,'선정 규칙'!$B$19)</x:f>
        <x:v>6</x:v>
      </x:c>
      <x:c r="H1025" s="11" t="n">
        <x:f>IF(ISNUMBER(SEARCH("freq-core",'제외 후보'!AD1025)),'선정 규칙'!$B$20,0)</x:f>
        <x:v>0</x:v>
      </x:c>
      <x:c r="I1025" s="11" t="n">
        <x:f>IF(ISNUMBER(SEARCH("weak_legacy_content",'제외 후보'!P1025)),'선정 규칙'!$B$21,0)</x:f>
        <x:v>5</x:v>
      </x:c>
      <x:c r="J1025" s="11" t="n">
        <x:f>IF('제외 후보'!AC1025&lt;&gt;"",'선정 규칙'!$B$22,0)</x:f>
        <x:v>0</x:v>
      </x:c>
      <x:c r="K1025" s="11" t="n">
        <x:f>SUM(B1025:J1025)</x:f>
        <x:v>-2</x:v>
      </x:c>
      <x:c r="L1025" s="11" t="n">
        <x:f>'제외 후보'!N1025</x:f>
        <x:v>-2</x:v>
      </x:c>
      <x:c r="M1025" s="2" t="str">
        <x:f>IF(K1025=L1025,"OK","MISMATCH")</x:f>
        <x:v>OK</x:v>
      </x:c>
    </x:row>
    <x:row r="1026">
      <x:c r="A1026" s="2" t="str">
        <x:f>'제외 후보'!G1026</x:f>
        <x:v>w_fcafb921f6e24a77</x:v>
      </x:c>
      <x:c r="B1026" s="11" t="n">
        <x:f>IF('제외 후보'!Q1026&lt;&gt;"",'선정 규칙'!$B$4,0)</x:f>
        <x:v>0</x:v>
      </x:c>
      <x:c r="C1026" s="11" t="n">
        <x:f>IF(ISNUMBER(SEARCH("jmdict_uncommon_or_irregular",'제외 후보'!P1026)),'선정 규칙'!$B$5,IF(ISNUMBER(SEARCH("jmdict_rare_or_dated",'제외 후보'!P1026)),'선정 규칙'!$B$6,0))</x:f>
        <x:v>0</x:v>
      </x:c>
      <x:c r="D1026" s="11" t="n">
        <x:f>IF(ISNUMBER(SEARCH("jmdict_exact_pair_not_found",'제외 후보'!P1026)),'선정 규칙'!$B$7,0)</x:f>
        <x:v>0</x:v>
      </x:c>
      <x:c r="E1026" s="11" t="n">
        <x:f>IF(OR('제외 후보'!L1026="",'제외 후보'!L1026&lt;=0),'선정 규칙'!$B$8,IF('제외 후보'!L1026&lt;=1.5,'선정 규칙'!$B$9,IF('제외 후보'!L1026&lt;=2,'선정 규칙'!$B$10,IF('제외 후보'!L1026&lt;=2.5,'선정 규칙'!$B$11,IF('제외 후보'!L1026&lt;=3,'선정 규칙'!$B$12,IF('제외 후보'!L1026&lt;=3.5,'선정 규칙'!$B$13,IF('제외 후보'!L1026&gt;=4.5,'선정 규칙'!$B$14,0)))))))</x:f>
        <x:v>12</x:v>
      </x:c>
      <x:c r="F1026" s="11" t="n">
        <x:f>IF('제외 후보'!Y1026=0,'선정 규칙'!$B$15,IF('제외 후보'!Y1026&gt;=100,'선정 규칙'!$B$16,'선정 규칙'!$B$17))</x:f>
        <x:v>-25</x:v>
      </x:c>
      <x:c r="G1026" s="11" t="n">
        <x:f>IF('제외 후보'!M1026="있음",'선정 규칙'!$B$18,'선정 규칙'!$B$19)</x:f>
        <x:v>6</x:v>
      </x:c>
      <x:c r="H1026" s="11" t="n">
        <x:f>IF(ISNUMBER(SEARCH("freq-core",'제외 후보'!AD1026)),'선정 규칙'!$B$20,0)</x:f>
        <x:v>0</x:v>
      </x:c>
      <x:c r="I1026" s="11" t="n">
        <x:f>IF(ISNUMBER(SEARCH("weak_legacy_content",'제외 후보'!P1026)),'선정 규칙'!$B$21,0)</x:f>
        <x:v>5</x:v>
      </x:c>
      <x:c r="J1026" s="11" t="n">
        <x:f>IF('제외 후보'!AC1026&lt;&gt;"",'선정 규칙'!$B$22,0)</x:f>
        <x:v>0</x:v>
      </x:c>
      <x:c r="K1026" s="11" t="n">
        <x:f>SUM(B1026:J1026)</x:f>
        <x:v>-2</x:v>
      </x:c>
      <x:c r="L1026" s="11" t="n">
        <x:f>'제외 후보'!N1026</x:f>
        <x:v>-2</x:v>
      </x:c>
      <x:c r="M1026" s="2" t="str">
        <x:f>IF(K1026=L1026,"OK","MISMATCH")</x:f>
        <x:v>OK</x:v>
      </x:c>
    </x:row>
    <x:row r="1027">
      <x:c r="A1027" s="2" t="str">
        <x:f>'제외 후보'!G1027</x:f>
        <x:v>w_22b57ca13e715d81</x:v>
      </x:c>
      <x:c r="B1027" s="11" t="n">
        <x:f>IF('제외 후보'!Q1027&lt;&gt;"",'선정 규칙'!$B$4,0)</x:f>
        <x:v>0</x:v>
      </x:c>
      <x:c r="C1027" s="11" t="n">
        <x:f>IF(ISNUMBER(SEARCH("jmdict_uncommon_or_irregular",'제외 후보'!P1027)),'선정 규칙'!$B$5,IF(ISNUMBER(SEARCH("jmdict_rare_or_dated",'제외 후보'!P1027)),'선정 규칙'!$B$6,0))</x:f>
        <x:v>0</x:v>
      </x:c>
      <x:c r="D1027" s="11" t="n">
        <x:f>IF(ISNUMBER(SEARCH("jmdict_exact_pair_not_found",'제외 후보'!P1027)),'선정 규칙'!$B$7,0)</x:f>
        <x:v>0</x:v>
      </x:c>
      <x:c r="E1027" s="11" t="n">
        <x:f>IF(OR('제외 후보'!L1027="",'제외 후보'!L1027&lt;=0),'선정 규칙'!$B$8,IF('제외 후보'!L1027&lt;=1.5,'선정 규칙'!$B$9,IF('제외 후보'!L1027&lt;=2,'선정 규칙'!$B$10,IF('제외 후보'!L1027&lt;=2.5,'선정 규칙'!$B$11,IF('제외 후보'!L1027&lt;=3,'선정 규칙'!$B$12,IF('제외 후보'!L1027&lt;=3.5,'선정 규칙'!$B$13,IF('제외 후보'!L1027&gt;=4.5,'선정 규칙'!$B$14,0)))))))</x:f>
        <x:v>12</x:v>
      </x:c>
      <x:c r="F1027" s="11" t="n">
        <x:f>IF('제외 후보'!Y1027=0,'선정 규칙'!$B$15,IF('제외 후보'!Y1027&gt;=100,'선정 규칙'!$B$16,'선정 규칙'!$B$17))</x:f>
        <x:v>-25</x:v>
      </x:c>
      <x:c r="G1027" s="11" t="n">
        <x:f>IF('제외 후보'!M1027="있음",'선정 규칙'!$B$18,'선정 규칙'!$B$19)</x:f>
        <x:v>6</x:v>
      </x:c>
      <x:c r="H1027" s="11" t="n">
        <x:f>IF(ISNUMBER(SEARCH("freq-core",'제외 후보'!AD1027)),'선정 규칙'!$B$20,0)</x:f>
        <x:v>0</x:v>
      </x:c>
      <x:c r="I1027" s="11" t="n">
        <x:f>IF(ISNUMBER(SEARCH("weak_legacy_content",'제외 후보'!P1027)),'선정 규칙'!$B$21,0)</x:f>
        <x:v>5</x:v>
      </x:c>
      <x:c r="J1027" s="11" t="n">
        <x:f>IF('제외 후보'!AC1027&lt;&gt;"",'선정 규칙'!$B$22,0)</x:f>
        <x:v>0</x:v>
      </x:c>
      <x:c r="K1027" s="11" t="n">
        <x:f>SUM(B1027:J1027)</x:f>
        <x:v>-2</x:v>
      </x:c>
      <x:c r="L1027" s="11" t="n">
        <x:f>'제외 후보'!N1027</x:f>
        <x:v>-2</x:v>
      </x:c>
      <x:c r="M1027" s="2" t="str">
        <x:f>IF(K1027=L1027,"OK","MISMATCH")</x:f>
        <x:v>OK</x:v>
      </x:c>
    </x:row>
    <x:row r="1028">
      <x:c r="A1028" s="2" t="str">
        <x:f>'제외 후보'!G1028</x:f>
        <x:v>w_31375cd35e91ca21</x:v>
      </x:c>
      <x:c r="B1028" s="11" t="n">
        <x:f>IF('제외 후보'!Q1028&lt;&gt;"",'선정 규칙'!$B$4,0)</x:f>
        <x:v>0</x:v>
      </x:c>
      <x:c r="C1028" s="11" t="n">
        <x:f>IF(ISNUMBER(SEARCH("jmdict_uncommon_or_irregular",'제외 후보'!P1028)),'선정 규칙'!$B$5,IF(ISNUMBER(SEARCH("jmdict_rare_or_dated",'제외 후보'!P1028)),'선정 규칙'!$B$6,0))</x:f>
        <x:v>0</x:v>
      </x:c>
      <x:c r="D1028" s="11" t="n">
        <x:f>IF(ISNUMBER(SEARCH("jmdict_exact_pair_not_found",'제외 후보'!P1028)),'선정 규칙'!$B$7,0)</x:f>
        <x:v>0</x:v>
      </x:c>
      <x:c r="E1028" s="11" t="n">
        <x:f>IF(OR('제외 후보'!L1028="",'제외 후보'!L1028&lt;=0),'선정 규칙'!$B$8,IF('제외 후보'!L1028&lt;=1.5,'선정 규칙'!$B$9,IF('제외 후보'!L1028&lt;=2,'선정 규칙'!$B$10,IF('제외 후보'!L1028&lt;=2.5,'선정 규칙'!$B$11,IF('제외 후보'!L1028&lt;=3,'선정 규칙'!$B$12,IF('제외 후보'!L1028&lt;=3.5,'선정 규칙'!$B$13,IF('제외 후보'!L1028&gt;=4.5,'선정 규칙'!$B$14,0)))))))</x:f>
        <x:v>12</x:v>
      </x:c>
      <x:c r="F1028" s="11" t="n">
        <x:f>IF('제외 후보'!Y1028=0,'선정 규칙'!$B$15,IF('제외 후보'!Y1028&gt;=100,'선정 규칙'!$B$16,'선정 규칙'!$B$17))</x:f>
        <x:v>-25</x:v>
      </x:c>
      <x:c r="G1028" s="11" t="n">
        <x:f>IF('제외 후보'!M1028="있음",'선정 규칙'!$B$18,'선정 규칙'!$B$19)</x:f>
        <x:v>6</x:v>
      </x:c>
      <x:c r="H1028" s="11" t="n">
        <x:f>IF(ISNUMBER(SEARCH("freq-core",'제외 후보'!AD1028)),'선정 규칙'!$B$20,0)</x:f>
        <x:v>0</x:v>
      </x:c>
      <x:c r="I1028" s="11" t="n">
        <x:f>IF(ISNUMBER(SEARCH("weak_legacy_content",'제외 후보'!P1028)),'선정 규칙'!$B$21,0)</x:f>
        <x:v>5</x:v>
      </x:c>
      <x:c r="J1028" s="11" t="n">
        <x:f>IF('제외 후보'!AC1028&lt;&gt;"",'선정 규칙'!$B$22,0)</x:f>
        <x:v>0</x:v>
      </x:c>
      <x:c r="K1028" s="11" t="n">
        <x:f>SUM(B1028:J1028)</x:f>
        <x:v>-2</x:v>
      </x:c>
      <x:c r="L1028" s="11" t="n">
        <x:f>'제외 후보'!N1028</x:f>
        <x:v>-2</x:v>
      </x:c>
      <x:c r="M1028" s="2" t="str">
        <x:f>IF(K1028=L1028,"OK","MISMATCH")</x:f>
        <x:v>OK</x:v>
      </x:c>
    </x:row>
    <x:row r="1029">
      <x:c r="A1029" s="2" t="str">
        <x:f>'제외 후보'!G1029</x:f>
        <x:v>w_5a4c8c8dbfcef86c</x:v>
      </x:c>
      <x:c r="B1029" s="11" t="n">
        <x:f>IF('제외 후보'!Q1029&lt;&gt;"",'선정 규칙'!$B$4,0)</x:f>
        <x:v>0</x:v>
      </x:c>
      <x:c r="C1029" s="11" t="n">
        <x:f>IF(ISNUMBER(SEARCH("jmdict_uncommon_or_irregular",'제외 후보'!P1029)),'선정 규칙'!$B$5,IF(ISNUMBER(SEARCH("jmdict_rare_or_dated",'제외 후보'!P1029)),'선정 규칙'!$B$6,0))</x:f>
        <x:v>0</x:v>
      </x:c>
      <x:c r="D1029" s="11" t="n">
        <x:f>IF(ISNUMBER(SEARCH("jmdict_exact_pair_not_found",'제외 후보'!P1029)),'선정 규칙'!$B$7,0)</x:f>
        <x:v>0</x:v>
      </x:c>
      <x:c r="E1029" s="11" t="n">
        <x:f>IF(OR('제외 후보'!L1029="",'제외 후보'!L1029&lt;=0),'선정 규칙'!$B$8,IF('제외 후보'!L1029&lt;=1.5,'선정 규칙'!$B$9,IF('제외 후보'!L1029&lt;=2,'선정 규칙'!$B$10,IF('제외 후보'!L1029&lt;=2.5,'선정 규칙'!$B$11,IF('제외 후보'!L1029&lt;=3,'선정 규칙'!$B$12,IF('제외 후보'!L1029&lt;=3.5,'선정 규칙'!$B$13,IF('제외 후보'!L1029&gt;=4.5,'선정 규칙'!$B$14,0)))))))</x:f>
        <x:v>12</x:v>
      </x:c>
      <x:c r="F1029" s="11" t="n">
        <x:f>IF('제외 후보'!Y1029=0,'선정 규칙'!$B$15,IF('제외 후보'!Y1029&gt;=100,'선정 규칙'!$B$16,'선정 규칙'!$B$17))</x:f>
        <x:v>-25</x:v>
      </x:c>
      <x:c r="G1029" s="11" t="n">
        <x:f>IF('제외 후보'!M1029="있음",'선정 규칙'!$B$18,'선정 규칙'!$B$19)</x:f>
        <x:v>6</x:v>
      </x:c>
      <x:c r="H1029" s="11" t="n">
        <x:f>IF(ISNUMBER(SEARCH("freq-core",'제외 후보'!AD1029)),'선정 규칙'!$B$20,0)</x:f>
        <x:v>0</x:v>
      </x:c>
      <x:c r="I1029" s="11" t="n">
        <x:f>IF(ISNUMBER(SEARCH("weak_legacy_content",'제외 후보'!P1029)),'선정 규칙'!$B$21,0)</x:f>
        <x:v>5</x:v>
      </x:c>
      <x:c r="J1029" s="11" t="n">
        <x:f>IF('제외 후보'!AC1029&lt;&gt;"",'선정 규칙'!$B$22,0)</x:f>
        <x:v>0</x:v>
      </x:c>
      <x:c r="K1029" s="11" t="n">
        <x:f>SUM(B1029:J1029)</x:f>
        <x:v>-2</x:v>
      </x:c>
      <x:c r="L1029" s="11" t="n">
        <x:f>'제외 후보'!N1029</x:f>
        <x:v>-2</x:v>
      </x:c>
      <x:c r="M1029" s="2" t="str">
        <x:f>IF(K1029=L1029,"OK","MISMATCH")</x:f>
        <x:v>OK</x:v>
      </x:c>
    </x:row>
    <x:row r="1030">
      <x:c r="A1030" s="2" t="str">
        <x:f>'제외 후보'!G1030</x:f>
        <x:v>w_d93de30cbc9e6273</x:v>
      </x:c>
      <x:c r="B1030" s="11" t="n">
        <x:f>IF('제외 후보'!Q1030&lt;&gt;"",'선정 규칙'!$B$4,0)</x:f>
        <x:v>0</x:v>
      </x:c>
      <x:c r="C1030" s="11" t="n">
        <x:f>IF(ISNUMBER(SEARCH("jmdict_uncommon_or_irregular",'제외 후보'!P1030)),'선정 규칙'!$B$5,IF(ISNUMBER(SEARCH("jmdict_rare_or_dated",'제외 후보'!P1030)),'선정 규칙'!$B$6,0))</x:f>
        <x:v>0</x:v>
      </x:c>
      <x:c r="D1030" s="11" t="n">
        <x:f>IF(ISNUMBER(SEARCH("jmdict_exact_pair_not_found",'제외 후보'!P1030)),'선정 규칙'!$B$7,0)</x:f>
        <x:v>0</x:v>
      </x:c>
      <x:c r="E1030" s="11" t="n">
        <x:f>IF(OR('제외 후보'!L1030="",'제외 후보'!L1030&lt;=0),'선정 규칙'!$B$8,IF('제외 후보'!L1030&lt;=1.5,'선정 규칙'!$B$9,IF('제외 후보'!L1030&lt;=2,'선정 규칙'!$B$10,IF('제외 후보'!L1030&lt;=2.5,'선정 규칙'!$B$11,IF('제외 후보'!L1030&lt;=3,'선정 규칙'!$B$12,IF('제외 후보'!L1030&lt;=3.5,'선정 규칙'!$B$13,IF('제외 후보'!L1030&gt;=4.5,'선정 규칙'!$B$14,0)))))))</x:f>
        <x:v>12</x:v>
      </x:c>
      <x:c r="F1030" s="11" t="n">
        <x:f>IF('제외 후보'!Y1030=0,'선정 규칙'!$B$15,IF('제외 후보'!Y1030&gt;=100,'선정 규칙'!$B$16,'선정 규칙'!$B$17))</x:f>
        <x:v>-25</x:v>
      </x:c>
      <x:c r="G1030" s="11" t="n">
        <x:f>IF('제외 후보'!M1030="있음",'선정 규칙'!$B$18,'선정 규칙'!$B$19)</x:f>
        <x:v>6</x:v>
      </x:c>
      <x:c r="H1030" s="11" t="n">
        <x:f>IF(ISNUMBER(SEARCH("freq-core",'제외 후보'!AD1030)),'선정 규칙'!$B$20,0)</x:f>
        <x:v>0</x:v>
      </x:c>
      <x:c r="I1030" s="11" t="n">
        <x:f>IF(ISNUMBER(SEARCH("weak_legacy_content",'제외 후보'!P1030)),'선정 규칙'!$B$21,0)</x:f>
        <x:v>5</x:v>
      </x:c>
      <x:c r="J1030" s="11" t="n">
        <x:f>IF('제외 후보'!AC1030&lt;&gt;"",'선정 규칙'!$B$22,0)</x:f>
        <x:v>0</x:v>
      </x:c>
      <x:c r="K1030" s="11" t="n">
        <x:f>SUM(B1030:J1030)</x:f>
        <x:v>-2</x:v>
      </x:c>
      <x:c r="L1030" s="11" t="n">
        <x:f>'제외 후보'!N1030</x:f>
        <x:v>-2</x:v>
      </x:c>
      <x:c r="M1030" s="2" t="str">
        <x:f>IF(K1030=L1030,"OK","MISMATCH")</x:f>
        <x:v>OK</x:v>
      </x:c>
    </x:row>
    <x:row r="1031">
      <x:c r="A1031" s="2" t="str">
        <x:f>'제외 후보'!G1031</x:f>
        <x:v>w_96b5df687fd53908</x:v>
      </x:c>
      <x:c r="B1031" s="11" t="n">
        <x:f>IF('제외 후보'!Q1031&lt;&gt;"",'선정 규칙'!$B$4,0)</x:f>
        <x:v>0</x:v>
      </x:c>
      <x:c r="C1031" s="11" t="n">
        <x:f>IF(ISNUMBER(SEARCH("jmdict_uncommon_or_irregular",'제외 후보'!P1031)),'선정 규칙'!$B$5,IF(ISNUMBER(SEARCH("jmdict_rare_or_dated",'제외 후보'!P1031)),'선정 규칙'!$B$6,0))</x:f>
        <x:v>0</x:v>
      </x:c>
      <x:c r="D1031" s="11" t="n">
        <x:f>IF(ISNUMBER(SEARCH("jmdict_exact_pair_not_found",'제외 후보'!P1031)),'선정 규칙'!$B$7,0)</x:f>
        <x:v>0</x:v>
      </x:c>
      <x:c r="E1031" s="11" t="n">
        <x:f>IF(OR('제외 후보'!L1031="",'제외 후보'!L1031&lt;=0),'선정 규칙'!$B$8,IF('제외 후보'!L1031&lt;=1.5,'선정 규칙'!$B$9,IF('제외 후보'!L1031&lt;=2,'선정 규칙'!$B$10,IF('제외 후보'!L1031&lt;=2.5,'선정 규칙'!$B$11,IF('제외 후보'!L1031&lt;=3,'선정 규칙'!$B$12,IF('제외 후보'!L1031&lt;=3.5,'선정 규칙'!$B$13,IF('제외 후보'!L1031&gt;=4.5,'선정 규칙'!$B$14,0)))))))</x:f>
        <x:v>12</x:v>
      </x:c>
      <x:c r="F1031" s="11" t="n">
        <x:f>IF('제외 후보'!Y1031=0,'선정 규칙'!$B$15,IF('제외 후보'!Y1031&gt;=100,'선정 규칙'!$B$16,'선정 규칙'!$B$17))</x:f>
        <x:v>-25</x:v>
      </x:c>
      <x:c r="G1031" s="11" t="n">
        <x:f>IF('제외 후보'!M1031="있음",'선정 규칙'!$B$18,'선정 규칙'!$B$19)</x:f>
        <x:v>6</x:v>
      </x:c>
      <x:c r="H1031" s="11" t="n">
        <x:f>IF(ISNUMBER(SEARCH("freq-core",'제외 후보'!AD1031)),'선정 규칙'!$B$20,0)</x:f>
        <x:v>0</x:v>
      </x:c>
      <x:c r="I1031" s="11" t="n">
        <x:f>IF(ISNUMBER(SEARCH("weak_legacy_content",'제외 후보'!P1031)),'선정 규칙'!$B$21,0)</x:f>
        <x:v>5</x:v>
      </x:c>
      <x:c r="J1031" s="11" t="n">
        <x:f>IF('제외 후보'!AC1031&lt;&gt;"",'선정 규칙'!$B$22,0)</x:f>
        <x:v>0</x:v>
      </x:c>
      <x:c r="K1031" s="11" t="n">
        <x:f>SUM(B1031:J1031)</x:f>
        <x:v>-2</x:v>
      </x:c>
      <x:c r="L1031" s="11" t="n">
        <x:f>'제외 후보'!N1031</x:f>
        <x:v>-2</x:v>
      </x:c>
      <x:c r="M1031" s="2" t="str">
        <x:f>IF(K1031=L1031,"OK","MISMATCH")</x:f>
        <x:v>OK</x:v>
      </x:c>
    </x:row>
    <x:row r="1032">
      <x:c r="A1032" s="2" t="str">
        <x:f>'제외 후보'!G1032</x:f>
        <x:v>w_0bb66ef8e606cf9d</x:v>
      </x:c>
      <x:c r="B1032" s="11" t="n">
        <x:f>IF('제외 후보'!Q1032&lt;&gt;"",'선정 규칙'!$B$4,0)</x:f>
        <x:v>0</x:v>
      </x:c>
      <x:c r="C1032" s="11" t="n">
        <x:f>IF(ISNUMBER(SEARCH("jmdict_uncommon_or_irregular",'제외 후보'!P1032)),'선정 규칙'!$B$5,IF(ISNUMBER(SEARCH("jmdict_rare_or_dated",'제외 후보'!P1032)),'선정 규칙'!$B$6,0))</x:f>
        <x:v>0</x:v>
      </x:c>
      <x:c r="D1032" s="11" t="n">
        <x:f>IF(ISNUMBER(SEARCH("jmdict_exact_pair_not_found",'제외 후보'!P1032)),'선정 규칙'!$B$7,0)</x:f>
        <x:v>0</x:v>
      </x:c>
      <x:c r="E1032" s="11" t="n">
        <x:f>IF(OR('제외 후보'!L1032="",'제외 후보'!L1032&lt;=0),'선정 규칙'!$B$8,IF('제외 후보'!L1032&lt;=1.5,'선정 규칙'!$B$9,IF('제외 후보'!L1032&lt;=2,'선정 규칙'!$B$10,IF('제외 후보'!L1032&lt;=2.5,'선정 규칙'!$B$11,IF('제외 후보'!L1032&lt;=3,'선정 규칙'!$B$12,IF('제외 후보'!L1032&lt;=3.5,'선정 규칙'!$B$13,IF('제외 후보'!L1032&gt;=4.5,'선정 규칙'!$B$14,0)))))))</x:f>
        <x:v>12</x:v>
      </x:c>
      <x:c r="F1032" s="11" t="n">
        <x:f>IF('제외 후보'!Y1032=0,'선정 규칙'!$B$15,IF('제외 후보'!Y1032&gt;=100,'선정 규칙'!$B$16,'선정 규칙'!$B$17))</x:f>
        <x:v>-25</x:v>
      </x:c>
      <x:c r="G1032" s="11" t="n">
        <x:f>IF('제외 후보'!M1032="있음",'선정 규칙'!$B$18,'선정 규칙'!$B$19)</x:f>
        <x:v>6</x:v>
      </x:c>
      <x:c r="H1032" s="11" t="n">
        <x:f>IF(ISNUMBER(SEARCH("freq-core",'제외 후보'!AD1032)),'선정 규칙'!$B$20,0)</x:f>
        <x:v>0</x:v>
      </x:c>
      <x:c r="I1032" s="11" t="n">
        <x:f>IF(ISNUMBER(SEARCH("weak_legacy_content",'제외 후보'!P1032)),'선정 규칙'!$B$21,0)</x:f>
        <x:v>5</x:v>
      </x:c>
      <x:c r="J1032" s="11" t="n">
        <x:f>IF('제외 후보'!AC1032&lt;&gt;"",'선정 규칙'!$B$22,0)</x:f>
        <x:v>0</x:v>
      </x:c>
      <x:c r="K1032" s="11" t="n">
        <x:f>SUM(B1032:J1032)</x:f>
        <x:v>-2</x:v>
      </x:c>
      <x:c r="L1032" s="11" t="n">
        <x:f>'제외 후보'!N1032</x:f>
        <x:v>-2</x:v>
      </x:c>
      <x:c r="M1032" s="2" t="str">
        <x:f>IF(K1032=L1032,"OK","MISMATCH")</x:f>
        <x:v>OK</x:v>
      </x:c>
    </x:row>
    <x:row r="1033">
      <x:c r="A1033" s="2" t="str">
        <x:f>'제외 후보'!G1033</x:f>
        <x:v>w_d1b73b5919e73f48</x:v>
      </x:c>
      <x:c r="B1033" s="11" t="n">
        <x:f>IF('제외 후보'!Q1033&lt;&gt;"",'선정 규칙'!$B$4,0)</x:f>
        <x:v>0</x:v>
      </x:c>
      <x:c r="C1033" s="11" t="n">
        <x:f>IF(ISNUMBER(SEARCH("jmdict_uncommon_or_irregular",'제외 후보'!P1033)),'선정 규칙'!$B$5,IF(ISNUMBER(SEARCH("jmdict_rare_or_dated",'제외 후보'!P1033)),'선정 규칙'!$B$6,0))</x:f>
        <x:v>0</x:v>
      </x:c>
      <x:c r="D1033" s="11" t="n">
        <x:f>IF(ISNUMBER(SEARCH("jmdict_exact_pair_not_found",'제외 후보'!P1033)),'선정 규칙'!$B$7,0)</x:f>
        <x:v>0</x:v>
      </x:c>
      <x:c r="E1033" s="11" t="n">
        <x:f>IF(OR('제외 후보'!L1033="",'제외 후보'!L1033&lt;=0),'선정 규칙'!$B$8,IF('제외 후보'!L1033&lt;=1.5,'선정 규칙'!$B$9,IF('제외 후보'!L1033&lt;=2,'선정 규칙'!$B$10,IF('제외 후보'!L1033&lt;=2.5,'선정 규칙'!$B$11,IF('제외 후보'!L1033&lt;=3,'선정 규칙'!$B$12,IF('제외 후보'!L1033&lt;=3.5,'선정 규칙'!$B$13,IF('제외 후보'!L1033&gt;=4.5,'선정 규칙'!$B$14,0)))))))</x:f>
        <x:v>12</x:v>
      </x:c>
      <x:c r="F1033" s="11" t="n">
        <x:f>IF('제외 후보'!Y1033=0,'선정 규칙'!$B$15,IF('제외 후보'!Y1033&gt;=100,'선정 규칙'!$B$16,'선정 규칙'!$B$17))</x:f>
        <x:v>-25</x:v>
      </x:c>
      <x:c r="G1033" s="11" t="n">
        <x:f>IF('제외 후보'!M1033="있음",'선정 규칙'!$B$18,'선정 규칙'!$B$19)</x:f>
        <x:v>6</x:v>
      </x:c>
      <x:c r="H1033" s="11" t="n">
        <x:f>IF(ISNUMBER(SEARCH("freq-core",'제외 후보'!AD1033)),'선정 규칙'!$B$20,0)</x:f>
        <x:v>0</x:v>
      </x:c>
      <x:c r="I1033" s="11" t="n">
        <x:f>IF(ISNUMBER(SEARCH("weak_legacy_content",'제외 후보'!P1033)),'선정 규칙'!$B$21,0)</x:f>
        <x:v>5</x:v>
      </x:c>
      <x:c r="J1033" s="11" t="n">
        <x:f>IF('제외 후보'!AC1033&lt;&gt;"",'선정 규칙'!$B$22,0)</x:f>
        <x:v>0</x:v>
      </x:c>
      <x:c r="K1033" s="11" t="n">
        <x:f>SUM(B1033:J1033)</x:f>
        <x:v>-2</x:v>
      </x:c>
      <x:c r="L1033" s="11" t="n">
        <x:f>'제외 후보'!N1033</x:f>
        <x:v>-2</x:v>
      </x:c>
      <x:c r="M1033" s="2" t="str">
        <x:f>IF(K1033=L1033,"OK","MISMATCH")</x:f>
        <x:v>OK</x:v>
      </x:c>
    </x:row>
    <x:row r="1034">
      <x:c r="A1034" s="2" t="str">
        <x:f>'제외 후보'!G1034</x:f>
        <x:v>w_b7b4488b521400e9</x:v>
      </x:c>
      <x:c r="B1034" s="11" t="n">
        <x:f>IF('제외 후보'!Q1034&lt;&gt;"",'선정 규칙'!$B$4,0)</x:f>
        <x:v>0</x:v>
      </x:c>
      <x:c r="C1034" s="11" t="n">
        <x:f>IF(ISNUMBER(SEARCH("jmdict_uncommon_or_irregular",'제외 후보'!P1034)),'선정 규칙'!$B$5,IF(ISNUMBER(SEARCH("jmdict_rare_or_dated",'제외 후보'!P1034)),'선정 규칙'!$B$6,0))</x:f>
        <x:v>0</x:v>
      </x:c>
      <x:c r="D1034" s="11" t="n">
        <x:f>IF(ISNUMBER(SEARCH("jmdict_exact_pair_not_found",'제외 후보'!P1034)),'선정 규칙'!$B$7,0)</x:f>
        <x:v>0</x:v>
      </x:c>
      <x:c r="E1034" s="11" t="n">
        <x:f>IF(OR('제외 후보'!L1034="",'제외 후보'!L1034&lt;=0),'선정 규칙'!$B$8,IF('제외 후보'!L1034&lt;=1.5,'선정 규칙'!$B$9,IF('제외 후보'!L1034&lt;=2,'선정 규칙'!$B$10,IF('제외 후보'!L1034&lt;=2.5,'선정 규칙'!$B$11,IF('제외 후보'!L1034&lt;=3,'선정 규칙'!$B$12,IF('제외 후보'!L1034&lt;=3.5,'선정 규칙'!$B$13,IF('제외 후보'!L1034&gt;=4.5,'선정 규칙'!$B$14,0)))))))</x:f>
        <x:v>12</x:v>
      </x:c>
      <x:c r="F1034" s="11" t="n">
        <x:f>IF('제외 후보'!Y1034=0,'선정 규칙'!$B$15,IF('제외 후보'!Y1034&gt;=100,'선정 규칙'!$B$16,'선정 규칙'!$B$17))</x:f>
        <x:v>-25</x:v>
      </x:c>
      <x:c r="G1034" s="11" t="n">
        <x:f>IF('제외 후보'!M1034="있음",'선정 규칙'!$B$18,'선정 규칙'!$B$19)</x:f>
        <x:v>6</x:v>
      </x:c>
      <x:c r="H1034" s="11" t="n">
        <x:f>IF(ISNUMBER(SEARCH("freq-core",'제외 후보'!AD1034)),'선정 규칙'!$B$20,0)</x:f>
        <x:v>0</x:v>
      </x:c>
      <x:c r="I1034" s="11" t="n">
        <x:f>IF(ISNUMBER(SEARCH("weak_legacy_content",'제외 후보'!P1034)),'선정 규칙'!$B$21,0)</x:f>
        <x:v>5</x:v>
      </x:c>
      <x:c r="J1034" s="11" t="n">
        <x:f>IF('제외 후보'!AC1034&lt;&gt;"",'선정 규칙'!$B$22,0)</x:f>
        <x:v>0</x:v>
      </x:c>
      <x:c r="K1034" s="11" t="n">
        <x:f>SUM(B1034:J1034)</x:f>
        <x:v>-2</x:v>
      </x:c>
      <x:c r="L1034" s="11" t="n">
        <x:f>'제외 후보'!N1034</x:f>
        <x:v>-2</x:v>
      </x:c>
      <x:c r="M1034" s="2" t="str">
        <x:f>IF(K1034=L1034,"OK","MISMATCH")</x:f>
        <x:v>OK</x:v>
      </x:c>
    </x:row>
    <x:row r="1035">
      <x:c r="A1035" s="2" t="str">
        <x:f>'제외 후보'!G1035</x:f>
        <x:v>w_e80ae9d62677e2be</x:v>
      </x:c>
      <x:c r="B1035" s="11" t="n">
        <x:f>IF('제외 후보'!Q1035&lt;&gt;"",'선정 규칙'!$B$4,0)</x:f>
        <x:v>0</x:v>
      </x:c>
      <x:c r="C1035" s="11" t="n">
        <x:f>IF(ISNUMBER(SEARCH("jmdict_uncommon_or_irregular",'제외 후보'!P1035)),'선정 규칙'!$B$5,IF(ISNUMBER(SEARCH("jmdict_rare_or_dated",'제외 후보'!P1035)),'선정 규칙'!$B$6,0))</x:f>
        <x:v>0</x:v>
      </x:c>
      <x:c r="D1035" s="11" t="n">
        <x:f>IF(ISNUMBER(SEARCH("jmdict_exact_pair_not_found",'제외 후보'!P1035)),'선정 규칙'!$B$7,0)</x:f>
        <x:v>0</x:v>
      </x:c>
      <x:c r="E1035" s="11" t="n">
        <x:f>IF(OR('제외 후보'!L1035="",'제외 후보'!L1035&lt;=0),'선정 규칙'!$B$8,IF('제외 후보'!L1035&lt;=1.5,'선정 규칙'!$B$9,IF('제외 후보'!L1035&lt;=2,'선정 규칙'!$B$10,IF('제외 후보'!L1035&lt;=2.5,'선정 규칙'!$B$11,IF('제외 후보'!L1035&lt;=3,'선정 규칙'!$B$12,IF('제외 후보'!L1035&lt;=3.5,'선정 규칙'!$B$13,IF('제외 후보'!L1035&gt;=4.5,'선정 규칙'!$B$14,0)))))))</x:f>
        <x:v>12</x:v>
      </x:c>
      <x:c r="F1035" s="11" t="n">
        <x:f>IF('제외 후보'!Y1035=0,'선정 규칙'!$B$15,IF('제외 후보'!Y1035&gt;=100,'선정 규칙'!$B$16,'선정 규칙'!$B$17))</x:f>
        <x:v>-25</x:v>
      </x:c>
      <x:c r="G1035" s="11" t="n">
        <x:f>IF('제외 후보'!M1035="있음",'선정 규칙'!$B$18,'선정 규칙'!$B$19)</x:f>
        <x:v>6</x:v>
      </x:c>
      <x:c r="H1035" s="11" t="n">
        <x:f>IF(ISNUMBER(SEARCH("freq-core",'제외 후보'!AD1035)),'선정 규칙'!$B$20,0)</x:f>
        <x:v>0</x:v>
      </x:c>
      <x:c r="I1035" s="11" t="n">
        <x:f>IF(ISNUMBER(SEARCH("weak_legacy_content",'제외 후보'!P1035)),'선정 규칙'!$B$21,0)</x:f>
        <x:v>5</x:v>
      </x:c>
      <x:c r="J1035" s="11" t="n">
        <x:f>IF('제외 후보'!AC1035&lt;&gt;"",'선정 규칙'!$B$22,0)</x:f>
        <x:v>0</x:v>
      </x:c>
      <x:c r="K1035" s="11" t="n">
        <x:f>SUM(B1035:J1035)</x:f>
        <x:v>-2</x:v>
      </x:c>
      <x:c r="L1035" s="11" t="n">
        <x:f>'제외 후보'!N1035</x:f>
        <x:v>-2</x:v>
      </x:c>
      <x:c r="M1035" s="2" t="str">
        <x:f>IF(K1035=L1035,"OK","MISMATCH")</x:f>
        <x:v>OK</x:v>
      </x:c>
    </x:row>
    <x:row r="1036">
      <x:c r="A1036" s="2" t="str">
        <x:f>'제외 후보'!G1036</x:f>
        <x:v>w_5e49b8feda09774b</x:v>
      </x:c>
      <x:c r="B1036" s="11" t="n">
        <x:f>IF('제외 후보'!Q1036&lt;&gt;"",'선정 규칙'!$B$4,0)</x:f>
        <x:v>0</x:v>
      </x:c>
      <x:c r="C1036" s="11" t="n">
        <x:f>IF(ISNUMBER(SEARCH("jmdict_uncommon_or_irregular",'제외 후보'!P1036)),'선정 규칙'!$B$5,IF(ISNUMBER(SEARCH("jmdict_rare_or_dated",'제외 후보'!P1036)),'선정 규칙'!$B$6,0))</x:f>
        <x:v>0</x:v>
      </x:c>
      <x:c r="D1036" s="11" t="n">
        <x:f>IF(ISNUMBER(SEARCH("jmdict_exact_pair_not_found",'제외 후보'!P1036)),'선정 규칙'!$B$7,0)</x:f>
        <x:v>0</x:v>
      </x:c>
      <x:c r="E1036" s="11" t="n">
        <x:f>IF(OR('제외 후보'!L1036="",'제외 후보'!L1036&lt;=0),'선정 규칙'!$B$8,IF('제외 후보'!L1036&lt;=1.5,'선정 규칙'!$B$9,IF('제외 후보'!L1036&lt;=2,'선정 규칙'!$B$10,IF('제외 후보'!L1036&lt;=2.5,'선정 규칙'!$B$11,IF('제외 후보'!L1036&lt;=3,'선정 규칙'!$B$12,IF('제외 후보'!L1036&lt;=3.5,'선정 규칙'!$B$13,IF('제외 후보'!L1036&gt;=4.5,'선정 규칙'!$B$14,0)))))))</x:f>
        <x:v>12</x:v>
      </x:c>
      <x:c r="F1036" s="11" t="n">
        <x:f>IF('제외 후보'!Y1036=0,'선정 규칙'!$B$15,IF('제외 후보'!Y1036&gt;=100,'선정 규칙'!$B$16,'선정 규칙'!$B$17))</x:f>
        <x:v>-25</x:v>
      </x:c>
      <x:c r="G1036" s="11" t="n">
        <x:f>IF('제외 후보'!M1036="있음",'선정 규칙'!$B$18,'선정 규칙'!$B$19)</x:f>
        <x:v>6</x:v>
      </x:c>
      <x:c r="H1036" s="11" t="n">
        <x:f>IF(ISNUMBER(SEARCH("freq-core",'제외 후보'!AD1036)),'선정 규칙'!$B$20,0)</x:f>
        <x:v>0</x:v>
      </x:c>
      <x:c r="I1036" s="11" t="n">
        <x:f>IF(ISNUMBER(SEARCH("weak_legacy_content",'제외 후보'!P1036)),'선정 규칙'!$B$21,0)</x:f>
        <x:v>5</x:v>
      </x:c>
      <x:c r="J1036" s="11" t="n">
        <x:f>IF('제외 후보'!AC1036&lt;&gt;"",'선정 규칙'!$B$22,0)</x:f>
        <x:v>0</x:v>
      </x:c>
      <x:c r="K1036" s="11" t="n">
        <x:f>SUM(B1036:J1036)</x:f>
        <x:v>-2</x:v>
      </x:c>
      <x:c r="L1036" s="11" t="n">
        <x:f>'제외 후보'!N1036</x:f>
        <x:v>-2</x:v>
      </x:c>
      <x:c r="M1036" s="2" t="str">
        <x:f>IF(K1036=L1036,"OK","MISMATCH")</x:f>
        <x:v>OK</x:v>
      </x:c>
    </x:row>
    <x:row r="1037">
      <x:c r="A1037" s="2" t="str">
        <x:f>'제외 후보'!G1037</x:f>
        <x:v>w_f027db9e5dffd29e</x:v>
      </x:c>
      <x:c r="B1037" s="11" t="n">
        <x:f>IF('제외 후보'!Q1037&lt;&gt;"",'선정 규칙'!$B$4,0)</x:f>
        <x:v>0</x:v>
      </x:c>
      <x:c r="C1037" s="11" t="n">
        <x:f>IF(ISNUMBER(SEARCH("jmdict_uncommon_or_irregular",'제외 후보'!P1037)),'선정 규칙'!$B$5,IF(ISNUMBER(SEARCH("jmdict_rare_or_dated",'제외 후보'!P1037)),'선정 규칙'!$B$6,0))</x:f>
        <x:v>0</x:v>
      </x:c>
      <x:c r="D1037" s="11" t="n">
        <x:f>IF(ISNUMBER(SEARCH("jmdict_exact_pair_not_found",'제외 후보'!P1037)),'선정 규칙'!$B$7,0)</x:f>
        <x:v>0</x:v>
      </x:c>
      <x:c r="E1037" s="11" t="n">
        <x:f>IF(OR('제외 후보'!L1037="",'제외 후보'!L1037&lt;=0),'선정 규칙'!$B$8,IF('제외 후보'!L1037&lt;=1.5,'선정 규칙'!$B$9,IF('제외 후보'!L1037&lt;=2,'선정 규칙'!$B$10,IF('제외 후보'!L1037&lt;=2.5,'선정 규칙'!$B$11,IF('제외 후보'!L1037&lt;=3,'선정 규칙'!$B$12,IF('제외 후보'!L1037&lt;=3.5,'선정 규칙'!$B$13,IF('제외 후보'!L1037&gt;=4.5,'선정 규칙'!$B$14,0)))))))</x:f>
        <x:v>12</x:v>
      </x:c>
      <x:c r="F1037" s="11" t="n">
        <x:f>IF('제외 후보'!Y1037=0,'선정 규칙'!$B$15,IF('제외 후보'!Y1037&gt;=100,'선정 규칙'!$B$16,'선정 규칙'!$B$17))</x:f>
        <x:v>-25</x:v>
      </x:c>
      <x:c r="G1037" s="11" t="n">
        <x:f>IF('제외 후보'!M1037="있음",'선정 규칙'!$B$18,'선정 규칙'!$B$19)</x:f>
        <x:v>6</x:v>
      </x:c>
      <x:c r="H1037" s="11" t="n">
        <x:f>IF(ISNUMBER(SEARCH("freq-core",'제외 후보'!AD1037)),'선정 규칙'!$B$20,0)</x:f>
        <x:v>0</x:v>
      </x:c>
      <x:c r="I1037" s="11" t="n">
        <x:f>IF(ISNUMBER(SEARCH("weak_legacy_content",'제외 후보'!P1037)),'선정 규칙'!$B$21,0)</x:f>
        <x:v>5</x:v>
      </x:c>
      <x:c r="J1037" s="11" t="n">
        <x:f>IF('제외 후보'!AC1037&lt;&gt;"",'선정 규칙'!$B$22,0)</x:f>
        <x:v>0</x:v>
      </x:c>
      <x:c r="K1037" s="11" t="n">
        <x:f>SUM(B1037:J1037)</x:f>
        <x:v>-2</x:v>
      </x:c>
      <x:c r="L1037" s="11" t="n">
        <x:f>'제외 후보'!N1037</x:f>
        <x:v>-2</x:v>
      </x:c>
      <x:c r="M1037" s="2" t="str">
        <x:f>IF(K1037=L1037,"OK","MISMATCH")</x:f>
        <x:v>OK</x:v>
      </x:c>
    </x:row>
    <x:row r="1038">
      <x:c r="A1038" s="2" t="str">
        <x:f>'제외 후보'!G1038</x:f>
        <x:v>w_dbe3e7e377657834</x:v>
      </x:c>
      <x:c r="B1038" s="11" t="n">
        <x:f>IF('제외 후보'!Q1038&lt;&gt;"",'선정 규칙'!$B$4,0)</x:f>
        <x:v>0</x:v>
      </x:c>
      <x:c r="C1038" s="11" t="n">
        <x:f>IF(ISNUMBER(SEARCH("jmdict_uncommon_or_irregular",'제외 후보'!P1038)),'선정 규칙'!$B$5,IF(ISNUMBER(SEARCH("jmdict_rare_or_dated",'제외 후보'!P1038)),'선정 규칙'!$B$6,0))</x:f>
        <x:v>0</x:v>
      </x:c>
      <x:c r="D1038" s="11" t="n">
        <x:f>IF(ISNUMBER(SEARCH("jmdict_exact_pair_not_found",'제외 후보'!P1038)),'선정 규칙'!$B$7,0)</x:f>
        <x:v>0</x:v>
      </x:c>
      <x:c r="E1038" s="11" t="n">
        <x:f>IF(OR('제외 후보'!L1038="",'제외 후보'!L1038&lt;=0),'선정 규칙'!$B$8,IF('제외 후보'!L1038&lt;=1.5,'선정 규칙'!$B$9,IF('제외 후보'!L1038&lt;=2,'선정 규칙'!$B$10,IF('제외 후보'!L1038&lt;=2.5,'선정 규칙'!$B$11,IF('제외 후보'!L1038&lt;=3,'선정 규칙'!$B$12,IF('제외 후보'!L1038&lt;=3.5,'선정 규칙'!$B$13,IF('제외 후보'!L1038&gt;=4.5,'선정 규칙'!$B$14,0)))))))</x:f>
        <x:v>12</x:v>
      </x:c>
      <x:c r="F1038" s="11" t="n">
        <x:f>IF('제외 후보'!Y1038=0,'선정 규칙'!$B$15,IF('제외 후보'!Y1038&gt;=100,'선정 규칙'!$B$16,'선정 규칙'!$B$17))</x:f>
        <x:v>-25</x:v>
      </x:c>
      <x:c r="G1038" s="11" t="n">
        <x:f>IF('제외 후보'!M1038="있음",'선정 규칙'!$B$18,'선정 규칙'!$B$19)</x:f>
        <x:v>6</x:v>
      </x:c>
      <x:c r="H1038" s="11" t="n">
        <x:f>IF(ISNUMBER(SEARCH("freq-core",'제외 후보'!AD1038)),'선정 규칙'!$B$20,0)</x:f>
        <x:v>0</x:v>
      </x:c>
      <x:c r="I1038" s="11" t="n">
        <x:f>IF(ISNUMBER(SEARCH("weak_legacy_content",'제외 후보'!P1038)),'선정 규칙'!$B$21,0)</x:f>
        <x:v>5</x:v>
      </x:c>
      <x:c r="J1038" s="11" t="n">
        <x:f>IF('제외 후보'!AC1038&lt;&gt;"",'선정 규칙'!$B$22,0)</x:f>
        <x:v>0</x:v>
      </x:c>
      <x:c r="K1038" s="11" t="n">
        <x:f>SUM(B1038:J1038)</x:f>
        <x:v>-2</x:v>
      </x:c>
      <x:c r="L1038" s="11" t="n">
        <x:f>'제외 후보'!N1038</x:f>
        <x:v>-2</x:v>
      </x:c>
      <x:c r="M1038" s="2" t="str">
        <x:f>IF(K1038=L1038,"OK","MISMATCH")</x:f>
        <x:v>OK</x:v>
      </x:c>
    </x:row>
    <x:row r="1039">
      <x:c r="A1039" s="2" t="str">
        <x:f>'제외 후보'!G1039</x:f>
        <x:v>w_f0c5af4b406d749b</x:v>
      </x:c>
      <x:c r="B1039" s="11" t="n">
        <x:f>IF('제외 후보'!Q1039&lt;&gt;"",'선정 규칙'!$B$4,0)</x:f>
        <x:v>0</x:v>
      </x:c>
      <x:c r="C1039" s="11" t="n">
        <x:f>IF(ISNUMBER(SEARCH("jmdict_uncommon_or_irregular",'제외 후보'!P1039)),'선정 규칙'!$B$5,IF(ISNUMBER(SEARCH("jmdict_rare_or_dated",'제외 후보'!P1039)),'선정 규칙'!$B$6,0))</x:f>
        <x:v>0</x:v>
      </x:c>
      <x:c r="D1039" s="11" t="n">
        <x:f>IF(ISNUMBER(SEARCH("jmdict_exact_pair_not_found",'제외 후보'!P1039)),'선정 규칙'!$B$7,0)</x:f>
        <x:v>0</x:v>
      </x:c>
      <x:c r="E1039" s="11" t="n">
        <x:f>IF(OR('제외 후보'!L1039="",'제외 후보'!L1039&lt;=0),'선정 규칙'!$B$8,IF('제외 후보'!L1039&lt;=1.5,'선정 규칙'!$B$9,IF('제외 후보'!L1039&lt;=2,'선정 규칙'!$B$10,IF('제외 후보'!L1039&lt;=2.5,'선정 규칙'!$B$11,IF('제외 후보'!L1039&lt;=3,'선정 규칙'!$B$12,IF('제외 후보'!L1039&lt;=3.5,'선정 규칙'!$B$13,IF('제외 후보'!L1039&gt;=4.5,'선정 규칙'!$B$14,0)))))))</x:f>
        <x:v>12</x:v>
      </x:c>
      <x:c r="F1039" s="11" t="n">
        <x:f>IF('제외 후보'!Y1039=0,'선정 규칙'!$B$15,IF('제외 후보'!Y1039&gt;=100,'선정 규칙'!$B$16,'선정 규칙'!$B$17))</x:f>
        <x:v>-25</x:v>
      </x:c>
      <x:c r="G1039" s="11" t="n">
        <x:f>IF('제외 후보'!M1039="있음",'선정 규칙'!$B$18,'선정 규칙'!$B$19)</x:f>
        <x:v>6</x:v>
      </x:c>
      <x:c r="H1039" s="11" t="n">
        <x:f>IF(ISNUMBER(SEARCH("freq-core",'제외 후보'!AD1039)),'선정 규칙'!$B$20,0)</x:f>
        <x:v>0</x:v>
      </x:c>
      <x:c r="I1039" s="11" t="n">
        <x:f>IF(ISNUMBER(SEARCH("weak_legacy_content",'제외 후보'!P1039)),'선정 규칙'!$B$21,0)</x:f>
        <x:v>5</x:v>
      </x:c>
      <x:c r="J1039" s="11" t="n">
        <x:f>IF('제외 후보'!AC1039&lt;&gt;"",'선정 규칙'!$B$22,0)</x:f>
        <x:v>0</x:v>
      </x:c>
      <x:c r="K1039" s="11" t="n">
        <x:f>SUM(B1039:J1039)</x:f>
        <x:v>-2</x:v>
      </x:c>
      <x:c r="L1039" s="11" t="n">
        <x:f>'제외 후보'!N1039</x:f>
        <x:v>-2</x:v>
      </x:c>
      <x:c r="M1039" s="2" t="str">
        <x:f>IF(K1039=L1039,"OK","MISMATCH")</x:f>
        <x:v>OK</x:v>
      </x:c>
    </x:row>
    <x:row r="1040">
      <x:c r="A1040" s="2" t="str">
        <x:f>'제외 후보'!G1040</x:f>
        <x:v>w_56e22b4b34e6b4e6</x:v>
      </x:c>
      <x:c r="B1040" s="11" t="n">
        <x:f>IF('제외 후보'!Q1040&lt;&gt;"",'선정 규칙'!$B$4,0)</x:f>
        <x:v>0</x:v>
      </x:c>
      <x:c r="C1040" s="11" t="n">
        <x:f>IF(ISNUMBER(SEARCH("jmdict_uncommon_or_irregular",'제외 후보'!P1040)),'선정 규칙'!$B$5,IF(ISNUMBER(SEARCH("jmdict_rare_or_dated",'제외 후보'!P1040)),'선정 규칙'!$B$6,0))</x:f>
        <x:v>0</x:v>
      </x:c>
      <x:c r="D1040" s="11" t="n">
        <x:f>IF(ISNUMBER(SEARCH("jmdict_exact_pair_not_found",'제외 후보'!P1040)),'선정 규칙'!$B$7,0)</x:f>
        <x:v>0</x:v>
      </x:c>
      <x:c r="E1040" s="11" t="n">
        <x:f>IF(OR('제외 후보'!L1040="",'제외 후보'!L1040&lt;=0),'선정 규칙'!$B$8,IF('제외 후보'!L1040&lt;=1.5,'선정 규칙'!$B$9,IF('제외 후보'!L1040&lt;=2,'선정 규칙'!$B$10,IF('제외 후보'!L1040&lt;=2.5,'선정 규칙'!$B$11,IF('제외 후보'!L1040&lt;=3,'선정 규칙'!$B$12,IF('제외 후보'!L1040&lt;=3.5,'선정 규칙'!$B$13,IF('제외 후보'!L1040&gt;=4.5,'선정 규칙'!$B$14,0)))))))</x:f>
        <x:v>12</x:v>
      </x:c>
      <x:c r="F1040" s="11" t="n">
        <x:f>IF('제외 후보'!Y1040=0,'선정 규칙'!$B$15,IF('제외 후보'!Y1040&gt;=100,'선정 규칙'!$B$16,'선정 규칙'!$B$17))</x:f>
        <x:v>-25</x:v>
      </x:c>
      <x:c r="G1040" s="11" t="n">
        <x:f>IF('제외 후보'!M1040="있음",'선정 규칙'!$B$18,'선정 규칙'!$B$19)</x:f>
        <x:v>6</x:v>
      </x:c>
      <x:c r="H1040" s="11" t="n">
        <x:f>IF(ISNUMBER(SEARCH("freq-core",'제외 후보'!AD1040)),'선정 규칙'!$B$20,0)</x:f>
        <x:v>0</x:v>
      </x:c>
      <x:c r="I1040" s="11" t="n">
        <x:f>IF(ISNUMBER(SEARCH("weak_legacy_content",'제외 후보'!P1040)),'선정 규칙'!$B$21,0)</x:f>
        <x:v>5</x:v>
      </x:c>
      <x:c r="J1040" s="11" t="n">
        <x:f>IF('제외 후보'!AC1040&lt;&gt;"",'선정 규칙'!$B$22,0)</x:f>
        <x:v>0</x:v>
      </x:c>
      <x:c r="K1040" s="11" t="n">
        <x:f>SUM(B1040:J1040)</x:f>
        <x:v>-2</x:v>
      </x:c>
      <x:c r="L1040" s="11" t="n">
        <x:f>'제외 후보'!N1040</x:f>
        <x:v>-2</x:v>
      </x:c>
      <x:c r="M1040" s="2" t="str">
        <x:f>IF(K1040=L1040,"OK","MISMATCH")</x:f>
        <x:v>OK</x:v>
      </x:c>
    </x:row>
    <x:row r="1041">
      <x:c r="A1041" s="2" t="str">
        <x:f>'제외 후보'!G1041</x:f>
        <x:v>w_c81940dd6cdbf237</x:v>
      </x:c>
      <x:c r="B1041" s="11" t="n">
        <x:f>IF('제외 후보'!Q1041&lt;&gt;"",'선정 규칙'!$B$4,0)</x:f>
        <x:v>0</x:v>
      </x:c>
      <x:c r="C1041" s="11" t="n">
        <x:f>IF(ISNUMBER(SEARCH("jmdict_uncommon_or_irregular",'제외 후보'!P1041)),'선정 규칙'!$B$5,IF(ISNUMBER(SEARCH("jmdict_rare_or_dated",'제외 후보'!P1041)),'선정 규칙'!$B$6,0))</x:f>
        <x:v>0</x:v>
      </x:c>
      <x:c r="D1041" s="11" t="n">
        <x:f>IF(ISNUMBER(SEARCH("jmdict_exact_pair_not_found",'제외 후보'!P1041)),'선정 규칙'!$B$7,0)</x:f>
        <x:v>0</x:v>
      </x:c>
      <x:c r="E1041" s="11" t="n">
        <x:f>IF(OR('제외 후보'!L1041="",'제외 후보'!L1041&lt;=0),'선정 규칙'!$B$8,IF('제외 후보'!L1041&lt;=1.5,'선정 규칙'!$B$9,IF('제외 후보'!L1041&lt;=2,'선정 규칙'!$B$10,IF('제외 후보'!L1041&lt;=2.5,'선정 규칙'!$B$11,IF('제외 후보'!L1041&lt;=3,'선정 규칙'!$B$12,IF('제외 후보'!L1041&lt;=3.5,'선정 규칙'!$B$13,IF('제외 후보'!L1041&gt;=4.5,'선정 규칙'!$B$14,0)))))))</x:f>
        <x:v>12</x:v>
      </x:c>
      <x:c r="F1041" s="11" t="n">
        <x:f>IF('제외 후보'!Y1041=0,'선정 규칙'!$B$15,IF('제외 후보'!Y1041&gt;=100,'선정 규칙'!$B$16,'선정 규칙'!$B$17))</x:f>
        <x:v>-25</x:v>
      </x:c>
      <x:c r="G1041" s="11" t="n">
        <x:f>IF('제외 후보'!M1041="있음",'선정 규칙'!$B$18,'선정 규칙'!$B$19)</x:f>
        <x:v>6</x:v>
      </x:c>
      <x:c r="H1041" s="11" t="n">
        <x:f>IF(ISNUMBER(SEARCH("freq-core",'제외 후보'!AD1041)),'선정 규칙'!$B$20,0)</x:f>
        <x:v>0</x:v>
      </x:c>
      <x:c r="I1041" s="11" t="n">
        <x:f>IF(ISNUMBER(SEARCH("weak_legacy_content",'제외 후보'!P1041)),'선정 규칙'!$B$21,0)</x:f>
        <x:v>5</x:v>
      </x:c>
      <x:c r="J1041" s="11" t="n">
        <x:f>IF('제외 후보'!AC1041&lt;&gt;"",'선정 규칙'!$B$22,0)</x:f>
        <x:v>0</x:v>
      </x:c>
      <x:c r="K1041" s="11" t="n">
        <x:f>SUM(B1041:J1041)</x:f>
        <x:v>-2</x:v>
      </x:c>
      <x:c r="L1041" s="11" t="n">
        <x:f>'제외 후보'!N1041</x:f>
        <x:v>-2</x:v>
      </x:c>
      <x:c r="M1041" s="2" t="str">
        <x:f>IF(K1041=L1041,"OK","MISMATCH")</x:f>
        <x:v>OK</x:v>
      </x:c>
    </x:row>
    <x:row r="1042">
      <x:c r="A1042" s="2" t="str">
        <x:f>'제외 후보'!G1042</x:f>
        <x:v>w_46f5465c8d81ef3e</x:v>
      </x:c>
      <x:c r="B1042" s="11" t="n">
        <x:f>IF('제외 후보'!Q1042&lt;&gt;"",'선정 규칙'!$B$4,0)</x:f>
        <x:v>0</x:v>
      </x:c>
      <x:c r="C1042" s="11" t="n">
        <x:f>IF(ISNUMBER(SEARCH("jmdict_uncommon_or_irregular",'제외 후보'!P1042)),'선정 규칙'!$B$5,IF(ISNUMBER(SEARCH("jmdict_rare_or_dated",'제외 후보'!P1042)),'선정 규칙'!$B$6,0))</x:f>
        <x:v>0</x:v>
      </x:c>
      <x:c r="D1042" s="11" t="n">
        <x:f>IF(ISNUMBER(SEARCH("jmdict_exact_pair_not_found",'제외 후보'!P1042)),'선정 규칙'!$B$7,0)</x:f>
        <x:v>0</x:v>
      </x:c>
      <x:c r="E1042" s="11" t="n">
        <x:f>IF(OR('제외 후보'!L1042="",'제외 후보'!L1042&lt;=0),'선정 규칙'!$B$8,IF('제외 후보'!L1042&lt;=1.5,'선정 규칙'!$B$9,IF('제외 후보'!L1042&lt;=2,'선정 규칙'!$B$10,IF('제외 후보'!L1042&lt;=2.5,'선정 규칙'!$B$11,IF('제외 후보'!L1042&lt;=3,'선정 규칙'!$B$12,IF('제외 후보'!L1042&lt;=3.5,'선정 규칙'!$B$13,IF('제외 후보'!L1042&gt;=4.5,'선정 규칙'!$B$14,0)))))))</x:f>
        <x:v>12</x:v>
      </x:c>
      <x:c r="F1042" s="11" t="n">
        <x:f>IF('제외 후보'!Y1042=0,'선정 규칙'!$B$15,IF('제외 후보'!Y1042&gt;=100,'선정 규칙'!$B$16,'선정 규칙'!$B$17))</x:f>
        <x:v>-25</x:v>
      </x:c>
      <x:c r="G1042" s="11" t="n">
        <x:f>IF('제외 후보'!M1042="있음",'선정 규칙'!$B$18,'선정 규칙'!$B$19)</x:f>
        <x:v>6</x:v>
      </x:c>
      <x:c r="H1042" s="11" t="n">
        <x:f>IF(ISNUMBER(SEARCH("freq-core",'제외 후보'!AD1042)),'선정 규칙'!$B$20,0)</x:f>
        <x:v>0</x:v>
      </x:c>
      <x:c r="I1042" s="11" t="n">
        <x:f>IF(ISNUMBER(SEARCH("weak_legacy_content",'제외 후보'!P1042)),'선정 규칙'!$B$21,0)</x:f>
        <x:v>5</x:v>
      </x:c>
      <x:c r="J1042" s="11" t="n">
        <x:f>IF('제외 후보'!AC1042&lt;&gt;"",'선정 규칙'!$B$22,0)</x:f>
        <x:v>0</x:v>
      </x:c>
      <x:c r="K1042" s="11" t="n">
        <x:f>SUM(B1042:J1042)</x:f>
        <x:v>-2</x:v>
      </x:c>
      <x:c r="L1042" s="11" t="n">
        <x:f>'제외 후보'!N1042</x:f>
        <x:v>-2</x:v>
      </x:c>
      <x:c r="M1042" s="2" t="str">
        <x:f>IF(K1042=L1042,"OK","MISMATCH")</x:f>
        <x:v>OK</x:v>
      </x:c>
    </x:row>
    <x:row r="1043">
      <x:c r="A1043" s="2" t="str">
        <x:f>'제외 후보'!G1043</x:f>
        <x:v>w_83ca7fd8e77d8d56</x:v>
      </x:c>
      <x:c r="B1043" s="11" t="n">
        <x:f>IF('제외 후보'!Q1043&lt;&gt;"",'선정 규칙'!$B$4,0)</x:f>
        <x:v>0</x:v>
      </x:c>
      <x:c r="C1043" s="11" t="n">
        <x:f>IF(ISNUMBER(SEARCH("jmdict_uncommon_or_irregular",'제외 후보'!P1043)),'선정 규칙'!$B$5,IF(ISNUMBER(SEARCH("jmdict_rare_or_dated",'제외 후보'!P1043)),'선정 규칙'!$B$6,0))</x:f>
        <x:v>0</x:v>
      </x:c>
      <x:c r="D1043" s="11" t="n">
        <x:f>IF(ISNUMBER(SEARCH("jmdict_exact_pair_not_found",'제외 후보'!P1043)),'선정 규칙'!$B$7,0)</x:f>
        <x:v>0</x:v>
      </x:c>
      <x:c r="E1043" s="11" t="n">
        <x:f>IF(OR('제외 후보'!L1043="",'제외 후보'!L1043&lt;=0),'선정 규칙'!$B$8,IF('제외 후보'!L1043&lt;=1.5,'선정 규칙'!$B$9,IF('제외 후보'!L1043&lt;=2,'선정 규칙'!$B$10,IF('제외 후보'!L1043&lt;=2.5,'선정 규칙'!$B$11,IF('제외 후보'!L1043&lt;=3,'선정 규칙'!$B$12,IF('제외 후보'!L1043&lt;=3.5,'선정 규칙'!$B$13,IF('제외 후보'!L1043&gt;=4.5,'선정 규칙'!$B$14,0)))))))</x:f>
        <x:v>12</x:v>
      </x:c>
      <x:c r="F1043" s="11" t="n">
        <x:f>IF('제외 후보'!Y1043=0,'선정 규칙'!$B$15,IF('제외 후보'!Y1043&gt;=100,'선정 규칙'!$B$16,'선정 규칙'!$B$17))</x:f>
        <x:v>-25</x:v>
      </x:c>
      <x:c r="G1043" s="11" t="n">
        <x:f>IF('제외 후보'!M1043="있음",'선정 규칙'!$B$18,'선정 규칙'!$B$19)</x:f>
        <x:v>6</x:v>
      </x:c>
      <x:c r="H1043" s="11" t="n">
        <x:f>IF(ISNUMBER(SEARCH("freq-core",'제외 후보'!AD1043)),'선정 규칙'!$B$20,0)</x:f>
        <x:v>0</x:v>
      </x:c>
      <x:c r="I1043" s="11" t="n">
        <x:f>IF(ISNUMBER(SEARCH("weak_legacy_content",'제외 후보'!P1043)),'선정 규칙'!$B$21,0)</x:f>
        <x:v>5</x:v>
      </x:c>
      <x:c r="J1043" s="11" t="n">
        <x:f>IF('제외 후보'!AC1043&lt;&gt;"",'선정 규칙'!$B$22,0)</x:f>
        <x:v>0</x:v>
      </x:c>
      <x:c r="K1043" s="11" t="n">
        <x:f>SUM(B1043:J1043)</x:f>
        <x:v>-2</x:v>
      </x:c>
      <x:c r="L1043" s="11" t="n">
        <x:f>'제외 후보'!N1043</x:f>
        <x:v>-2</x:v>
      </x:c>
      <x:c r="M1043" s="2" t="str">
        <x:f>IF(K1043=L1043,"OK","MISMATCH")</x:f>
        <x:v>OK</x:v>
      </x:c>
    </x:row>
    <x:row r="1044">
      <x:c r="A1044" s="2" t="str">
        <x:f>'제외 후보'!G1044</x:f>
        <x:v>w_f19e836baf726613</x:v>
      </x:c>
      <x:c r="B1044" s="11" t="n">
        <x:f>IF('제외 후보'!Q1044&lt;&gt;"",'선정 규칙'!$B$4,0)</x:f>
        <x:v>0</x:v>
      </x:c>
      <x:c r="C1044" s="11" t="n">
        <x:f>IF(ISNUMBER(SEARCH("jmdict_uncommon_or_irregular",'제외 후보'!P1044)),'선정 규칙'!$B$5,IF(ISNUMBER(SEARCH("jmdict_rare_or_dated",'제외 후보'!P1044)),'선정 규칙'!$B$6,0))</x:f>
        <x:v>0</x:v>
      </x:c>
      <x:c r="D1044" s="11" t="n">
        <x:f>IF(ISNUMBER(SEARCH("jmdict_exact_pair_not_found",'제외 후보'!P1044)),'선정 규칙'!$B$7,0)</x:f>
        <x:v>0</x:v>
      </x:c>
      <x:c r="E1044" s="11" t="n">
        <x:f>IF(OR('제외 후보'!L1044="",'제외 후보'!L1044&lt;=0),'선정 규칙'!$B$8,IF('제외 후보'!L1044&lt;=1.5,'선정 규칙'!$B$9,IF('제외 후보'!L1044&lt;=2,'선정 규칙'!$B$10,IF('제외 후보'!L1044&lt;=2.5,'선정 규칙'!$B$11,IF('제외 후보'!L1044&lt;=3,'선정 규칙'!$B$12,IF('제외 후보'!L1044&lt;=3.5,'선정 규칙'!$B$13,IF('제외 후보'!L1044&gt;=4.5,'선정 규칙'!$B$14,0)))))))</x:f>
        <x:v>12</x:v>
      </x:c>
      <x:c r="F1044" s="11" t="n">
        <x:f>IF('제외 후보'!Y1044=0,'선정 규칙'!$B$15,IF('제외 후보'!Y1044&gt;=100,'선정 규칙'!$B$16,'선정 규칙'!$B$17))</x:f>
        <x:v>-25</x:v>
      </x:c>
      <x:c r="G1044" s="11" t="n">
        <x:f>IF('제외 후보'!M1044="있음",'선정 규칙'!$B$18,'선정 규칙'!$B$19)</x:f>
        <x:v>6</x:v>
      </x:c>
      <x:c r="H1044" s="11" t="n">
        <x:f>IF(ISNUMBER(SEARCH("freq-core",'제외 후보'!AD1044)),'선정 규칙'!$B$20,0)</x:f>
        <x:v>0</x:v>
      </x:c>
      <x:c r="I1044" s="11" t="n">
        <x:f>IF(ISNUMBER(SEARCH("weak_legacy_content",'제외 후보'!P1044)),'선정 규칙'!$B$21,0)</x:f>
        <x:v>5</x:v>
      </x:c>
      <x:c r="J1044" s="11" t="n">
        <x:f>IF('제외 후보'!AC1044&lt;&gt;"",'선정 규칙'!$B$22,0)</x:f>
        <x:v>0</x:v>
      </x:c>
      <x:c r="K1044" s="11" t="n">
        <x:f>SUM(B1044:J1044)</x:f>
        <x:v>-2</x:v>
      </x:c>
      <x:c r="L1044" s="11" t="n">
        <x:f>'제외 후보'!N1044</x:f>
        <x:v>-2</x:v>
      </x:c>
      <x:c r="M1044" s="2" t="str">
        <x:f>IF(K1044=L1044,"OK","MISMATCH")</x:f>
        <x:v>OK</x:v>
      </x:c>
    </x:row>
    <x:row r="1045">
      <x:c r="A1045" s="2" t="str">
        <x:f>'제외 후보'!G1045</x:f>
        <x:v>w_5181115066b98554</x:v>
      </x:c>
      <x:c r="B1045" s="11" t="n">
        <x:f>IF('제외 후보'!Q1045&lt;&gt;"",'선정 규칙'!$B$4,0)</x:f>
        <x:v>0</x:v>
      </x:c>
      <x:c r="C1045" s="11" t="n">
        <x:f>IF(ISNUMBER(SEARCH("jmdict_uncommon_or_irregular",'제외 후보'!P1045)),'선정 규칙'!$B$5,IF(ISNUMBER(SEARCH("jmdict_rare_or_dated",'제외 후보'!P1045)),'선정 규칙'!$B$6,0))</x:f>
        <x:v>0</x:v>
      </x:c>
      <x:c r="D1045" s="11" t="n">
        <x:f>IF(ISNUMBER(SEARCH("jmdict_exact_pair_not_found",'제외 후보'!P1045)),'선정 규칙'!$B$7,0)</x:f>
        <x:v>0</x:v>
      </x:c>
      <x:c r="E1045" s="11" t="n">
        <x:f>IF(OR('제외 후보'!L1045="",'제외 후보'!L1045&lt;=0),'선정 규칙'!$B$8,IF('제외 후보'!L1045&lt;=1.5,'선정 규칙'!$B$9,IF('제외 후보'!L1045&lt;=2,'선정 규칙'!$B$10,IF('제외 후보'!L1045&lt;=2.5,'선정 규칙'!$B$11,IF('제외 후보'!L1045&lt;=3,'선정 규칙'!$B$12,IF('제외 후보'!L1045&lt;=3.5,'선정 규칙'!$B$13,IF('제외 후보'!L1045&gt;=4.5,'선정 규칙'!$B$14,0)))))))</x:f>
        <x:v>12</x:v>
      </x:c>
      <x:c r="F1045" s="11" t="n">
        <x:f>IF('제외 후보'!Y1045=0,'선정 규칙'!$B$15,IF('제외 후보'!Y1045&gt;=100,'선정 규칙'!$B$16,'선정 규칙'!$B$17))</x:f>
        <x:v>-25</x:v>
      </x:c>
      <x:c r="G1045" s="11" t="n">
        <x:f>IF('제외 후보'!M1045="있음",'선정 규칙'!$B$18,'선정 규칙'!$B$19)</x:f>
        <x:v>6</x:v>
      </x:c>
      <x:c r="H1045" s="11" t="n">
        <x:f>IF(ISNUMBER(SEARCH("freq-core",'제외 후보'!AD1045)),'선정 규칙'!$B$20,0)</x:f>
        <x:v>0</x:v>
      </x:c>
      <x:c r="I1045" s="11" t="n">
        <x:f>IF(ISNUMBER(SEARCH("weak_legacy_content",'제외 후보'!P1045)),'선정 규칙'!$B$21,0)</x:f>
        <x:v>5</x:v>
      </x:c>
      <x:c r="J1045" s="11" t="n">
        <x:f>IF('제외 후보'!AC1045&lt;&gt;"",'선정 규칙'!$B$22,0)</x:f>
        <x:v>0</x:v>
      </x:c>
      <x:c r="K1045" s="11" t="n">
        <x:f>SUM(B1045:J1045)</x:f>
        <x:v>-2</x:v>
      </x:c>
      <x:c r="L1045" s="11" t="n">
        <x:f>'제외 후보'!N1045</x:f>
        <x:v>-2</x:v>
      </x:c>
      <x:c r="M1045" s="2" t="str">
        <x:f>IF(K1045=L1045,"OK","MISMATCH")</x:f>
        <x:v>OK</x:v>
      </x:c>
    </x:row>
    <x:row r="1046">
      <x:c r="A1046" s="2" t="str">
        <x:f>'제외 후보'!G1046</x:f>
        <x:v>w_dfff5b9aa9885ddc</x:v>
      </x:c>
      <x:c r="B1046" s="11" t="n">
        <x:f>IF('제외 후보'!Q1046&lt;&gt;"",'선정 규칙'!$B$4,0)</x:f>
        <x:v>0</x:v>
      </x:c>
      <x:c r="C1046" s="11" t="n">
        <x:f>IF(ISNUMBER(SEARCH("jmdict_uncommon_or_irregular",'제외 후보'!P1046)),'선정 규칙'!$B$5,IF(ISNUMBER(SEARCH("jmdict_rare_or_dated",'제외 후보'!P1046)),'선정 규칙'!$B$6,0))</x:f>
        <x:v>0</x:v>
      </x:c>
      <x:c r="D1046" s="11" t="n">
        <x:f>IF(ISNUMBER(SEARCH("jmdict_exact_pair_not_found",'제외 후보'!P1046)),'선정 규칙'!$B$7,0)</x:f>
        <x:v>0</x:v>
      </x:c>
      <x:c r="E1046" s="11" t="n">
        <x:f>IF(OR('제외 후보'!L1046="",'제외 후보'!L1046&lt;=0),'선정 규칙'!$B$8,IF('제외 후보'!L1046&lt;=1.5,'선정 규칙'!$B$9,IF('제외 후보'!L1046&lt;=2,'선정 규칙'!$B$10,IF('제외 후보'!L1046&lt;=2.5,'선정 규칙'!$B$11,IF('제외 후보'!L1046&lt;=3,'선정 규칙'!$B$12,IF('제외 후보'!L1046&lt;=3.5,'선정 규칙'!$B$13,IF('제외 후보'!L1046&gt;=4.5,'선정 규칙'!$B$14,0)))))))</x:f>
        <x:v>12</x:v>
      </x:c>
      <x:c r="F1046" s="11" t="n">
        <x:f>IF('제외 후보'!Y1046=0,'선정 규칙'!$B$15,IF('제외 후보'!Y1046&gt;=100,'선정 규칙'!$B$16,'선정 규칙'!$B$17))</x:f>
        <x:v>-25</x:v>
      </x:c>
      <x:c r="G1046" s="11" t="n">
        <x:f>IF('제외 후보'!M1046="있음",'선정 규칙'!$B$18,'선정 규칙'!$B$19)</x:f>
        <x:v>6</x:v>
      </x:c>
      <x:c r="H1046" s="11" t="n">
        <x:f>IF(ISNUMBER(SEARCH("freq-core",'제외 후보'!AD1046)),'선정 규칙'!$B$20,0)</x:f>
        <x:v>0</x:v>
      </x:c>
      <x:c r="I1046" s="11" t="n">
        <x:f>IF(ISNUMBER(SEARCH("weak_legacy_content",'제외 후보'!P1046)),'선정 규칙'!$B$21,0)</x:f>
        <x:v>5</x:v>
      </x:c>
      <x:c r="J1046" s="11" t="n">
        <x:f>IF('제외 후보'!AC1046&lt;&gt;"",'선정 규칙'!$B$22,0)</x:f>
        <x:v>0</x:v>
      </x:c>
      <x:c r="K1046" s="11" t="n">
        <x:f>SUM(B1046:J1046)</x:f>
        <x:v>-2</x:v>
      </x:c>
      <x:c r="L1046" s="11" t="n">
        <x:f>'제외 후보'!N1046</x:f>
        <x:v>-2</x:v>
      </x:c>
      <x:c r="M1046" s="2" t="str">
        <x:f>IF(K1046=L1046,"OK","MISMATCH")</x:f>
        <x:v>OK</x:v>
      </x:c>
    </x:row>
    <x:row r="1047">
      <x:c r="A1047" s="2" t="str">
        <x:f>'제외 후보'!G1047</x:f>
        <x:v>w_8f6b0662b3077831</x:v>
      </x:c>
      <x:c r="B1047" s="11" t="n">
        <x:f>IF('제외 후보'!Q1047&lt;&gt;"",'선정 규칙'!$B$4,0)</x:f>
        <x:v>0</x:v>
      </x:c>
      <x:c r="C1047" s="11" t="n">
        <x:f>IF(ISNUMBER(SEARCH("jmdict_uncommon_or_irregular",'제외 후보'!P1047)),'선정 규칙'!$B$5,IF(ISNUMBER(SEARCH("jmdict_rare_or_dated",'제외 후보'!P1047)),'선정 규칙'!$B$6,0))</x:f>
        <x:v>0</x:v>
      </x:c>
      <x:c r="D1047" s="11" t="n">
        <x:f>IF(ISNUMBER(SEARCH("jmdict_exact_pair_not_found",'제외 후보'!P1047)),'선정 규칙'!$B$7,0)</x:f>
        <x:v>0</x:v>
      </x:c>
      <x:c r="E1047" s="11" t="n">
        <x:f>IF(OR('제외 후보'!L1047="",'제외 후보'!L1047&lt;=0),'선정 규칙'!$B$8,IF('제외 후보'!L1047&lt;=1.5,'선정 규칙'!$B$9,IF('제외 후보'!L1047&lt;=2,'선정 규칙'!$B$10,IF('제외 후보'!L1047&lt;=2.5,'선정 규칙'!$B$11,IF('제외 후보'!L1047&lt;=3,'선정 규칙'!$B$12,IF('제외 후보'!L1047&lt;=3.5,'선정 규칙'!$B$13,IF('제외 후보'!L1047&gt;=4.5,'선정 규칙'!$B$14,0)))))))</x:f>
        <x:v>12</x:v>
      </x:c>
      <x:c r="F1047" s="11" t="n">
        <x:f>IF('제외 후보'!Y1047=0,'선정 규칙'!$B$15,IF('제외 후보'!Y1047&gt;=100,'선정 규칙'!$B$16,'선정 규칙'!$B$17))</x:f>
        <x:v>-25</x:v>
      </x:c>
      <x:c r="G1047" s="11" t="n">
        <x:f>IF('제외 후보'!M1047="있음",'선정 규칙'!$B$18,'선정 규칙'!$B$19)</x:f>
        <x:v>6</x:v>
      </x:c>
      <x:c r="H1047" s="11" t="n">
        <x:f>IF(ISNUMBER(SEARCH("freq-core",'제외 후보'!AD1047)),'선정 규칙'!$B$20,0)</x:f>
        <x:v>0</x:v>
      </x:c>
      <x:c r="I1047" s="11" t="n">
        <x:f>IF(ISNUMBER(SEARCH("weak_legacy_content",'제외 후보'!P1047)),'선정 규칙'!$B$21,0)</x:f>
        <x:v>5</x:v>
      </x:c>
      <x:c r="J1047" s="11" t="n">
        <x:f>IF('제외 후보'!AC1047&lt;&gt;"",'선정 규칙'!$B$22,0)</x:f>
        <x:v>0</x:v>
      </x:c>
      <x:c r="K1047" s="11" t="n">
        <x:f>SUM(B1047:J1047)</x:f>
        <x:v>-2</x:v>
      </x:c>
      <x:c r="L1047" s="11" t="n">
        <x:f>'제외 후보'!N1047</x:f>
        <x:v>-2</x:v>
      </x:c>
      <x:c r="M1047" s="2" t="str">
        <x:f>IF(K1047=L1047,"OK","MISMATCH")</x:f>
        <x:v>OK</x:v>
      </x:c>
    </x:row>
    <x:row r="1048">
      <x:c r="A1048" s="2" t="str">
        <x:f>'제외 후보'!G1048</x:f>
        <x:v>w_2a743040c74cfa0a</x:v>
      </x:c>
      <x:c r="B1048" s="11" t="n">
        <x:f>IF('제외 후보'!Q1048&lt;&gt;"",'선정 규칙'!$B$4,0)</x:f>
        <x:v>0</x:v>
      </x:c>
      <x:c r="C1048" s="11" t="n">
        <x:f>IF(ISNUMBER(SEARCH("jmdict_uncommon_or_irregular",'제외 후보'!P1048)),'선정 규칙'!$B$5,IF(ISNUMBER(SEARCH("jmdict_rare_or_dated",'제외 후보'!P1048)),'선정 규칙'!$B$6,0))</x:f>
        <x:v>0</x:v>
      </x:c>
      <x:c r="D1048" s="11" t="n">
        <x:f>IF(ISNUMBER(SEARCH("jmdict_exact_pair_not_found",'제외 후보'!P1048)),'선정 규칙'!$B$7,0)</x:f>
        <x:v>0</x:v>
      </x:c>
      <x:c r="E1048" s="11" t="n">
        <x:f>IF(OR('제외 후보'!L1048="",'제외 후보'!L1048&lt;=0),'선정 규칙'!$B$8,IF('제외 후보'!L1048&lt;=1.5,'선정 규칙'!$B$9,IF('제외 후보'!L1048&lt;=2,'선정 규칙'!$B$10,IF('제외 후보'!L1048&lt;=2.5,'선정 규칙'!$B$11,IF('제외 후보'!L1048&lt;=3,'선정 규칙'!$B$12,IF('제외 후보'!L1048&lt;=3.5,'선정 규칙'!$B$13,IF('제외 후보'!L1048&gt;=4.5,'선정 규칙'!$B$14,0)))))))</x:f>
        <x:v>12</x:v>
      </x:c>
      <x:c r="F1048" s="11" t="n">
        <x:f>IF('제외 후보'!Y1048=0,'선정 규칙'!$B$15,IF('제외 후보'!Y1048&gt;=100,'선정 규칙'!$B$16,'선정 규칙'!$B$17))</x:f>
        <x:v>-25</x:v>
      </x:c>
      <x:c r="G1048" s="11" t="n">
        <x:f>IF('제외 후보'!M1048="있음",'선정 규칙'!$B$18,'선정 규칙'!$B$19)</x:f>
        <x:v>6</x:v>
      </x:c>
      <x:c r="H1048" s="11" t="n">
        <x:f>IF(ISNUMBER(SEARCH("freq-core",'제외 후보'!AD1048)),'선정 규칙'!$B$20,0)</x:f>
        <x:v>0</x:v>
      </x:c>
      <x:c r="I1048" s="11" t="n">
        <x:f>IF(ISNUMBER(SEARCH("weak_legacy_content",'제외 후보'!P1048)),'선정 규칙'!$B$21,0)</x:f>
        <x:v>5</x:v>
      </x:c>
      <x:c r="J1048" s="11" t="n">
        <x:f>IF('제외 후보'!AC1048&lt;&gt;"",'선정 규칙'!$B$22,0)</x:f>
        <x:v>0</x:v>
      </x:c>
      <x:c r="K1048" s="11" t="n">
        <x:f>SUM(B1048:J1048)</x:f>
        <x:v>-2</x:v>
      </x:c>
      <x:c r="L1048" s="11" t="n">
        <x:f>'제외 후보'!N1048</x:f>
        <x:v>-2</x:v>
      </x:c>
      <x:c r="M1048" s="2" t="str">
        <x:f>IF(K1048=L1048,"OK","MISMATCH")</x:f>
        <x:v>OK</x:v>
      </x:c>
    </x:row>
    <x:row r="1049">
      <x:c r="A1049" s="2" t="str">
        <x:f>'제외 후보'!G1049</x:f>
        <x:v>w_2901dd31bf072352</x:v>
      </x:c>
      <x:c r="B1049" s="11" t="n">
        <x:f>IF('제외 후보'!Q1049&lt;&gt;"",'선정 규칙'!$B$4,0)</x:f>
        <x:v>0</x:v>
      </x:c>
      <x:c r="C1049" s="11" t="n">
        <x:f>IF(ISNUMBER(SEARCH("jmdict_uncommon_or_irregular",'제외 후보'!P1049)),'선정 규칙'!$B$5,IF(ISNUMBER(SEARCH("jmdict_rare_or_dated",'제외 후보'!P1049)),'선정 규칙'!$B$6,0))</x:f>
        <x:v>0</x:v>
      </x:c>
      <x:c r="D1049" s="11" t="n">
        <x:f>IF(ISNUMBER(SEARCH("jmdict_exact_pair_not_found",'제외 후보'!P1049)),'선정 규칙'!$B$7,0)</x:f>
        <x:v>0</x:v>
      </x:c>
      <x:c r="E1049" s="11" t="n">
        <x:f>IF(OR('제외 후보'!L1049="",'제외 후보'!L1049&lt;=0),'선정 규칙'!$B$8,IF('제외 후보'!L1049&lt;=1.5,'선정 규칙'!$B$9,IF('제외 후보'!L1049&lt;=2,'선정 규칙'!$B$10,IF('제외 후보'!L1049&lt;=2.5,'선정 규칙'!$B$11,IF('제외 후보'!L1049&lt;=3,'선정 규칙'!$B$12,IF('제외 후보'!L1049&lt;=3.5,'선정 규칙'!$B$13,IF('제외 후보'!L1049&gt;=4.5,'선정 규칙'!$B$14,0)))))))</x:f>
        <x:v>12</x:v>
      </x:c>
      <x:c r="F1049" s="11" t="n">
        <x:f>IF('제외 후보'!Y1049=0,'선정 규칙'!$B$15,IF('제외 후보'!Y1049&gt;=100,'선정 규칙'!$B$16,'선정 규칙'!$B$17))</x:f>
        <x:v>-25</x:v>
      </x:c>
      <x:c r="G1049" s="11" t="n">
        <x:f>IF('제외 후보'!M1049="있음",'선정 규칙'!$B$18,'선정 규칙'!$B$19)</x:f>
        <x:v>6</x:v>
      </x:c>
      <x:c r="H1049" s="11" t="n">
        <x:f>IF(ISNUMBER(SEARCH("freq-core",'제외 후보'!AD1049)),'선정 규칙'!$B$20,0)</x:f>
        <x:v>0</x:v>
      </x:c>
      <x:c r="I1049" s="11" t="n">
        <x:f>IF(ISNUMBER(SEARCH("weak_legacy_content",'제외 후보'!P1049)),'선정 규칙'!$B$21,0)</x:f>
        <x:v>5</x:v>
      </x:c>
      <x:c r="J1049" s="11" t="n">
        <x:f>IF('제외 후보'!AC1049&lt;&gt;"",'선정 규칙'!$B$22,0)</x:f>
        <x:v>0</x:v>
      </x:c>
      <x:c r="K1049" s="11" t="n">
        <x:f>SUM(B1049:J1049)</x:f>
        <x:v>-2</x:v>
      </x:c>
      <x:c r="L1049" s="11" t="n">
        <x:f>'제외 후보'!N1049</x:f>
        <x:v>-2</x:v>
      </x:c>
      <x:c r="M1049" s="2" t="str">
        <x:f>IF(K1049=L1049,"OK","MISMATCH")</x:f>
        <x:v>OK</x:v>
      </x:c>
    </x:row>
    <x:row r="1050">
      <x:c r="A1050" s="2" t="str">
        <x:f>'제외 후보'!G1050</x:f>
        <x:v>w_d05687feb04b3adc</x:v>
      </x:c>
      <x:c r="B1050" s="11" t="n">
        <x:f>IF('제외 후보'!Q1050&lt;&gt;"",'선정 규칙'!$B$4,0)</x:f>
        <x:v>0</x:v>
      </x:c>
      <x:c r="C1050" s="11" t="n">
        <x:f>IF(ISNUMBER(SEARCH("jmdict_uncommon_or_irregular",'제외 후보'!P1050)),'선정 규칙'!$B$5,IF(ISNUMBER(SEARCH("jmdict_rare_or_dated",'제외 후보'!P1050)),'선정 규칙'!$B$6,0))</x:f>
        <x:v>0</x:v>
      </x:c>
      <x:c r="D1050" s="11" t="n">
        <x:f>IF(ISNUMBER(SEARCH("jmdict_exact_pair_not_found",'제외 후보'!P1050)),'선정 규칙'!$B$7,0)</x:f>
        <x:v>0</x:v>
      </x:c>
      <x:c r="E1050" s="11" t="n">
        <x:f>IF(OR('제외 후보'!L1050="",'제외 후보'!L1050&lt;=0),'선정 규칙'!$B$8,IF('제외 후보'!L1050&lt;=1.5,'선정 규칙'!$B$9,IF('제외 후보'!L1050&lt;=2,'선정 규칙'!$B$10,IF('제외 후보'!L1050&lt;=2.5,'선정 규칙'!$B$11,IF('제외 후보'!L1050&lt;=3,'선정 규칙'!$B$12,IF('제외 후보'!L1050&lt;=3.5,'선정 규칙'!$B$13,IF('제외 후보'!L1050&gt;=4.5,'선정 규칙'!$B$14,0)))))))</x:f>
        <x:v>12</x:v>
      </x:c>
      <x:c r="F1050" s="11" t="n">
        <x:f>IF('제외 후보'!Y1050=0,'선정 규칙'!$B$15,IF('제외 후보'!Y1050&gt;=100,'선정 규칙'!$B$16,'선정 규칙'!$B$17))</x:f>
        <x:v>-25</x:v>
      </x:c>
      <x:c r="G1050" s="11" t="n">
        <x:f>IF('제외 후보'!M1050="있음",'선정 규칙'!$B$18,'선정 규칙'!$B$19)</x:f>
        <x:v>6</x:v>
      </x:c>
      <x:c r="H1050" s="11" t="n">
        <x:f>IF(ISNUMBER(SEARCH("freq-core",'제외 후보'!AD1050)),'선정 규칙'!$B$20,0)</x:f>
        <x:v>0</x:v>
      </x:c>
      <x:c r="I1050" s="11" t="n">
        <x:f>IF(ISNUMBER(SEARCH("weak_legacy_content",'제외 후보'!P1050)),'선정 규칙'!$B$21,0)</x:f>
        <x:v>5</x:v>
      </x:c>
      <x:c r="J1050" s="11" t="n">
        <x:f>IF('제외 후보'!AC1050&lt;&gt;"",'선정 규칙'!$B$22,0)</x:f>
        <x:v>0</x:v>
      </x:c>
      <x:c r="K1050" s="11" t="n">
        <x:f>SUM(B1050:J1050)</x:f>
        <x:v>-2</x:v>
      </x:c>
      <x:c r="L1050" s="11" t="n">
        <x:f>'제외 후보'!N1050</x:f>
        <x:v>-2</x:v>
      </x:c>
      <x:c r="M1050" s="2" t="str">
        <x:f>IF(K1050=L1050,"OK","MISMATCH")</x:f>
        <x:v>OK</x:v>
      </x:c>
    </x:row>
    <x:row r="1051">
      <x:c r="A1051" s="2" t="str">
        <x:f>'제외 후보'!G1051</x:f>
        <x:v>w_cabd878328024d25</x:v>
      </x:c>
      <x:c r="B1051" s="11" t="n">
        <x:f>IF('제외 후보'!Q1051&lt;&gt;"",'선정 규칙'!$B$4,0)</x:f>
        <x:v>0</x:v>
      </x:c>
      <x:c r="C1051" s="11" t="n">
        <x:f>IF(ISNUMBER(SEARCH("jmdict_uncommon_or_irregular",'제외 후보'!P1051)),'선정 규칙'!$B$5,IF(ISNUMBER(SEARCH("jmdict_rare_or_dated",'제외 후보'!P1051)),'선정 규칙'!$B$6,0))</x:f>
        <x:v>0</x:v>
      </x:c>
      <x:c r="D1051" s="11" t="n">
        <x:f>IF(ISNUMBER(SEARCH("jmdict_exact_pair_not_found",'제외 후보'!P1051)),'선정 규칙'!$B$7,0)</x:f>
        <x:v>0</x:v>
      </x:c>
      <x:c r="E1051" s="11" t="n">
        <x:f>IF(OR('제외 후보'!L1051="",'제외 후보'!L1051&lt;=0),'선정 규칙'!$B$8,IF('제외 후보'!L1051&lt;=1.5,'선정 규칙'!$B$9,IF('제외 후보'!L1051&lt;=2,'선정 규칙'!$B$10,IF('제외 후보'!L1051&lt;=2.5,'선정 규칙'!$B$11,IF('제외 후보'!L1051&lt;=3,'선정 규칙'!$B$12,IF('제외 후보'!L1051&lt;=3.5,'선정 규칙'!$B$13,IF('제외 후보'!L1051&gt;=4.5,'선정 규칙'!$B$14,0)))))))</x:f>
        <x:v>12</x:v>
      </x:c>
      <x:c r="F1051" s="11" t="n">
        <x:f>IF('제외 후보'!Y1051=0,'선정 규칙'!$B$15,IF('제외 후보'!Y1051&gt;=100,'선정 규칙'!$B$16,'선정 규칙'!$B$17))</x:f>
        <x:v>-25</x:v>
      </x:c>
      <x:c r="G1051" s="11" t="n">
        <x:f>IF('제외 후보'!M1051="있음",'선정 규칙'!$B$18,'선정 규칙'!$B$19)</x:f>
        <x:v>6</x:v>
      </x:c>
      <x:c r="H1051" s="11" t="n">
        <x:f>IF(ISNUMBER(SEARCH("freq-core",'제외 후보'!AD1051)),'선정 규칙'!$B$20,0)</x:f>
        <x:v>0</x:v>
      </x:c>
      <x:c r="I1051" s="11" t="n">
        <x:f>IF(ISNUMBER(SEARCH("weak_legacy_content",'제외 후보'!P1051)),'선정 규칙'!$B$21,0)</x:f>
        <x:v>5</x:v>
      </x:c>
      <x:c r="J1051" s="11" t="n">
        <x:f>IF('제외 후보'!AC1051&lt;&gt;"",'선정 규칙'!$B$22,0)</x:f>
        <x:v>0</x:v>
      </x:c>
      <x:c r="K1051" s="11" t="n">
        <x:f>SUM(B1051:J1051)</x:f>
        <x:v>-2</x:v>
      </x:c>
      <x:c r="L1051" s="11" t="n">
        <x:f>'제외 후보'!N1051</x:f>
        <x:v>-2</x:v>
      </x:c>
      <x:c r="M1051" s="2" t="str">
        <x:f>IF(K1051=L1051,"OK","MISMATCH")</x:f>
        <x:v>OK</x:v>
      </x:c>
    </x:row>
    <x:row r="1052">
      <x:c r="A1052" s="2" t="str">
        <x:f>'제외 후보'!G1052</x:f>
        <x:v>w_259da403c894ca65</x:v>
      </x:c>
      <x:c r="B1052" s="11" t="n">
        <x:f>IF('제외 후보'!Q1052&lt;&gt;"",'선정 규칙'!$B$4,0)</x:f>
        <x:v>0</x:v>
      </x:c>
      <x:c r="C1052" s="11" t="n">
        <x:f>IF(ISNUMBER(SEARCH("jmdict_uncommon_or_irregular",'제외 후보'!P1052)),'선정 규칙'!$B$5,IF(ISNUMBER(SEARCH("jmdict_rare_or_dated",'제외 후보'!P1052)),'선정 규칙'!$B$6,0))</x:f>
        <x:v>0</x:v>
      </x:c>
      <x:c r="D1052" s="11" t="n">
        <x:f>IF(ISNUMBER(SEARCH("jmdict_exact_pair_not_found",'제외 후보'!P1052)),'선정 규칙'!$B$7,0)</x:f>
        <x:v>0</x:v>
      </x:c>
      <x:c r="E1052" s="11" t="n">
        <x:f>IF(OR('제외 후보'!L1052="",'제외 후보'!L1052&lt;=0),'선정 규칙'!$B$8,IF('제외 후보'!L1052&lt;=1.5,'선정 규칙'!$B$9,IF('제외 후보'!L1052&lt;=2,'선정 규칙'!$B$10,IF('제외 후보'!L1052&lt;=2.5,'선정 규칙'!$B$11,IF('제외 후보'!L1052&lt;=3,'선정 규칙'!$B$12,IF('제외 후보'!L1052&lt;=3.5,'선정 규칙'!$B$13,IF('제외 후보'!L1052&gt;=4.5,'선정 규칙'!$B$14,0)))))))</x:f>
        <x:v>12</x:v>
      </x:c>
      <x:c r="F1052" s="11" t="n">
        <x:f>IF('제외 후보'!Y1052=0,'선정 규칙'!$B$15,IF('제외 후보'!Y1052&gt;=100,'선정 규칙'!$B$16,'선정 규칙'!$B$17))</x:f>
        <x:v>-25</x:v>
      </x:c>
      <x:c r="G1052" s="11" t="n">
        <x:f>IF('제외 후보'!M1052="있음",'선정 규칙'!$B$18,'선정 규칙'!$B$19)</x:f>
        <x:v>6</x:v>
      </x:c>
      <x:c r="H1052" s="11" t="n">
        <x:f>IF(ISNUMBER(SEARCH("freq-core",'제외 후보'!AD1052)),'선정 규칙'!$B$20,0)</x:f>
        <x:v>0</x:v>
      </x:c>
      <x:c r="I1052" s="11" t="n">
        <x:f>IF(ISNUMBER(SEARCH("weak_legacy_content",'제외 후보'!P1052)),'선정 규칙'!$B$21,0)</x:f>
        <x:v>5</x:v>
      </x:c>
      <x:c r="J1052" s="11" t="n">
        <x:f>IF('제외 후보'!AC1052&lt;&gt;"",'선정 규칙'!$B$22,0)</x:f>
        <x:v>0</x:v>
      </x:c>
      <x:c r="K1052" s="11" t="n">
        <x:f>SUM(B1052:J1052)</x:f>
        <x:v>-2</x:v>
      </x:c>
      <x:c r="L1052" s="11" t="n">
        <x:f>'제외 후보'!N1052</x:f>
        <x:v>-2</x:v>
      </x:c>
      <x:c r="M1052" s="2" t="str">
        <x:f>IF(K1052=L1052,"OK","MISMATCH")</x:f>
        <x:v>OK</x:v>
      </x:c>
    </x:row>
    <x:row r="1053">
      <x:c r="A1053" s="2" t="str">
        <x:f>'제외 후보'!G1053</x:f>
        <x:v>w_9c9c135739153111</x:v>
      </x:c>
      <x:c r="B1053" s="11" t="n">
        <x:f>IF('제외 후보'!Q1053&lt;&gt;"",'선정 규칙'!$B$4,0)</x:f>
        <x:v>0</x:v>
      </x:c>
      <x:c r="C1053" s="11" t="n">
        <x:f>IF(ISNUMBER(SEARCH("jmdict_uncommon_or_irregular",'제외 후보'!P1053)),'선정 규칙'!$B$5,IF(ISNUMBER(SEARCH("jmdict_rare_or_dated",'제외 후보'!P1053)),'선정 규칙'!$B$6,0))</x:f>
        <x:v>0</x:v>
      </x:c>
      <x:c r="D1053" s="11" t="n">
        <x:f>IF(ISNUMBER(SEARCH("jmdict_exact_pair_not_found",'제외 후보'!P1053)),'선정 규칙'!$B$7,0)</x:f>
        <x:v>0</x:v>
      </x:c>
      <x:c r="E1053" s="11" t="n">
        <x:f>IF(OR('제외 후보'!L1053="",'제외 후보'!L1053&lt;=0),'선정 규칙'!$B$8,IF('제외 후보'!L1053&lt;=1.5,'선정 규칙'!$B$9,IF('제외 후보'!L1053&lt;=2,'선정 규칙'!$B$10,IF('제외 후보'!L1053&lt;=2.5,'선정 규칙'!$B$11,IF('제외 후보'!L1053&lt;=3,'선정 규칙'!$B$12,IF('제외 후보'!L1053&lt;=3.5,'선정 규칙'!$B$13,IF('제외 후보'!L1053&gt;=4.5,'선정 규칙'!$B$14,0)))))))</x:f>
        <x:v>12</x:v>
      </x:c>
      <x:c r="F1053" s="11" t="n">
        <x:f>IF('제외 후보'!Y1053=0,'선정 규칙'!$B$15,IF('제외 후보'!Y1053&gt;=100,'선정 규칙'!$B$16,'선정 규칙'!$B$17))</x:f>
        <x:v>-25</x:v>
      </x:c>
      <x:c r="G1053" s="11" t="n">
        <x:f>IF('제외 후보'!M1053="있음",'선정 규칙'!$B$18,'선정 규칙'!$B$19)</x:f>
        <x:v>6</x:v>
      </x:c>
      <x:c r="H1053" s="11" t="n">
        <x:f>IF(ISNUMBER(SEARCH("freq-core",'제외 후보'!AD1053)),'선정 규칙'!$B$20,0)</x:f>
        <x:v>0</x:v>
      </x:c>
      <x:c r="I1053" s="11" t="n">
        <x:f>IF(ISNUMBER(SEARCH("weak_legacy_content",'제외 후보'!P1053)),'선정 규칙'!$B$21,0)</x:f>
        <x:v>5</x:v>
      </x:c>
      <x:c r="J1053" s="11" t="n">
        <x:f>IF('제외 후보'!AC1053&lt;&gt;"",'선정 규칙'!$B$22,0)</x:f>
        <x:v>0</x:v>
      </x:c>
      <x:c r="K1053" s="11" t="n">
        <x:f>SUM(B1053:J1053)</x:f>
        <x:v>-2</x:v>
      </x:c>
      <x:c r="L1053" s="11" t="n">
        <x:f>'제외 후보'!N1053</x:f>
        <x:v>-2</x:v>
      </x:c>
      <x:c r="M1053" s="2" t="str">
        <x:f>IF(K1053=L1053,"OK","MISMATCH")</x:f>
        <x:v>OK</x:v>
      </x:c>
    </x:row>
    <x:row r="1054">
      <x:c r="A1054" s="2" t="str">
        <x:f>'제외 후보'!G1054</x:f>
        <x:v>w_b11cc624e2e7780a</x:v>
      </x:c>
      <x:c r="B1054" s="11" t="n">
        <x:f>IF('제외 후보'!Q1054&lt;&gt;"",'선정 규칙'!$B$4,0)</x:f>
        <x:v>0</x:v>
      </x:c>
      <x:c r="C1054" s="11" t="n">
        <x:f>IF(ISNUMBER(SEARCH("jmdict_uncommon_or_irregular",'제외 후보'!P1054)),'선정 규칙'!$B$5,IF(ISNUMBER(SEARCH("jmdict_rare_or_dated",'제외 후보'!P1054)),'선정 규칙'!$B$6,0))</x:f>
        <x:v>0</x:v>
      </x:c>
      <x:c r="D1054" s="11" t="n">
        <x:f>IF(ISNUMBER(SEARCH("jmdict_exact_pair_not_found",'제외 후보'!P1054)),'선정 규칙'!$B$7,0)</x:f>
        <x:v>0</x:v>
      </x:c>
      <x:c r="E1054" s="11" t="n">
        <x:f>IF(OR('제외 후보'!L1054="",'제외 후보'!L1054&lt;=0),'선정 규칙'!$B$8,IF('제외 후보'!L1054&lt;=1.5,'선정 규칙'!$B$9,IF('제외 후보'!L1054&lt;=2,'선정 규칙'!$B$10,IF('제외 후보'!L1054&lt;=2.5,'선정 규칙'!$B$11,IF('제외 후보'!L1054&lt;=3,'선정 규칙'!$B$12,IF('제외 후보'!L1054&lt;=3.5,'선정 규칙'!$B$13,IF('제외 후보'!L1054&gt;=4.5,'선정 규칙'!$B$14,0)))))))</x:f>
        <x:v>12</x:v>
      </x:c>
      <x:c r="F1054" s="11" t="n">
        <x:f>IF('제외 후보'!Y1054=0,'선정 규칙'!$B$15,IF('제외 후보'!Y1054&gt;=100,'선정 규칙'!$B$16,'선정 규칙'!$B$17))</x:f>
        <x:v>-25</x:v>
      </x:c>
      <x:c r="G1054" s="11" t="n">
        <x:f>IF('제외 후보'!M1054="있음",'선정 규칙'!$B$18,'선정 규칙'!$B$19)</x:f>
        <x:v>6</x:v>
      </x:c>
      <x:c r="H1054" s="11" t="n">
        <x:f>IF(ISNUMBER(SEARCH("freq-core",'제외 후보'!AD1054)),'선정 규칙'!$B$20,0)</x:f>
        <x:v>0</x:v>
      </x:c>
      <x:c r="I1054" s="11" t="n">
        <x:f>IF(ISNUMBER(SEARCH("weak_legacy_content",'제외 후보'!P1054)),'선정 규칙'!$B$21,0)</x:f>
        <x:v>5</x:v>
      </x:c>
      <x:c r="J1054" s="11" t="n">
        <x:f>IF('제외 후보'!AC1054&lt;&gt;"",'선정 규칙'!$B$22,0)</x:f>
        <x:v>0</x:v>
      </x:c>
      <x:c r="K1054" s="11" t="n">
        <x:f>SUM(B1054:J1054)</x:f>
        <x:v>-2</x:v>
      </x:c>
      <x:c r="L1054" s="11" t="n">
        <x:f>'제외 후보'!N1054</x:f>
        <x:v>-2</x:v>
      </x:c>
      <x:c r="M1054" s="2" t="str">
        <x:f>IF(K1054=L1054,"OK","MISMATCH")</x:f>
        <x:v>OK</x:v>
      </x:c>
    </x:row>
    <x:row r="1055">
      <x:c r="A1055" s="2" t="str">
        <x:f>'제외 후보'!G1055</x:f>
        <x:v>w_c836f8ea18005d45</x:v>
      </x:c>
      <x:c r="B1055" s="11" t="n">
        <x:f>IF('제외 후보'!Q1055&lt;&gt;"",'선정 규칙'!$B$4,0)</x:f>
        <x:v>0</x:v>
      </x:c>
      <x:c r="C1055" s="11" t="n">
        <x:f>IF(ISNUMBER(SEARCH("jmdict_uncommon_or_irregular",'제외 후보'!P1055)),'선정 규칙'!$B$5,IF(ISNUMBER(SEARCH("jmdict_rare_or_dated",'제외 후보'!P1055)),'선정 규칙'!$B$6,0))</x:f>
        <x:v>0</x:v>
      </x:c>
      <x:c r="D1055" s="11" t="n">
        <x:f>IF(ISNUMBER(SEARCH("jmdict_exact_pair_not_found",'제외 후보'!P1055)),'선정 규칙'!$B$7,0)</x:f>
        <x:v>0</x:v>
      </x:c>
      <x:c r="E1055" s="11" t="n">
        <x:f>IF(OR('제외 후보'!L1055="",'제외 후보'!L1055&lt;=0),'선정 규칙'!$B$8,IF('제외 후보'!L1055&lt;=1.5,'선정 규칙'!$B$9,IF('제외 후보'!L1055&lt;=2,'선정 규칙'!$B$10,IF('제외 후보'!L1055&lt;=2.5,'선정 규칙'!$B$11,IF('제외 후보'!L1055&lt;=3,'선정 규칙'!$B$12,IF('제외 후보'!L1055&lt;=3.5,'선정 규칙'!$B$13,IF('제외 후보'!L1055&gt;=4.5,'선정 규칙'!$B$14,0)))))))</x:f>
        <x:v>6</x:v>
      </x:c>
      <x:c r="F1055" s="11" t="n">
        <x:f>IF('제외 후보'!Y1055=0,'선정 규칙'!$B$15,IF('제외 후보'!Y1055&gt;=100,'선정 규칙'!$B$16,'선정 규칙'!$B$17))</x:f>
        <x:v>12</x:v>
      </x:c>
      <x:c r="G1055" s="11" t="n">
        <x:f>IF('제외 후보'!M1055="있음",'선정 규칙'!$B$18,'선정 규칙'!$B$19)</x:f>
        <x:v>-25</x:v>
      </x:c>
      <x:c r="H1055" s="11" t="n">
        <x:f>IF(ISNUMBER(SEARCH("freq-core",'제외 후보'!AD1055)),'선정 규칙'!$B$20,0)</x:f>
        <x:v>0</x:v>
      </x:c>
      <x:c r="I1055" s="11" t="n">
        <x:f>IF(ISNUMBER(SEARCH("weak_legacy_content",'제외 후보'!P1055)),'선정 규칙'!$B$21,0)</x:f>
        <x:v>5</x:v>
      </x:c>
      <x:c r="J1055" s="11" t="n">
        <x:f>IF('제외 후보'!AC1055&lt;&gt;"",'선정 규칙'!$B$22,0)</x:f>
        <x:v>0</x:v>
      </x:c>
      <x:c r="K1055" s="11" t="n">
        <x:f>SUM(B1055:J1055)</x:f>
        <x:v>-2</x:v>
      </x:c>
      <x:c r="L1055" s="11" t="n">
        <x:f>'제외 후보'!N1055</x:f>
        <x:v>-2</x:v>
      </x:c>
      <x:c r="M1055" s="2" t="str">
        <x:f>IF(K1055=L1055,"OK","MISMATCH")</x:f>
        <x:v>OK</x:v>
      </x:c>
    </x:row>
    <x:row r="1056">
      <x:c r="A1056" s="2" t="str">
        <x:f>'제외 후보'!G1056</x:f>
        <x:v>w_48bf32a7bfb7243b</x:v>
      </x:c>
      <x:c r="B1056" s="11" t="n">
        <x:f>IF('제외 후보'!Q1056&lt;&gt;"",'선정 규칙'!$B$4,0)</x:f>
        <x:v>0</x:v>
      </x:c>
      <x:c r="C1056" s="11" t="n">
        <x:f>IF(ISNUMBER(SEARCH("jmdict_uncommon_or_irregular",'제외 후보'!P1056)),'선정 규칙'!$B$5,IF(ISNUMBER(SEARCH("jmdict_rare_or_dated",'제외 후보'!P1056)),'선정 규칙'!$B$6,0))</x:f>
        <x:v>0</x:v>
      </x:c>
      <x:c r="D1056" s="11" t="n">
        <x:f>IF(ISNUMBER(SEARCH("jmdict_exact_pair_not_found",'제외 후보'!P1056)),'선정 규칙'!$B$7,0)</x:f>
        <x:v>0</x:v>
      </x:c>
      <x:c r="E1056" s="11" t="n">
        <x:f>IF(OR('제외 후보'!L1056="",'제외 후보'!L1056&lt;=0),'선정 규칙'!$B$8,IF('제외 후보'!L1056&lt;=1.5,'선정 규칙'!$B$9,IF('제외 후보'!L1056&lt;=2,'선정 규칙'!$B$10,IF('제외 후보'!L1056&lt;=2.5,'선정 규칙'!$B$11,IF('제외 후보'!L1056&lt;=3,'선정 규칙'!$B$12,IF('제외 후보'!L1056&lt;=3.5,'선정 규칙'!$B$13,IF('제외 후보'!L1056&gt;=4.5,'선정 규칙'!$B$14,0)))))))</x:f>
        <x:v>6</x:v>
      </x:c>
      <x:c r="F1056" s="11" t="n">
        <x:f>IF('제외 후보'!Y1056=0,'선정 규칙'!$B$15,IF('제외 후보'!Y1056&gt;=100,'선정 규칙'!$B$16,'선정 규칙'!$B$17))</x:f>
        <x:v>12</x:v>
      </x:c>
      <x:c r="G1056" s="11" t="n">
        <x:f>IF('제외 후보'!M1056="있음",'선정 규칙'!$B$18,'선정 규칙'!$B$19)</x:f>
        <x:v>-25</x:v>
      </x:c>
      <x:c r="H1056" s="11" t="n">
        <x:f>IF(ISNUMBER(SEARCH("freq-core",'제외 후보'!AD1056)),'선정 규칙'!$B$20,0)</x:f>
        <x:v>0</x:v>
      </x:c>
      <x:c r="I1056" s="11" t="n">
        <x:f>IF(ISNUMBER(SEARCH("weak_legacy_content",'제외 후보'!P1056)),'선정 규칙'!$B$21,0)</x:f>
        <x:v>5</x:v>
      </x:c>
      <x:c r="J1056" s="11" t="n">
        <x:f>IF('제외 후보'!AC1056&lt;&gt;"",'선정 규칙'!$B$22,0)</x:f>
        <x:v>0</x:v>
      </x:c>
      <x:c r="K1056" s="11" t="n">
        <x:f>SUM(B1056:J1056)</x:f>
        <x:v>-2</x:v>
      </x:c>
      <x:c r="L1056" s="11" t="n">
        <x:f>'제외 후보'!N1056</x:f>
        <x:v>-2</x:v>
      </x:c>
      <x:c r="M1056" s="2" t="str">
        <x:f>IF(K1056=L1056,"OK","MISMATCH")</x:f>
        <x:v>OK</x:v>
      </x:c>
    </x:row>
    <x:row r="1057">
      <x:c r="A1057" s="2" t="str">
        <x:f>'제외 후보'!G1057</x:f>
        <x:v>w_6f5d32495c167657</x:v>
      </x:c>
      <x:c r="B1057" s="11" t="n">
        <x:f>IF('제외 후보'!Q1057&lt;&gt;"",'선정 규칙'!$B$4,0)</x:f>
        <x:v>0</x:v>
      </x:c>
      <x:c r="C1057" s="11" t="n">
        <x:f>IF(ISNUMBER(SEARCH("jmdict_uncommon_or_irregular",'제외 후보'!P1057)),'선정 규칙'!$B$5,IF(ISNUMBER(SEARCH("jmdict_rare_or_dated",'제외 후보'!P1057)),'선정 규칙'!$B$6,0))</x:f>
        <x:v>0</x:v>
      </x:c>
      <x:c r="D1057" s="11" t="n">
        <x:f>IF(ISNUMBER(SEARCH("jmdict_exact_pair_not_found",'제외 후보'!P1057)),'선정 규칙'!$B$7,0)</x:f>
        <x:v>0</x:v>
      </x:c>
      <x:c r="E1057" s="11" t="n">
        <x:f>IF(OR('제외 후보'!L1057="",'제외 후보'!L1057&lt;=0),'선정 규칙'!$B$8,IF('제외 후보'!L1057&lt;=1.5,'선정 규칙'!$B$9,IF('제외 후보'!L1057&lt;=2,'선정 규칙'!$B$10,IF('제외 후보'!L1057&lt;=2.5,'선정 규칙'!$B$11,IF('제외 후보'!L1057&lt;=3,'선정 규칙'!$B$12,IF('제외 후보'!L1057&lt;=3.5,'선정 규칙'!$B$13,IF('제외 후보'!L1057&gt;=4.5,'선정 규칙'!$B$14,0)))))))</x:f>
        <x:v>6</x:v>
      </x:c>
      <x:c r="F1057" s="11" t="n">
        <x:f>IF('제외 후보'!Y1057=0,'선정 규칙'!$B$15,IF('제외 후보'!Y1057&gt;=100,'선정 규칙'!$B$16,'선정 규칙'!$B$17))</x:f>
        <x:v>12</x:v>
      </x:c>
      <x:c r="G1057" s="11" t="n">
        <x:f>IF('제외 후보'!M1057="있음",'선정 규칙'!$B$18,'선정 규칙'!$B$19)</x:f>
        <x:v>-25</x:v>
      </x:c>
      <x:c r="H1057" s="11" t="n">
        <x:f>IF(ISNUMBER(SEARCH("freq-core",'제외 후보'!AD1057)),'선정 규칙'!$B$20,0)</x:f>
        <x:v>0</x:v>
      </x:c>
      <x:c r="I1057" s="11" t="n">
        <x:f>IF(ISNUMBER(SEARCH("weak_legacy_content",'제외 후보'!P1057)),'선정 규칙'!$B$21,0)</x:f>
        <x:v>5</x:v>
      </x:c>
      <x:c r="J1057" s="11" t="n">
        <x:f>IF('제외 후보'!AC1057&lt;&gt;"",'선정 규칙'!$B$22,0)</x:f>
        <x:v>0</x:v>
      </x:c>
      <x:c r="K1057" s="11" t="n">
        <x:f>SUM(B1057:J1057)</x:f>
        <x:v>-2</x:v>
      </x:c>
      <x:c r="L1057" s="11" t="n">
        <x:f>'제외 후보'!N1057</x:f>
        <x:v>-2</x:v>
      </x:c>
      <x:c r="M1057" s="2" t="str">
        <x:f>IF(K1057=L1057,"OK","MISMATCH")</x:f>
        <x:v>OK</x:v>
      </x:c>
    </x:row>
    <x:row r="1058">
      <x:c r="A1058" s="2" t="str">
        <x:f>'제외 후보'!G1058</x:f>
        <x:v>w_512fde07bc888caa</x:v>
      </x:c>
      <x:c r="B1058" s="11" t="n">
        <x:f>IF('제외 후보'!Q1058&lt;&gt;"",'선정 규칙'!$B$4,0)</x:f>
        <x:v>0</x:v>
      </x:c>
      <x:c r="C1058" s="11" t="n">
        <x:f>IF(ISNUMBER(SEARCH("jmdict_uncommon_or_irregular",'제외 후보'!P1058)),'선정 규칙'!$B$5,IF(ISNUMBER(SEARCH("jmdict_rare_or_dated",'제외 후보'!P1058)),'선정 규칙'!$B$6,0))</x:f>
        <x:v>0</x:v>
      </x:c>
      <x:c r="D1058" s="11" t="n">
        <x:f>IF(ISNUMBER(SEARCH("jmdict_exact_pair_not_found",'제외 후보'!P1058)),'선정 규칙'!$B$7,0)</x:f>
        <x:v>0</x:v>
      </x:c>
      <x:c r="E1058" s="11" t="n">
        <x:f>IF(OR('제외 후보'!L1058="",'제외 후보'!L1058&lt;=0),'선정 규칙'!$B$8,IF('제외 후보'!L1058&lt;=1.5,'선정 규칙'!$B$9,IF('제외 후보'!L1058&lt;=2,'선정 규칙'!$B$10,IF('제외 후보'!L1058&lt;=2.5,'선정 규칙'!$B$11,IF('제외 후보'!L1058&lt;=3,'선정 규칙'!$B$12,IF('제외 후보'!L1058&lt;=3.5,'선정 규칙'!$B$13,IF('제외 후보'!L1058&gt;=4.5,'선정 규칙'!$B$14,0)))))))</x:f>
        <x:v>6</x:v>
      </x:c>
      <x:c r="F1058" s="11" t="n">
        <x:f>IF('제외 후보'!Y1058=0,'선정 규칙'!$B$15,IF('제외 후보'!Y1058&gt;=100,'선정 규칙'!$B$16,'선정 규칙'!$B$17))</x:f>
        <x:v>12</x:v>
      </x:c>
      <x:c r="G1058" s="11" t="n">
        <x:f>IF('제외 후보'!M1058="있음",'선정 규칙'!$B$18,'선정 규칙'!$B$19)</x:f>
        <x:v>-25</x:v>
      </x:c>
      <x:c r="H1058" s="11" t="n">
        <x:f>IF(ISNUMBER(SEARCH("freq-core",'제외 후보'!AD1058)),'선정 규칙'!$B$20,0)</x:f>
        <x:v>0</x:v>
      </x:c>
      <x:c r="I1058" s="11" t="n">
        <x:f>IF(ISNUMBER(SEARCH("weak_legacy_content",'제외 후보'!P1058)),'선정 규칙'!$B$21,0)</x:f>
        <x:v>5</x:v>
      </x:c>
      <x:c r="J1058" s="11" t="n">
        <x:f>IF('제외 후보'!AC1058&lt;&gt;"",'선정 규칙'!$B$22,0)</x:f>
        <x:v>0</x:v>
      </x:c>
      <x:c r="K1058" s="11" t="n">
        <x:f>SUM(B1058:J1058)</x:f>
        <x:v>-2</x:v>
      </x:c>
      <x:c r="L1058" s="11" t="n">
        <x:f>'제외 후보'!N1058</x:f>
        <x:v>-2</x:v>
      </x:c>
      <x:c r="M1058" s="2" t="str">
        <x:f>IF(K1058=L1058,"OK","MISMATCH")</x:f>
        <x:v>OK</x:v>
      </x:c>
    </x:row>
    <x:row r="1059">
      <x:c r="A1059" s="2" t="str">
        <x:f>'제외 후보'!G1059</x:f>
        <x:v>w_df60e1135524e494</x:v>
      </x:c>
      <x:c r="B1059" s="11" t="n">
        <x:f>IF('제외 후보'!Q1059&lt;&gt;"",'선정 규칙'!$B$4,0)</x:f>
        <x:v>0</x:v>
      </x:c>
      <x:c r="C1059" s="11" t="n">
        <x:f>IF(ISNUMBER(SEARCH("jmdict_uncommon_or_irregular",'제외 후보'!P1059)),'선정 규칙'!$B$5,IF(ISNUMBER(SEARCH("jmdict_rare_or_dated",'제외 후보'!P1059)),'선정 규칙'!$B$6,0))</x:f>
        <x:v>0</x:v>
      </x:c>
      <x:c r="D1059" s="11" t="n">
        <x:f>IF(ISNUMBER(SEARCH("jmdict_exact_pair_not_found",'제외 후보'!P1059)),'선정 규칙'!$B$7,0)</x:f>
        <x:v>0</x:v>
      </x:c>
      <x:c r="E1059" s="11" t="n">
        <x:f>IF(OR('제외 후보'!L1059="",'제외 후보'!L1059&lt;=0),'선정 규칙'!$B$8,IF('제외 후보'!L1059&lt;=1.5,'선정 규칙'!$B$9,IF('제외 후보'!L1059&lt;=2,'선정 규칙'!$B$10,IF('제외 후보'!L1059&lt;=2.5,'선정 규칙'!$B$11,IF('제외 후보'!L1059&lt;=3,'선정 규칙'!$B$12,IF('제외 후보'!L1059&lt;=3.5,'선정 규칙'!$B$13,IF('제외 후보'!L1059&gt;=4.5,'선정 규칙'!$B$14,0)))))))</x:f>
        <x:v>6</x:v>
      </x:c>
      <x:c r="F1059" s="11" t="n">
        <x:f>IF('제외 후보'!Y1059=0,'선정 규칙'!$B$15,IF('제외 후보'!Y1059&gt;=100,'선정 규칙'!$B$16,'선정 규칙'!$B$17))</x:f>
        <x:v>12</x:v>
      </x:c>
      <x:c r="G1059" s="11" t="n">
        <x:f>IF('제외 후보'!M1059="있음",'선정 규칙'!$B$18,'선정 규칙'!$B$19)</x:f>
        <x:v>-25</x:v>
      </x:c>
      <x:c r="H1059" s="11" t="n">
        <x:f>IF(ISNUMBER(SEARCH("freq-core",'제외 후보'!AD1059)),'선정 규칙'!$B$20,0)</x:f>
        <x:v>0</x:v>
      </x:c>
      <x:c r="I1059" s="11" t="n">
        <x:f>IF(ISNUMBER(SEARCH("weak_legacy_content",'제외 후보'!P1059)),'선정 규칙'!$B$21,0)</x:f>
        <x:v>5</x:v>
      </x:c>
      <x:c r="J1059" s="11" t="n">
        <x:f>IF('제외 후보'!AC1059&lt;&gt;"",'선정 규칙'!$B$22,0)</x:f>
        <x:v>0</x:v>
      </x:c>
      <x:c r="K1059" s="11" t="n">
        <x:f>SUM(B1059:J1059)</x:f>
        <x:v>-2</x:v>
      </x:c>
      <x:c r="L1059" s="11" t="n">
        <x:f>'제외 후보'!N1059</x:f>
        <x:v>-2</x:v>
      </x:c>
      <x:c r="M1059" s="2" t="str">
        <x:f>IF(K1059=L1059,"OK","MISMATCH")</x:f>
        <x:v>OK</x:v>
      </x:c>
    </x:row>
    <x:row r="1060">
      <x:c r="A1060" s="2" t="str">
        <x:f>'제외 후보'!G1060</x:f>
        <x:v>w_b9c641f6b95aab47</x:v>
      </x:c>
      <x:c r="B1060" s="11" t="n">
        <x:f>IF('제외 후보'!Q1060&lt;&gt;"",'선정 규칙'!$B$4,0)</x:f>
        <x:v>0</x:v>
      </x:c>
      <x:c r="C1060" s="11" t="n">
        <x:f>IF(ISNUMBER(SEARCH("jmdict_uncommon_or_irregular",'제외 후보'!P1060)),'선정 규칙'!$B$5,IF(ISNUMBER(SEARCH("jmdict_rare_or_dated",'제외 후보'!P1060)),'선정 규칙'!$B$6,0))</x:f>
        <x:v>0</x:v>
      </x:c>
      <x:c r="D1060" s="11" t="n">
        <x:f>IF(ISNUMBER(SEARCH("jmdict_exact_pair_not_found",'제외 후보'!P1060)),'선정 규칙'!$B$7,0)</x:f>
        <x:v>0</x:v>
      </x:c>
      <x:c r="E1060" s="11" t="n">
        <x:f>IF(OR('제외 후보'!L1060="",'제외 후보'!L1060&lt;=0),'선정 규칙'!$B$8,IF('제외 후보'!L1060&lt;=1.5,'선정 규칙'!$B$9,IF('제외 후보'!L1060&lt;=2,'선정 규칙'!$B$10,IF('제외 후보'!L1060&lt;=2.5,'선정 규칙'!$B$11,IF('제외 후보'!L1060&lt;=3,'선정 규칙'!$B$12,IF('제외 후보'!L1060&lt;=3.5,'선정 규칙'!$B$13,IF('제외 후보'!L1060&gt;=4.5,'선정 규칙'!$B$14,0)))))))</x:f>
        <x:v>6</x:v>
      </x:c>
      <x:c r="F1060" s="11" t="n">
        <x:f>IF('제외 후보'!Y1060=0,'선정 규칙'!$B$15,IF('제외 후보'!Y1060&gt;=100,'선정 규칙'!$B$16,'선정 규칙'!$B$17))</x:f>
        <x:v>12</x:v>
      </x:c>
      <x:c r="G1060" s="11" t="n">
        <x:f>IF('제외 후보'!M1060="있음",'선정 규칙'!$B$18,'선정 규칙'!$B$19)</x:f>
        <x:v>-25</x:v>
      </x:c>
      <x:c r="H1060" s="11" t="n">
        <x:f>IF(ISNUMBER(SEARCH("freq-core",'제외 후보'!AD1060)),'선정 규칙'!$B$20,0)</x:f>
        <x:v>0</x:v>
      </x:c>
      <x:c r="I1060" s="11" t="n">
        <x:f>IF(ISNUMBER(SEARCH("weak_legacy_content",'제외 후보'!P1060)),'선정 규칙'!$B$21,0)</x:f>
        <x:v>5</x:v>
      </x:c>
      <x:c r="J1060" s="11" t="n">
        <x:f>IF('제외 후보'!AC1060&lt;&gt;"",'선정 규칙'!$B$22,0)</x:f>
        <x:v>0</x:v>
      </x:c>
      <x:c r="K1060" s="11" t="n">
        <x:f>SUM(B1060:J1060)</x:f>
        <x:v>-2</x:v>
      </x:c>
      <x:c r="L1060" s="11" t="n">
        <x:f>'제외 후보'!N1060</x:f>
        <x:v>-2</x:v>
      </x:c>
      <x:c r="M1060" s="2" t="str">
        <x:f>IF(K1060=L1060,"OK","MISMATCH")</x:f>
        <x:v>OK</x:v>
      </x:c>
    </x:row>
    <x:row r="1061">
      <x:c r="A1061" s="2" t="str">
        <x:f>'제외 후보'!G1061</x:f>
        <x:v>w_d6a47632d886cffc</x:v>
      </x:c>
      <x:c r="B1061" s="11" t="n">
        <x:f>IF('제외 후보'!Q1061&lt;&gt;"",'선정 규칙'!$B$4,0)</x:f>
        <x:v>0</x:v>
      </x:c>
      <x:c r="C1061" s="11" t="n">
        <x:f>IF(ISNUMBER(SEARCH("jmdict_uncommon_or_irregular",'제외 후보'!P1061)),'선정 규칙'!$B$5,IF(ISNUMBER(SEARCH("jmdict_rare_or_dated",'제외 후보'!P1061)),'선정 규칙'!$B$6,0))</x:f>
        <x:v>0</x:v>
      </x:c>
      <x:c r="D1061" s="11" t="n">
        <x:f>IF(ISNUMBER(SEARCH("jmdict_exact_pair_not_found",'제외 후보'!P1061)),'선정 규칙'!$B$7,0)</x:f>
        <x:v>0</x:v>
      </x:c>
      <x:c r="E1061" s="11" t="n">
        <x:f>IF(OR('제외 후보'!L1061="",'제외 후보'!L1061&lt;=0),'선정 규칙'!$B$8,IF('제외 후보'!L1061&lt;=1.5,'선정 규칙'!$B$9,IF('제외 후보'!L1061&lt;=2,'선정 규칙'!$B$10,IF('제외 후보'!L1061&lt;=2.5,'선정 규칙'!$B$11,IF('제외 후보'!L1061&lt;=3,'선정 규칙'!$B$12,IF('제외 후보'!L1061&lt;=3.5,'선정 규칙'!$B$13,IF('제외 후보'!L1061&gt;=4.5,'선정 규칙'!$B$14,0)))))))</x:f>
        <x:v>6</x:v>
      </x:c>
      <x:c r="F1061" s="11" t="n">
        <x:f>IF('제외 후보'!Y1061=0,'선정 규칙'!$B$15,IF('제외 후보'!Y1061&gt;=100,'선정 규칙'!$B$16,'선정 규칙'!$B$17))</x:f>
        <x:v>12</x:v>
      </x:c>
      <x:c r="G1061" s="11" t="n">
        <x:f>IF('제외 후보'!M1061="있음",'선정 규칙'!$B$18,'선정 규칙'!$B$19)</x:f>
        <x:v>-25</x:v>
      </x:c>
      <x:c r="H1061" s="11" t="n">
        <x:f>IF(ISNUMBER(SEARCH("freq-core",'제외 후보'!AD1061)),'선정 규칙'!$B$20,0)</x:f>
        <x:v>0</x:v>
      </x:c>
      <x:c r="I1061" s="11" t="n">
        <x:f>IF(ISNUMBER(SEARCH("weak_legacy_content",'제외 후보'!P1061)),'선정 규칙'!$B$21,0)</x:f>
        <x:v>5</x:v>
      </x:c>
      <x:c r="J1061" s="11" t="n">
        <x:f>IF('제외 후보'!AC1061&lt;&gt;"",'선정 규칙'!$B$22,0)</x:f>
        <x:v>0</x:v>
      </x:c>
      <x:c r="K1061" s="11" t="n">
        <x:f>SUM(B1061:J1061)</x:f>
        <x:v>-2</x:v>
      </x:c>
      <x:c r="L1061" s="11" t="n">
        <x:f>'제외 후보'!N1061</x:f>
        <x:v>-2</x:v>
      </x:c>
      <x:c r="M1061" s="2" t="str">
        <x:f>IF(K1061=L1061,"OK","MISMATCH")</x:f>
        <x:v>OK</x:v>
      </x:c>
    </x:row>
    <x:row r="1062">
      <x:c r="A1062" s="2" t="str">
        <x:f>'제외 후보'!G1062</x:f>
        <x:v>w_fc4b1b2a9b67e073</x:v>
      </x:c>
      <x:c r="B1062" s="11" t="n">
        <x:f>IF('제외 후보'!Q1062&lt;&gt;"",'선정 규칙'!$B$4,0)</x:f>
        <x:v>0</x:v>
      </x:c>
      <x:c r="C1062" s="11" t="n">
        <x:f>IF(ISNUMBER(SEARCH("jmdict_uncommon_or_irregular",'제외 후보'!P1062)),'선정 규칙'!$B$5,IF(ISNUMBER(SEARCH("jmdict_rare_or_dated",'제외 후보'!P1062)),'선정 규칙'!$B$6,0))</x:f>
        <x:v>0</x:v>
      </x:c>
      <x:c r="D1062" s="11" t="n">
        <x:f>IF(ISNUMBER(SEARCH("jmdict_exact_pair_not_found",'제외 후보'!P1062)),'선정 규칙'!$B$7,0)</x:f>
        <x:v>0</x:v>
      </x:c>
      <x:c r="E1062" s="11" t="n">
        <x:f>IF(OR('제외 후보'!L1062="",'제외 후보'!L1062&lt;=0),'선정 규칙'!$B$8,IF('제외 후보'!L1062&lt;=1.5,'선정 규칙'!$B$9,IF('제외 후보'!L1062&lt;=2,'선정 규칙'!$B$10,IF('제외 후보'!L1062&lt;=2.5,'선정 규칙'!$B$11,IF('제외 후보'!L1062&lt;=3,'선정 규칙'!$B$12,IF('제외 후보'!L1062&lt;=3.5,'선정 규칙'!$B$13,IF('제외 후보'!L1062&gt;=4.5,'선정 규칙'!$B$14,0)))))))</x:f>
        <x:v>6</x:v>
      </x:c>
      <x:c r="F1062" s="11" t="n">
        <x:f>IF('제외 후보'!Y1062=0,'선정 규칙'!$B$15,IF('제외 후보'!Y1062&gt;=100,'선정 규칙'!$B$16,'선정 규칙'!$B$17))</x:f>
        <x:v>12</x:v>
      </x:c>
      <x:c r="G1062" s="11" t="n">
        <x:f>IF('제외 후보'!M1062="있음",'선정 규칙'!$B$18,'선정 규칙'!$B$19)</x:f>
        <x:v>-25</x:v>
      </x:c>
      <x:c r="H1062" s="11" t="n">
        <x:f>IF(ISNUMBER(SEARCH("freq-core",'제외 후보'!AD1062)),'선정 규칙'!$B$20,0)</x:f>
        <x:v>0</x:v>
      </x:c>
      <x:c r="I1062" s="11" t="n">
        <x:f>IF(ISNUMBER(SEARCH("weak_legacy_content",'제외 후보'!P1062)),'선정 규칙'!$B$21,0)</x:f>
        <x:v>5</x:v>
      </x:c>
      <x:c r="J1062" s="11" t="n">
        <x:f>IF('제외 후보'!AC1062&lt;&gt;"",'선정 규칙'!$B$22,0)</x:f>
        <x:v>0</x:v>
      </x:c>
      <x:c r="K1062" s="11" t="n">
        <x:f>SUM(B1062:J1062)</x:f>
        <x:v>-2</x:v>
      </x:c>
      <x:c r="L1062" s="11" t="n">
        <x:f>'제외 후보'!N1062</x:f>
        <x:v>-2</x:v>
      </x:c>
      <x:c r="M1062" s="2" t="str">
        <x:f>IF(K1062=L1062,"OK","MISMATCH")</x:f>
        <x:v>OK</x:v>
      </x:c>
    </x:row>
    <x:row r="1063">
      <x:c r="A1063" s="2" t="str">
        <x:f>'제외 후보'!G1063</x:f>
        <x:v>w_c6124d2bf6828b06</x:v>
      </x:c>
      <x:c r="B1063" s="11" t="n">
        <x:f>IF('제외 후보'!Q1063&lt;&gt;"",'선정 규칙'!$B$4,0)</x:f>
        <x:v>0</x:v>
      </x:c>
      <x:c r="C1063" s="11" t="n">
        <x:f>IF(ISNUMBER(SEARCH("jmdict_uncommon_or_irregular",'제외 후보'!P1063)),'선정 규칙'!$B$5,IF(ISNUMBER(SEARCH("jmdict_rare_or_dated",'제외 후보'!P1063)),'선정 규칙'!$B$6,0))</x:f>
        <x:v>0</x:v>
      </x:c>
      <x:c r="D1063" s="11" t="n">
        <x:f>IF(ISNUMBER(SEARCH("jmdict_exact_pair_not_found",'제외 후보'!P1063)),'선정 규칙'!$B$7,0)</x:f>
        <x:v>0</x:v>
      </x:c>
      <x:c r="E1063" s="11" t="n">
        <x:f>IF(OR('제외 후보'!L1063="",'제외 후보'!L1063&lt;=0),'선정 규칙'!$B$8,IF('제외 후보'!L1063&lt;=1.5,'선정 규칙'!$B$9,IF('제외 후보'!L1063&lt;=2,'선정 규칙'!$B$10,IF('제외 후보'!L1063&lt;=2.5,'선정 규칙'!$B$11,IF('제외 후보'!L1063&lt;=3,'선정 규칙'!$B$12,IF('제외 후보'!L1063&lt;=3.5,'선정 규칙'!$B$13,IF('제외 후보'!L1063&gt;=4.5,'선정 규칙'!$B$14,0)))))))</x:f>
        <x:v>6</x:v>
      </x:c>
      <x:c r="F1063" s="11" t="n">
        <x:f>IF('제외 후보'!Y1063=0,'선정 규칙'!$B$15,IF('제외 후보'!Y1063&gt;=100,'선정 규칙'!$B$16,'선정 규칙'!$B$17))</x:f>
        <x:v>12</x:v>
      </x:c>
      <x:c r="G1063" s="11" t="n">
        <x:f>IF('제외 후보'!M1063="있음",'선정 규칙'!$B$18,'선정 규칙'!$B$19)</x:f>
        <x:v>-25</x:v>
      </x:c>
      <x:c r="H1063" s="11" t="n">
        <x:f>IF(ISNUMBER(SEARCH("freq-core",'제외 후보'!AD1063)),'선정 규칙'!$B$20,0)</x:f>
        <x:v>0</x:v>
      </x:c>
      <x:c r="I1063" s="11" t="n">
        <x:f>IF(ISNUMBER(SEARCH("weak_legacy_content",'제외 후보'!P1063)),'선정 규칙'!$B$21,0)</x:f>
        <x:v>5</x:v>
      </x:c>
      <x:c r="J1063" s="11" t="n">
        <x:f>IF('제외 후보'!AC1063&lt;&gt;"",'선정 규칙'!$B$22,0)</x:f>
        <x:v>0</x:v>
      </x:c>
      <x:c r="K1063" s="11" t="n">
        <x:f>SUM(B1063:J1063)</x:f>
        <x:v>-2</x:v>
      </x:c>
      <x:c r="L1063" s="11" t="n">
        <x:f>'제외 후보'!N1063</x:f>
        <x:v>-2</x:v>
      </x:c>
      <x:c r="M1063" s="2" t="str">
        <x:f>IF(K1063=L1063,"OK","MISMATCH")</x:f>
        <x:v>OK</x:v>
      </x:c>
    </x:row>
    <x:row r="1064">
      <x:c r="A1064" s="2" t="str">
        <x:f>'제외 후보'!G1064</x:f>
        <x:v>w_0e193c3cc307bb6f</x:v>
      </x:c>
      <x:c r="B1064" s="11" t="n">
        <x:f>IF('제외 후보'!Q1064&lt;&gt;"",'선정 규칙'!$B$4,0)</x:f>
        <x:v>0</x:v>
      </x:c>
      <x:c r="C1064" s="11" t="n">
        <x:f>IF(ISNUMBER(SEARCH("jmdict_uncommon_or_irregular",'제외 후보'!P1064)),'선정 규칙'!$B$5,IF(ISNUMBER(SEARCH("jmdict_rare_or_dated",'제외 후보'!P1064)),'선정 규칙'!$B$6,0))</x:f>
        <x:v>0</x:v>
      </x:c>
      <x:c r="D1064" s="11" t="n">
        <x:f>IF(ISNUMBER(SEARCH("jmdict_exact_pair_not_found",'제외 후보'!P1064)),'선정 규칙'!$B$7,0)</x:f>
        <x:v>0</x:v>
      </x:c>
      <x:c r="E1064" s="11" t="n">
        <x:f>IF(OR('제외 후보'!L1064="",'제외 후보'!L1064&lt;=0),'선정 규칙'!$B$8,IF('제외 후보'!L1064&lt;=1.5,'선정 규칙'!$B$9,IF('제외 후보'!L1064&lt;=2,'선정 규칙'!$B$10,IF('제외 후보'!L1064&lt;=2.5,'선정 규칙'!$B$11,IF('제외 후보'!L1064&lt;=3,'선정 규칙'!$B$12,IF('제외 후보'!L1064&lt;=3.5,'선정 규칙'!$B$13,IF('제외 후보'!L1064&gt;=4.5,'선정 규칙'!$B$14,0)))))))</x:f>
        <x:v>6</x:v>
      </x:c>
      <x:c r="F1064" s="11" t="n">
        <x:f>IF('제외 후보'!Y1064=0,'선정 규칙'!$B$15,IF('제외 후보'!Y1064&gt;=100,'선정 규칙'!$B$16,'선정 규칙'!$B$17))</x:f>
        <x:v>12</x:v>
      </x:c>
      <x:c r="G1064" s="11" t="n">
        <x:f>IF('제외 후보'!M1064="있음",'선정 규칙'!$B$18,'선정 규칙'!$B$19)</x:f>
        <x:v>-25</x:v>
      </x:c>
      <x:c r="H1064" s="11" t="n">
        <x:f>IF(ISNUMBER(SEARCH("freq-core",'제외 후보'!AD1064)),'선정 규칙'!$B$20,0)</x:f>
        <x:v>0</x:v>
      </x:c>
      <x:c r="I1064" s="11" t="n">
        <x:f>IF(ISNUMBER(SEARCH("weak_legacy_content",'제외 후보'!P1064)),'선정 규칙'!$B$21,0)</x:f>
        <x:v>5</x:v>
      </x:c>
      <x:c r="J1064" s="11" t="n">
        <x:f>IF('제외 후보'!AC1064&lt;&gt;"",'선정 규칙'!$B$22,0)</x:f>
        <x:v>0</x:v>
      </x:c>
      <x:c r="K1064" s="11" t="n">
        <x:f>SUM(B1064:J1064)</x:f>
        <x:v>-2</x:v>
      </x:c>
      <x:c r="L1064" s="11" t="n">
        <x:f>'제외 후보'!N1064</x:f>
        <x:v>-2</x:v>
      </x:c>
      <x:c r="M1064" s="2" t="str">
        <x:f>IF(K1064=L1064,"OK","MISMATCH")</x:f>
        <x:v>OK</x:v>
      </x:c>
    </x:row>
    <x:row r="1065">
      <x:c r="A1065" s="2" t="str">
        <x:f>'제외 후보'!G1065</x:f>
        <x:v>w_f2d2e2a518024414</x:v>
      </x:c>
      <x:c r="B1065" s="11" t="n">
        <x:f>IF('제외 후보'!Q1065&lt;&gt;"",'선정 규칙'!$B$4,0)</x:f>
        <x:v>0</x:v>
      </x:c>
      <x:c r="C1065" s="11" t="n">
        <x:f>IF(ISNUMBER(SEARCH("jmdict_uncommon_or_irregular",'제외 후보'!P1065)),'선정 규칙'!$B$5,IF(ISNUMBER(SEARCH("jmdict_rare_or_dated",'제외 후보'!P1065)),'선정 규칙'!$B$6,0))</x:f>
        <x:v>0</x:v>
      </x:c>
      <x:c r="D1065" s="11" t="n">
        <x:f>IF(ISNUMBER(SEARCH("jmdict_exact_pair_not_found",'제외 후보'!P1065)),'선정 규칙'!$B$7,0)</x:f>
        <x:v>0</x:v>
      </x:c>
      <x:c r="E1065" s="11" t="n">
        <x:f>IF(OR('제외 후보'!L1065="",'제외 후보'!L1065&lt;=0),'선정 규칙'!$B$8,IF('제외 후보'!L1065&lt;=1.5,'선정 규칙'!$B$9,IF('제외 후보'!L1065&lt;=2,'선정 규칙'!$B$10,IF('제외 후보'!L1065&lt;=2.5,'선정 규칙'!$B$11,IF('제외 후보'!L1065&lt;=3,'선정 규칙'!$B$12,IF('제외 후보'!L1065&lt;=3.5,'선정 규칙'!$B$13,IF('제외 후보'!L1065&gt;=4.5,'선정 규칙'!$B$14,0)))))))</x:f>
        <x:v>-20</x:v>
      </x:c>
      <x:c r="F1065" s="11" t="n">
        <x:f>IF('제외 후보'!Y1065=0,'선정 규칙'!$B$15,IF('제외 후보'!Y1065&gt;=100,'선정 규칙'!$B$16,'선정 규칙'!$B$17))</x:f>
        <x:v>12</x:v>
      </x:c>
      <x:c r="G1065" s="11" t="n">
        <x:f>IF('제외 후보'!M1065="있음",'선정 규칙'!$B$18,'선정 규칙'!$B$19)</x:f>
        <x:v>6</x:v>
      </x:c>
      <x:c r="H1065" s="11" t="n">
        <x:f>IF(ISNUMBER(SEARCH("freq-core",'제외 후보'!AD1065)),'선정 규칙'!$B$20,0)</x:f>
        <x:v>0</x:v>
      </x:c>
      <x:c r="I1065" s="11" t="n">
        <x:f>IF(ISNUMBER(SEARCH("weak_legacy_content",'제외 후보'!P1065)),'선정 규칙'!$B$21,0)</x:f>
        <x:v>0</x:v>
      </x:c>
      <x:c r="J1065" s="11" t="n">
        <x:f>IF('제외 후보'!AC1065&lt;&gt;"",'선정 규칙'!$B$22,0)</x:f>
        <x:v>0</x:v>
      </x:c>
      <x:c r="K1065" s="11" t="n">
        <x:f>SUM(B1065:J1065)</x:f>
        <x:v>-2</x:v>
      </x:c>
      <x:c r="L1065" s="11" t="n">
        <x:f>'제외 후보'!N1065</x:f>
        <x:v>-2</x:v>
      </x:c>
      <x:c r="M1065" s="2" t="str">
        <x:f>IF(K1065=L1065,"OK","MISMATCH")</x:f>
        <x:v>OK</x:v>
      </x:c>
    </x:row>
    <x:row r="1066">
      <x:c r="A1066" s="2" t="str">
        <x:f>'제외 후보'!G1066</x:f>
        <x:v>w_7be7b280d00ddd2e</x:v>
      </x:c>
      <x:c r="B1066" s="11" t="n">
        <x:f>IF('제외 후보'!Q1066&lt;&gt;"",'선정 규칙'!$B$4,0)</x:f>
        <x:v>0</x:v>
      </x:c>
      <x:c r="C1066" s="11" t="n">
        <x:f>IF(ISNUMBER(SEARCH("jmdict_uncommon_or_irregular",'제외 후보'!P1066)),'선정 규칙'!$B$5,IF(ISNUMBER(SEARCH("jmdict_rare_or_dated",'제외 후보'!P1066)),'선정 규칙'!$B$6,0))</x:f>
        <x:v>0</x:v>
      </x:c>
      <x:c r="D1066" s="11" t="n">
        <x:f>IF(ISNUMBER(SEARCH("jmdict_exact_pair_not_found",'제외 후보'!P1066)),'선정 규칙'!$B$7,0)</x:f>
        <x:v>0</x:v>
      </x:c>
      <x:c r="E1066" s="11" t="n">
        <x:f>IF(OR('제외 후보'!L1066="",'제외 후보'!L1066&lt;=0),'선정 규칙'!$B$8,IF('제외 후보'!L1066&lt;=1.5,'선정 규칙'!$B$9,IF('제외 후보'!L1066&lt;=2,'선정 규칙'!$B$10,IF('제외 후보'!L1066&lt;=2.5,'선정 규칙'!$B$11,IF('제외 후보'!L1066&lt;=3,'선정 규칙'!$B$12,IF('제외 후보'!L1066&lt;=3.5,'선정 규칙'!$B$13,IF('제외 후보'!L1066&gt;=4.5,'선정 규칙'!$B$14,0)))))))</x:f>
        <x:v>-20</x:v>
      </x:c>
      <x:c r="F1066" s="11" t="n">
        <x:f>IF('제외 후보'!Y1066=0,'선정 규칙'!$B$15,IF('제외 후보'!Y1066&gt;=100,'선정 규칙'!$B$16,'선정 규칙'!$B$17))</x:f>
        <x:v>12</x:v>
      </x:c>
      <x:c r="G1066" s="11" t="n">
        <x:f>IF('제외 후보'!M1066="있음",'선정 규칙'!$B$18,'선정 규칙'!$B$19)</x:f>
        <x:v>6</x:v>
      </x:c>
      <x:c r="H1066" s="11" t="n">
        <x:f>IF(ISNUMBER(SEARCH("freq-core",'제외 후보'!AD1066)),'선정 규칙'!$B$20,0)</x:f>
        <x:v>0</x:v>
      </x:c>
      <x:c r="I1066" s="11" t="n">
        <x:f>IF(ISNUMBER(SEARCH("weak_legacy_content",'제외 후보'!P1066)),'선정 규칙'!$B$21,0)</x:f>
        <x:v>0</x:v>
      </x:c>
      <x:c r="J1066" s="11" t="n">
        <x:f>IF('제외 후보'!AC1066&lt;&gt;"",'선정 규칙'!$B$22,0)</x:f>
        <x:v>0</x:v>
      </x:c>
      <x:c r="K1066" s="11" t="n">
        <x:f>SUM(B1066:J1066)</x:f>
        <x:v>-2</x:v>
      </x:c>
      <x:c r="L1066" s="11" t="n">
        <x:f>'제외 후보'!N1066</x:f>
        <x:v>-2</x:v>
      </x:c>
      <x:c r="M1066" s="2" t="str">
        <x:f>IF(K1066=L1066,"OK","MISMATCH")</x:f>
        <x:v>OK</x:v>
      </x:c>
    </x:row>
    <x:row r="1067">
      <x:c r="A1067" s="2" t="str">
        <x:f>'제외 후보'!G1067</x:f>
        <x:v>w_0786b0efd583cdb2</x:v>
      </x:c>
      <x:c r="B1067" s="11" t="n">
        <x:f>IF('제외 후보'!Q1067&lt;&gt;"",'선정 규칙'!$B$4,0)</x:f>
        <x:v>0</x:v>
      </x:c>
      <x:c r="C1067" s="11" t="n">
        <x:f>IF(ISNUMBER(SEARCH("jmdict_uncommon_or_irregular",'제외 후보'!P1067)),'선정 규칙'!$B$5,IF(ISNUMBER(SEARCH("jmdict_rare_or_dated",'제외 후보'!P1067)),'선정 규칙'!$B$6,0))</x:f>
        <x:v>0</x:v>
      </x:c>
      <x:c r="D1067" s="11" t="n">
        <x:f>IF(ISNUMBER(SEARCH("jmdict_exact_pair_not_found",'제외 후보'!P1067)),'선정 규칙'!$B$7,0)</x:f>
        <x:v>0</x:v>
      </x:c>
      <x:c r="E1067" s="11" t="n">
        <x:f>IF(OR('제외 후보'!L1067="",'제외 후보'!L1067&lt;=0),'선정 규칙'!$B$8,IF('제외 후보'!L1067&lt;=1.5,'선정 규칙'!$B$9,IF('제외 후보'!L1067&lt;=2,'선정 규칙'!$B$10,IF('제외 후보'!L1067&lt;=2.5,'선정 규칙'!$B$11,IF('제외 후보'!L1067&lt;=3,'선정 규칙'!$B$12,IF('제외 후보'!L1067&lt;=3.5,'선정 규칙'!$B$13,IF('제외 후보'!L1067&gt;=4.5,'선정 규칙'!$B$14,0)))))))</x:f>
        <x:v>-20</x:v>
      </x:c>
      <x:c r="F1067" s="11" t="n">
        <x:f>IF('제외 후보'!Y1067=0,'선정 규칙'!$B$15,IF('제외 후보'!Y1067&gt;=100,'선정 규칙'!$B$16,'선정 규칙'!$B$17))</x:f>
        <x:v>12</x:v>
      </x:c>
      <x:c r="G1067" s="11" t="n">
        <x:f>IF('제외 후보'!M1067="있음",'선정 규칙'!$B$18,'선정 규칙'!$B$19)</x:f>
        <x:v>6</x:v>
      </x:c>
      <x:c r="H1067" s="11" t="n">
        <x:f>IF(ISNUMBER(SEARCH("freq-core",'제외 후보'!AD1067)),'선정 규칙'!$B$20,0)</x:f>
        <x:v>0</x:v>
      </x:c>
      <x:c r="I1067" s="11" t="n">
        <x:f>IF(ISNUMBER(SEARCH("weak_legacy_content",'제외 후보'!P1067)),'선정 규칙'!$B$21,0)</x:f>
        <x:v>0</x:v>
      </x:c>
      <x:c r="J1067" s="11" t="n">
        <x:f>IF('제외 후보'!AC1067&lt;&gt;"",'선정 규칙'!$B$22,0)</x:f>
        <x:v>0</x:v>
      </x:c>
      <x:c r="K1067" s="11" t="n">
        <x:f>SUM(B1067:J1067)</x:f>
        <x:v>-2</x:v>
      </x:c>
      <x:c r="L1067" s="11" t="n">
        <x:f>'제외 후보'!N1067</x:f>
        <x:v>-2</x:v>
      </x:c>
      <x:c r="M1067" s="2" t="str">
        <x:f>IF(K1067=L1067,"OK","MISMATCH")</x:f>
        <x:v>OK</x:v>
      </x:c>
    </x:row>
    <x:row r="1068">
      <x:c r="A1068" s="2" t="str">
        <x:f>'제외 후보'!G1068</x:f>
        <x:v>w_465e1dc0b70ccc7d</x:v>
      </x:c>
      <x:c r="B1068" s="11" t="n">
        <x:f>IF('제외 후보'!Q1068&lt;&gt;"",'선정 규칙'!$B$4,0)</x:f>
        <x:v>0</x:v>
      </x:c>
      <x:c r="C1068" s="11" t="n">
        <x:f>IF(ISNUMBER(SEARCH("jmdict_uncommon_or_irregular",'제외 후보'!P1068)),'선정 규칙'!$B$5,IF(ISNUMBER(SEARCH("jmdict_rare_or_dated",'제외 후보'!P1068)),'선정 규칙'!$B$6,0))</x:f>
        <x:v>0</x:v>
      </x:c>
      <x:c r="D1068" s="11" t="n">
        <x:f>IF(ISNUMBER(SEARCH("jmdict_exact_pair_not_found",'제외 후보'!P1068)),'선정 규칙'!$B$7,0)</x:f>
        <x:v>0</x:v>
      </x:c>
      <x:c r="E1068" s="11" t="n">
        <x:f>IF(OR('제외 후보'!L1068="",'제외 후보'!L1068&lt;=0),'선정 규칙'!$B$8,IF('제외 후보'!L1068&lt;=1.5,'선정 규칙'!$B$9,IF('제외 후보'!L1068&lt;=2,'선정 규칙'!$B$10,IF('제외 후보'!L1068&lt;=2.5,'선정 규칙'!$B$11,IF('제외 후보'!L1068&lt;=3,'선정 규칙'!$B$12,IF('제외 후보'!L1068&lt;=3.5,'선정 규칙'!$B$13,IF('제외 후보'!L1068&gt;=4.5,'선정 규칙'!$B$14,0)))))))</x:f>
        <x:v>-20</x:v>
      </x:c>
      <x:c r="F1068" s="11" t="n">
        <x:f>IF('제외 후보'!Y1068=0,'선정 규칙'!$B$15,IF('제외 후보'!Y1068&gt;=100,'선정 규칙'!$B$16,'선정 규칙'!$B$17))</x:f>
        <x:v>12</x:v>
      </x:c>
      <x:c r="G1068" s="11" t="n">
        <x:f>IF('제외 후보'!M1068="있음",'선정 규칙'!$B$18,'선정 규칙'!$B$19)</x:f>
        <x:v>6</x:v>
      </x:c>
      <x:c r="H1068" s="11" t="n">
        <x:f>IF(ISNUMBER(SEARCH("freq-core",'제외 후보'!AD1068)),'선정 규칙'!$B$20,0)</x:f>
        <x:v>0</x:v>
      </x:c>
      <x:c r="I1068" s="11" t="n">
        <x:f>IF(ISNUMBER(SEARCH("weak_legacy_content",'제외 후보'!P1068)),'선정 규칙'!$B$21,0)</x:f>
        <x:v>0</x:v>
      </x:c>
      <x:c r="J1068" s="11" t="n">
        <x:f>IF('제외 후보'!AC1068&lt;&gt;"",'선정 규칙'!$B$22,0)</x:f>
        <x:v>0</x:v>
      </x:c>
      <x:c r="K1068" s="11" t="n">
        <x:f>SUM(B1068:J1068)</x:f>
        <x:v>-2</x:v>
      </x:c>
      <x:c r="L1068" s="11" t="n">
        <x:f>'제외 후보'!N1068</x:f>
        <x:v>-2</x:v>
      </x:c>
      <x:c r="M1068" s="2" t="str">
        <x:f>IF(K1068=L1068,"OK","MISMATCH")</x:f>
        <x:v>OK</x:v>
      </x:c>
    </x:row>
    <x:row r="1069">
      <x:c r="A1069" s="2" t="str">
        <x:f>'제외 후보'!G1069</x:f>
        <x:v>w_92eb50477a0ece80</x:v>
      </x:c>
      <x:c r="B1069" s="11" t="n">
        <x:f>IF('제외 후보'!Q1069&lt;&gt;"",'선정 규칙'!$B$4,0)</x:f>
        <x:v>0</x:v>
      </x:c>
      <x:c r="C1069" s="11" t="n">
        <x:f>IF(ISNUMBER(SEARCH("jmdict_uncommon_or_irregular",'제외 후보'!P1069)),'선정 규칙'!$B$5,IF(ISNUMBER(SEARCH("jmdict_rare_or_dated",'제외 후보'!P1069)),'선정 규칙'!$B$6,0))</x:f>
        <x:v>0</x:v>
      </x:c>
      <x:c r="D1069" s="11" t="n">
        <x:f>IF(ISNUMBER(SEARCH("jmdict_exact_pair_not_found",'제외 후보'!P1069)),'선정 규칙'!$B$7,0)</x:f>
        <x:v>0</x:v>
      </x:c>
      <x:c r="E1069" s="11" t="n">
        <x:f>IF(OR('제외 후보'!L1069="",'제외 후보'!L1069&lt;=0),'선정 규칙'!$B$8,IF('제외 후보'!L1069&lt;=1.5,'선정 규칙'!$B$9,IF('제외 후보'!L1069&lt;=2,'선정 규칙'!$B$10,IF('제외 후보'!L1069&lt;=2.5,'선정 규칙'!$B$11,IF('제외 후보'!L1069&lt;=3,'선정 규칙'!$B$12,IF('제외 후보'!L1069&lt;=3.5,'선정 규칙'!$B$13,IF('제외 후보'!L1069&gt;=4.5,'선정 규칙'!$B$14,0)))))))</x:f>
        <x:v>-20</x:v>
      </x:c>
      <x:c r="F1069" s="11" t="n">
        <x:f>IF('제외 후보'!Y1069=0,'선정 규칙'!$B$15,IF('제외 후보'!Y1069&gt;=100,'선정 규칙'!$B$16,'선정 규칙'!$B$17))</x:f>
        <x:v>12</x:v>
      </x:c>
      <x:c r="G1069" s="11" t="n">
        <x:f>IF('제외 후보'!M1069="있음",'선정 규칙'!$B$18,'선정 규칙'!$B$19)</x:f>
        <x:v>6</x:v>
      </x:c>
      <x:c r="H1069" s="11" t="n">
        <x:f>IF(ISNUMBER(SEARCH("freq-core",'제외 후보'!AD1069)),'선정 규칙'!$B$20,0)</x:f>
        <x:v>0</x:v>
      </x:c>
      <x:c r="I1069" s="11" t="n">
        <x:f>IF(ISNUMBER(SEARCH("weak_legacy_content",'제외 후보'!P1069)),'선정 규칙'!$B$21,0)</x:f>
        <x:v>0</x:v>
      </x:c>
      <x:c r="J1069" s="11" t="n">
        <x:f>IF('제외 후보'!AC1069&lt;&gt;"",'선정 규칙'!$B$22,0)</x:f>
        <x:v>0</x:v>
      </x:c>
      <x:c r="K1069" s="11" t="n">
        <x:f>SUM(B1069:J1069)</x:f>
        <x:v>-2</x:v>
      </x:c>
      <x:c r="L1069" s="11" t="n">
        <x:f>'제외 후보'!N1069</x:f>
        <x:v>-2</x:v>
      </x:c>
      <x:c r="M1069" s="2" t="str">
        <x:f>IF(K1069=L1069,"OK","MISMATCH")</x:f>
        <x:v>OK</x:v>
      </x:c>
    </x:row>
    <x:row r="1070">
      <x:c r="A1070" s="2" t="str">
        <x:f>'제외 후보'!G1070</x:f>
        <x:v>w_95d7bcec7e65c8e0</x:v>
      </x:c>
      <x:c r="B1070" s="11" t="n">
        <x:f>IF('제외 후보'!Q1070&lt;&gt;"",'선정 규칙'!$B$4,0)</x:f>
        <x:v>0</x:v>
      </x:c>
      <x:c r="C1070" s="11" t="n">
        <x:f>IF(ISNUMBER(SEARCH("jmdict_uncommon_or_irregular",'제외 후보'!P1070)),'선정 규칙'!$B$5,IF(ISNUMBER(SEARCH("jmdict_rare_or_dated",'제외 후보'!P1070)),'선정 규칙'!$B$6,0))</x:f>
        <x:v>0</x:v>
      </x:c>
      <x:c r="D1070" s="11" t="n">
        <x:f>IF(ISNUMBER(SEARCH("jmdict_exact_pair_not_found",'제외 후보'!P1070)),'선정 규칙'!$B$7,0)</x:f>
        <x:v>0</x:v>
      </x:c>
      <x:c r="E1070" s="11" t="n">
        <x:f>IF(OR('제외 후보'!L1070="",'제외 후보'!L1070&lt;=0),'선정 규칙'!$B$8,IF('제외 후보'!L1070&lt;=1.5,'선정 규칙'!$B$9,IF('제외 후보'!L1070&lt;=2,'선정 규칙'!$B$10,IF('제외 후보'!L1070&lt;=2.5,'선정 규칙'!$B$11,IF('제외 후보'!L1070&lt;=3,'선정 규칙'!$B$12,IF('제외 후보'!L1070&lt;=3.5,'선정 규칙'!$B$13,IF('제외 후보'!L1070&gt;=4.5,'선정 규칙'!$B$14,0)))))))</x:f>
        <x:v>-20</x:v>
      </x:c>
      <x:c r="F1070" s="11" t="n">
        <x:f>IF('제외 후보'!Y1070=0,'선정 규칙'!$B$15,IF('제외 후보'!Y1070&gt;=100,'선정 규칙'!$B$16,'선정 규칙'!$B$17))</x:f>
        <x:v>12</x:v>
      </x:c>
      <x:c r="G1070" s="11" t="n">
        <x:f>IF('제외 후보'!M1070="있음",'선정 규칙'!$B$18,'선정 규칙'!$B$19)</x:f>
        <x:v>6</x:v>
      </x:c>
      <x:c r="H1070" s="11" t="n">
        <x:f>IF(ISNUMBER(SEARCH("freq-core",'제외 후보'!AD1070)),'선정 규칙'!$B$20,0)</x:f>
        <x:v>0</x:v>
      </x:c>
      <x:c r="I1070" s="11" t="n">
        <x:f>IF(ISNUMBER(SEARCH("weak_legacy_content",'제외 후보'!P1070)),'선정 규칙'!$B$21,0)</x:f>
        <x:v>0</x:v>
      </x:c>
      <x:c r="J1070" s="11" t="n">
        <x:f>IF('제외 후보'!AC1070&lt;&gt;"",'선정 규칙'!$B$22,0)</x:f>
        <x:v>0</x:v>
      </x:c>
      <x:c r="K1070" s="11" t="n">
        <x:f>SUM(B1070:J1070)</x:f>
        <x:v>-2</x:v>
      </x:c>
      <x:c r="L1070" s="11" t="n">
        <x:f>'제외 후보'!N1070</x:f>
        <x:v>-2</x:v>
      </x:c>
      <x:c r="M1070" s="2" t="str">
        <x:f>IF(K1070=L1070,"OK","MISMATCH")</x:f>
        <x:v>OK</x:v>
      </x:c>
    </x:row>
    <x:row r="1071">
      <x:c r="A1071" s="2" t="str">
        <x:f>'제외 후보'!G1071</x:f>
        <x:v>w_d760d012aa3df7a5</x:v>
      </x:c>
      <x:c r="B1071" s="11" t="n">
        <x:f>IF('제외 후보'!Q1071&lt;&gt;"",'선정 규칙'!$B$4,0)</x:f>
        <x:v>0</x:v>
      </x:c>
      <x:c r="C1071" s="11" t="n">
        <x:f>IF(ISNUMBER(SEARCH("jmdict_uncommon_or_irregular",'제외 후보'!P1071)),'선정 규칙'!$B$5,IF(ISNUMBER(SEARCH("jmdict_rare_or_dated",'제외 후보'!P1071)),'선정 규칙'!$B$6,0))</x:f>
        <x:v>0</x:v>
      </x:c>
      <x:c r="D1071" s="11" t="n">
        <x:f>IF(ISNUMBER(SEARCH("jmdict_exact_pair_not_found",'제외 후보'!P1071)),'선정 규칙'!$B$7,0)</x:f>
        <x:v>0</x:v>
      </x:c>
      <x:c r="E1071" s="11" t="n">
        <x:f>IF(OR('제외 후보'!L1071="",'제외 후보'!L1071&lt;=0),'선정 규칙'!$B$8,IF('제외 후보'!L1071&lt;=1.5,'선정 규칙'!$B$9,IF('제외 후보'!L1071&lt;=2,'선정 규칙'!$B$10,IF('제외 후보'!L1071&lt;=2.5,'선정 규칙'!$B$11,IF('제외 후보'!L1071&lt;=3,'선정 규칙'!$B$12,IF('제외 후보'!L1071&lt;=3.5,'선정 규칙'!$B$13,IF('제외 후보'!L1071&gt;=4.5,'선정 규칙'!$B$14,0)))))))</x:f>
        <x:v>-20</x:v>
      </x:c>
      <x:c r="F1071" s="11" t="n">
        <x:f>IF('제외 후보'!Y1071=0,'선정 규칙'!$B$15,IF('제외 후보'!Y1071&gt;=100,'선정 규칙'!$B$16,'선정 규칙'!$B$17))</x:f>
        <x:v>12</x:v>
      </x:c>
      <x:c r="G1071" s="11" t="n">
        <x:f>IF('제외 후보'!M1071="있음",'선정 규칙'!$B$18,'선정 규칙'!$B$19)</x:f>
        <x:v>6</x:v>
      </x:c>
      <x:c r="H1071" s="11" t="n">
        <x:f>IF(ISNUMBER(SEARCH("freq-core",'제외 후보'!AD1071)),'선정 규칙'!$B$20,0)</x:f>
        <x:v>0</x:v>
      </x:c>
      <x:c r="I1071" s="11" t="n">
        <x:f>IF(ISNUMBER(SEARCH("weak_legacy_content",'제외 후보'!P1071)),'선정 규칙'!$B$21,0)</x:f>
        <x:v>0</x:v>
      </x:c>
      <x:c r="J1071" s="11" t="n">
        <x:f>IF('제외 후보'!AC1071&lt;&gt;"",'선정 규칙'!$B$22,0)</x:f>
        <x:v>0</x:v>
      </x:c>
      <x:c r="K1071" s="11" t="n">
        <x:f>SUM(B1071:J1071)</x:f>
        <x:v>-2</x:v>
      </x:c>
      <x:c r="L1071" s="11" t="n">
        <x:f>'제외 후보'!N1071</x:f>
        <x:v>-2</x:v>
      </x:c>
      <x:c r="M1071" s="2" t="str">
        <x:f>IF(K1071=L1071,"OK","MISMATCH")</x:f>
        <x:v>OK</x:v>
      </x:c>
    </x:row>
    <x:row r="1072">
      <x:c r="A1072" s="2" t="str">
        <x:f>'제외 후보'!G1072</x:f>
        <x:v>w_cbd7bfb69667bf89</x:v>
      </x:c>
      <x:c r="B1072" s="11" t="n">
        <x:f>IF('제외 후보'!Q1072&lt;&gt;"",'선정 규칙'!$B$4,0)</x:f>
        <x:v>0</x:v>
      </x:c>
      <x:c r="C1072" s="11" t="n">
        <x:f>IF(ISNUMBER(SEARCH("jmdict_uncommon_or_irregular",'제외 후보'!P1072)),'선정 규칙'!$B$5,IF(ISNUMBER(SEARCH("jmdict_rare_or_dated",'제외 후보'!P1072)),'선정 규칙'!$B$6,0))</x:f>
        <x:v>0</x:v>
      </x:c>
      <x:c r="D1072" s="11" t="n">
        <x:f>IF(ISNUMBER(SEARCH("jmdict_exact_pair_not_found",'제외 후보'!P1072)),'선정 규칙'!$B$7,0)</x:f>
        <x:v>0</x:v>
      </x:c>
      <x:c r="E1072" s="11" t="n">
        <x:f>IF(OR('제외 후보'!L1072="",'제외 후보'!L1072&lt;=0),'선정 규칙'!$B$8,IF('제외 후보'!L1072&lt;=1.5,'선정 규칙'!$B$9,IF('제외 후보'!L1072&lt;=2,'선정 규칙'!$B$10,IF('제외 후보'!L1072&lt;=2.5,'선정 규칙'!$B$11,IF('제외 후보'!L1072&lt;=3,'선정 규칙'!$B$12,IF('제외 후보'!L1072&lt;=3.5,'선정 규칙'!$B$13,IF('제외 후보'!L1072&gt;=4.5,'선정 규칙'!$B$14,0)))))))</x:f>
        <x:v>-20</x:v>
      </x:c>
      <x:c r="F1072" s="11" t="n">
        <x:f>IF('제외 후보'!Y1072=0,'선정 규칙'!$B$15,IF('제외 후보'!Y1072&gt;=100,'선정 규칙'!$B$16,'선정 규칙'!$B$17))</x:f>
        <x:v>12</x:v>
      </x:c>
      <x:c r="G1072" s="11" t="n">
        <x:f>IF('제외 후보'!M1072="있음",'선정 규칙'!$B$18,'선정 규칙'!$B$19)</x:f>
        <x:v>6</x:v>
      </x:c>
      <x:c r="H1072" s="11" t="n">
        <x:f>IF(ISNUMBER(SEARCH("freq-core",'제외 후보'!AD1072)),'선정 규칙'!$B$20,0)</x:f>
        <x:v>0</x:v>
      </x:c>
      <x:c r="I1072" s="11" t="n">
        <x:f>IF(ISNUMBER(SEARCH("weak_legacy_content",'제외 후보'!P1072)),'선정 규칙'!$B$21,0)</x:f>
        <x:v>0</x:v>
      </x:c>
      <x:c r="J1072" s="11" t="n">
        <x:f>IF('제외 후보'!AC1072&lt;&gt;"",'선정 규칙'!$B$22,0)</x:f>
        <x:v>0</x:v>
      </x:c>
      <x:c r="K1072" s="11" t="n">
        <x:f>SUM(B1072:J1072)</x:f>
        <x:v>-2</x:v>
      </x:c>
      <x:c r="L1072" s="11" t="n">
        <x:f>'제외 후보'!N1072</x:f>
        <x:v>-2</x:v>
      </x:c>
      <x:c r="M1072" s="2" t="str">
        <x:f>IF(K1072=L1072,"OK","MISMATCH")</x:f>
        <x:v>OK</x:v>
      </x:c>
    </x:row>
    <x:row r="1073">
      <x:c r="A1073" s="2" t="str">
        <x:f>'제외 후보'!G1073</x:f>
        <x:v>w_7af4c6f5925e6489</x:v>
      </x:c>
      <x:c r="B1073" s="11" t="n">
        <x:f>IF('제외 후보'!Q1073&lt;&gt;"",'선정 규칙'!$B$4,0)</x:f>
        <x:v>0</x:v>
      </x:c>
      <x:c r="C1073" s="11" t="n">
        <x:f>IF(ISNUMBER(SEARCH("jmdict_uncommon_or_irregular",'제외 후보'!P1073)),'선정 규칙'!$B$5,IF(ISNUMBER(SEARCH("jmdict_rare_or_dated",'제외 후보'!P1073)),'선정 규칙'!$B$6,0))</x:f>
        <x:v>0</x:v>
      </x:c>
      <x:c r="D1073" s="11" t="n">
        <x:f>IF(ISNUMBER(SEARCH("jmdict_exact_pair_not_found",'제외 후보'!P1073)),'선정 규칙'!$B$7,0)</x:f>
        <x:v>0</x:v>
      </x:c>
      <x:c r="E1073" s="11" t="n">
        <x:f>IF(OR('제외 후보'!L1073="",'제외 후보'!L1073&lt;=0),'선정 규칙'!$B$8,IF('제외 후보'!L1073&lt;=1.5,'선정 규칙'!$B$9,IF('제외 후보'!L1073&lt;=2,'선정 규칙'!$B$10,IF('제외 후보'!L1073&lt;=2.5,'선정 규칙'!$B$11,IF('제외 후보'!L1073&lt;=3,'선정 규칙'!$B$12,IF('제외 후보'!L1073&lt;=3.5,'선정 규칙'!$B$13,IF('제외 후보'!L1073&gt;=4.5,'선정 규칙'!$B$14,0)))))))</x:f>
        <x:v>-20</x:v>
      </x:c>
      <x:c r="F1073" s="11" t="n">
        <x:f>IF('제외 후보'!Y1073=0,'선정 규칙'!$B$15,IF('제외 후보'!Y1073&gt;=100,'선정 규칙'!$B$16,'선정 규칙'!$B$17))</x:f>
        <x:v>12</x:v>
      </x:c>
      <x:c r="G1073" s="11" t="n">
        <x:f>IF('제외 후보'!M1073="있음",'선정 규칙'!$B$18,'선정 규칙'!$B$19)</x:f>
        <x:v>6</x:v>
      </x:c>
      <x:c r="H1073" s="11" t="n">
        <x:f>IF(ISNUMBER(SEARCH("freq-core",'제외 후보'!AD1073)),'선정 규칙'!$B$20,0)</x:f>
        <x:v>0</x:v>
      </x:c>
      <x:c r="I1073" s="11" t="n">
        <x:f>IF(ISNUMBER(SEARCH("weak_legacy_content",'제외 후보'!P1073)),'선정 규칙'!$B$21,0)</x:f>
        <x:v>0</x:v>
      </x:c>
      <x:c r="J1073" s="11" t="n">
        <x:f>IF('제외 후보'!AC1073&lt;&gt;"",'선정 규칙'!$B$22,0)</x:f>
        <x:v>0</x:v>
      </x:c>
      <x:c r="K1073" s="11" t="n">
        <x:f>SUM(B1073:J1073)</x:f>
        <x:v>-2</x:v>
      </x:c>
      <x:c r="L1073" s="11" t="n">
        <x:f>'제외 후보'!N1073</x:f>
        <x:v>-2</x:v>
      </x:c>
      <x:c r="M1073" s="2" t="str">
        <x:f>IF(K1073=L1073,"OK","MISMATCH")</x:f>
        <x:v>OK</x:v>
      </x:c>
    </x:row>
    <x:row r="1074">
      <x:c r="A1074" s="2" t="str">
        <x:f>'제외 후보'!G1074</x:f>
        <x:v>w_2903ad5dfafa9ef5</x:v>
      </x:c>
      <x:c r="B1074" s="11" t="n">
        <x:f>IF('제외 후보'!Q1074&lt;&gt;"",'선정 규칙'!$B$4,0)</x:f>
        <x:v>0</x:v>
      </x:c>
      <x:c r="C1074" s="11" t="n">
        <x:f>IF(ISNUMBER(SEARCH("jmdict_uncommon_or_irregular",'제외 후보'!P1074)),'선정 규칙'!$B$5,IF(ISNUMBER(SEARCH("jmdict_rare_or_dated",'제외 후보'!P1074)),'선정 규칙'!$B$6,0))</x:f>
        <x:v>0</x:v>
      </x:c>
      <x:c r="D1074" s="11" t="n">
        <x:f>IF(ISNUMBER(SEARCH("jmdict_exact_pair_not_found",'제외 후보'!P1074)),'선정 규칙'!$B$7,0)</x:f>
        <x:v>0</x:v>
      </x:c>
      <x:c r="E1074" s="11" t="n">
        <x:f>IF(OR('제외 후보'!L1074="",'제외 후보'!L1074&lt;=0),'선정 규칙'!$B$8,IF('제외 후보'!L1074&lt;=1.5,'선정 규칙'!$B$9,IF('제외 후보'!L1074&lt;=2,'선정 규칙'!$B$10,IF('제외 후보'!L1074&lt;=2.5,'선정 규칙'!$B$11,IF('제외 후보'!L1074&lt;=3,'선정 규칙'!$B$12,IF('제외 후보'!L1074&lt;=3.5,'선정 규칙'!$B$13,IF('제외 후보'!L1074&gt;=4.5,'선정 규칙'!$B$14,0)))))))</x:f>
        <x:v>-20</x:v>
      </x:c>
      <x:c r="F1074" s="11" t="n">
        <x:f>IF('제외 후보'!Y1074=0,'선정 규칙'!$B$15,IF('제외 후보'!Y1074&gt;=100,'선정 규칙'!$B$16,'선정 규칙'!$B$17))</x:f>
        <x:v>12</x:v>
      </x:c>
      <x:c r="G1074" s="11" t="n">
        <x:f>IF('제외 후보'!M1074="있음",'선정 규칙'!$B$18,'선정 규칙'!$B$19)</x:f>
        <x:v>6</x:v>
      </x:c>
      <x:c r="H1074" s="11" t="n">
        <x:f>IF(ISNUMBER(SEARCH("freq-core",'제외 후보'!AD1074)),'선정 규칙'!$B$20,0)</x:f>
        <x:v>0</x:v>
      </x:c>
      <x:c r="I1074" s="11" t="n">
        <x:f>IF(ISNUMBER(SEARCH("weak_legacy_content",'제외 후보'!P1074)),'선정 규칙'!$B$21,0)</x:f>
        <x:v>0</x:v>
      </x:c>
      <x:c r="J1074" s="11" t="n">
        <x:f>IF('제외 후보'!AC1074&lt;&gt;"",'선정 규칙'!$B$22,0)</x:f>
        <x:v>0</x:v>
      </x:c>
      <x:c r="K1074" s="11" t="n">
        <x:f>SUM(B1074:J1074)</x:f>
        <x:v>-2</x:v>
      </x:c>
      <x:c r="L1074" s="11" t="n">
        <x:f>'제외 후보'!N1074</x:f>
        <x:v>-2</x:v>
      </x:c>
      <x:c r="M1074" s="2" t="str">
        <x:f>IF(K1074=L1074,"OK","MISMATCH")</x:f>
        <x:v>OK</x:v>
      </x:c>
    </x:row>
    <x:row r="1075">
      <x:c r="A1075" s="2" t="str">
        <x:f>'제외 후보'!G1075</x:f>
        <x:v>w_486d794e67b43b00</x:v>
      </x:c>
      <x:c r="B1075" s="11" t="n">
        <x:f>IF('제외 후보'!Q1075&lt;&gt;"",'선정 규칙'!$B$4,0)</x:f>
        <x:v>0</x:v>
      </x:c>
      <x:c r="C1075" s="11" t="n">
        <x:f>IF(ISNUMBER(SEARCH("jmdict_uncommon_or_irregular",'제외 후보'!P1075)),'선정 규칙'!$B$5,IF(ISNUMBER(SEARCH("jmdict_rare_or_dated",'제외 후보'!P1075)),'선정 규칙'!$B$6,0))</x:f>
        <x:v>0</x:v>
      </x:c>
      <x:c r="D1075" s="11" t="n">
        <x:f>IF(ISNUMBER(SEARCH("jmdict_exact_pair_not_found",'제외 후보'!P1075)),'선정 규칙'!$B$7,0)</x:f>
        <x:v>0</x:v>
      </x:c>
      <x:c r="E1075" s="11" t="n">
        <x:f>IF(OR('제외 후보'!L1075="",'제외 후보'!L1075&lt;=0),'선정 규칙'!$B$8,IF('제외 후보'!L1075&lt;=1.5,'선정 규칙'!$B$9,IF('제외 후보'!L1075&lt;=2,'선정 규칙'!$B$10,IF('제외 후보'!L1075&lt;=2.5,'선정 규칙'!$B$11,IF('제외 후보'!L1075&lt;=3,'선정 규칙'!$B$12,IF('제외 후보'!L1075&lt;=3.5,'선정 규칙'!$B$13,IF('제외 후보'!L1075&gt;=4.5,'선정 규칙'!$B$14,0)))))))</x:f>
        <x:v>-20</x:v>
      </x:c>
      <x:c r="F1075" s="11" t="n">
        <x:f>IF('제외 후보'!Y1075=0,'선정 규칙'!$B$15,IF('제외 후보'!Y1075&gt;=100,'선정 규칙'!$B$16,'선정 규칙'!$B$17))</x:f>
        <x:v>12</x:v>
      </x:c>
      <x:c r="G1075" s="11" t="n">
        <x:f>IF('제외 후보'!M1075="있음",'선정 규칙'!$B$18,'선정 규칙'!$B$19)</x:f>
        <x:v>6</x:v>
      </x:c>
      <x:c r="H1075" s="11" t="n">
        <x:f>IF(ISNUMBER(SEARCH("freq-core",'제외 후보'!AD1075)),'선정 규칙'!$B$20,0)</x:f>
        <x:v>0</x:v>
      </x:c>
      <x:c r="I1075" s="11" t="n">
        <x:f>IF(ISNUMBER(SEARCH("weak_legacy_content",'제외 후보'!P1075)),'선정 규칙'!$B$21,0)</x:f>
        <x:v>0</x:v>
      </x:c>
      <x:c r="J1075" s="11" t="n">
        <x:f>IF('제외 후보'!AC1075&lt;&gt;"",'선정 규칙'!$B$22,0)</x:f>
        <x:v>0</x:v>
      </x:c>
      <x:c r="K1075" s="11" t="n">
        <x:f>SUM(B1075:J1075)</x:f>
        <x:v>-2</x:v>
      </x:c>
      <x:c r="L1075" s="11" t="n">
        <x:f>'제외 후보'!N1075</x:f>
        <x:v>-2</x:v>
      </x:c>
      <x:c r="M1075" s="2" t="str">
        <x:f>IF(K1075=L1075,"OK","MISMATCH")</x:f>
        <x:v>OK</x:v>
      </x:c>
    </x:row>
    <x:row r="1076">
      <x:c r="A1076" s="2" t="str">
        <x:f>'제외 후보'!G1076</x:f>
        <x:v>w_becbe89dce937f34</x:v>
      </x:c>
      <x:c r="B1076" s="11" t="n">
        <x:f>IF('제외 후보'!Q1076&lt;&gt;"",'선정 규칙'!$B$4,0)</x:f>
        <x:v>0</x:v>
      </x:c>
      <x:c r="C1076" s="11" t="n">
        <x:f>IF(ISNUMBER(SEARCH("jmdict_uncommon_or_irregular",'제외 후보'!P1076)),'선정 규칙'!$B$5,IF(ISNUMBER(SEARCH("jmdict_rare_or_dated",'제외 후보'!P1076)),'선정 규칙'!$B$6,0))</x:f>
        <x:v>0</x:v>
      </x:c>
      <x:c r="D1076" s="11" t="n">
        <x:f>IF(ISNUMBER(SEARCH("jmdict_exact_pair_not_found",'제외 후보'!P1076)),'선정 규칙'!$B$7,0)</x:f>
        <x:v>0</x:v>
      </x:c>
      <x:c r="E1076" s="11" t="n">
        <x:f>IF(OR('제외 후보'!L1076="",'제외 후보'!L1076&lt;=0),'선정 규칙'!$B$8,IF('제외 후보'!L1076&lt;=1.5,'선정 규칙'!$B$9,IF('제외 후보'!L1076&lt;=2,'선정 규칙'!$B$10,IF('제외 후보'!L1076&lt;=2.5,'선정 규칙'!$B$11,IF('제외 후보'!L1076&lt;=3,'선정 규칙'!$B$12,IF('제외 후보'!L1076&lt;=3.5,'선정 규칙'!$B$13,IF('제외 후보'!L1076&gt;=4.5,'선정 규칙'!$B$14,0)))))))</x:f>
        <x:v>-20</x:v>
      </x:c>
      <x:c r="F1076" s="11" t="n">
        <x:f>IF('제외 후보'!Y1076=0,'선정 규칙'!$B$15,IF('제외 후보'!Y1076&gt;=100,'선정 규칙'!$B$16,'선정 규칙'!$B$17))</x:f>
        <x:v>12</x:v>
      </x:c>
      <x:c r="G1076" s="11" t="n">
        <x:f>IF('제외 후보'!M1076="있음",'선정 규칙'!$B$18,'선정 규칙'!$B$19)</x:f>
        <x:v>6</x:v>
      </x:c>
      <x:c r="H1076" s="11" t="n">
        <x:f>IF(ISNUMBER(SEARCH("freq-core",'제외 후보'!AD1076)),'선정 규칙'!$B$20,0)</x:f>
        <x:v>0</x:v>
      </x:c>
      <x:c r="I1076" s="11" t="n">
        <x:f>IF(ISNUMBER(SEARCH("weak_legacy_content",'제외 후보'!P1076)),'선정 규칙'!$B$21,0)</x:f>
        <x:v>0</x:v>
      </x:c>
      <x:c r="J1076" s="11" t="n">
        <x:f>IF('제외 후보'!AC1076&lt;&gt;"",'선정 규칙'!$B$22,0)</x:f>
        <x:v>0</x:v>
      </x:c>
      <x:c r="K1076" s="11" t="n">
        <x:f>SUM(B1076:J1076)</x:f>
        <x:v>-2</x:v>
      </x:c>
      <x:c r="L1076" s="11" t="n">
        <x:f>'제외 후보'!N1076</x:f>
        <x:v>-2</x:v>
      </x:c>
      <x:c r="M1076" s="2" t="str">
        <x:f>IF(K1076=L1076,"OK","MISMATCH")</x:f>
        <x:v>OK</x:v>
      </x:c>
    </x:row>
    <x:row r="1077">
      <x:c r="A1077" s="2" t="str">
        <x:f>'제외 후보'!G1077</x:f>
        <x:v>w_1623a8c707cf4d7c</x:v>
      </x:c>
      <x:c r="B1077" s="11" t="n">
        <x:f>IF('제외 후보'!Q1077&lt;&gt;"",'선정 규칙'!$B$4,0)</x:f>
        <x:v>0</x:v>
      </x:c>
      <x:c r="C1077" s="11" t="n">
        <x:f>IF(ISNUMBER(SEARCH("jmdict_uncommon_or_irregular",'제외 후보'!P1077)),'선정 규칙'!$B$5,IF(ISNUMBER(SEARCH("jmdict_rare_or_dated",'제외 후보'!P1077)),'선정 규칙'!$B$6,0))</x:f>
        <x:v>0</x:v>
      </x:c>
      <x:c r="D1077" s="11" t="n">
        <x:f>IF(ISNUMBER(SEARCH("jmdict_exact_pair_not_found",'제외 후보'!P1077)),'선정 규칙'!$B$7,0)</x:f>
        <x:v>0</x:v>
      </x:c>
      <x:c r="E1077" s="11" t="n">
        <x:f>IF(OR('제외 후보'!L1077="",'제외 후보'!L1077&lt;=0),'선정 규칙'!$B$8,IF('제외 후보'!L1077&lt;=1.5,'선정 규칙'!$B$9,IF('제외 후보'!L1077&lt;=2,'선정 규칙'!$B$10,IF('제외 후보'!L1077&lt;=2.5,'선정 규칙'!$B$11,IF('제외 후보'!L1077&lt;=3,'선정 규칙'!$B$12,IF('제외 후보'!L1077&lt;=3.5,'선정 규칙'!$B$13,IF('제외 후보'!L1077&gt;=4.5,'선정 규칙'!$B$14,0)))))))</x:f>
        <x:v>-20</x:v>
      </x:c>
      <x:c r="F1077" s="11" t="n">
        <x:f>IF('제외 후보'!Y1077=0,'선정 규칙'!$B$15,IF('제외 후보'!Y1077&gt;=100,'선정 규칙'!$B$16,'선정 규칙'!$B$17))</x:f>
        <x:v>12</x:v>
      </x:c>
      <x:c r="G1077" s="11" t="n">
        <x:f>IF('제외 후보'!M1077="있음",'선정 규칙'!$B$18,'선정 규칙'!$B$19)</x:f>
        <x:v>6</x:v>
      </x:c>
      <x:c r="H1077" s="11" t="n">
        <x:f>IF(ISNUMBER(SEARCH("freq-core",'제외 후보'!AD1077)),'선정 규칙'!$B$20,0)</x:f>
        <x:v>0</x:v>
      </x:c>
      <x:c r="I1077" s="11" t="n">
        <x:f>IF(ISNUMBER(SEARCH("weak_legacy_content",'제외 후보'!P1077)),'선정 규칙'!$B$21,0)</x:f>
        <x:v>0</x:v>
      </x:c>
      <x:c r="J1077" s="11" t="n">
        <x:f>IF('제외 후보'!AC1077&lt;&gt;"",'선정 규칙'!$B$22,0)</x:f>
        <x:v>0</x:v>
      </x:c>
      <x:c r="K1077" s="11" t="n">
        <x:f>SUM(B1077:J1077)</x:f>
        <x:v>-2</x:v>
      </x:c>
      <x:c r="L1077" s="11" t="n">
        <x:f>'제외 후보'!N1077</x:f>
        <x:v>-2</x:v>
      </x:c>
      <x:c r="M1077" s="2" t="str">
        <x:f>IF(K1077=L1077,"OK","MISMATCH")</x:f>
        <x:v>OK</x:v>
      </x:c>
    </x:row>
    <x:row r="1078">
      <x:c r="A1078" s="2" t="str">
        <x:f>'제외 후보'!G1078</x:f>
        <x:v>w_92732af5b8cc361d</x:v>
      </x:c>
      <x:c r="B1078" s="11" t="n">
        <x:f>IF('제외 후보'!Q1078&lt;&gt;"",'선정 규칙'!$B$4,0)</x:f>
        <x:v>0</x:v>
      </x:c>
      <x:c r="C1078" s="11" t="n">
        <x:f>IF(ISNUMBER(SEARCH("jmdict_uncommon_or_irregular",'제외 후보'!P1078)),'선정 규칙'!$B$5,IF(ISNUMBER(SEARCH("jmdict_rare_or_dated",'제외 후보'!P1078)),'선정 규칙'!$B$6,0))</x:f>
        <x:v>0</x:v>
      </x:c>
      <x:c r="D1078" s="11" t="n">
        <x:f>IF(ISNUMBER(SEARCH("jmdict_exact_pair_not_found",'제외 후보'!P1078)),'선정 규칙'!$B$7,0)</x:f>
        <x:v>0</x:v>
      </x:c>
      <x:c r="E1078" s="11" t="n">
        <x:f>IF(OR('제외 후보'!L1078="",'제외 후보'!L1078&lt;=0),'선정 규칙'!$B$8,IF('제외 후보'!L1078&lt;=1.5,'선정 규칙'!$B$9,IF('제외 후보'!L1078&lt;=2,'선정 규칙'!$B$10,IF('제외 후보'!L1078&lt;=2.5,'선정 규칙'!$B$11,IF('제외 후보'!L1078&lt;=3,'선정 규칙'!$B$12,IF('제외 후보'!L1078&lt;=3.5,'선정 규칙'!$B$13,IF('제외 후보'!L1078&gt;=4.5,'선정 규칙'!$B$14,0)))))))</x:f>
        <x:v>-20</x:v>
      </x:c>
      <x:c r="F1078" s="11" t="n">
        <x:f>IF('제외 후보'!Y1078=0,'선정 규칙'!$B$15,IF('제외 후보'!Y1078&gt;=100,'선정 규칙'!$B$16,'선정 규칙'!$B$17))</x:f>
        <x:v>12</x:v>
      </x:c>
      <x:c r="G1078" s="11" t="n">
        <x:f>IF('제외 후보'!M1078="있음",'선정 규칙'!$B$18,'선정 규칙'!$B$19)</x:f>
        <x:v>6</x:v>
      </x:c>
      <x:c r="H1078" s="11" t="n">
        <x:f>IF(ISNUMBER(SEARCH("freq-core",'제외 후보'!AD1078)),'선정 규칙'!$B$20,0)</x:f>
        <x:v>0</x:v>
      </x:c>
      <x:c r="I1078" s="11" t="n">
        <x:f>IF(ISNUMBER(SEARCH("weak_legacy_content",'제외 후보'!P1078)),'선정 규칙'!$B$21,0)</x:f>
        <x:v>0</x:v>
      </x:c>
      <x:c r="J1078" s="11" t="n">
        <x:f>IF('제외 후보'!AC1078&lt;&gt;"",'선정 규칙'!$B$22,0)</x:f>
        <x:v>0</x:v>
      </x:c>
      <x:c r="K1078" s="11" t="n">
        <x:f>SUM(B1078:J1078)</x:f>
        <x:v>-2</x:v>
      </x:c>
      <x:c r="L1078" s="11" t="n">
        <x:f>'제외 후보'!N1078</x:f>
        <x:v>-2</x:v>
      </x:c>
      <x:c r="M1078" s="2" t="str">
        <x:f>IF(K1078=L1078,"OK","MISMATCH")</x:f>
        <x:v>OK</x:v>
      </x:c>
    </x:row>
    <x:row r="1079">
      <x:c r="A1079" s="2" t="str">
        <x:f>'제외 후보'!G1079</x:f>
        <x:v>w_f60f7b55eba0baba</x:v>
      </x:c>
      <x:c r="B1079" s="11" t="n">
        <x:f>IF('제외 후보'!Q1079&lt;&gt;"",'선정 규칙'!$B$4,0)</x:f>
        <x:v>0</x:v>
      </x:c>
      <x:c r="C1079" s="11" t="n">
        <x:f>IF(ISNUMBER(SEARCH("jmdict_uncommon_or_irregular",'제외 후보'!P1079)),'선정 규칙'!$B$5,IF(ISNUMBER(SEARCH("jmdict_rare_or_dated",'제외 후보'!P1079)),'선정 규칙'!$B$6,0))</x:f>
        <x:v>0</x:v>
      </x:c>
      <x:c r="D1079" s="11" t="n">
        <x:f>IF(ISNUMBER(SEARCH("jmdict_exact_pair_not_found",'제외 후보'!P1079)),'선정 규칙'!$B$7,0)</x:f>
        <x:v>0</x:v>
      </x:c>
      <x:c r="E1079" s="11" t="n">
        <x:f>IF(OR('제외 후보'!L1079="",'제외 후보'!L1079&lt;=0),'선정 규칙'!$B$8,IF('제외 후보'!L1079&lt;=1.5,'선정 규칙'!$B$9,IF('제외 후보'!L1079&lt;=2,'선정 규칙'!$B$10,IF('제외 후보'!L1079&lt;=2.5,'선정 규칙'!$B$11,IF('제외 후보'!L1079&lt;=3,'선정 규칙'!$B$12,IF('제외 후보'!L1079&lt;=3.5,'선정 규칙'!$B$13,IF('제외 후보'!L1079&gt;=4.5,'선정 규칙'!$B$14,0)))))))</x:f>
        <x:v>0</x:v>
      </x:c>
      <x:c r="F1079" s="11" t="n">
        <x:f>IF('제외 후보'!Y1079=0,'선정 규칙'!$B$15,IF('제외 후보'!Y1079&gt;=100,'선정 규칙'!$B$16,'선정 규칙'!$B$17))</x:f>
        <x:v>-25</x:v>
      </x:c>
      <x:c r="G1079" s="11" t="n">
        <x:f>IF('제외 후보'!M1079="있음",'선정 규칙'!$B$18,'선정 규칙'!$B$19)</x:f>
        <x:v>6</x:v>
      </x:c>
      <x:c r="H1079" s="11" t="n">
        <x:f>IF(ISNUMBER(SEARCH("freq-core",'제외 후보'!AD1079)),'선정 규칙'!$B$20,0)</x:f>
        <x:v>0</x:v>
      </x:c>
      <x:c r="I1079" s="11" t="n">
        <x:f>IF(ISNUMBER(SEARCH("weak_legacy_content",'제외 후보'!P1079)),'선정 규칙'!$B$21,0)</x:f>
        <x:v>5</x:v>
      </x:c>
      <x:c r="J1079" s="11" t="n">
        <x:f>IF('제외 후보'!AC1079&lt;&gt;"",'선정 규칙'!$B$22,0)</x:f>
        <x:v>10</x:v>
      </x:c>
      <x:c r="K1079" s="11" t="n">
        <x:f>SUM(B1079:J1079)</x:f>
        <x:v>-4</x:v>
      </x:c>
      <x:c r="L1079" s="11" t="n">
        <x:f>'제외 후보'!N1079</x:f>
        <x:v>-4</x:v>
      </x:c>
      <x:c r="M1079" s="2" t="str">
        <x:f>IF(K1079=L1079,"OK","MISMATCH")</x:f>
        <x:v>OK</x:v>
      </x:c>
    </x:row>
    <x:row r="1080">
      <x:c r="A1080" s="2" t="str">
        <x:f>'제외 후보'!G1080</x:f>
        <x:v>w_beec94661333f872</x:v>
      </x:c>
      <x:c r="B1080" s="11" t="n">
        <x:f>IF('제외 후보'!Q1080&lt;&gt;"",'선정 규칙'!$B$4,0)</x:f>
        <x:v>0</x:v>
      </x:c>
      <x:c r="C1080" s="11" t="n">
        <x:f>IF(ISNUMBER(SEARCH("jmdict_uncommon_or_irregular",'제외 후보'!P1080)),'선정 규칙'!$B$5,IF(ISNUMBER(SEARCH("jmdict_rare_or_dated",'제외 후보'!P1080)),'선정 규칙'!$B$6,0))</x:f>
        <x:v>0</x:v>
      </x:c>
      <x:c r="D1080" s="11" t="n">
        <x:f>IF(ISNUMBER(SEARCH("jmdict_exact_pair_not_found",'제외 후보'!P1080)),'선정 규칙'!$B$7,0)</x:f>
        <x:v>0</x:v>
      </x:c>
      <x:c r="E1080" s="11" t="n">
        <x:f>IF(OR('제외 후보'!L1080="",'제외 후보'!L1080&lt;=0),'선정 규칙'!$B$8,IF('제외 후보'!L1080&lt;=1.5,'선정 규칙'!$B$9,IF('제외 후보'!L1080&lt;=2,'선정 규칙'!$B$10,IF('제외 후보'!L1080&lt;=2.5,'선정 규칙'!$B$11,IF('제외 후보'!L1080&lt;=3,'선정 규칙'!$B$12,IF('제외 후보'!L1080&lt;=3.5,'선정 규칙'!$B$13,IF('제외 후보'!L1080&gt;=4.5,'선정 규칙'!$B$14,0)))))))</x:f>
        <x:v>0</x:v>
      </x:c>
      <x:c r="F1080" s="11" t="n">
        <x:f>IF('제외 후보'!Y1080=0,'선정 규칙'!$B$15,IF('제외 후보'!Y1080&gt;=100,'선정 규칙'!$B$16,'선정 규칙'!$B$17))</x:f>
        <x:v>-25</x:v>
      </x:c>
      <x:c r="G1080" s="11" t="n">
        <x:f>IF('제외 후보'!M1080="있음",'선정 규칙'!$B$18,'선정 규칙'!$B$19)</x:f>
        <x:v>6</x:v>
      </x:c>
      <x:c r="H1080" s="11" t="n">
        <x:f>IF(ISNUMBER(SEARCH("freq-core",'제외 후보'!AD1080)),'선정 규칙'!$B$20,0)</x:f>
        <x:v>0</x:v>
      </x:c>
      <x:c r="I1080" s="11" t="n">
        <x:f>IF(ISNUMBER(SEARCH("weak_legacy_content",'제외 후보'!P1080)),'선정 규칙'!$B$21,0)</x:f>
        <x:v>5</x:v>
      </x:c>
      <x:c r="J1080" s="11" t="n">
        <x:f>IF('제외 후보'!AC1080&lt;&gt;"",'선정 규칙'!$B$22,0)</x:f>
        <x:v>10</x:v>
      </x:c>
      <x:c r="K1080" s="11" t="n">
        <x:f>SUM(B1080:J1080)</x:f>
        <x:v>-4</x:v>
      </x:c>
      <x:c r="L1080" s="11" t="n">
        <x:f>'제외 후보'!N1080</x:f>
        <x:v>-4</x:v>
      </x:c>
      <x:c r="M1080" s="2" t="str">
        <x:f>IF(K1080=L1080,"OK","MISMATCH")</x:f>
        <x:v>OK</x:v>
      </x:c>
    </x:row>
    <x:row r="1081">
      <x:c r="A1081" s="2" t="str">
        <x:f>'제외 후보'!G1081</x:f>
        <x:v>w_74a2172181c968be</x:v>
      </x:c>
      <x:c r="B1081" s="11" t="n">
        <x:f>IF('제외 후보'!Q1081&lt;&gt;"",'선정 규칙'!$B$4,0)</x:f>
        <x:v>0</x:v>
      </x:c>
      <x:c r="C1081" s="11" t="n">
        <x:f>IF(ISNUMBER(SEARCH("jmdict_uncommon_or_irregular",'제외 후보'!P1081)),'선정 규칙'!$B$5,IF(ISNUMBER(SEARCH("jmdict_rare_or_dated",'제외 후보'!P1081)),'선정 규칙'!$B$6,0))</x:f>
        <x:v>0</x:v>
      </x:c>
      <x:c r="D1081" s="11" t="n">
        <x:f>IF(ISNUMBER(SEARCH("jmdict_exact_pair_not_found",'제외 후보'!P1081)),'선정 규칙'!$B$7,0)</x:f>
        <x:v>0</x:v>
      </x:c>
      <x:c r="E1081" s="11" t="n">
        <x:f>IF(OR('제외 후보'!L1081="",'제외 후보'!L1081&lt;=0),'선정 규칙'!$B$8,IF('제외 후보'!L1081&lt;=1.5,'선정 규칙'!$B$9,IF('제외 후보'!L1081&lt;=2,'선정 규칙'!$B$10,IF('제외 후보'!L1081&lt;=2.5,'선정 규칙'!$B$11,IF('제외 후보'!L1081&lt;=3,'선정 규칙'!$B$12,IF('제외 후보'!L1081&lt;=3.5,'선정 규칙'!$B$13,IF('제외 후보'!L1081&gt;=4.5,'선정 규칙'!$B$14,0)))))))</x:f>
        <x:v>0</x:v>
      </x:c>
      <x:c r="F1081" s="11" t="n">
        <x:f>IF('제외 후보'!Y1081=0,'선정 규칙'!$B$15,IF('제외 후보'!Y1081&gt;=100,'선정 규칙'!$B$16,'선정 규칙'!$B$17))</x:f>
        <x:v>-25</x:v>
      </x:c>
      <x:c r="G1081" s="11" t="n">
        <x:f>IF('제외 후보'!M1081="있음",'선정 규칙'!$B$18,'선정 규칙'!$B$19)</x:f>
        <x:v>6</x:v>
      </x:c>
      <x:c r="H1081" s="11" t="n">
        <x:f>IF(ISNUMBER(SEARCH("freq-core",'제외 후보'!AD1081)),'선정 규칙'!$B$20,0)</x:f>
        <x:v>0</x:v>
      </x:c>
      <x:c r="I1081" s="11" t="n">
        <x:f>IF(ISNUMBER(SEARCH("weak_legacy_content",'제외 후보'!P1081)),'선정 규칙'!$B$21,0)</x:f>
        <x:v>5</x:v>
      </x:c>
      <x:c r="J1081" s="11" t="n">
        <x:f>IF('제외 후보'!AC1081&lt;&gt;"",'선정 규칙'!$B$22,0)</x:f>
        <x:v>10</x:v>
      </x:c>
      <x:c r="K1081" s="11" t="n">
        <x:f>SUM(B1081:J1081)</x:f>
        <x:v>-4</x:v>
      </x:c>
      <x:c r="L1081" s="11" t="n">
        <x:f>'제외 후보'!N1081</x:f>
        <x:v>-4</x:v>
      </x:c>
      <x:c r="M1081" s="2" t="str">
        <x:f>IF(K1081=L1081,"OK","MISMATCH")</x:f>
        <x:v>OK</x:v>
      </x:c>
    </x:row>
    <x:row r="1082">
      <x:c r="A1082" s="2" t="str">
        <x:f>'제외 후보'!G1082</x:f>
        <x:v>w_4b6c5f6b362085b4</x:v>
      </x:c>
      <x:c r="B1082" s="11" t="n">
        <x:f>IF('제외 후보'!Q1082&lt;&gt;"",'선정 규칙'!$B$4,0)</x:f>
        <x:v>0</x:v>
      </x:c>
      <x:c r="C1082" s="11" t="n">
        <x:f>IF(ISNUMBER(SEARCH("jmdict_uncommon_or_irregular",'제외 후보'!P1082)),'선정 규칙'!$B$5,IF(ISNUMBER(SEARCH("jmdict_rare_or_dated",'제외 후보'!P1082)),'선정 규칙'!$B$6,0))</x:f>
        <x:v>0</x:v>
      </x:c>
      <x:c r="D1082" s="11" t="n">
        <x:f>IF(ISNUMBER(SEARCH("jmdict_exact_pair_not_found",'제외 후보'!P1082)),'선정 규칙'!$B$7,0)</x:f>
        <x:v>0</x:v>
      </x:c>
      <x:c r="E1082" s="11" t="n">
        <x:f>IF(OR('제외 후보'!L1082="",'제외 후보'!L1082&lt;=0),'선정 규칙'!$B$8,IF('제외 후보'!L1082&lt;=1.5,'선정 규칙'!$B$9,IF('제외 후보'!L1082&lt;=2,'선정 규칙'!$B$10,IF('제외 후보'!L1082&lt;=2.5,'선정 규칙'!$B$11,IF('제외 후보'!L1082&lt;=3,'선정 규칙'!$B$12,IF('제외 후보'!L1082&lt;=3.5,'선정 규칙'!$B$13,IF('제외 후보'!L1082&gt;=4.5,'선정 규칙'!$B$14,0)))))))</x:f>
        <x:v>0</x:v>
      </x:c>
      <x:c r="F1082" s="11" t="n">
        <x:f>IF('제외 후보'!Y1082=0,'선정 규칙'!$B$15,IF('제외 후보'!Y1082&gt;=100,'선정 규칙'!$B$16,'선정 규칙'!$B$17))</x:f>
        <x:v>-25</x:v>
      </x:c>
      <x:c r="G1082" s="11" t="n">
        <x:f>IF('제외 후보'!M1082="있음",'선정 규칙'!$B$18,'선정 규칙'!$B$19)</x:f>
        <x:v>6</x:v>
      </x:c>
      <x:c r="H1082" s="11" t="n">
        <x:f>IF(ISNUMBER(SEARCH("freq-core",'제외 후보'!AD1082)),'선정 규칙'!$B$20,0)</x:f>
        <x:v>0</x:v>
      </x:c>
      <x:c r="I1082" s="11" t="n">
        <x:f>IF(ISNUMBER(SEARCH("weak_legacy_content",'제외 후보'!P1082)),'선정 규칙'!$B$21,0)</x:f>
        <x:v>5</x:v>
      </x:c>
      <x:c r="J1082" s="11" t="n">
        <x:f>IF('제외 후보'!AC1082&lt;&gt;"",'선정 규칙'!$B$22,0)</x:f>
        <x:v>10</x:v>
      </x:c>
      <x:c r="K1082" s="11" t="n">
        <x:f>SUM(B1082:J1082)</x:f>
        <x:v>-4</x:v>
      </x:c>
      <x:c r="L1082" s="11" t="n">
        <x:f>'제외 후보'!N1082</x:f>
        <x:v>-4</x:v>
      </x:c>
      <x:c r="M1082" s="2" t="str">
        <x:f>IF(K1082=L1082,"OK","MISMATCH")</x:f>
        <x:v>OK</x:v>
      </x:c>
    </x:row>
    <x:row r="1083">
      <x:c r="A1083" s="2" t="str">
        <x:f>'제외 후보'!G1083</x:f>
        <x:v>w_5b7fd1bea9bcb1f8</x:v>
      </x:c>
      <x:c r="B1083" s="11" t="n">
        <x:f>IF('제외 후보'!Q1083&lt;&gt;"",'선정 규칙'!$B$4,0)</x:f>
        <x:v>0</x:v>
      </x:c>
      <x:c r="C1083" s="11" t="n">
        <x:f>IF(ISNUMBER(SEARCH("jmdict_uncommon_or_irregular",'제외 후보'!P1083)),'선정 규칙'!$B$5,IF(ISNUMBER(SEARCH("jmdict_rare_or_dated",'제외 후보'!P1083)),'선정 규칙'!$B$6,0))</x:f>
        <x:v>0</x:v>
      </x:c>
      <x:c r="D1083" s="11" t="n">
        <x:f>IF(ISNUMBER(SEARCH("jmdict_exact_pair_not_found",'제외 후보'!P1083)),'선정 규칙'!$B$7,0)</x:f>
        <x:v>0</x:v>
      </x:c>
      <x:c r="E1083" s="11" t="n">
        <x:f>IF(OR('제외 후보'!L1083="",'제외 후보'!L1083&lt;=0),'선정 규칙'!$B$8,IF('제외 후보'!L1083&lt;=1.5,'선정 규칙'!$B$9,IF('제외 후보'!L1083&lt;=2,'선정 규칙'!$B$10,IF('제외 후보'!L1083&lt;=2.5,'선정 규칙'!$B$11,IF('제외 후보'!L1083&lt;=3,'선정 규칙'!$B$12,IF('제외 후보'!L1083&lt;=3.5,'선정 규칙'!$B$13,IF('제외 후보'!L1083&gt;=4.5,'선정 규칙'!$B$14,0)))))))</x:f>
        <x:v>0</x:v>
      </x:c>
      <x:c r="F1083" s="11" t="n">
        <x:f>IF('제외 후보'!Y1083=0,'선정 규칙'!$B$15,IF('제외 후보'!Y1083&gt;=100,'선정 규칙'!$B$16,'선정 규칙'!$B$17))</x:f>
        <x:v>-25</x:v>
      </x:c>
      <x:c r="G1083" s="11" t="n">
        <x:f>IF('제외 후보'!M1083="있음",'선정 규칙'!$B$18,'선정 규칙'!$B$19)</x:f>
        <x:v>6</x:v>
      </x:c>
      <x:c r="H1083" s="11" t="n">
        <x:f>IF(ISNUMBER(SEARCH("freq-core",'제외 후보'!AD1083)),'선정 규칙'!$B$20,0)</x:f>
        <x:v>0</x:v>
      </x:c>
      <x:c r="I1083" s="11" t="n">
        <x:f>IF(ISNUMBER(SEARCH("weak_legacy_content",'제외 후보'!P1083)),'선정 규칙'!$B$21,0)</x:f>
        <x:v>5</x:v>
      </x:c>
      <x:c r="J1083" s="11" t="n">
        <x:f>IF('제외 후보'!AC1083&lt;&gt;"",'선정 규칙'!$B$22,0)</x:f>
        <x:v>10</x:v>
      </x:c>
      <x:c r="K1083" s="11" t="n">
        <x:f>SUM(B1083:J1083)</x:f>
        <x:v>-4</x:v>
      </x:c>
      <x:c r="L1083" s="11" t="n">
        <x:f>'제외 후보'!N1083</x:f>
        <x:v>-4</x:v>
      </x:c>
      <x:c r="M1083" s="2" t="str">
        <x:f>IF(K1083=L1083,"OK","MISMATCH")</x:f>
        <x:v>OK</x:v>
      </x:c>
    </x:row>
    <x:row r="1084">
      <x:c r="A1084" s="2" t="str">
        <x:f>'제외 후보'!G1084</x:f>
        <x:v>w_caa241d87648dec7</x:v>
      </x:c>
      <x:c r="B1084" s="11" t="n">
        <x:f>IF('제외 후보'!Q1084&lt;&gt;"",'선정 규칙'!$B$4,0)</x:f>
        <x:v>0</x:v>
      </x:c>
      <x:c r="C1084" s="11" t="n">
        <x:f>IF(ISNUMBER(SEARCH("jmdict_uncommon_or_irregular",'제외 후보'!P1084)),'선정 규칙'!$B$5,IF(ISNUMBER(SEARCH("jmdict_rare_or_dated",'제외 후보'!P1084)),'선정 규칙'!$B$6,0))</x:f>
        <x:v>0</x:v>
      </x:c>
      <x:c r="D1084" s="11" t="n">
        <x:f>IF(ISNUMBER(SEARCH("jmdict_exact_pair_not_found",'제외 후보'!P1084)),'선정 규칙'!$B$7,0)</x:f>
        <x:v>0</x:v>
      </x:c>
      <x:c r="E1084" s="11" t="n">
        <x:f>IF(OR('제외 후보'!L1084="",'제외 후보'!L1084&lt;=0),'선정 규칙'!$B$8,IF('제외 후보'!L1084&lt;=1.5,'선정 규칙'!$B$9,IF('제외 후보'!L1084&lt;=2,'선정 규칙'!$B$10,IF('제외 후보'!L1084&lt;=2.5,'선정 규칙'!$B$11,IF('제외 후보'!L1084&lt;=3,'선정 규칙'!$B$12,IF('제외 후보'!L1084&lt;=3.5,'선정 규칙'!$B$13,IF('제외 후보'!L1084&gt;=4.5,'선정 규칙'!$B$14,0)))))))</x:f>
        <x:v>0</x:v>
      </x:c>
      <x:c r="F1084" s="11" t="n">
        <x:f>IF('제외 후보'!Y1084=0,'선정 규칙'!$B$15,IF('제외 후보'!Y1084&gt;=100,'선정 규칙'!$B$16,'선정 규칙'!$B$17))</x:f>
        <x:v>-25</x:v>
      </x:c>
      <x:c r="G1084" s="11" t="n">
        <x:f>IF('제외 후보'!M1084="있음",'선정 규칙'!$B$18,'선정 규칙'!$B$19)</x:f>
        <x:v>6</x:v>
      </x:c>
      <x:c r="H1084" s="11" t="n">
        <x:f>IF(ISNUMBER(SEARCH("freq-core",'제외 후보'!AD1084)),'선정 규칙'!$B$20,0)</x:f>
        <x:v>0</x:v>
      </x:c>
      <x:c r="I1084" s="11" t="n">
        <x:f>IF(ISNUMBER(SEARCH("weak_legacy_content",'제외 후보'!P1084)),'선정 규칙'!$B$21,0)</x:f>
        <x:v>5</x:v>
      </x:c>
      <x:c r="J1084" s="11" t="n">
        <x:f>IF('제외 후보'!AC1084&lt;&gt;"",'선정 규칙'!$B$22,0)</x:f>
        <x:v>10</x:v>
      </x:c>
      <x:c r="K1084" s="11" t="n">
        <x:f>SUM(B1084:J1084)</x:f>
        <x:v>-4</x:v>
      </x:c>
      <x:c r="L1084" s="11" t="n">
        <x:f>'제외 후보'!N1084</x:f>
        <x:v>-4</x:v>
      </x:c>
      <x:c r="M1084" s="2" t="str">
        <x:f>IF(K1084=L1084,"OK","MISMATCH")</x:f>
        <x:v>OK</x:v>
      </x:c>
    </x:row>
    <x:row r="1085">
      <x:c r="A1085" s="2" t="str">
        <x:f>'제외 후보'!G1085</x:f>
        <x:v>w_d0b1fe095dd72cd5</x:v>
      </x:c>
      <x:c r="B1085" s="11" t="n">
        <x:f>IF('제외 후보'!Q1085&lt;&gt;"",'선정 규칙'!$B$4,0)</x:f>
        <x:v>0</x:v>
      </x:c>
      <x:c r="C1085" s="11" t="n">
        <x:f>IF(ISNUMBER(SEARCH("jmdict_uncommon_or_irregular",'제외 후보'!P1085)),'선정 규칙'!$B$5,IF(ISNUMBER(SEARCH("jmdict_rare_or_dated",'제외 후보'!P1085)),'선정 규칙'!$B$6,0))</x:f>
        <x:v>0</x:v>
      </x:c>
      <x:c r="D1085" s="11" t="n">
        <x:f>IF(ISNUMBER(SEARCH("jmdict_exact_pair_not_found",'제외 후보'!P1085)),'선정 규칙'!$B$7,0)</x:f>
        <x:v>0</x:v>
      </x:c>
      <x:c r="E1085" s="11" t="n">
        <x:f>IF(OR('제외 후보'!L1085="",'제외 후보'!L1085&lt;=0),'선정 규칙'!$B$8,IF('제외 후보'!L1085&lt;=1.5,'선정 규칙'!$B$9,IF('제외 후보'!L1085&lt;=2,'선정 규칙'!$B$10,IF('제외 후보'!L1085&lt;=2.5,'선정 규칙'!$B$11,IF('제외 후보'!L1085&lt;=3,'선정 규칙'!$B$12,IF('제외 후보'!L1085&lt;=3.5,'선정 규칙'!$B$13,IF('제외 후보'!L1085&gt;=4.5,'선정 규칙'!$B$14,0)))))))</x:f>
        <x:v>0</x:v>
      </x:c>
      <x:c r="F1085" s="11" t="n">
        <x:f>IF('제외 후보'!Y1085=0,'선정 규칙'!$B$15,IF('제외 후보'!Y1085&gt;=100,'선정 규칙'!$B$16,'선정 규칙'!$B$17))</x:f>
        <x:v>-25</x:v>
      </x:c>
      <x:c r="G1085" s="11" t="n">
        <x:f>IF('제외 후보'!M1085="있음",'선정 규칙'!$B$18,'선정 규칙'!$B$19)</x:f>
        <x:v>6</x:v>
      </x:c>
      <x:c r="H1085" s="11" t="n">
        <x:f>IF(ISNUMBER(SEARCH("freq-core",'제외 후보'!AD1085)),'선정 규칙'!$B$20,0)</x:f>
        <x:v>0</x:v>
      </x:c>
      <x:c r="I1085" s="11" t="n">
        <x:f>IF(ISNUMBER(SEARCH("weak_legacy_content",'제외 후보'!P1085)),'선정 규칙'!$B$21,0)</x:f>
        <x:v>5</x:v>
      </x:c>
      <x:c r="J1085" s="11" t="n">
        <x:f>IF('제외 후보'!AC1085&lt;&gt;"",'선정 규칙'!$B$22,0)</x:f>
        <x:v>10</x:v>
      </x:c>
      <x:c r="K1085" s="11" t="n">
        <x:f>SUM(B1085:J1085)</x:f>
        <x:v>-4</x:v>
      </x:c>
      <x:c r="L1085" s="11" t="n">
        <x:f>'제외 후보'!N1085</x:f>
        <x:v>-4</x:v>
      </x:c>
      <x:c r="M1085" s="2" t="str">
        <x:f>IF(K1085=L1085,"OK","MISMATCH")</x:f>
        <x:v>OK</x:v>
      </x:c>
    </x:row>
    <x:row r="1086">
      <x:c r="A1086" s="2" t="str">
        <x:f>'제외 후보'!G1086</x:f>
        <x:v>w_13ff9a7243921812</x:v>
      </x:c>
      <x:c r="B1086" s="11" t="n">
        <x:f>IF('제외 후보'!Q1086&lt;&gt;"",'선정 규칙'!$B$4,0)</x:f>
        <x:v>0</x:v>
      </x:c>
      <x:c r="C1086" s="11" t="n">
        <x:f>IF(ISNUMBER(SEARCH("jmdict_uncommon_or_irregular",'제외 후보'!P1086)),'선정 규칙'!$B$5,IF(ISNUMBER(SEARCH("jmdict_rare_or_dated",'제외 후보'!P1086)),'선정 규칙'!$B$6,0))</x:f>
        <x:v>0</x:v>
      </x:c>
      <x:c r="D1086" s="11" t="n">
        <x:f>IF(ISNUMBER(SEARCH("jmdict_exact_pair_not_found",'제외 후보'!P1086)),'선정 규칙'!$B$7,0)</x:f>
        <x:v>0</x:v>
      </x:c>
      <x:c r="E1086" s="11" t="n">
        <x:f>IF(OR('제외 후보'!L1086="",'제외 후보'!L1086&lt;=0),'선정 규칙'!$B$8,IF('제외 후보'!L1086&lt;=1.5,'선정 규칙'!$B$9,IF('제외 후보'!L1086&lt;=2,'선정 규칙'!$B$10,IF('제외 후보'!L1086&lt;=2.5,'선정 규칙'!$B$11,IF('제외 후보'!L1086&lt;=3,'선정 규칙'!$B$12,IF('제외 후보'!L1086&lt;=3.5,'선정 규칙'!$B$13,IF('제외 후보'!L1086&gt;=4.5,'선정 규칙'!$B$14,0)))))))</x:f>
        <x:v>0</x:v>
      </x:c>
      <x:c r="F1086" s="11" t="n">
        <x:f>IF('제외 후보'!Y1086=0,'선정 규칙'!$B$15,IF('제외 후보'!Y1086&gt;=100,'선정 규칙'!$B$16,'선정 규칙'!$B$17))</x:f>
        <x:v>-25</x:v>
      </x:c>
      <x:c r="G1086" s="11" t="n">
        <x:f>IF('제외 후보'!M1086="있음",'선정 규칙'!$B$18,'선정 규칙'!$B$19)</x:f>
        <x:v>6</x:v>
      </x:c>
      <x:c r="H1086" s="11" t="n">
        <x:f>IF(ISNUMBER(SEARCH("freq-core",'제외 후보'!AD1086)),'선정 규칙'!$B$20,0)</x:f>
        <x:v>0</x:v>
      </x:c>
      <x:c r="I1086" s="11" t="n">
        <x:f>IF(ISNUMBER(SEARCH("weak_legacy_content",'제외 후보'!P1086)),'선정 규칙'!$B$21,0)</x:f>
        <x:v>5</x:v>
      </x:c>
      <x:c r="J1086" s="11" t="n">
        <x:f>IF('제외 후보'!AC1086&lt;&gt;"",'선정 규칙'!$B$22,0)</x:f>
        <x:v>10</x:v>
      </x:c>
      <x:c r="K1086" s="11" t="n">
        <x:f>SUM(B1086:J1086)</x:f>
        <x:v>-4</x:v>
      </x:c>
      <x:c r="L1086" s="11" t="n">
        <x:f>'제외 후보'!N1086</x:f>
        <x:v>-4</x:v>
      </x:c>
      <x:c r="M1086" s="2" t="str">
        <x:f>IF(K1086=L1086,"OK","MISMATCH")</x:f>
        <x:v>OK</x:v>
      </x:c>
    </x:row>
    <x:row r="1087">
      <x:c r="A1087" s="2" t="str">
        <x:f>'제외 후보'!G1087</x:f>
        <x:v>w_b1cd209259dba0e2</x:v>
      </x:c>
      <x:c r="B1087" s="11" t="n">
        <x:f>IF('제외 후보'!Q1087&lt;&gt;"",'선정 규칙'!$B$4,0)</x:f>
        <x:v>0</x:v>
      </x:c>
      <x:c r="C1087" s="11" t="n">
        <x:f>IF(ISNUMBER(SEARCH("jmdict_uncommon_or_irregular",'제외 후보'!P1087)),'선정 규칙'!$B$5,IF(ISNUMBER(SEARCH("jmdict_rare_or_dated",'제외 후보'!P1087)),'선정 규칙'!$B$6,0))</x:f>
        <x:v>0</x:v>
      </x:c>
      <x:c r="D1087" s="11" t="n">
        <x:f>IF(ISNUMBER(SEARCH("jmdict_exact_pair_not_found",'제외 후보'!P1087)),'선정 규칙'!$B$7,0)</x:f>
        <x:v>0</x:v>
      </x:c>
      <x:c r="E1087" s="11" t="n">
        <x:f>IF(OR('제외 후보'!L1087="",'제외 후보'!L1087&lt;=0),'선정 규칙'!$B$8,IF('제외 후보'!L1087&lt;=1.5,'선정 규칙'!$B$9,IF('제외 후보'!L1087&lt;=2,'선정 규칙'!$B$10,IF('제외 후보'!L1087&lt;=2.5,'선정 규칙'!$B$11,IF('제외 후보'!L1087&lt;=3,'선정 규칙'!$B$12,IF('제외 후보'!L1087&lt;=3.5,'선정 규칙'!$B$13,IF('제외 후보'!L1087&gt;=4.5,'선정 규칙'!$B$14,0)))))))</x:f>
        <x:v>0</x:v>
      </x:c>
      <x:c r="F1087" s="11" t="n">
        <x:f>IF('제외 후보'!Y1087=0,'선정 규칙'!$B$15,IF('제외 후보'!Y1087&gt;=100,'선정 규칙'!$B$16,'선정 규칙'!$B$17))</x:f>
        <x:v>-25</x:v>
      </x:c>
      <x:c r="G1087" s="11" t="n">
        <x:f>IF('제외 후보'!M1087="있음",'선정 규칙'!$B$18,'선정 규칙'!$B$19)</x:f>
        <x:v>6</x:v>
      </x:c>
      <x:c r="H1087" s="11" t="n">
        <x:f>IF(ISNUMBER(SEARCH("freq-core",'제외 후보'!AD1087)),'선정 규칙'!$B$20,0)</x:f>
        <x:v>0</x:v>
      </x:c>
      <x:c r="I1087" s="11" t="n">
        <x:f>IF(ISNUMBER(SEARCH("weak_legacy_content",'제외 후보'!P1087)),'선정 규칙'!$B$21,0)</x:f>
        <x:v>5</x:v>
      </x:c>
      <x:c r="J1087" s="11" t="n">
        <x:f>IF('제외 후보'!AC1087&lt;&gt;"",'선정 규칙'!$B$22,0)</x:f>
        <x:v>10</x:v>
      </x:c>
      <x:c r="K1087" s="11" t="n">
        <x:f>SUM(B1087:J1087)</x:f>
        <x:v>-4</x:v>
      </x:c>
      <x:c r="L1087" s="11" t="n">
        <x:f>'제외 후보'!N1087</x:f>
        <x:v>-4</x:v>
      </x:c>
      <x:c r="M1087" s="2" t="str">
        <x:f>IF(K1087=L1087,"OK","MISMATCH")</x:f>
        <x:v>OK</x:v>
      </x:c>
    </x:row>
    <x:row r="1088">
      <x:c r="A1088" s="2" t="str">
        <x:f>'제외 후보'!G1088</x:f>
        <x:v>w_b904e336b1dfe11f</x:v>
      </x:c>
      <x:c r="B1088" s="11" t="n">
        <x:f>IF('제외 후보'!Q1088&lt;&gt;"",'선정 규칙'!$B$4,0)</x:f>
        <x:v>0</x:v>
      </x:c>
      <x:c r="C1088" s="11" t="n">
        <x:f>IF(ISNUMBER(SEARCH("jmdict_uncommon_or_irregular",'제외 후보'!P1088)),'선정 규칙'!$B$5,IF(ISNUMBER(SEARCH("jmdict_rare_or_dated",'제외 후보'!P1088)),'선정 규칙'!$B$6,0))</x:f>
        <x:v>0</x:v>
      </x:c>
      <x:c r="D1088" s="11" t="n">
        <x:f>IF(ISNUMBER(SEARCH("jmdict_exact_pair_not_found",'제외 후보'!P1088)),'선정 규칙'!$B$7,0)</x:f>
        <x:v>0</x:v>
      </x:c>
      <x:c r="E1088" s="11" t="n">
        <x:f>IF(OR('제외 후보'!L1088="",'제외 후보'!L1088&lt;=0),'선정 규칙'!$B$8,IF('제외 후보'!L1088&lt;=1.5,'선정 규칙'!$B$9,IF('제외 후보'!L1088&lt;=2,'선정 규칙'!$B$10,IF('제외 후보'!L1088&lt;=2.5,'선정 규칙'!$B$11,IF('제외 후보'!L1088&lt;=3,'선정 규칙'!$B$12,IF('제외 후보'!L1088&lt;=3.5,'선정 규칙'!$B$13,IF('제외 후보'!L1088&gt;=4.5,'선정 규칙'!$B$14,0)))))))</x:f>
        <x:v>0</x:v>
      </x:c>
      <x:c r="F1088" s="11" t="n">
        <x:f>IF('제외 후보'!Y1088=0,'선정 규칙'!$B$15,IF('제외 후보'!Y1088&gt;=100,'선정 규칙'!$B$16,'선정 규칙'!$B$17))</x:f>
        <x:v>-25</x:v>
      </x:c>
      <x:c r="G1088" s="11" t="n">
        <x:f>IF('제외 후보'!M1088="있음",'선정 규칙'!$B$18,'선정 규칙'!$B$19)</x:f>
        <x:v>6</x:v>
      </x:c>
      <x:c r="H1088" s="11" t="n">
        <x:f>IF(ISNUMBER(SEARCH("freq-core",'제외 후보'!AD1088)),'선정 규칙'!$B$20,0)</x:f>
        <x:v>0</x:v>
      </x:c>
      <x:c r="I1088" s="11" t="n">
        <x:f>IF(ISNUMBER(SEARCH("weak_legacy_content",'제외 후보'!P1088)),'선정 규칙'!$B$21,0)</x:f>
        <x:v>5</x:v>
      </x:c>
      <x:c r="J1088" s="11" t="n">
        <x:f>IF('제외 후보'!AC1088&lt;&gt;"",'선정 규칙'!$B$22,0)</x:f>
        <x:v>10</x:v>
      </x:c>
      <x:c r="K1088" s="11" t="n">
        <x:f>SUM(B1088:J1088)</x:f>
        <x:v>-4</x:v>
      </x:c>
      <x:c r="L1088" s="11" t="n">
        <x:f>'제외 후보'!N1088</x:f>
        <x:v>-4</x:v>
      </x:c>
      <x:c r="M1088" s="2" t="str">
        <x:f>IF(K1088=L1088,"OK","MISMATCH")</x:f>
        <x:v>OK</x:v>
      </x:c>
    </x:row>
    <x:row r="1089">
      <x:c r="A1089" s="2" t="str">
        <x:f>'제외 후보'!G1089</x:f>
        <x:v>w_77a9e1ec6c651702</x:v>
      </x:c>
      <x:c r="B1089" s="11" t="n">
        <x:f>IF('제외 후보'!Q1089&lt;&gt;"",'선정 규칙'!$B$4,0)</x:f>
        <x:v>0</x:v>
      </x:c>
      <x:c r="C1089" s="11" t="n">
        <x:f>IF(ISNUMBER(SEARCH("jmdict_uncommon_or_irregular",'제외 후보'!P1089)),'선정 규칙'!$B$5,IF(ISNUMBER(SEARCH("jmdict_rare_or_dated",'제외 후보'!P1089)),'선정 규칙'!$B$6,0))</x:f>
        <x:v>0</x:v>
      </x:c>
      <x:c r="D1089" s="11" t="n">
        <x:f>IF(ISNUMBER(SEARCH("jmdict_exact_pair_not_found",'제외 후보'!P1089)),'선정 규칙'!$B$7,0)</x:f>
        <x:v>0</x:v>
      </x:c>
      <x:c r="E1089" s="11" t="n">
        <x:f>IF(OR('제외 후보'!L1089="",'제외 후보'!L1089&lt;=0),'선정 규칙'!$B$8,IF('제외 후보'!L1089&lt;=1.5,'선정 규칙'!$B$9,IF('제외 후보'!L1089&lt;=2,'선정 규칙'!$B$10,IF('제외 후보'!L1089&lt;=2.5,'선정 규칙'!$B$11,IF('제외 후보'!L1089&lt;=3,'선정 규칙'!$B$12,IF('제외 후보'!L1089&lt;=3.5,'선정 규칙'!$B$13,IF('제외 후보'!L1089&gt;=4.5,'선정 규칙'!$B$14,0)))))))</x:f>
        <x:v>0</x:v>
      </x:c>
      <x:c r="F1089" s="11" t="n">
        <x:f>IF('제외 후보'!Y1089=0,'선정 규칙'!$B$15,IF('제외 후보'!Y1089&gt;=100,'선정 규칙'!$B$16,'선정 규칙'!$B$17))</x:f>
        <x:v>-25</x:v>
      </x:c>
      <x:c r="G1089" s="11" t="n">
        <x:f>IF('제외 후보'!M1089="있음",'선정 규칙'!$B$18,'선정 규칙'!$B$19)</x:f>
        <x:v>6</x:v>
      </x:c>
      <x:c r="H1089" s="11" t="n">
        <x:f>IF(ISNUMBER(SEARCH("freq-core",'제외 후보'!AD1089)),'선정 규칙'!$B$20,0)</x:f>
        <x:v>0</x:v>
      </x:c>
      <x:c r="I1089" s="11" t="n">
        <x:f>IF(ISNUMBER(SEARCH("weak_legacy_content",'제외 후보'!P1089)),'선정 규칙'!$B$21,0)</x:f>
        <x:v>5</x:v>
      </x:c>
      <x:c r="J1089" s="11" t="n">
        <x:f>IF('제외 후보'!AC1089&lt;&gt;"",'선정 규칙'!$B$22,0)</x:f>
        <x:v>10</x:v>
      </x:c>
      <x:c r="K1089" s="11" t="n">
        <x:f>SUM(B1089:J1089)</x:f>
        <x:v>-4</x:v>
      </x:c>
      <x:c r="L1089" s="11" t="n">
        <x:f>'제외 후보'!N1089</x:f>
        <x:v>-4</x:v>
      </x:c>
      <x:c r="M1089" s="2" t="str">
        <x:f>IF(K1089=L1089,"OK","MISMATCH")</x:f>
        <x:v>OK</x:v>
      </x:c>
    </x:row>
    <x:row r="1090">
      <x:c r="A1090" s="2" t="str">
        <x:f>'제외 후보'!G1090</x:f>
        <x:v>w_2026b6b32990426e</x:v>
      </x:c>
      <x:c r="B1090" s="11" t="n">
        <x:f>IF('제외 후보'!Q1090&lt;&gt;"",'선정 규칙'!$B$4,0)</x:f>
        <x:v>0</x:v>
      </x:c>
      <x:c r="C1090" s="11" t="n">
        <x:f>IF(ISNUMBER(SEARCH("jmdict_uncommon_or_irregular",'제외 후보'!P1090)),'선정 규칙'!$B$5,IF(ISNUMBER(SEARCH("jmdict_rare_or_dated",'제외 후보'!P1090)),'선정 규칙'!$B$6,0))</x:f>
        <x:v>0</x:v>
      </x:c>
      <x:c r="D1090" s="11" t="n">
        <x:f>IF(ISNUMBER(SEARCH("jmdict_exact_pair_not_found",'제외 후보'!P1090)),'선정 규칙'!$B$7,0)</x:f>
        <x:v>0</x:v>
      </x:c>
      <x:c r="E1090" s="11" t="n">
        <x:f>IF(OR('제외 후보'!L1090="",'제외 후보'!L1090&lt;=0),'선정 규칙'!$B$8,IF('제외 후보'!L1090&lt;=1.5,'선정 규칙'!$B$9,IF('제외 후보'!L1090&lt;=2,'선정 규칙'!$B$10,IF('제외 후보'!L1090&lt;=2.5,'선정 규칙'!$B$11,IF('제외 후보'!L1090&lt;=3,'선정 규칙'!$B$12,IF('제외 후보'!L1090&lt;=3.5,'선정 규칙'!$B$13,IF('제외 후보'!L1090&gt;=4.5,'선정 규칙'!$B$14,0)))))))</x:f>
        <x:v>0</x:v>
      </x:c>
      <x:c r="F1090" s="11" t="n">
        <x:f>IF('제외 후보'!Y1090=0,'선정 규칙'!$B$15,IF('제외 후보'!Y1090&gt;=100,'선정 규칙'!$B$16,'선정 규칙'!$B$17))</x:f>
        <x:v>-25</x:v>
      </x:c>
      <x:c r="G1090" s="11" t="n">
        <x:f>IF('제외 후보'!M1090="있음",'선정 규칙'!$B$18,'선정 규칙'!$B$19)</x:f>
        <x:v>6</x:v>
      </x:c>
      <x:c r="H1090" s="11" t="n">
        <x:f>IF(ISNUMBER(SEARCH("freq-core",'제외 후보'!AD1090)),'선정 규칙'!$B$20,0)</x:f>
        <x:v>0</x:v>
      </x:c>
      <x:c r="I1090" s="11" t="n">
        <x:f>IF(ISNUMBER(SEARCH("weak_legacy_content",'제외 후보'!P1090)),'선정 규칙'!$B$21,0)</x:f>
        <x:v>5</x:v>
      </x:c>
      <x:c r="J1090" s="11" t="n">
        <x:f>IF('제외 후보'!AC1090&lt;&gt;"",'선정 규칙'!$B$22,0)</x:f>
        <x:v>10</x:v>
      </x:c>
      <x:c r="K1090" s="11" t="n">
        <x:f>SUM(B1090:J1090)</x:f>
        <x:v>-4</x:v>
      </x:c>
      <x:c r="L1090" s="11" t="n">
        <x:f>'제외 후보'!N1090</x:f>
        <x:v>-4</x:v>
      </x:c>
      <x:c r="M1090" s="2" t="str">
        <x:f>IF(K1090=L1090,"OK","MISMATCH")</x:f>
        <x:v>OK</x:v>
      </x:c>
    </x:row>
    <x:row r="1091">
      <x:c r="A1091" s="2" t="str">
        <x:f>'제외 후보'!G1091</x:f>
        <x:v>w_3a00e4e99b5969c2</x:v>
      </x:c>
      <x:c r="B1091" s="11" t="n">
        <x:f>IF('제외 후보'!Q1091&lt;&gt;"",'선정 규칙'!$B$4,0)</x:f>
        <x:v>0</x:v>
      </x:c>
      <x:c r="C1091" s="11" t="n">
        <x:f>IF(ISNUMBER(SEARCH("jmdict_uncommon_or_irregular",'제외 후보'!P1091)),'선정 규칙'!$B$5,IF(ISNUMBER(SEARCH("jmdict_rare_or_dated",'제외 후보'!P1091)),'선정 규칙'!$B$6,0))</x:f>
        <x:v>0</x:v>
      </x:c>
      <x:c r="D1091" s="11" t="n">
        <x:f>IF(ISNUMBER(SEARCH("jmdict_exact_pair_not_found",'제외 후보'!P1091)),'선정 규칙'!$B$7,0)</x:f>
        <x:v>0</x:v>
      </x:c>
      <x:c r="E1091" s="11" t="n">
        <x:f>IF(OR('제외 후보'!L1091="",'제외 후보'!L1091&lt;=0),'선정 규칙'!$B$8,IF('제외 후보'!L1091&lt;=1.5,'선정 규칙'!$B$9,IF('제외 후보'!L1091&lt;=2,'선정 규칙'!$B$10,IF('제외 후보'!L1091&lt;=2.5,'선정 규칙'!$B$11,IF('제외 후보'!L1091&lt;=3,'선정 규칙'!$B$12,IF('제외 후보'!L1091&lt;=3.5,'선정 규칙'!$B$13,IF('제외 후보'!L1091&gt;=4.5,'선정 규칙'!$B$14,0)))))))</x:f>
        <x:v>0</x:v>
      </x:c>
      <x:c r="F1091" s="11" t="n">
        <x:f>IF('제외 후보'!Y1091=0,'선정 규칙'!$B$15,IF('제외 후보'!Y1091&gt;=100,'선정 규칙'!$B$16,'선정 규칙'!$B$17))</x:f>
        <x:v>-25</x:v>
      </x:c>
      <x:c r="G1091" s="11" t="n">
        <x:f>IF('제외 후보'!M1091="있음",'선정 규칙'!$B$18,'선정 규칙'!$B$19)</x:f>
        <x:v>6</x:v>
      </x:c>
      <x:c r="H1091" s="11" t="n">
        <x:f>IF(ISNUMBER(SEARCH("freq-core",'제외 후보'!AD1091)),'선정 규칙'!$B$20,0)</x:f>
        <x:v>0</x:v>
      </x:c>
      <x:c r="I1091" s="11" t="n">
        <x:f>IF(ISNUMBER(SEARCH("weak_legacy_content",'제외 후보'!P1091)),'선정 규칙'!$B$21,0)</x:f>
        <x:v>5</x:v>
      </x:c>
      <x:c r="J1091" s="11" t="n">
        <x:f>IF('제외 후보'!AC1091&lt;&gt;"",'선정 규칙'!$B$22,0)</x:f>
        <x:v>10</x:v>
      </x:c>
      <x:c r="K1091" s="11" t="n">
        <x:f>SUM(B1091:J1091)</x:f>
        <x:v>-4</x:v>
      </x:c>
      <x:c r="L1091" s="11" t="n">
        <x:f>'제외 후보'!N1091</x:f>
        <x:v>-4</x:v>
      </x:c>
      <x:c r="M1091" s="2" t="str">
        <x:f>IF(K1091=L1091,"OK","MISMATCH")</x:f>
        <x:v>OK</x:v>
      </x:c>
    </x:row>
    <x:row r="1092">
      <x:c r="A1092" s="2" t="str">
        <x:f>'제외 후보'!G1092</x:f>
        <x:v>w_4a3d41dcd87d739c</x:v>
      </x:c>
      <x:c r="B1092" s="11" t="n">
        <x:f>IF('제외 후보'!Q1092&lt;&gt;"",'선정 규칙'!$B$4,0)</x:f>
        <x:v>0</x:v>
      </x:c>
      <x:c r="C1092" s="11" t="n">
        <x:f>IF(ISNUMBER(SEARCH("jmdict_uncommon_or_irregular",'제외 후보'!P1092)),'선정 규칙'!$B$5,IF(ISNUMBER(SEARCH("jmdict_rare_or_dated",'제외 후보'!P1092)),'선정 규칙'!$B$6,0))</x:f>
        <x:v>0</x:v>
      </x:c>
      <x:c r="D1092" s="11" t="n">
        <x:f>IF(ISNUMBER(SEARCH("jmdict_exact_pair_not_found",'제외 후보'!P1092)),'선정 규칙'!$B$7,0)</x:f>
        <x:v>0</x:v>
      </x:c>
      <x:c r="E1092" s="11" t="n">
        <x:f>IF(OR('제외 후보'!L1092="",'제외 후보'!L1092&lt;=0),'선정 규칙'!$B$8,IF('제외 후보'!L1092&lt;=1.5,'선정 규칙'!$B$9,IF('제외 후보'!L1092&lt;=2,'선정 규칙'!$B$10,IF('제외 후보'!L1092&lt;=2.5,'선정 규칙'!$B$11,IF('제외 후보'!L1092&lt;=3,'선정 규칙'!$B$12,IF('제외 후보'!L1092&lt;=3.5,'선정 규칙'!$B$13,IF('제외 후보'!L1092&gt;=4.5,'선정 규칙'!$B$14,0)))))))</x:f>
        <x:v>0</x:v>
      </x:c>
      <x:c r="F1092" s="11" t="n">
        <x:f>IF('제외 후보'!Y1092=0,'선정 규칙'!$B$15,IF('제외 후보'!Y1092&gt;=100,'선정 규칙'!$B$16,'선정 규칙'!$B$17))</x:f>
        <x:v>-25</x:v>
      </x:c>
      <x:c r="G1092" s="11" t="n">
        <x:f>IF('제외 후보'!M1092="있음",'선정 규칙'!$B$18,'선정 규칙'!$B$19)</x:f>
        <x:v>6</x:v>
      </x:c>
      <x:c r="H1092" s="11" t="n">
        <x:f>IF(ISNUMBER(SEARCH("freq-core",'제외 후보'!AD1092)),'선정 규칙'!$B$20,0)</x:f>
        <x:v>0</x:v>
      </x:c>
      <x:c r="I1092" s="11" t="n">
        <x:f>IF(ISNUMBER(SEARCH("weak_legacy_content",'제외 후보'!P1092)),'선정 규칙'!$B$21,0)</x:f>
        <x:v>5</x:v>
      </x:c>
      <x:c r="J1092" s="11" t="n">
        <x:f>IF('제외 후보'!AC1092&lt;&gt;"",'선정 규칙'!$B$22,0)</x:f>
        <x:v>10</x:v>
      </x:c>
      <x:c r="K1092" s="11" t="n">
        <x:f>SUM(B1092:J1092)</x:f>
        <x:v>-4</x:v>
      </x:c>
      <x:c r="L1092" s="11" t="n">
        <x:f>'제외 후보'!N1092</x:f>
        <x:v>-4</x:v>
      </x:c>
      <x:c r="M1092" s="2" t="str">
        <x:f>IF(K1092=L1092,"OK","MISMATCH")</x:f>
        <x:v>OK</x:v>
      </x:c>
    </x:row>
    <x:row r="1093">
      <x:c r="A1093" s="2" t="str">
        <x:f>'제외 후보'!G1093</x:f>
        <x:v>w_cce3289f0d3d65a6</x:v>
      </x:c>
      <x:c r="B1093" s="11" t="n">
        <x:f>IF('제외 후보'!Q1093&lt;&gt;"",'선정 규칙'!$B$4,0)</x:f>
        <x:v>0</x:v>
      </x:c>
      <x:c r="C1093" s="11" t="n">
        <x:f>IF(ISNUMBER(SEARCH("jmdict_uncommon_or_irregular",'제외 후보'!P1093)),'선정 규칙'!$B$5,IF(ISNUMBER(SEARCH("jmdict_rare_or_dated",'제외 후보'!P1093)),'선정 규칙'!$B$6,0))</x:f>
        <x:v>0</x:v>
      </x:c>
      <x:c r="D1093" s="11" t="n">
        <x:f>IF(ISNUMBER(SEARCH("jmdict_exact_pair_not_found",'제외 후보'!P1093)),'선정 규칙'!$B$7,0)</x:f>
        <x:v>0</x:v>
      </x:c>
      <x:c r="E1093" s="11" t="n">
        <x:f>IF(OR('제외 후보'!L1093="",'제외 후보'!L1093&lt;=0),'선정 규칙'!$B$8,IF('제외 후보'!L1093&lt;=1.5,'선정 규칙'!$B$9,IF('제외 후보'!L1093&lt;=2,'선정 규칙'!$B$10,IF('제외 후보'!L1093&lt;=2.5,'선정 규칙'!$B$11,IF('제외 후보'!L1093&lt;=3,'선정 규칙'!$B$12,IF('제외 후보'!L1093&lt;=3.5,'선정 규칙'!$B$13,IF('제외 후보'!L1093&gt;=4.5,'선정 규칙'!$B$14,0)))))))</x:f>
        <x:v>0</x:v>
      </x:c>
      <x:c r="F1093" s="11" t="n">
        <x:f>IF('제외 후보'!Y1093=0,'선정 규칙'!$B$15,IF('제외 후보'!Y1093&gt;=100,'선정 규칙'!$B$16,'선정 규칙'!$B$17))</x:f>
        <x:v>-25</x:v>
      </x:c>
      <x:c r="G1093" s="11" t="n">
        <x:f>IF('제외 후보'!M1093="있음",'선정 규칙'!$B$18,'선정 규칙'!$B$19)</x:f>
        <x:v>6</x:v>
      </x:c>
      <x:c r="H1093" s="11" t="n">
        <x:f>IF(ISNUMBER(SEARCH("freq-core",'제외 후보'!AD1093)),'선정 규칙'!$B$20,0)</x:f>
        <x:v>0</x:v>
      </x:c>
      <x:c r="I1093" s="11" t="n">
        <x:f>IF(ISNUMBER(SEARCH("weak_legacy_content",'제외 후보'!P1093)),'선정 규칙'!$B$21,0)</x:f>
        <x:v>5</x:v>
      </x:c>
      <x:c r="J1093" s="11" t="n">
        <x:f>IF('제외 후보'!AC1093&lt;&gt;"",'선정 규칙'!$B$22,0)</x:f>
        <x:v>10</x:v>
      </x:c>
      <x:c r="K1093" s="11" t="n">
        <x:f>SUM(B1093:J1093)</x:f>
        <x:v>-4</x:v>
      </x:c>
      <x:c r="L1093" s="11" t="n">
        <x:f>'제외 후보'!N1093</x:f>
        <x:v>-4</x:v>
      </x:c>
      <x:c r="M1093" s="2" t="str">
        <x:f>IF(K1093=L1093,"OK","MISMATCH")</x:f>
        <x:v>OK</x:v>
      </x:c>
    </x:row>
    <x:row r="1094">
      <x:c r="A1094" s="2" t="str">
        <x:f>'제외 후보'!G1094</x:f>
        <x:v>w_2318b5c7314c5fc9</x:v>
      </x:c>
      <x:c r="B1094" s="11" t="n">
        <x:f>IF('제외 후보'!Q1094&lt;&gt;"",'선정 규칙'!$B$4,0)</x:f>
        <x:v>0</x:v>
      </x:c>
      <x:c r="C1094" s="11" t="n">
        <x:f>IF(ISNUMBER(SEARCH("jmdict_uncommon_or_irregular",'제외 후보'!P1094)),'선정 규칙'!$B$5,IF(ISNUMBER(SEARCH("jmdict_rare_or_dated",'제외 후보'!P1094)),'선정 규칙'!$B$6,0))</x:f>
        <x:v>0</x:v>
      </x:c>
      <x:c r="D1094" s="11" t="n">
        <x:f>IF(ISNUMBER(SEARCH("jmdict_exact_pair_not_found",'제외 후보'!P1094)),'선정 규칙'!$B$7,0)</x:f>
        <x:v>0</x:v>
      </x:c>
      <x:c r="E1094" s="11" t="n">
        <x:f>IF(OR('제외 후보'!L1094="",'제외 후보'!L1094&lt;=0),'선정 규칙'!$B$8,IF('제외 후보'!L1094&lt;=1.5,'선정 규칙'!$B$9,IF('제외 후보'!L1094&lt;=2,'선정 규칙'!$B$10,IF('제외 후보'!L1094&lt;=2.5,'선정 규칙'!$B$11,IF('제외 후보'!L1094&lt;=3,'선정 규칙'!$B$12,IF('제외 후보'!L1094&lt;=3.5,'선정 규칙'!$B$13,IF('제외 후보'!L1094&gt;=4.5,'선정 규칙'!$B$14,0)))))))</x:f>
        <x:v>0</x:v>
      </x:c>
      <x:c r="F1094" s="11" t="n">
        <x:f>IF('제외 후보'!Y1094=0,'선정 규칙'!$B$15,IF('제외 후보'!Y1094&gt;=100,'선정 규칙'!$B$16,'선정 규칙'!$B$17))</x:f>
        <x:v>-25</x:v>
      </x:c>
      <x:c r="G1094" s="11" t="n">
        <x:f>IF('제외 후보'!M1094="있음",'선정 규칙'!$B$18,'선정 규칙'!$B$19)</x:f>
        <x:v>6</x:v>
      </x:c>
      <x:c r="H1094" s="11" t="n">
        <x:f>IF(ISNUMBER(SEARCH("freq-core",'제외 후보'!AD1094)),'선정 규칙'!$B$20,0)</x:f>
        <x:v>0</x:v>
      </x:c>
      <x:c r="I1094" s="11" t="n">
        <x:f>IF(ISNUMBER(SEARCH("weak_legacy_content",'제외 후보'!P1094)),'선정 규칙'!$B$21,0)</x:f>
        <x:v>5</x:v>
      </x:c>
      <x:c r="J1094" s="11" t="n">
        <x:f>IF('제외 후보'!AC1094&lt;&gt;"",'선정 규칙'!$B$22,0)</x:f>
        <x:v>10</x:v>
      </x:c>
      <x:c r="K1094" s="11" t="n">
        <x:f>SUM(B1094:J1094)</x:f>
        <x:v>-4</x:v>
      </x:c>
      <x:c r="L1094" s="11" t="n">
        <x:f>'제외 후보'!N1094</x:f>
        <x:v>-4</x:v>
      </x:c>
      <x:c r="M1094" s="2" t="str">
        <x:f>IF(K1094=L1094,"OK","MISMATCH")</x:f>
        <x:v>OK</x:v>
      </x:c>
    </x:row>
    <x:row r="1095">
      <x:c r="A1095" s="2" t="str">
        <x:f>'제외 후보'!G1095</x:f>
        <x:v>w_dff1a1570059dc3c</x:v>
      </x:c>
      <x:c r="B1095" s="11" t="n">
        <x:f>IF('제외 후보'!Q1095&lt;&gt;"",'선정 규칙'!$B$4,0)</x:f>
        <x:v>0</x:v>
      </x:c>
      <x:c r="C1095" s="11" t="n">
        <x:f>IF(ISNUMBER(SEARCH("jmdict_uncommon_or_irregular",'제외 후보'!P1095)),'선정 규칙'!$B$5,IF(ISNUMBER(SEARCH("jmdict_rare_or_dated",'제외 후보'!P1095)),'선정 규칙'!$B$6,0))</x:f>
        <x:v>0</x:v>
      </x:c>
      <x:c r="D1095" s="11" t="n">
        <x:f>IF(ISNUMBER(SEARCH("jmdict_exact_pair_not_found",'제외 후보'!P1095)),'선정 규칙'!$B$7,0)</x:f>
        <x:v>0</x:v>
      </x:c>
      <x:c r="E1095" s="11" t="n">
        <x:f>IF(OR('제외 후보'!L1095="",'제외 후보'!L1095&lt;=0),'선정 규칙'!$B$8,IF('제외 후보'!L1095&lt;=1.5,'선정 규칙'!$B$9,IF('제외 후보'!L1095&lt;=2,'선정 규칙'!$B$10,IF('제외 후보'!L1095&lt;=2.5,'선정 규칙'!$B$11,IF('제외 후보'!L1095&lt;=3,'선정 규칙'!$B$12,IF('제외 후보'!L1095&lt;=3.5,'선정 규칙'!$B$13,IF('제외 후보'!L1095&gt;=4.5,'선정 규칙'!$B$14,0)))))))</x:f>
        <x:v>0</x:v>
      </x:c>
      <x:c r="F1095" s="11" t="n">
        <x:f>IF('제외 후보'!Y1095=0,'선정 규칙'!$B$15,IF('제외 후보'!Y1095&gt;=100,'선정 규칙'!$B$16,'선정 규칙'!$B$17))</x:f>
        <x:v>-25</x:v>
      </x:c>
      <x:c r="G1095" s="11" t="n">
        <x:f>IF('제외 후보'!M1095="있음",'선정 규칙'!$B$18,'선정 규칙'!$B$19)</x:f>
        <x:v>6</x:v>
      </x:c>
      <x:c r="H1095" s="11" t="n">
        <x:f>IF(ISNUMBER(SEARCH("freq-core",'제외 후보'!AD1095)),'선정 규칙'!$B$20,0)</x:f>
        <x:v>0</x:v>
      </x:c>
      <x:c r="I1095" s="11" t="n">
        <x:f>IF(ISNUMBER(SEARCH("weak_legacy_content",'제외 후보'!P1095)),'선정 규칙'!$B$21,0)</x:f>
        <x:v>5</x:v>
      </x:c>
      <x:c r="J1095" s="11" t="n">
        <x:f>IF('제외 후보'!AC1095&lt;&gt;"",'선정 규칙'!$B$22,0)</x:f>
        <x:v>10</x:v>
      </x:c>
      <x:c r="K1095" s="11" t="n">
        <x:f>SUM(B1095:J1095)</x:f>
        <x:v>-4</x:v>
      </x:c>
      <x:c r="L1095" s="11" t="n">
        <x:f>'제외 후보'!N1095</x:f>
        <x:v>-4</x:v>
      </x:c>
      <x:c r="M1095" s="2" t="str">
        <x:f>IF(K1095=L1095,"OK","MISMATCH")</x:f>
        <x:v>OK</x:v>
      </x:c>
    </x:row>
    <x:row r="1096">
      <x:c r="A1096" s="2" t="str">
        <x:f>'제외 후보'!G1096</x:f>
        <x:v>w_1a549e7eef1574a3</x:v>
      </x:c>
      <x:c r="B1096" s="11" t="n">
        <x:f>IF('제외 후보'!Q1096&lt;&gt;"",'선정 규칙'!$B$4,0)</x:f>
        <x:v>0</x:v>
      </x:c>
      <x:c r="C1096" s="11" t="n">
        <x:f>IF(ISNUMBER(SEARCH("jmdict_uncommon_or_irregular",'제외 후보'!P1096)),'선정 규칙'!$B$5,IF(ISNUMBER(SEARCH("jmdict_rare_or_dated",'제외 후보'!P1096)),'선정 규칙'!$B$6,0))</x:f>
        <x:v>0</x:v>
      </x:c>
      <x:c r="D1096" s="11" t="n">
        <x:f>IF(ISNUMBER(SEARCH("jmdict_exact_pair_not_found",'제외 후보'!P1096)),'선정 규칙'!$B$7,0)</x:f>
        <x:v>0</x:v>
      </x:c>
      <x:c r="E1096" s="11" t="n">
        <x:f>IF(OR('제외 후보'!L1096="",'제외 후보'!L1096&lt;=0),'선정 규칙'!$B$8,IF('제외 후보'!L1096&lt;=1.5,'선정 규칙'!$B$9,IF('제외 후보'!L1096&lt;=2,'선정 규칙'!$B$10,IF('제외 후보'!L1096&lt;=2.5,'선정 규칙'!$B$11,IF('제외 후보'!L1096&lt;=3,'선정 규칙'!$B$12,IF('제외 후보'!L1096&lt;=3.5,'선정 규칙'!$B$13,IF('제외 후보'!L1096&gt;=4.5,'선정 규칙'!$B$14,0)))))))</x:f>
        <x:v>0</x:v>
      </x:c>
      <x:c r="F1096" s="11" t="n">
        <x:f>IF('제외 후보'!Y1096=0,'선정 규칙'!$B$15,IF('제외 후보'!Y1096&gt;=100,'선정 규칙'!$B$16,'선정 규칙'!$B$17))</x:f>
        <x:v>-25</x:v>
      </x:c>
      <x:c r="G1096" s="11" t="n">
        <x:f>IF('제외 후보'!M1096="있음",'선정 규칙'!$B$18,'선정 규칙'!$B$19)</x:f>
        <x:v>6</x:v>
      </x:c>
      <x:c r="H1096" s="11" t="n">
        <x:f>IF(ISNUMBER(SEARCH("freq-core",'제외 후보'!AD1096)),'선정 규칙'!$B$20,0)</x:f>
        <x:v>0</x:v>
      </x:c>
      <x:c r="I1096" s="11" t="n">
        <x:f>IF(ISNUMBER(SEARCH("weak_legacy_content",'제외 후보'!P1096)),'선정 규칙'!$B$21,0)</x:f>
        <x:v>5</x:v>
      </x:c>
      <x:c r="J1096" s="11" t="n">
        <x:f>IF('제외 후보'!AC1096&lt;&gt;"",'선정 규칙'!$B$22,0)</x:f>
        <x:v>10</x:v>
      </x:c>
      <x:c r="K1096" s="11" t="n">
        <x:f>SUM(B1096:J1096)</x:f>
        <x:v>-4</x:v>
      </x:c>
      <x:c r="L1096" s="11" t="n">
        <x:f>'제외 후보'!N1096</x:f>
        <x:v>-4</x:v>
      </x:c>
      <x:c r="M1096" s="2" t="str">
        <x:f>IF(K1096=L1096,"OK","MISMATCH")</x:f>
        <x:v>OK</x:v>
      </x:c>
    </x:row>
    <x:row r="1097">
      <x:c r="A1097" s="2" t="str">
        <x:f>'제외 후보'!G1097</x:f>
        <x:v>w_928510070f3d9e33</x:v>
      </x:c>
      <x:c r="B1097" s="11" t="n">
        <x:f>IF('제외 후보'!Q1097&lt;&gt;"",'선정 규칙'!$B$4,0)</x:f>
        <x:v>0</x:v>
      </x:c>
      <x:c r="C1097" s="11" t="n">
        <x:f>IF(ISNUMBER(SEARCH("jmdict_uncommon_or_irregular",'제외 후보'!P1097)),'선정 규칙'!$B$5,IF(ISNUMBER(SEARCH("jmdict_rare_or_dated",'제외 후보'!P1097)),'선정 규칙'!$B$6,0))</x:f>
        <x:v>0</x:v>
      </x:c>
      <x:c r="D1097" s="11" t="n">
        <x:f>IF(ISNUMBER(SEARCH("jmdict_exact_pair_not_found",'제외 후보'!P1097)),'선정 규칙'!$B$7,0)</x:f>
        <x:v>0</x:v>
      </x:c>
      <x:c r="E1097" s="11" t="n">
        <x:f>IF(OR('제외 후보'!L1097="",'제외 후보'!L1097&lt;=0),'선정 규칙'!$B$8,IF('제외 후보'!L1097&lt;=1.5,'선정 규칙'!$B$9,IF('제외 후보'!L1097&lt;=2,'선정 규칙'!$B$10,IF('제외 후보'!L1097&lt;=2.5,'선정 규칙'!$B$11,IF('제외 후보'!L1097&lt;=3,'선정 규칙'!$B$12,IF('제외 후보'!L1097&lt;=3.5,'선정 규칙'!$B$13,IF('제외 후보'!L1097&gt;=4.5,'선정 규칙'!$B$14,0)))))))</x:f>
        <x:v>0</x:v>
      </x:c>
      <x:c r="F1097" s="11" t="n">
        <x:f>IF('제외 후보'!Y1097=0,'선정 규칙'!$B$15,IF('제외 후보'!Y1097&gt;=100,'선정 규칙'!$B$16,'선정 규칙'!$B$17))</x:f>
        <x:v>-25</x:v>
      </x:c>
      <x:c r="G1097" s="11" t="n">
        <x:f>IF('제외 후보'!M1097="있음",'선정 규칙'!$B$18,'선정 규칙'!$B$19)</x:f>
        <x:v>6</x:v>
      </x:c>
      <x:c r="H1097" s="11" t="n">
        <x:f>IF(ISNUMBER(SEARCH("freq-core",'제외 후보'!AD1097)),'선정 규칙'!$B$20,0)</x:f>
        <x:v>0</x:v>
      </x:c>
      <x:c r="I1097" s="11" t="n">
        <x:f>IF(ISNUMBER(SEARCH("weak_legacy_content",'제외 후보'!P1097)),'선정 규칙'!$B$21,0)</x:f>
        <x:v>5</x:v>
      </x:c>
      <x:c r="J1097" s="11" t="n">
        <x:f>IF('제외 후보'!AC1097&lt;&gt;"",'선정 규칙'!$B$22,0)</x:f>
        <x:v>10</x:v>
      </x:c>
      <x:c r="K1097" s="11" t="n">
        <x:f>SUM(B1097:J1097)</x:f>
        <x:v>-4</x:v>
      </x:c>
      <x:c r="L1097" s="11" t="n">
        <x:f>'제외 후보'!N1097</x:f>
        <x:v>-4</x:v>
      </x:c>
      <x:c r="M1097" s="2" t="str">
        <x:f>IF(K1097=L1097,"OK","MISMATCH")</x:f>
        <x:v>OK</x:v>
      </x:c>
    </x:row>
    <x:row r="1098">
      <x:c r="A1098" s="2" t="str">
        <x:f>'제외 후보'!G1098</x:f>
        <x:v>w_e8daa12da79cf049</x:v>
      </x:c>
      <x:c r="B1098" s="11" t="n">
        <x:f>IF('제외 후보'!Q1098&lt;&gt;"",'선정 규칙'!$B$4,0)</x:f>
        <x:v>0</x:v>
      </x:c>
      <x:c r="C1098" s="11" t="n">
        <x:f>IF(ISNUMBER(SEARCH("jmdict_uncommon_or_irregular",'제외 후보'!P1098)),'선정 규칙'!$B$5,IF(ISNUMBER(SEARCH("jmdict_rare_or_dated",'제외 후보'!P1098)),'선정 규칙'!$B$6,0))</x:f>
        <x:v>0</x:v>
      </x:c>
      <x:c r="D1098" s="11" t="n">
        <x:f>IF(ISNUMBER(SEARCH("jmdict_exact_pair_not_found",'제외 후보'!P1098)),'선정 규칙'!$B$7,0)</x:f>
        <x:v>0</x:v>
      </x:c>
      <x:c r="E1098" s="11" t="n">
        <x:f>IF(OR('제외 후보'!L1098="",'제외 후보'!L1098&lt;=0),'선정 규칙'!$B$8,IF('제외 후보'!L1098&lt;=1.5,'선정 규칙'!$B$9,IF('제외 후보'!L1098&lt;=2,'선정 규칙'!$B$10,IF('제외 후보'!L1098&lt;=2.5,'선정 규칙'!$B$11,IF('제외 후보'!L1098&lt;=3,'선정 규칙'!$B$12,IF('제외 후보'!L1098&lt;=3.5,'선정 규칙'!$B$13,IF('제외 후보'!L1098&gt;=4.5,'선정 규칙'!$B$14,0)))))))</x:f>
        <x:v>0</x:v>
      </x:c>
      <x:c r="F1098" s="11" t="n">
        <x:f>IF('제외 후보'!Y1098=0,'선정 규칙'!$B$15,IF('제외 후보'!Y1098&gt;=100,'선정 규칙'!$B$16,'선정 규칙'!$B$17))</x:f>
        <x:v>-25</x:v>
      </x:c>
      <x:c r="G1098" s="11" t="n">
        <x:f>IF('제외 후보'!M1098="있음",'선정 규칙'!$B$18,'선정 규칙'!$B$19)</x:f>
        <x:v>6</x:v>
      </x:c>
      <x:c r="H1098" s="11" t="n">
        <x:f>IF(ISNUMBER(SEARCH("freq-core",'제외 후보'!AD1098)),'선정 규칙'!$B$20,0)</x:f>
        <x:v>0</x:v>
      </x:c>
      <x:c r="I1098" s="11" t="n">
        <x:f>IF(ISNUMBER(SEARCH("weak_legacy_content",'제외 후보'!P1098)),'선정 규칙'!$B$21,0)</x:f>
        <x:v>5</x:v>
      </x:c>
      <x:c r="J1098" s="11" t="n">
        <x:f>IF('제외 후보'!AC1098&lt;&gt;"",'선정 규칙'!$B$22,0)</x:f>
        <x:v>10</x:v>
      </x:c>
      <x:c r="K1098" s="11" t="n">
        <x:f>SUM(B1098:J1098)</x:f>
        <x:v>-4</x:v>
      </x:c>
      <x:c r="L1098" s="11" t="n">
        <x:f>'제외 후보'!N1098</x:f>
        <x:v>-4</x:v>
      </x:c>
      <x:c r="M1098" s="2" t="str">
        <x:f>IF(K1098=L1098,"OK","MISMATCH")</x:f>
        <x:v>OK</x:v>
      </x:c>
    </x:row>
    <x:row r="1099">
      <x:c r="A1099" s="2" t="str">
        <x:f>'제외 후보'!G1099</x:f>
        <x:v>w_8ee294c6fb155430</x:v>
      </x:c>
      <x:c r="B1099" s="11" t="n">
        <x:f>IF('제외 후보'!Q1099&lt;&gt;"",'선정 규칙'!$B$4,0)</x:f>
        <x:v>0</x:v>
      </x:c>
      <x:c r="C1099" s="11" t="n">
        <x:f>IF(ISNUMBER(SEARCH("jmdict_uncommon_or_irregular",'제외 후보'!P1099)),'선정 규칙'!$B$5,IF(ISNUMBER(SEARCH("jmdict_rare_or_dated",'제외 후보'!P1099)),'선정 규칙'!$B$6,0))</x:f>
        <x:v>0</x:v>
      </x:c>
      <x:c r="D1099" s="11" t="n">
        <x:f>IF(ISNUMBER(SEARCH("jmdict_exact_pair_not_found",'제외 후보'!P1099)),'선정 규칙'!$B$7,0)</x:f>
        <x:v>0</x:v>
      </x:c>
      <x:c r="E1099" s="11" t="n">
        <x:f>IF(OR('제외 후보'!L1099="",'제외 후보'!L1099&lt;=0),'선정 규칙'!$B$8,IF('제외 후보'!L1099&lt;=1.5,'선정 규칙'!$B$9,IF('제외 후보'!L1099&lt;=2,'선정 규칙'!$B$10,IF('제외 후보'!L1099&lt;=2.5,'선정 규칙'!$B$11,IF('제외 후보'!L1099&lt;=3,'선정 규칙'!$B$12,IF('제외 후보'!L1099&lt;=3.5,'선정 규칙'!$B$13,IF('제외 후보'!L1099&gt;=4.5,'선정 규칙'!$B$14,0)))))))</x:f>
        <x:v>0</x:v>
      </x:c>
      <x:c r="F1099" s="11" t="n">
        <x:f>IF('제외 후보'!Y1099=0,'선정 규칙'!$B$15,IF('제외 후보'!Y1099&gt;=100,'선정 규칙'!$B$16,'선정 규칙'!$B$17))</x:f>
        <x:v>-25</x:v>
      </x:c>
      <x:c r="G1099" s="11" t="n">
        <x:f>IF('제외 후보'!M1099="있음",'선정 규칙'!$B$18,'선정 규칙'!$B$19)</x:f>
        <x:v>6</x:v>
      </x:c>
      <x:c r="H1099" s="11" t="n">
        <x:f>IF(ISNUMBER(SEARCH("freq-core",'제외 후보'!AD1099)),'선정 규칙'!$B$20,0)</x:f>
        <x:v>0</x:v>
      </x:c>
      <x:c r="I1099" s="11" t="n">
        <x:f>IF(ISNUMBER(SEARCH("weak_legacy_content",'제외 후보'!P1099)),'선정 규칙'!$B$21,0)</x:f>
        <x:v>5</x:v>
      </x:c>
      <x:c r="J1099" s="11" t="n">
        <x:f>IF('제외 후보'!AC1099&lt;&gt;"",'선정 규칙'!$B$22,0)</x:f>
        <x:v>10</x:v>
      </x:c>
      <x:c r="K1099" s="11" t="n">
        <x:f>SUM(B1099:J1099)</x:f>
        <x:v>-4</x:v>
      </x:c>
      <x:c r="L1099" s="11" t="n">
        <x:f>'제외 후보'!N1099</x:f>
        <x:v>-4</x:v>
      </x:c>
      <x:c r="M1099" s="2" t="str">
        <x:f>IF(K1099=L1099,"OK","MISMATCH")</x:f>
        <x:v>OK</x:v>
      </x:c>
    </x:row>
    <x:row r="1100">
      <x:c r="A1100" s="2" t="str">
        <x:f>'제외 후보'!G1100</x:f>
        <x:v>w_cf8ca12b18f7c25c</x:v>
      </x:c>
      <x:c r="B1100" s="11" t="n">
        <x:f>IF('제외 후보'!Q1100&lt;&gt;"",'선정 규칙'!$B$4,0)</x:f>
        <x:v>0</x:v>
      </x:c>
      <x:c r="C1100" s="11" t="n">
        <x:f>IF(ISNUMBER(SEARCH("jmdict_uncommon_or_irregular",'제외 후보'!P1100)),'선정 규칙'!$B$5,IF(ISNUMBER(SEARCH("jmdict_rare_or_dated",'제외 후보'!P1100)),'선정 규칙'!$B$6,0))</x:f>
        <x:v>0</x:v>
      </x:c>
      <x:c r="D1100" s="11" t="n">
        <x:f>IF(ISNUMBER(SEARCH("jmdict_exact_pair_not_found",'제외 후보'!P1100)),'선정 규칙'!$B$7,0)</x:f>
        <x:v>0</x:v>
      </x:c>
      <x:c r="E1100" s="11" t="n">
        <x:f>IF(OR('제외 후보'!L1100="",'제외 후보'!L1100&lt;=0),'선정 규칙'!$B$8,IF('제외 후보'!L1100&lt;=1.5,'선정 규칙'!$B$9,IF('제외 후보'!L1100&lt;=2,'선정 규칙'!$B$10,IF('제외 후보'!L1100&lt;=2.5,'선정 규칙'!$B$11,IF('제외 후보'!L1100&lt;=3,'선정 규칙'!$B$12,IF('제외 후보'!L1100&lt;=3.5,'선정 규칙'!$B$13,IF('제외 후보'!L1100&gt;=4.5,'선정 규칙'!$B$14,0)))))))</x:f>
        <x:v>0</x:v>
      </x:c>
      <x:c r="F1100" s="11" t="n">
        <x:f>IF('제외 후보'!Y1100=0,'선정 규칙'!$B$15,IF('제외 후보'!Y1100&gt;=100,'선정 규칙'!$B$16,'선정 규칙'!$B$17))</x:f>
        <x:v>-25</x:v>
      </x:c>
      <x:c r="G1100" s="11" t="n">
        <x:f>IF('제외 후보'!M1100="있음",'선정 규칙'!$B$18,'선정 규칙'!$B$19)</x:f>
        <x:v>6</x:v>
      </x:c>
      <x:c r="H1100" s="11" t="n">
        <x:f>IF(ISNUMBER(SEARCH("freq-core",'제외 후보'!AD1100)),'선정 규칙'!$B$20,0)</x:f>
        <x:v>0</x:v>
      </x:c>
      <x:c r="I1100" s="11" t="n">
        <x:f>IF(ISNUMBER(SEARCH("weak_legacy_content",'제외 후보'!P1100)),'선정 규칙'!$B$21,0)</x:f>
        <x:v>5</x:v>
      </x:c>
      <x:c r="J1100" s="11" t="n">
        <x:f>IF('제외 후보'!AC1100&lt;&gt;"",'선정 규칙'!$B$22,0)</x:f>
        <x:v>10</x:v>
      </x:c>
      <x:c r="K1100" s="11" t="n">
        <x:f>SUM(B1100:J1100)</x:f>
        <x:v>-4</x:v>
      </x:c>
      <x:c r="L1100" s="11" t="n">
        <x:f>'제외 후보'!N1100</x:f>
        <x:v>-4</x:v>
      </x:c>
      <x:c r="M1100" s="2" t="str">
        <x:f>IF(K1100=L1100,"OK","MISMATCH")</x:f>
        <x:v>OK</x:v>
      </x:c>
    </x:row>
    <x:row r="1101">
      <x:c r="A1101" s="2" t="str">
        <x:f>'제외 후보'!G1101</x:f>
        <x:v>w_2bf5fbf903304e68</x:v>
      </x:c>
      <x:c r="B1101" s="11" t="n">
        <x:f>IF('제외 후보'!Q1101&lt;&gt;"",'선정 규칙'!$B$4,0)</x:f>
        <x:v>0</x:v>
      </x:c>
      <x:c r="C1101" s="11" t="n">
        <x:f>IF(ISNUMBER(SEARCH("jmdict_uncommon_or_irregular",'제외 후보'!P1101)),'선정 규칙'!$B$5,IF(ISNUMBER(SEARCH("jmdict_rare_or_dated",'제외 후보'!P1101)),'선정 규칙'!$B$6,0))</x:f>
        <x:v>0</x:v>
      </x:c>
      <x:c r="D1101" s="11" t="n">
        <x:f>IF(ISNUMBER(SEARCH("jmdict_exact_pair_not_found",'제외 후보'!P1101)),'선정 규칙'!$B$7,0)</x:f>
        <x:v>0</x:v>
      </x:c>
      <x:c r="E1101" s="11" t="n">
        <x:f>IF(OR('제외 후보'!L1101="",'제외 후보'!L1101&lt;=0),'선정 규칙'!$B$8,IF('제외 후보'!L1101&lt;=1.5,'선정 규칙'!$B$9,IF('제외 후보'!L1101&lt;=2,'선정 규칙'!$B$10,IF('제외 후보'!L1101&lt;=2.5,'선정 규칙'!$B$11,IF('제외 후보'!L1101&lt;=3,'선정 규칙'!$B$12,IF('제외 후보'!L1101&lt;=3.5,'선정 규칙'!$B$13,IF('제외 후보'!L1101&gt;=4.5,'선정 규칙'!$B$14,0)))))))</x:f>
        <x:v>0</x:v>
      </x:c>
      <x:c r="F1101" s="11" t="n">
        <x:f>IF('제외 후보'!Y1101=0,'선정 규칙'!$B$15,IF('제외 후보'!Y1101&gt;=100,'선정 규칙'!$B$16,'선정 규칙'!$B$17))</x:f>
        <x:v>-25</x:v>
      </x:c>
      <x:c r="G1101" s="11" t="n">
        <x:f>IF('제외 후보'!M1101="있음",'선정 규칙'!$B$18,'선정 규칙'!$B$19)</x:f>
        <x:v>6</x:v>
      </x:c>
      <x:c r="H1101" s="11" t="n">
        <x:f>IF(ISNUMBER(SEARCH("freq-core",'제외 후보'!AD1101)),'선정 규칙'!$B$20,0)</x:f>
        <x:v>0</x:v>
      </x:c>
      <x:c r="I1101" s="11" t="n">
        <x:f>IF(ISNUMBER(SEARCH("weak_legacy_content",'제외 후보'!P1101)),'선정 규칙'!$B$21,0)</x:f>
        <x:v>5</x:v>
      </x:c>
      <x:c r="J1101" s="11" t="n">
        <x:f>IF('제외 후보'!AC1101&lt;&gt;"",'선정 규칙'!$B$22,0)</x:f>
        <x:v>10</x:v>
      </x:c>
      <x:c r="K1101" s="11" t="n">
        <x:f>SUM(B1101:J1101)</x:f>
        <x:v>-4</x:v>
      </x:c>
      <x:c r="L1101" s="11" t="n">
        <x:f>'제외 후보'!N1101</x:f>
        <x:v>-4</x:v>
      </x:c>
      <x:c r="M1101" s="2" t="str">
        <x:f>IF(K1101=L1101,"OK","MISMATCH")</x:f>
        <x:v>OK</x:v>
      </x:c>
    </x:row>
    <x:row r="1102">
      <x:c r="A1102" s="2" t="str">
        <x:f>'제외 후보'!G1102</x:f>
        <x:v>w_7afeef330fc15b64</x:v>
      </x:c>
      <x:c r="B1102" s="11" t="n">
        <x:f>IF('제외 후보'!Q1102&lt;&gt;"",'선정 규칙'!$B$4,0)</x:f>
        <x:v>0</x:v>
      </x:c>
      <x:c r="C1102" s="11" t="n">
        <x:f>IF(ISNUMBER(SEARCH("jmdict_uncommon_or_irregular",'제외 후보'!P1102)),'선정 규칙'!$B$5,IF(ISNUMBER(SEARCH("jmdict_rare_or_dated",'제외 후보'!P1102)),'선정 규칙'!$B$6,0))</x:f>
        <x:v>0</x:v>
      </x:c>
      <x:c r="D1102" s="11" t="n">
        <x:f>IF(ISNUMBER(SEARCH("jmdict_exact_pair_not_found",'제외 후보'!P1102)),'선정 규칙'!$B$7,0)</x:f>
        <x:v>0</x:v>
      </x:c>
      <x:c r="E1102" s="11" t="n">
        <x:f>IF(OR('제외 후보'!L1102="",'제외 후보'!L1102&lt;=0),'선정 규칙'!$B$8,IF('제외 후보'!L1102&lt;=1.5,'선정 규칙'!$B$9,IF('제외 후보'!L1102&lt;=2,'선정 규칙'!$B$10,IF('제외 후보'!L1102&lt;=2.5,'선정 규칙'!$B$11,IF('제외 후보'!L1102&lt;=3,'선정 규칙'!$B$12,IF('제외 후보'!L1102&lt;=3.5,'선정 규칙'!$B$13,IF('제외 후보'!L1102&gt;=4.5,'선정 규칙'!$B$14,0)))))))</x:f>
        <x:v>0</x:v>
      </x:c>
      <x:c r="F1102" s="11" t="n">
        <x:f>IF('제외 후보'!Y1102=0,'선정 규칙'!$B$15,IF('제외 후보'!Y1102&gt;=100,'선정 규칙'!$B$16,'선정 규칙'!$B$17))</x:f>
        <x:v>-25</x:v>
      </x:c>
      <x:c r="G1102" s="11" t="n">
        <x:f>IF('제외 후보'!M1102="있음",'선정 규칙'!$B$18,'선정 규칙'!$B$19)</x:f>
        <x:v>6</x:v>
      </x:c>
      <x:c r="H1102" s="11" t="n">
        <x:f>IF(ISNUMBER(SEARCH("freq-core",'제외 후보'!AD1102)),'선정 규칙'!$B$20,0)</x:f>
        <x:v>0</x:v>
      </x:c>
      <x:c r="I1102" s="11" t="n">
        <x:f>IF(ISNUMBER(SEARCH("weak_legacy_content",'제외 후보'!P1102)),'선정 규칙'!$B$21,0)</x:f>
        <x:v>5</x:v>
      </x:c>
      <x:c r="J1102" s="11" t="n">
        <x:f>IF('제외 후보'!AC1102&lt;&gt;"",'선정 규칙'!$B$22,0)</x:f>
        <x:v>10</x:v>
      </x:c>
      <x:c r="K1102" s="11" t="n">
        <x:f>SUM(B1102:J1102)</x:f>
        <x:v>-4</x:v>
      </x:c>
      <x:c r="L1102" s="11" t="n">
        <x:f>'제외 후보'!N1102</x:f>
        <x:v>-4</x:v>
      </x:c>
      <x:c r="M1102" s="2" t="str">
        <x:f>IF(K1102=L1102,"OK","MISMATCH")</x:f>
        <x:v>OK</x:v>
      </x:c>
    </x:row>
    <x:row r="1103">
      <x:c r="A1103" s="2" t="str">
        <x:f>'제외 후보'!G1103</x:f>
        <x:v>w_b44f480ca7aab826</x:v>
      </x:c>
      <x:c r="B1103" s="11" t="n">
        <x:f>IF('제외 후보'!Q1103&lt;&gt;"",'선정 규칙'!$B$4,0)</x:f>
        <x:v>0</x:v>
      </x:c>
      <x:c r="C1103" s="11" t="n">
        <x:f>IF(ISNUMBER(SEARCH("jmdict_uncommon_or_irregular",'제외 후보'!P1103)),'선정 규칙'!$B$5,IF(ISNUMBER(SEARCH("jmdict_rare_or_dated",'제외 후보'!P1103)),'선정 규칙'!$B$6,0))</x:f>
        <x:v>0</x:v>
      </x:c>
      <x:c r="D1103" s="11" t="n">
        <x:f>IF(ISNUMBER(SEARCH("jmdict_exact_pair_not_found",'제외 후보'!P1103)),'선정 규칙'!$B$7,0)</x:f>
        <x:v>0</x:v>
      </x:c>
      <x:c r="E1103" s="11" t="n">
        <x:f>IF(OR('제외 후보'!L1103="",'제외 후보'!L1103&lt;=0),'선정 규칙'!$B$8,IF('제외 후보'!L1103&lt;=1.5,'선정 규칙'!$B$9,IF('제외 후보'!L1103&lt;=2,'선정 규칙'!$B$10,IF('제외 후보'!L1103&lt;=2.5,'선정 규칙'!$B$11,IF('제외 후보'!L1103&lt;=3,'선정 규칙'!$B$12,IF('제외 후보'!L1103&lt;=3.5,'선정 규칙'!$B$13,IF('제외 후보'!L1103&gt;=4.5,'선정 규칙'!$B$14,0)))))))</x:f>
        <x:v>0</x:v>
      </x:c>
      <x:c r="F1103" s="11" t="n">
        <x:f>IF('제외 후보'!Y1103=0,'선정 규칙'!$B$15,IF('제외 후보'!Y1103&gt;=100,'선정 규칙'!$B$16,'선정 규칙'!$B$17))</x:f>
        <x:v>-25</x:v>
      </x:c>
      <x:c r="G1103" s="11" t="n">
        <x:f>IF('제외 후보'!M1103="있음",'선정 규칙'!$B$18,'선정 규칙'!$B$19)</x:f>
        <x:v>6</x:v>
      </x:c>
      <x:c r="H1103" s="11" t="n">
        <x:f>IF(ISNUMBER(SEARCH("freq-core",'제외 후보'!AD1103)),'선정 규칙'!$B$20,0)</x:f>
        <x:v>0</x:v>
      </x:c>
      <x:c r="I1103" s="11" t="n">
        <x:f>IF(ISNUMBER(SEARCH("weak_legacy_content",'제외 후보'!P1103)),'선정 규칙'!$B$21,0)</x:f>
        <x:v>5</x:v>
      </x:c>
      <x:c r="J1103" s="11" t="n">
        <x:f>IF('제외 후보'!AC1103&lt;&gt;"",'선정 규칙'!$B$22,0)</x:f>
        <x:v>10</x:v>
      </x:c>
      <x:c r="K1103" s="11" t="n">
        <x:f>SUM(B1103:J1103)</x:f>
        <x:v>-4</x:v>
      </x:c>
      <x:c r="L1103" s="11" t="n">
        <x:f>'제외 후보'!N1103</x:f>
        <x:v>-4</x:v>
      </x:c>
      <x:c r="M1103" s="2" t="str">
        <x:f>IF(K1103=L1103,"OK","MISMATCH")</x:f>
        <x:v>OK</x:v>
      </x:c>
    </x:row>
    <x:row r="1104">
      <x:c r="A1104" s="2" t="str">
        <x:f>'제외 후보'!G1104</x:f>
        <x:v>w_85e93af730e6e4e6</x:v>
      </x:c>
      <x:c r="B1104" s="11" t="n">
        <x:f>IF('제외 후보'!Q1104&lt;&gt;"",'선정 규칙'!$B$4,0)</x:f>
        <x:v>0</x:v>
      </x:c>
      <x:c r="C1104" s="11" t="n">
        <x:f>IF(ISNUMBER(SEARCH("jmdict_uncommon_or_irregular",'제외 후보'!P1104)),'선정 규칙'!$B$5,IF(ISNUMBER(SEARCH("jmdict_rare_or_dated",'제외 후보'!P1104)),'선정 규칙'!$B$6,0))</x:f>
        <x:v>0</x:v>
      </x:c>
      <x:c r="D1104" s="11" t="n">
        <x:f>IF(ISNUMBER(SEARCH("jmdict_exact_pair_not_found",'제외 후보'!P1104)),'선정 규칙'!$B$7,0)</x:f>
        <x:v>0</x:v>
      </x:c>
      <x:c r="E1104" s="11" t="n">
        <x:f>IF(OR('제외 후보'!L1104="",'제외 후보'!L1104&lt;=0),'선정 규칙'!$B$8,IF('제외 후보'!L1104&lt;=1.5,'선정 규칙'!$B$9,IF('제외 후보'!L1104&lt;=2,'선정 규칙'!$B$10,IF('제외 후보'!L1104&lt;=2.5,'선정 규칙'!$B$11,IF('제외 후보'!L1104&lt;=3,'선정 규칙'!$B$12,IF('제외 후보'!L1104&lt;=3.5,'선정 규칙'!$B$13,IF('제외 후보'!L1104&gt;=4.5,'선정 규칙'!$B$14,0)))))))</x:f>
        <x:v>0</x:v>
      </x:c>
      <x:c r="F1104" s="11" t="n">
        <x:f>IF('제외 후보'!Y1104=0,'선정 규칙'!$B$15,IF('제외 후보'!Y1104&gt;=100,'선정 규칙'!$B$16,'선정 규칙'!$B$17))</x:f>
        <x:v>-25</x:v>
      </x:c>
      <x:c r="G1104" s="11" t="n">
        <x:f>IF('제외 후보'!M1104="있음",'선정 규칙'!$B$18,'선정 규칙'!$B$19)</x:f>
        <x:v>6</x:v>
      </x:c>
      <x:c r="H1104" s="11" t="n">
        <x:f>IF(ISNUMBER(SEARCH("freq-core",'제외 후보'!AD1104)),'선정 규칙'!$B$20,0)</x:f>
        <x:v>0</x:v>
      </x:c>
      <x:c r="I1104" s="11" t="n">
        <x:f>IF(ISNUMBER(SEARCH("weak_legacy_content",'제외 후보'!P1104)),'선정 규칙'!$B$21,0)</x:f>
        <x:v>5</x:v>
      </x:c>
      <x:c r="J1104" s="11" t="n">
        <x:f>IF('제외 후보'!AC1104&lt;&gt;"",'선정 규칙'!$B$22,0)</x:f>
        <x:v>10</x:v>
      </x:c>
      <x:c r="K1104" s="11" t="n">
        <x:f>SUM(B1104:J1104)</x:f>
        <x:v>-4</x:v>
      </x:c>
      <x:c r="L1104" s="11" t="n">
        <x:f>'제외 후보'!N1104</x:f>
        <x:v>-4</x:v>
      </x:c>
      <x:c r="M1104" s="2" t="str">
        <x:f>IF(K1104=L1104,"OK","MISMATCH")</x:f>
        <x:v>OK</x:v>
      </x:c>
    </x:row>
    <x:row r="1105">
      <x:c r="A1105" s="2" t="str">
        <x:f>'제외 후보'!G1105</x:f>
        <x:v>w_261a31967386799c</x:v>
      </x:c>
      <x:c r="B1105" s="11" t="n">
        <x:f>IF('제외 후보'!Q1105&lt;&gt;"",'선정 규칙'!$B$4,0)</x:f>
        <x:v>0</x:v>
      </x:c>
      <x:c r="C1105" s="11" t="n">
        <x:f>IF(ISNUMBER(SEARCH("jmdict_uncommon_or_irregular",'제외 후보'!P1105)),'선정 규칙'!$B$5,IF(ISNUMBER(SEARCH("jmdict_rare_or_dated",'제외 후보'!P1105)),'선정 규칙'!$B$6,0))</x:f>
        <x:v>0</x:v>
      </x:c>
      <x:c r="D1105" s="11" t="n">
        <x:f>IF(ISNUMBER(SEARCH("jmdict_exact_pair_not_found",'제외 후보'!P1105)),'선정 규칙'!$B$7,0)</x:f>
        <x:v>0</x:v>
      </x:c>
      <x:c r="E1105" s="11" t="n">
        <x:f>IF(OR('제외 후보'!L1105="",'제외 후보'!L1105&lt;=0),'선정 규칙'!$B$8,IF('제외 후보'!L1105&lt;=1.5,'선정 규칙'!$B$9,IF('제외 후보'!L1105&lt;=2,'선정 규칙'!$B$10,IF('제외 후보'!L1105&lt;=2.5,'선정 규칙'!$B$11,IF('제외 후보'!L1105&lt;=3,'선정 규칙'!$B$12,IF('제외 후보'!L1105&lt;=3.5,'선정 규칙'!$B$13,IF('제외 후보'!L1105&gt;=4.5,'선정 규칙'!$B$14,0)))))))</x:f>
        <x:v>0</x:v>
      </x:c>
      <x:c r="F1105" s="11" t="n">
        <x:f>IF('제외 후보'!Y1105=0,'선정 규칙'!$B$15,IF('제외 후보'!Y1105&gt;=100,'선정 규칙'!$B$16,'선정 규칙'!$B$17))</x:f>
        <x:v>-25</x:v>
      </x:c>
      <x:c r="G1105" s="11" t="n">
        <x:f>IF('제외 후보'!M1105="있음",'선정 규칙'!$B$18,'선정 규칙'!$B$19)</x:f>
        <x:v>6</x:v>
      </x:c>
      <x:c r="H1105" s="11" t="n">
        <x:f>IF(ISNUMBER(SEARCH("freq-core",'제외 후보'!AD1105)),'선정 규칙'!$B$20,0)</x:f>
        <x:v>0</x:v>
      </x:c>
      <x:c r="I1105" s="11" t="n">
        <x:f>IF(ISNUMBER(SEARCH("weak_legacy_content",'제외 후보'!P1105)),'선정 규칙'!$B$21,0)</x:f>
        <x:v>5</x:v>
      </x:c>
      <x:c r="J1105" s="11" t="n">
        <x:f>IF('제외 후보'!AC1105&lt;&gt;"",'선정 규칙'!$B$22,0)</x:f>
        <x:v>10</x:v>
      </x:c>
      <x:c r="K1105" s="11" t="n">
        <x:f>SUM(B1105:J1105)</x:f>
        <x:v>-4</x:v>
      </x:c>
      <x:c r="L1105" s="11" t="n">
        <x:f>'제외 후보'!N1105</x:f>
        <x:v>-4</x:v>
      </x:c>
      <x:c r="M1105" s="2" t="str">
        <x:f>IF(K1105=L1105,"OK","MISMATCH")</x:f>
        <x:v>OK</x:v>
      </x:c>
    </x:row>
    <x:row r="1106">
      <x:c r="A1106" s="2" t="str">
        <x:f>'제외 후보'!G1106</x:f>
        <x:v>w_cf3403f54f35fc2a</x:v>
      </x:c>
      <x:c r="B1106" s="11" t="n">
        <x:f>IF('제외 후보'!Q1106&lt;&gt;"",'선정 규칙'!$B$4,0)</x:f>
        <x:v>0</x:v>
      </x:c>
      <x:c r="C1106" s="11" t="n">
        <x:f>IF(ISNUMBER(SEARCH("jmdict_uncommon_or_irregular",'제외 후보'!P1106)),'선정 규칙'!$B$5,IF(ISNUMBER(SEARCH("jmdict_rare_or_dated",'제외 후보'!P1106)),'선정 규칙'!$B$6,0))</x:f>
        <x:v>0</x:v>
      </x:c>
      <x:c r="D1106" s="11" t="n">
        <x:f>IF(ISNUMBER(SEARCH("jmdict_exact_pair_not_found",'제외 후보'!P1106)),'선정 규칙'!$B$7,0)</x:f>
        <x:v>0</x:v>
      </x:c>
      <x:c r="E1106" s="11" t="n">
        <x:f>IF(OR('제외 후보'!L1106="",'제외 후보'!L1106&lt;=0),'선정 규칙'!$B$8,IF('제외 후보'!L1106&lt;=1.5,'선정 규칙'!$B$9,IF('제외 후보'!L1106&lt;=2,'선정 규칙'!$B$10,IF('제외 후보'!L1106&lt;=2.5,'선정 규칙'!$B$11,IF('제외 후보'!L1106&lt;=3,'선정 규칙'!$B$12,IF('제외 후보'!L1106&lt;=3.5,'선정 규칙'!$B$13,IF('제외 후보'!L1106&gt;=4.5,'선정 규칙'!$B$14,0)))))))</x:f>
        <x:v>0</x:v>
      </x:c>
      <x:c r="F1106" s="11" t="n">
        <x:f>IF('제외 후보'!Y1106=0,'선정 규칙'!$B$15,IF('제외 후보'!Y1106&gt;=100,'선정 규칙'!$B$16,'선정 규칙'!$B$17))</x:f>
        <x:v>-25</x:v>
      </x:c>
      <x:c r="G1106" s="11" t="n">
        <x:f>IF('제외 후보'!M1106="있음",'선정 규칙'!$B$18,'선정 규칙'!$B$19)</x:f>
        <x:v>6</x:v>
      </x:c>
      <x:c r="H1106" s="11" t="n">
        <x:f>IF(ISNUMBER(SEARCH("freq-core",'제외 후보'!AD1106)),'선정 규칙'!$B$20,0)</x:f>
        <x:v>0</x:v>
      </x:c>
      <x:c r="I1106" s="11" t="n">
        <x:f>IF(ISNUMBER(SEARCH("weak_legacy_content",'제외 후보'!P1106)),'선정 규칙'!$B$21,0)</x:f>
        <x:v>5</x:v>
      </x:c>
      <x:c r="J1106" s="11" t="n">
        <x:f>IF('제외 후보'!AC1106&lt;&gt;"",'선정 규칙'!$B$22,0)</x:f>
        <x:v>10</x:v>
      </x:c>
      <x:c r="K1106" s="11" t="n">
        <x:f>SUM(B1106:J1106)</x:f>
        <x:v>-4</x:v>
      </x:c>
      <x:c r="L1106" s="11" t="n">
        <x:f>'제외 후보'!N1106</x:f>
        <x:v>-4</x:v>
      </x:c>
      <x:c r="M1106" s="2" t="str">
        <x:f>IF(K1106=L1106,"OK","MISMATCH")</x:f>
        <x:v>OK</x:v>
      </x:c>
    </x:row>
    <x:row r="1107">
      <x:c r="A1107" s="2" t="str">
        <x:f>'제외 후보'!G1107</x:f>
        <x:v>w_7fc6998a41dc9a56</x:v>
      </x:c>
      <x:c r="B1107" s="11" t="n">
        <x:f>IF('제외 후보'!Q1107&lt;&gt;"",'선정 규칙'!$B$4,0)</x:f>
        <x:v>0</x:v>
      </x:c>
      <x:c r="C1107" s="11" t="n">
        <x:f>IF(ISNUMBER(SEARCH("jmdict_uncommon_or_irregular",'제외 후보'!P1107)),'선정 규칙'!$B$5,IF(ISNUMBER(SEARCH("jmdict_rare_or_dated",'제외 후보'!P1107)),'선정 규칙'!$B$6,0))</x:f>
        <x:v>0</x:v>
      </x:c>
      <x:c r="D1107" s="11" t="n">
        <x:f>IF(ISNUMBER(SEARCH("jmdict_exact_pair_not_found",'제외 후보'!P1107)),'선정 규칙'!$B$7,0)</x:f>
        <x:v>0</x:v>
      </x:c>
      <x:c r="E1107" s="11" t="n">
        <x:f>IF(OR('제외 후보'!L1107="",'제외 후보'!L1107&lt;=0),'선정 규칙'!$B$8,IF('제외 후보'!L1107&lt;=1.5,'선정 규칙'!$B$9,IF('제외 후보'!L1107&lt;=2,'선정 규칙'!$B$10,IF('제외 후보'!L1107&lt;=2.5,'선정 규칙'!$B$11,IF('제외 후보'!L1107&lt;=3,'선정 규칙'!$B$12,IF('제외 후보'!L1107&lt;=3.5,'선정 규칙'!$B$13,IF('제외 후보'!L1107&gt;=4.5,'선정 규칙'!$B$14,0)))))))</x:f>
        <x:v>0</x:v>
      </x:c>
      <x:c r="F1107" s="11" t="n">
        <x:f>IF('제외 후보'!Y1107=0,'선정 규칙'!$B$15,IF('제외 후보'!Y1107&gt;=100,'선정 규칙'!$B$16,'선정 규칙'!$B$17))</x:f>
        <x:v>-25</x:v>
      </x:c>
      <x:c r="G1107" s="11" t="n">
        <x:f>IF('제외 후보'!M1107="있음",'선정 규칙'!$B$18,'선정 규칙'!$B$19)</x:f>
        <x:v>6</x:v>
      </x:c>
      <x:c r="H1107" s="11" t="n">
        <x:f>IF(ISNUMBER(SEARCH("freq-core",'제외 후보'!AD1107)),'선정 규칙'!$B$20,0)</x:f>
        <x:v>0</x:v>
      </x:c>
      <x:c r="I1107" s="11" t="n">
        <x:f>IF(ISNUMBER(SEARCH("weak_legacy_content",'제외 후보'!P1107)),'선정 규칙'!$B$21,0)</x:f>
        <x:v>5</x:v>
      </x:c>
      <x:c r="J1107" s="11" t="n">
        <x:f>IF('제외 후보'!AC1107&lt;&gt;"",'선정 규칙'!$B$22,0)</x:f>
        <x:v>10</x:v>
      </x:c>
      <x:c r="K1107" s="11" t="n">
        <x:f>SUM(B1107:J1107)</x:f>
        <x:v>-4</x:v>
      </x:c>
      <x:c r="L1107" s="11" t="n">
        <x:f>'제외 후보'!N1107</x:f>
        <x:v>-4</x:v>
      </x:c>
      <x:c r="M1107" s="2" t="str">
        <x:f>IF(K1107=L1107,"OK","MISMATCH")</x:f>
        <x:v>OK</x:v>
      </x:c>
    </x:row>
    <x:row r="1108">
      <x:c r="A1108" s="2" t="str">
        <x:f>'제외 후보'!G1108</x:f>
        <x:v>w_2119dd3cac2a55fa</x:v>
      </x:c>
      <x:c r="B1108" s="11" t="n">
        <x:f>IF('제외 후보'!Q1108&lt;&gt;"",'선정 규칙'!$B$4,0)</x:f>
        <x:v>0</x:v>
      </x:c>
      <x:c r="C1108" s="11" t="n">
        <x:f>IF(ISNUMBER(SEARCH("jmdict_uncommon_or_irregular",'제외 후보'!P1108)),'선정 규칙'!$B$5,IF(ISNUMBER(SEARCH("jmdict_rare_or_dated",'제외 후보'!P1108)),'선정 규칙'!$B$6,0))</x:f>
        <x:v>0</x:v>
      </x:c>
      <x:c r="D1108" s="11" t="n">
        <x:f>IF(ISNUMBER(SEARCH("jmdict_exact_pair_not_found",'제외 후보'!P1108)),'선정 규칙'!$B$7,0)</x:f>
        <x:v>0</x:v>
      </x:c>
      <x:c r="E1108" s="11" t="n">
        <x:f>IF(OR('제외 후보'!L1108="",'제외 후보'!L1108&lt;=0),'선정 규칙'!$B$8,IF('제외 후보'!L1108&lt;=1.5,'선정 규칙'!$B$9,IF('제외 후보'!L1108&lt;=2,'선정 규칙'!$B$10,IF('제외 후보'!L1108&lt;=2.5,'선정 규칙'!$B$11,IF('제외 후보'!L1108&lt;=3,'선정 규칙'!$B$12,IF('제외 후보'!L1108&lt;=3.5,'선정 규칙'!$B$13,IF('제외 후보'!L1108&gt;=4.5,'선정 규칙'!$B$14,0)))))))</x:f>
        <x:v>0</x:v>
      </x:c>
      <x:c r="F1108" s="11" t="n">
        <x:f>IF('제외 후보'!Y1108=0,'선정 규칙'!$B$15,IF('제외 후보'!Y1108&gt;=100,'선정 규칙'!$B$16,'선정 규칙'!$B$17))</x:f>
        <x:v>-25</x:v>
      </x:c>
      <x:c r="G1108" s="11" t="n">
        <x:f>IF('제외 후보'!M1108="있음",'선정 규칙'!$B$18,'선정 규칙'!$B$19)</x:f>
        <x:v>6</x:v>
      </x:c>
      <x:c r="H1108" s="11" t="n">
        <x:f>IF(ISNUMBER(SEARCH("freq-core",'제외 후보'!AD1108)),'선정 규칙'!$B$20,0)</x:f>
        <x:v>0</x:v>
      </x:c>
      <x:c r="I1108" s="11" t="n">
        <x:f>IF(ISNUMBER(SEARCH("weak_legacy_content",'제외 후보'!P1108)),'선정 규칙'!$B$21,0)</x:f>
        <x:v>5</x:v>
      </x:c>
      <x:c r="J1108" s="11" t="n">
        <x:f>IF('제외 후보'!AC1108&lt;&gt;"",'선정 규칙'!$B$22,0)</x:f>
        <x:v>10</x:v>
      </x:c>
      <x:c r="K1108" s="11" t="n">
        <x:f>SUM(B1108:J1108)</x:f>
        <x:v>-4</x:v>
      </x:c>
      <x:c r="L1108" s="11" t="n">
        <x:f>'제외 후보'!N1108</x:f>
        <x:v>-4</x:v>
      </x:c>
      <x:c r="M1108" s="2" t="str">
        <x:f>IF(K1108=L1108,"OK","MISMATCH")</x:f>
        <x:v>OK</x:v>
      </x:c>
    </x:row>
    <x:row r="1109">
      <x:c r="A1109" s="2" t="str">
        <x:f>'제외 후보'!G1109</x:f>
        <x:v>w_08923ac6c2b95253</x:v>
      </x:c>
      <x:c r="B1109" s="11" t="n">
        <x:f>IF('제외 후보'!Q1109&lt;&gt;"",'선정 규칙'!$B$4,0)</x:f>
        <x:v>0</x:v>
      </x:c>
      <x:c r="C1109" s="11" t="n">
        <x:f>IF(ISNUMBER(SEARCH("jmdict_uncommon_or_irregular",'제외 후보'!P1109)),'선정 규칙'!$B$5,IF(ISNUMBER(SEARCH("jmdict_rare_or_dated",'제외 후보'!P1109)),'선정 규칙'!$B$6,0))</x:f>
        <x:v>0</x:v>
      </x:c>
      <x:c r="D1109" s="11" t="n">
        <x:f>IF(ISNUMBER(SEARCH("jmdict_exact_pair_not_found",'제외 후보'!P1109)),'선정 규칙'!$B$7,0)</x:f>
        <x:v>0</x:v>
      </x:c>
      <x:c r="E1109" s="11" t="n">
        <x:f>IF(OR('제외 후보'!L1109="",'제외 후보'!L1109&lt;=0),'선정 규칙'!$B$8,IF('제외 후보'!L1109&lt;=1.5,'선정 규칙'!$B$9,IF('제외 후보'!L1109&lt;=2,'선정 규칙'!$B$10,IF('제외 후보'!L1109&lt;=2.5,'선정 규칙'!$B$11,IF('제외 후보'!L1109&lt;=3,'선정 규칙'!$B$12,IF('제외 후보'!L1109&lt;=3.5,'선정 규칙'!$B$13,IF('제외 후보'!L1109&gt;=4.5,'선정 규칙'!$B$14,0)))))))</x:f>
        <x:v>0</x:v>
      </x:c>
      <x:c r="F1109" s="11" t="n">
        <x:f>IF('제외 후보'!Y1109=0,'선정 규칙'!$B$15,IF('제외 후보'!Y1109&gt;=100,'선정 규칙'!$B$16,'선정 규칙'!$B$17))</x:f>
        <x:v>-25</x:v>
      </x:c>
      <x:c r="G1109" s="11" t="n">
        <x:f>IF('제외 후보'!M1109="있음",'선정 규칙'!$B$18,'선정 규칙'!$B$19)</x:f>
        <x:v>6</x:v>
      </x:c>
      <x:c r="H1109" s="11" t="n">
        <x:f>IF(ISNUMBER(SEARCH("freq-core",'제외 후보'!AD1109)),'선정 규칙'!$B$20,0)</x:f>
        <x:v>0</x:v>
      </x:c>
      <x:c r="I1109" s="11" t="n">
        <x:f>IF(ISNUMBER(SEARCH("weak_legacy_content",'제외 후보'!P1109)),'선정 규칙'!$B$21,0)</x:f>
        <x:v>5</x:v>
      </x:c>
      <x:c r="J1109" s="11" t="n">
        <x:f>IF('제외 후보'!AC1109&lt;&gt;"",'선정 규칙'!$B$22,0)</x:f>
        <x:v>10</x:v>
      </x:c>
      <x:c r="K1109" s="11" t="n">
        <x:f>SUM(B1109:J1109)</x:f>
        <x:v>-4</x:v>
      </x:c>
      <x:c r="L1109" s="11" t="n">
        <x:f>'제외 후보'!N1109</x:f>
        <x:v>-4</x:v>
      </x:c>
      <x:c r="M1109" s="2" t="str">
        <x:f>IF(K1109=L1109,"OK","MISMATCH")</x:f>
        <x:v>OK</x:v>
      </x:c>
    </x:row>
    <x:row r="1110">
      <x:c r="A1110" s="2" t="str">
        <x:f>'제외 후보'!G1110</x:f>
        <x:v>w_6dd31bd87ca4777f</x:v>
      </x:c>
      <x:c r="B1110" s="11" t="n">
        <x:f>IF('제외 후보'!Q1110&lt;&gt;"",'선정 규칙'!$B$4,0)</x:f>
        <x:v>0</x:v>
      </x:c>
      <x:c r="C1110" s="11" t="n">
        <x:f>IF(ISNUMBER(SEARCH("jmdict_uncommon_or_irregular",'제외 후보'!P1110)),'선정 규칙'!$B$5,IF(ISNUMBER(SEARCH("jmdict_rare_or_dated",'제외 후보'!P1110)),'선정 규칙'!$B$6,0))</x:f>
        <x:v>0</x:v>
      </x:c>
      <x:c r="D1110" s="11" t="n">
        <x:f>IF(ISNUMBER(SEARCH("jmdict_exact_pair_not_found",'제외 후보'!P1110)),'선정 규칙'!$B$7,0)</x:f>
        <x:v>0</x:v>
      </x:c>
      <x:c r="E1110" s="11" t="n">
        <x:f>IF(OR('제외 후보'!L1110="",'제외 후보'!L1110&lt;=0),'선정 규칙'!$B$8,IF('제외 후보'!L1110&lt;=1.5,'선정 규칙'!$B$9,IF('제외 후보'!L1110&lt;=2,'선정 규칙'!$B$10,IF('제외 후보'!L1110&lt;=2.5,'선정 규칙'!$B$11,IF('제외 후보'!L1110&lt;=3,'선정 규칙'!$B$12,IF('제외 후보'!L1110&lt;=3.5,'선정 규칙'!$B$13,IF('제외 후보'!L1110&gt;=4.5,'선정 규칙'!$B$14,0)))))))</x:f>
        <x:v>0</x:v>
      </x:c>
      <x:c r="F1110" s="11" t="n">
        <x:f>IF('제외 후보'!Y1110=0,'선정 규칙'!$B$15,IF('제외 후보'!Y1110&gt;=100,'선정 규칙'!$B$16,'선정 규칙'!$B$17))</x:f>
        <x:v>-25</x:v>
      </x:c>
      <x:c r="G1110" s="11" t="n">
        <x:f>IF('제외 후보'!M1110="있음",'선정 규칙'!$B$18,'선정 규칙'!$B$19)</x:f>
        <x:v>6</x:v>
      </x:c>
      <x:c r="H1110" s="11" t="n">
        <x:f>IF(ISNUMBER(SEARCH("freq-core",'제외 후보'!AD1110)),'선정 규칙'!$B$20,0)</x:f>
        <x:v>0</x:v>
      </x:c>
      <x:c r="I1110" s="11" t="n">
        <x:f>IF(ISNUMBER(SEARCH("weak_legacy_content",'제외 후보'!P1110)),'선정 규칙'!$B$21,0)</x:f>
        <x:v>5</x:v>
      </x:c>
      <x:c r="J1110" s="11" t="n">
        <x:f>IF('제외 후보'!AC1110&lt;&gt;"",'선정 규칙'!$B$22,0)</x:f>
        <x:v>10</x:v>
      </x:c>
      <x:c r="K1110" s="11" t="n">
        <x:f>SUM(B1110:J1110)</x:f>
        <x:v>-4</x:v>
      </x:c>
      <x:c r="L1110" s="11" t="n">
        <x:f>'제외 후보'!N1110</x:f>
        <x:v>-4</x:v>
      </x:c>
      <x:c r="M1110" s="2" t="str">
        <x:f>IF(K1110=L1110,"OK","MISMATCH")</x:f>
        <x:v>OK</x:v>
      </x:c>
    </x:row>
    <x:row r="1111">
      <x:c r="A1111" s="2" t="str">
        <x:f>'제외 후보'!G1111</x:f>
        <x:v>w_e827f2cbbdfecbdf</x:v>
      </x:c>
      <x:c r="B1111" s="11" t="n">
        <x:f>IF('제외 후보'!Q1111&lt;&gt;"",'선정 규칙'!$B$4,0)</x:f>
        <x:v>0</x:v>
      </x:c>
      <x:c r="C1111" s="11" t="n">
        <x:f>IF(ISNUMBER(SEARCH("jmdict_uncommon_or_irregular",'제외 후보'!P1111)),'선정 규칙'!$B$5,IF(ISNUMBER(SEARCH("jmdict_rare_or_dated",'제외 후보'!P1111)),'선정 규칙'!$B$6,0))</x:f>
        <x:v>0</x:v>
      </x:c>
      <x:c r="D1111" s="11" t="n">
        <x:f>IF(ISNUMBER(SEARCH("jmdict_exact_pair_not_found",'제외 후보'!P1111)),'선정 규칙'!$B$7,0)</x:f>
        <x:v>0</x:v>
      </x:c>
      <x:c r="E1111" s="11" t="n">
        <x:f>IF(OR('제외 후보'!L1111="",'제외 후보'!L1111&lt;=0),'선정 규칙'!$B$8,IF('제외 후보'!L1111&lt;=1.5,'선정 규칙'!$B$9,IF('제외 후보'!L1111&lt;=2,'선정 규칙'!$B$10,IF('제외 후보'!L1111&lt;=2.5,'선정 규칙'!$B$11,IF('제외 후보'!L1111&lt;=3,'선정 규칙'!$B$12,IF('제외 후보'!L1111&lt;=3.5,'선정 규칙'!$B$13,IF('제외 후보'!L1111&gt;=4.5,'선정 규칙'!$B$14,0)))))))</x:f>
        <x:v>0</x:v>
      </x:c>
      <x:c r="F1111" s="11" t="n">
        <x:f>IF('제외 후보'!Y1111=0,'선정 규칙'!$B$15,IF('제외 후보'!Y1111&gt;=100,'선정 규칙'!$B$16,'선정 규칙'!$B$17))</x:f>
        <x:v>-25</x:v>
      </x:c>
      <x:c r="G1111" s="11" t="n">
        <x:f>IF('제외 후보'!M1111="있음",'선정 규칙'!$B$18,'선정 규칙'!$B$19)</x:f>
        <x:v>6</x:v>
      </x:c>
      <x:c r="H1111" s="11" t="n">
        <x:f>IF(ISNUMBER(SEARCH("freq-core",'제외 후보'!AD1111)),'선정 규칙'!$B$20,0)</x:f>
        <x:v>0</x:v>
      </x:c>
      <x:c r="I1111" s="11" t="n">
        <x:f>IF(ISNUMBER(SEARCH("weak_legacy_content",'제외 후보'!P1111)),'선정 규칙'!$B$21,0)</x:f>
        <x:v>5</x:v>
      </x:c>
      <x:c r="J1111" s="11" t="n">
        <x:f>IF('제외 후보'!AC1111&lt;&gt;"",'선정 규칙'!$B$22,0)</x:f>
        <x:v>10</x:v>
      </x:c>
      <x:c r="K1111" s="11" t="n">
        <x:f>SUM(B1111:J1111)</x:f>
        <x:v>-4</x:v>
      </x:c>
      <x:c r="L1111" s="11" t="n">
        <x:f>'제외 후보'!N1111</x:f>
        <x:v>-4</x:v>
      </x:c>
      <x:c r="M1111" s="2" t="str">
        <x:f>IF(K1111=L1111,"OK","MISMATCH")</x:f>
        <x:v>OK</x:v>
      </x:c>
    </x:row>
    <x:row r="1112">
      <x:c r="A1112" s="2" t="str">
        <x:f>'제외 후보'!G1112</x:f>
        <x:v>w_2cb1c7848a99643f</x:v>
      </x:c>
      <x:c r="B1112" s="11" t="n">
        <x:f>IF('제외 후보'!Q1112&lt;&gt;"",'선정 규칙'!$B$4,0)</x:f>
        <x:v>0</x:v>
      </x:c>
      <x:c r="C1112" s="11" t="n">
        <x:f>IF(ISNUMBER(SEARCH("jmdict_uncommon_or_irregular",'제외 후보'!P1112)),'선정 규칙'!$B$5,IF(ISNUMBER(SEARCH("jmdict_rare_or_dated",'제외 후보'!P1112)),'선정 규칙'!$B$6,0))</x:f>
        <x:v>0</x:v>
      </x:c>
      <x:c r="D1112" s="11" t="n">
        <x:f>IF(ISNUMBER(SEARCH("jmdict_exact_pair_not_found",'제외 후보'!P1112)),'선정 규칙'!$B$7,0)</x:f>
        <x:v>0</x:v>
      </x:c>
      <x:c r="E1112" s="11" t="n">
        <x:f>IF(OR('제외 후보'!L1112="",'제외 후보'!L1112&lt;=0),'선정 규칙'!$B$8,IF('제외 후보'!L1112&lt;=1.5,'선정 규칙'!$B$9,IF('제외 후보'!L1112&lt;=2,'선정 규칙'!$B$10,IF('제외 후보'!L1112&lt;=2.5,'선정 규칙'!$B$11,IF('제외 후보'!L1112&lt;=3,'선정 규칙'!$B$12,IF('제외 후보'!L1112&lt;=3.5,'선정 규칙'!$B$13,IF('제외 후보'!L1112&gt;=4.5,'선정 규칙'!$B$14,0)))))))</x:f>
        <x:v>0</x:v>
      </x:c>
      <x:c r="F1112" s="11" t="n">
        <x:f>IF('제외 후보'!Y1112=0,'선정 규칙'!$B$15,IF('제외 후보'!Y1112&gt;=100,'선정 규칙'!$B$16,'선정 규칙'!$B$17))</x:f>
        <x:v>-25</x:v>
      </x:c>
      <x:c r="G1112" s="11" t="n">
        <x:f>IF('제외 후보'!M1112="있음",'선정 규칙'!$B$18,'선정 규칙'!$B$19)</x:f>
        <x:v>6</x:v>
      </x:c>
      <x:c r="H1112" s="11" t="n">
        <x:f>IF(ISNUMBER(SEARCH("freq-core",'제외 후보'!AD1112)),'선정 규칙'!$B$20,0)</x:f>
        <x:v>0</x:v>
      </x:c>
      <x:c r="I1112" s="11" t="n">
        <x:f>IF(ISNUMBER(SEARCH("weak_legacy_content",'제외 후보'!P1112)),'선정 규칙'!$B$21,0)</x:f>
        <x:v>5</x:v>
      </x:c>
      <x:c r="J1112" s="11" t="n">
        <x:f>IF('제외 후보'!AC1112&lt;&gt;"",'선정 규칙'!$B$22,0)</x:f>
        <x:v>10</x:v>
      </x:c>
      <x:c r="K1112" s="11" t="n">
        <x:f>SUM(B1112:J1112)</x:f>
        <x:v>-4</x:v>
      </x:c>
      <x:c r="L1112" s="11" t="n">
        <x:f>'제외 후보'!N1112</x:f>
        <x:v>-4</x:v>
      </x:c>
      <x:c r="M1112" s="2" t="str">
        <x:f>IF(K1112=L1112,"OK","MISMATCH")</x:f>
        <x:v>OK</x:v>
      </x:c>
    </x:row>
    <x:row r="1113">
      <x:c r="A1113" s="2" t="str">
        <x:f>'제외 후보'!G1113</x:f>
        <x:v>w_1a6cab79eb8539bd</x:v>
      </x:c>
      <x:c r="B1113" s="11" t="n">
        <x:f>IF('제외 후보'!Q1113&lt;&gt;"",'선정 규칙'!$B$4,0)</x:f>
        <x:v>0</x:v>
      </x:c>
      <x:c r="C1113" s="11" t="n">
        <x:f>IF(ISNUMBER(SEARCH("jmdict_uncommon_or_irregular",'제외 후보'!P1113)),'선정 규칙'!$B$5,IF(ISNUMBER(SEARCH("jmdict_rare_or_dated",'제외 후보'!P1113)),'선정 규칙'!$B$6,0))</x:f>
        <x:v>0</x:v>
      </x:c>
      <x:c r="D1113" s="11" t="n">
        <x:f>IF(ISNUMBER(SEARCH("jmdict_exact_pair_not_found",'제외 후보'!P1113)),'선정 규칙'!$B$7,0)</x:f>
        <x:v>0</x:v>
      </x:c>
      <x:c r="E1113" s="11" t="n">
        <x:f>IF(OR('제외 후보'!L1113="",'제외 후보'!L1113&lt;=0),'선정 규칙'!$B$8,IF('제외 후보'!L1113&lt;=1.5,'선정 규칙'!$B$9,IF('제외 후보'!L1113&lt;=2,'선정 규칙'!$B$10,IF('제외 후보'!L1113&lt;=2.5,'선정 규칙'!$B$11,IF('제외 후보'!L1113&lt;=3,'선정 규칙'!$B$12,IF('제외 후보'!L1113&lt;=3.5,'선정 규칙'!$B$13,IF('제외 후보'!L1113&gt;=4.5,'선정 규칙'!$B$14,0)))))))</x:f>
        <x:v>0</x:v>
      </x:c>
      <x:c r="F1113" s="11" t="n">
        <x:f>IF('제외 후보'!Y1113=0,'선정 규칙'!$B$15,IF('제외 후보'!Y1113&gt;=100,'선정 규칙'!$B$16,'선정 규칙'!$B$17))</x:f>
        <x:v>-25</x:v>
      </x:c>
      <x:c r="G1113" s="11" t="n">
        <x:f>IF('제외 후보'!M1113="있음",'선정 규칙'!$B$18,'선정 규칙'!$B$19)</x:f>
        <x:v>6</x:v>
      </x:c>
      <x:c r="H1113" s="11" t="n">
        <x:f>IF(ISNUMBER(SEARCH("freq-core",'제외 후보'!AD1113)),'선정 규칙'!$B$20,0)</x:f>
        <x:v>0</x:v>
      </x:c>
      <x:c r="I1113" s="11" t="n">
        <x:f>IF(ISNUMBER(SEARCH("weak_legacy_content",'제외 후보'!P1113)),'선정 규칙'!$B$21,0)</x:f>
        <x:v>5</x:v>
      </x:c>
      <x:c r="J1113" s="11" t="n">
        <x:f>IF('제외 후보'!AC1113&lt;&gt;"",'선정 규칙'!$B$22,0)</x:f>
        <x:v>10</x:v>
      </x:c>
      <x:c r="K1113" s="11" t="n">
        <x:f>SUM(B1113:J1113)</x:f>
        <x:v>-4</x:v>
      </x:c>
      <x:c r="L1113" s="11" t="n">
        <x:f>'제외 후보'!N1113</x:f>
        <x:v>-4</x:v>
      </x:c>
      <x:c r="M1113" s="2" t="str">
        <x:f>IF(K1113=L1113,"OK","MISMATCH")</x:f>
        <x:v>OK</x:v>
      </x:c>
    </x:row>
    <x:row r="1114">
      <x:c r="A1114" s="2" t="str">
        <x:f>'제외 후보'!G1114</x:f>
        <x:v>w_10284144fa6f8fa9</x:v>
      </x:c>
      <x:c r="B1114" s="11" t="n">
        <x:f>IF('제외 후보'!Q1114&lt;&gt;"",'선정 규칙'!$B$4,0)</x:f>
        <x:v>0</x:v>
      </x:c>
      <x:c r="C1114" s="11" t="n">
        <x:f>IF(ISNUMBER(SEARCH("jmdict_uncommon_or_irregular",'제외 후보'!P1114)),'선정 규칙'!$B$5,IF(ISNUMBER(SEARCH("jmdict_rare_or_dated",'제외 후보'!P1114)),'선정 규칙'!$B$6,0))</x:f>
        <x:v>0</x:v>
      </x:c>
      <x:c r="D1114" s="11" t="n">
        <x:f>IF(ISNUMBER(SEARCH("jmdict_exact_pair_not_found",'제외 후보'!P1114)),'선정 규칙'!$B$7,0)</x:f>
        <x:v>0</x:v>
      </x:c>
      <x:c r="E1114" s="11" t="n">
        <x:f>IF(OR('제외 후보'!L1114="",'제외 후보'!L1114&lt;=0),'선정 규칙'!$B$8,IF('제외 후보'!L1114&lt;=1.5,'선정 규칙'!$B$9,IF('제외 후보'!L1114&lt;=2,'선정 규칙'!$B$10,IF('제외 후보'!L1114&lt;=2.5,'선정 규칙'!$B$11,IF('제외 후보'!L1114&lt;=3,'선정 규칙'!$B$12,IF('제외 후보'!L1114&lt;=3.5,'선정 규칙'!$B$13,IF('제외 후보'!L1114&gt;=4.5,'선정 규칙'!$B$14,0)))))))</x:f>
        <x:v>0</x:v>
      </x:c>
      <x:c r="F1114" s="11" t="n">
        <x:f>IF('제외 후보'!Y1114=0,'선정 규칙'!$B$15,IF('제외 후보'!Y1114&gt;=100,'선정 규칙'!$B$16,'선정 규칙'!$B$17))</x:f>
        <x:v>-25</x:v>
      </x:c>
      <x:c r="G1114" s="11" t="n">
        <x:f>IF('제외 후보'!M1114="있음",'선정 규칙'!$B$18,'선정 규칙'!$B$19)</x:f>
        <x:v>6</x:v>
      </x:c>
      <x:c r="H1114" s="11" t="n">
        <x:f>IF(ISNUMBER(SEARCH("freq-core",'제외 후보'!AD1114)),'선정 규칙'!$B$20,0)</x:f>
        <x:v>0</x:v>
      </x:c>
      <x:c r="I1114" s="11" t="n">
        <x:f>IF(ISNUMBER(SEARCH("weak_legacy_content",'제외 후보'!P1114)),'선정 규칙'!$B$21,0)</x:f>
        <x:v>5</x:v>
      </x:c>
      <x:c r="J1114" s="11" t="n">
        <x:f>IF('제외 후보'!AC1114&lt;&gt;"",'선정 규칙'!$B$22,0)</x:f>
        <x:v>10</x:v>
      </x:c>
      <x:c r="K1114" s="11" t="n">
        <x:f>SUM(B1114:J1114)</x:f>
        <x:v>-4</x:v>
      </x:c>
      <x:c r="L1114" s="11" t="n">
        <x:f>'제외 후보'!N1114</x:f>
        <x:v>-4</x:v>
      </x:c>
      <x:c r="M1114" s="2" t="str">
        <x:f>IF(K1114=L1114,"OK","MISMATCH")</x:f>
        <x:v>OK</x:v>
      </x:c>
    </x:row>
    <x:row r="1115">
      <x:c r="A1115" s="2" t="str">
        <x:f>'제외 후보'!G1115</x:f>
        <x:v>w_471352b7953c55a4</x:v>
      </x:c>
      <x:c r="B1115" s="11" t="n">
        <x:f>IF('제외 후보'!Q1115&lt;&gt;"",'선정 규칙'!$B$4,0)</x:f>
        <x:v>0</x:v>
      </x:c>
      <x:c r="C1115" s="11" t="n">
        <x:f>IF(ISNUMBER(SEARCH("jmdict_uncommon_or_irregular",'제외 후보'!P1115)),'선정 규칙'!$B$5,IF(ISNUMBER(SEARCH("jmdict_rare_or_dated",'제외 후보'!P1115)),'선정 규칙'!$B$6,0))</x:f>
        <x:v>0</x:v>
      </x:c>
      <x:c r="D1115" s="11" t="n">
        <x:f>IF(ISNUMBER(SEARCH("jmdict_exact_pair_not_found",'제외 후보'!P1115)),'선정 규칙'!$B$7,0)</x:f>
        <x:v>0</x:v>
      </x:c>
      <x:c r="E1115" s="11" t="n">
        <x:f>IF(OR('제외 후보'!L1115="",'제외 후보'!L1115&lt;=0),'선정 규칙'!$B$8,IF('제외 후보'!L1115&lt;=1.5,'선정 규칙'!$B$9,IF('제외 후보'!L1115&lt;=2,'선정 규칙'!$B$10,IF('제외 후보'!L1115&lt;=2.5,'선정 규칙'!$B$11,IF('제외 후보'!L1115&lt;=3,'선정 규칙'!$B$12,IF('제외 후보'!L1115&lt;=3.5,'선정 규칙'!$B$13,IF('제외 후보'!L1115&gt;=4.5,'선정 규칙'!$B$14,0)))))))</x:f>
        <x:v>0</x:v>
      </x:c>
      <x:c r="F1115" s="11" t="n">
        <x:f>IF('제외 후보'!Y1115=0,'선정 규칙'!$B$15,IF('제외 후보'!Y1115&gt;=100,'선정 규칙'!$B$16,'선정 규칙'!$B$17))</x:f>
        <x:v>-25</x:v>
      </x:c>
      <x:c r="G1115" s="11" t="n">
        <x:f>IF('제외 후보'!M1115="있음",'선정 규칙'!$B$18,'선정 규칙'!$B$19)</x:f>
        <x:v>6</x:v>
      </x:c>
      <x:c r="H1115" s="11" t="n">
        <x:f>IF(ISNUMBER(SEARCH("freq-core",'제외 후보'!AD1115)),'선정 규칙'!$B$20,0)</x:f>
        <x:v>0</x:v>
      </x:c>
      <x:c r="I1115" s="11" t="n">
        <x:f>IF(ISNUMBER(SEARCH("weak_legacy_content",'제외 후보'!P1115)),'선정 규칙'!$B$21,0)</x:f>
        <x:v>5</x:v>
      </x:c>
      <x:c r="J1115" s="11" t="n">
        <x:f>IF('제외 후보'!AC1115&lt;&gt;"",'선정 규칙'!$B$22,0)</x:f>
        <x:v>10</x:v>
      </x:c>
      <x:c r="K1115" s="11" t="n">
        <x:f>SUM(B1115:J1115)</x:f>
        <x:v>-4</x:v>
      </x:c>
      <x:c r="L1115" s="11" t="n">
        <x:f>'제외 후보'!N1115</x:f>
        <x:v>-4</x:v>
      </x:c>
      <x:c r="M1115" s="2" t="str">
        <x:f>IF(K1115=L1115,"OK","MISMATCH")</x:f>
        <x:v>OK</x:v>
      </x:c>
    </x:row>
    <x:row r="1116">
      <x:c r="A1116" s="2" t="str">
        <x:f>'제외 후보'!G1116</x:f>
        <x:v>w_16699f6292844bcd</x:v>
      </x:c>
      <x:c r="B1116" s="11" t="n">
        <x:f>IF('제외 후보'!Q1116&lt;&gt;"",'선정 규칙'!$B$4,0)</x:f>
        <x:v>0</x:v>
      </x:c>
      <x:c r="C1116" s="11" t="n">
        <x:f>IF(ISNUMBER(SEARCH("jmdict_uncommon_or_irregular",'제외 후보'!P1116)),'선정 규칙'!$B$5,IF(ISNUMBER(SEARCH("jmdict_rare_or_dated",'제외 후보'!P1116)),'선정 규칙'!$B$6,0))</x:f>
        <x:v>0</x:v>
      </x:c>
      <x:c r="D1116" s="11" t="n">
        <x:f>IF(ISNUMBER(SEARCH("jmdict_exact_pair_not_found",'제외 후보'!P1116)),'선정 규칙'!$B$7,0)</x:f>
        <x:v>0</x:v>
      </x:c>
      <x:c r="E1116" s="11" t="n">
        <x:f>IF(OR('제외 후보'!L1116="",'제외 후보'!L1116&lt;=0),'선정 규칙'!$B$8,IF('제외 후보'!L1116&lt;=1.5,'선정 규칙'!$B$9,IF('제외 후보'!L1116&lt;=2,'선정 규칙'!$B$10,IF('제외 후보'!L1116&lt;=2.5,'선정 규칙'!$B$11,IF('제외 후보'!L1116&lt;=3,'선정 규칙'!$B$12,IF('제외 후보'!L1116&lt;=3.5,'선정 규칙'!$B$13,IF('제외 후보'!L1116&gt;=4.5,'선정 규칙'!$B$14,0)))))))</x:f>
        <x:v>0</x:v>
      </x:c>
      <x:c r="F1116" s="11" t="n">
        <x:f>IF('제외 후보'!Y1116=0,'선정 규칙'!$B$15,IF('제외 후보'!Y1116&gt;=100,'선정 규칙'!$B$16,'선정 규칙'!$B$17))</x:f>
        <x:v>-25</x:v>
      </x:c>
      <x:c r="G1116" s="11" t="n">
        <x:f>IF('제외 후보'!M1116="있음",'선정 규칙'!$B$18,'선정 규칙'!$B$19)</x:f>
        <x:v>6</x:v>
      </x:c>
      <x:c r="H1116" s="11" t="n">
        <x:f>IF(ISNUMBER(SEARCH("freq-core",'제외 후보'!AD1116)),'선정 규칙'!$B$20,0)</x:f>
        <x:v>0</x:v>
      </x:c>
      <x:c r="I1116" s="11" t="n">
        <x:f>IF(ISNUMBER(SEARCH("weak_legacy_content",'제외 후보'!P1116)),'선정 규칙'!$B$21,0)</x:f>
        <x:v>5</x:v>
      </x:c>
      <x:c r="J1116" s="11" t="n">
        <x:f>IF('제외 후보'!AC1116&lt;&gt;"",'선정 규칙'!$B$22,0)</x:f>
        <x:v>10</x:v>
      </x:c>
      <x:c r="K1116" s="11" t="n">
        <x:f>SUM(B1116:J1116)</x:f>
        <x:v>-4</x:v>
      </x:c>
      <x:c r="L1116" s="11" t="n">
        <x:f>'제외 후보'!N1116</x:f>
        <x:v>-4</x:v>
      </x:c>
      <x:c r="M1116" s="2" t="str">
        <x:f>IF(K1116=L1116,"OK","MISMATCH")</x:f>
        <x:v>OK</x:v>
      </x:c>
    </x:row>
    <x:row r="1117">
      <x:c r="A1117" s="2" t="str">
        <x:f>'제외 후보'!G1117</x:f>
        <x:v>w_bfb48265cff3313b</x:v>
      </x:c>
      <x:c r="B1117" s="11" t="n">
        <x:f>IF('제외 후보'!Q1117&lt;&gt;"",'선정 규칙'!$B$4,0)</x:f>
        <x:v>0</x:v>
      </x:c>
      <x:c r="C1117" s="11" t="n">
        <x:f>IF(ISNUMBER(SEARCH("jmdict_uncommon_or_irregular",'제외 후보'!P1117)),'선정 규칙'!$B$5,IF(ISNUMBER(SEARCH("jmdict_rare_or_dated",'제외 후보'!P1117)),'선정 규칙'!$B$6,0))</x:f>
        <x:v>0</x:v>
      </x:c>
      <x:c r="D1117" s="11" t="n">
        <x:f>IF(ISNUMBER(SEARCH("jmdict_exact_pair_not_found",'제외 후보'!P1117)),'선정 규칙'!$B$7,0)</x:f>
        <x:v>0</x:v>
      </x:c>
      <x:c r="E1117" s="11" t="n">
        <x:f>IF(OR('제외 후보'!L1117="",'제외 후보'!L1117&lt;=0),'선정 규칙'!$B$8,IF('제외 후보'!L1117&lt;=1.5,'선정 규칙'!$B$9,IF('제외 후보'!L1117&lt;=2,'선정 규칙'!$B$10,IF('제외 후보'!L1117&lt;=2.5,'선정 규칙'!$B$11,IF('제외 후보'!L1117&lt;=3,'선정 규칙'!$B$12,IF('제외 후보'!L1117&lt;=3.5,'선정 규칙'!$B$13,IF('제외 후보'!L1117&gt;=4.5,'선정 규칙'!$B$14,0)))))))</x:f>
        <x:v>0</x:v>
      </x:c>
      <x:c r="F1117" s="11" t="n">
        <x:f>IF('제외 후보'!Y1117=0,'선정 규칙'!$B$15,IF('제외 후보'!Y1117&gt;=100,'선정 규칙'!$B$16,'선정 규칙'!$B$17))</x:f>
        <x:v>-25</x:v>
      </x:c>
      <x:c r="G1117" s="11" t="n">
        <x:f>IF('제외 후보'!M1117="있음",'선정 규칙'!$B$18,'선정 규칙'!$B$19)</x:f>
        <x:v>6</x:v>
      </x:c>
      <x:c r="H1117" s="11" t="n">
        <x:f>IF(ISNUMBER(SEARCH("freq-core",'제외 후보'!AD1117)),'선정 규칙'!$B$20,0)</x:f>
        <x:v>0</x:v>
      </x:c>
      <x:c r="I1117" s="11" t="n">
        <x:f>IF(ISNUMBER(SEARCH("weak_legacy_content",'제외 후보'!P1117)),'선정 규칙'!$B$21,0)</x:f>
        <x:v>5</x:v>
      </x:c>
      <x:c r="J1117" s="11" t="n">
        <x:f>IF('제외 후보'!AC1117&lt;&gt;"",'선정 규칙'!$B$22,0)</x:f>
        <x:v>10</x:v>
      </x:c>
      <x:c r="K1117" s="11" t="n">
        <x:f>SUM(B1117:J1117)</x:f>
        <x:v>-4</x:v>
      </x:c>
      <x:c r="L1117" s="11" t="n">
        <x:f>'제외 후보'!N1117</x:f>
        <x:v>-4</x:v>
      </x:c>
      <x:c r="M1117" s="2" t="str">
        <x:f>IF(K1117=L1117,"OK","MISMATCH")</x:f>
        <x:v>OK</x:v>
      </x:c>
    </x:row>
    <x:row r="1118">
      <x:c r="A1118" s="2" t="str">
        <x:f>'제외 후보'!G1118</x:f>
        <x:v>w_aa4d76b169602e1e</x:v>
      </x:c>
      <x:c r="B1118" s="11" t="n">
        <x:f>IF('제외 후보'!Q1118&lt;&gt;"",'선정 규칙'!$B$4,0)</x:f>
        <x:v>0</x:v>
      </x:c>
      <x:c r="C1118" s="11" t="n">
        <x:f>IF(ISNUMBER(SEARCH("jmdict_uncommon_or_irregular",'제외 후보'!P1118)),'선정 규칙'!$B$5,IF(ISNUMBER(SEARCH("jmdict_rare_or_dated",'제외 후보'!P1118)),'선정 규칙'!$B$6,0))</x:f>
        <x:v>0</x:v>
      </x:c>
      <x:c r="D1118" s="11" t="n">
        <x:f>IF(ISNUMBER(SEARCH("jmdict_exact_pair_not_found",'제외 후보'!P1118)),'선정 규칙'!$B$7,0)</x:f>
        <x:v>0</x:v>
      </x:c>
      <x:c r="E1118" s="11" t="n">
        <x:f>IF(OR('제외 후보'!L1118="",'제외 후보'!L1118&lt;=0),'선정 규칙'!$B$8,IF('제외 후보'!L1118&lt;=1.5,'선정 규칙'!$B$9,IF('제외 후보'!L1118&lt;=2,'선정 규칙'!$B$10,IF('제외 후보'!L1118&lt;=2.5,'선정 규칙'!$B$11,IF('제외 후보'!L1118&lt;=3,'선정 규칙'!$B$12,IF('제외 후보'!L1118&lt;=3.5,'선정 규칙'!$B$13,IF('제외 후보'!L1118&gt;=4.5,'선정 규칙'!$B$14,0)))))))</x:f>
        <x:v>0</x:v>
      </x:c>
      <x:c r="F1118" s="11" t="n">
        <x:f>IF('제외 후보'!Y1118=0,'선정 규칙'!$B$15,IF('제외 후보'!Y1118&gt;=100,'선정 규칙'!$B$16,'선정 규칙'!$B$17))</x:f>
        <x:v>-25</x:v>
      </x:c>
      <x:c r="G1118" s="11" t="n">
        <x:f>IF('제외 후보'!M1118="있음",'선정 규칙'!$B$18,'선정 규칙'!$B$19)</x:f>
        <x:v>6</x:v>
      </x:c>
      <x:c r="H1118" s="11" t="n">
        <x:f>IF(ISNUMBER(SEARCH("freq-core",'제외 후보'!AD1118)),'선정 규칙'!$B$20,0)</x:f>
        <x:v>0</x:v>
      </x:c>
      <x:c r="I1118" s="11" t="n">
        <x:f>IF(ISNUMBER(SEARCH("weak_legacy_content",'제외 후보'!P1118)),'선정 규칙'!$B$21,0)</x:f>
        <x:v>5</x:v>
      </x:c>
      <x:c r="J1118" s="11" t="n">
        <x:f>IF('제외 후보'!AC1118&lt;&gt;"",'선정 규칙'!$B$22,0)</x:f>
        <x:v>10</x:v>
      </x:c>
      <x:c r="K1118" s="11" t="n">
        <x:f>SUM(B1118:J1118)</x:f>
        <x:v>-4</x:v>
      </x:c>
      <x:c r="L1118" s="11" t="n">
        <x:f>'제외 후보'!N1118</x:f>
        <x:v>-4</x:v>
      </x:c>
      <x:c r="M1118" s="2" t="str">
        <x:f>IF(K1118=L1118,"OK","MISMATCH")</x:f>
        <x:v>OK</x:v>
      </x:c>
    </x:row>
    <x:row r="1119">
      <x:c r="A1119" s="2" t="str">
        <x:f>'제외 후보'!G1119</x:f>
        <x:v>w_21dd11caaa9c3389</x:v>
      </x:c>
      <x:c r="B1119" s="11" t="n">
        <x:f>IF('제외 후보'!Q1119&lt;&gt;"",'선정 규칙'!$B$4,0)</x:f>
        <x:v>0</x:v>
      </x:c>
      <x:c r="C1119" s="11" t="n">
        <x:f>IF(ISNUMBER(SEARCH("jmdict_uncommon_or_irregular",'제외 후보'!P1119)),'선정 규칙'!$B$5,IF(ISNUMBER(SEARCH("jmdict_rare_or_dated",'제외 후보'!P1119)),'선정 규칙'!$B$6,0))</x:f>
        <x:v>0</x:v>
      </x:c>
      <x:c r="D1119" s="11" t="n">
        <x:f>IF(ISNUMBER(SEARCH("jmdict_exact_pair_not_found",'제외 후보'!P1119)),'선정 규칙'!$B$7,0)</x:f>
        <x:v>0</x:v>
      </x:c>
      <x:c r="E1119" s="11" t="n">
        <x:f>IF(OR('제외 후보'!L1119="",'제외 후보'!L1119&lt;=0),'선정 규칙'!$B$8,IF('제외 후보'!L1119&lt;=1.5,'선정 규칙'!$B$9,IF('제외 후보'!L1119&lt;=2,'선정 규칙'!$B$10,IF('제외 후보'!L1119&lt;=2.5,'선정 규칙'!$B$11,IF('제외 후보'!L1119&lt;=3,'선정 규칙'!$B$12,IF('제외 후보'!L1119&lt;=3.5,'선정 규칙'!$B$13,IF('제외 후보'!L1119&gt;=4.5,'선정 규칙'!$B$14,0)))))))</x:f>
        <x:v>0</x:v>
      </x:c>
      <x:c r="F1119" s="11" t="n">
        <x:f>IF('제외 후보'!Y1119=0,'선정 규칙'!$B$15,IF('제외 후보'!Y1119&gt;=100,'선정 규칙'!$B$16,'선정 규칙'!$B$17))</x:f>
        <x:v>-25</x:v>
      </x:c>
      <x:c r="G1119" s="11" t="n">
        <x:f>IF('제외 후보'!M1119="있음",'선정 규칙'!$B$18,'선정 규칙'!$B$19)</x:f>
        <x:v>6</x:v>
      </x:c>
      <x:c r="H1119" s="11" t="n">
        <x:f>IF(ISNUMBER(SEARCH("freq-core",'제외 후보'!AD1119)),'선정 규칙'!$B$20,0)</x:f>
        <x:v>0</x:v>
      </x:c>
      <x:c r="I1119" s="11" t="n">
        <x:f>IF(ISNUMBER(SEARCH("weak_legacy_content",'제외 후보'!P1119)),'선정 규칙'!$B$21,0)</x:f>
        <x:v>5</x:v>
      </x:c>
      <x:c r="J1119" s="11" t="n">
        <x:f>IF('제외 후보'!AC1119&lt;&gt;"",'선정 규칙'!$B$22,0)</x:f>
        <x:v>10</x:v>
      </x:c>
      <x:c r="K1119" s="11" t="n">
        <x:f>SUM(B1119:J1119)</x:f>
        <x:v>-4</x:v>
      </x:c>
      <x:c r="L1119" s="11" t="n">
        <x:f>'제외 후보'!N1119</x:f>
        <x:v>-4</x:v>
      </x:c>
      <x:c r="M1119" s="2" t="str">
        <x:f>IF(K1119=L1119,"OK","MISMATCH")</x:f>
        <x:v>OK</x:v>
      </x:c>
    </x:row>
    <x:row r="1120">
      <x:c r="A1120" s="2" t="str">
        <x:f>'제외 후보'!G1120</x:f>
        <x:v>w_abdbc6b15184187d</x:v>
      </x:c>
      <x:c r="B1120" s="11" t="n">
        <x:f>IF('제외 후보'!Q1120&lt;&gt;"",'선정 규칙'!$B$4,0)</x:f>
        <x:v>0</x:v>
      </x:c>
      <x:c r="C1120" s="11" t="n">
        <x:f>IF(ISNUMBER(SEARCH("jmdict_uncommon_or_irregular",'제외 후보'!P1120)),'선정 규칙'!$B$5,IF(ISNUMBER(SEARCH("jmdict_rare_or_dated",'제외 후보'!P1120)),'선정 규칙'!$B$6,0))</x:f>
        <x:v>0</x:v>
      </x:c>
      <x:c r="D1120" s="11" t="n">
        <x:f>IF(ISNUMBER(SEARCH("jmdict_exact_pair_not_found",'제외 후보'!P1120)),'선정 규칙'!$B$7,0)</x:f>
        <x:v>0</x:v>
      </x:c>
      <x:c r="E1120" s="11" t="n">
        <x:f>IF(OR('제외 후보'!L1120="",'제외 후보'!L1120&lt;=0),'선정 규칙'!$B$8,IF('제외 후보'!L1120&lt;=1.5,'선정 규칙'!$B$9,IF('제외 후보'!L1120&lt;=2,'선정 규칙'!$B$10,IF('제외 후보'!L1120&lt;=2.5,'선정 규칙'!$B$11,IF('제외 후보'!L1120&lt;=3,'선정 규칙'!$B$12,IF('제외 후보'!L1120&lt;=3.5,'선정 규칙'!$B$13,IF('제외 후보'!L1120&gt;=4.5,'선정 규칙'!$B$14,0)))))))</x:f>
        <x:v>0</x:v>
      </x:c>
      <x:c r="F1120" s="11" t="n">
        <x:f>IF('제외 후보'!Y1120=0,'선정 규칙'!$B$15,IF('제외 후보'!Y1120&gt;=100,'선정 규칙'!$B$16,'선정 규칙'!$B$17))</x:f>
        <x:v>-25</x:v>
      </x:c>
      <x:c r="G1120" s="11" t="n">
        <x:f>IF('제외 후보'!M1120="있음",'선정 규칙'!$B$18,'선정 규칙'!$B$19)</x:f>
        <x:v>6</x:v>
      </x:c>
      <x:c r="H1120" s="11" t="n">
        <x:f>IF(ISNUMBER(SEARCH("freq-core",'제외 후보'!AD1120)),'선정 규칙'!$B$20,0)</x:f>
        <x:v>0</x:v>
      </x:c>
      <x:c r="I1120" s="11" t="n">
        <x:f>IF(ISNUMBER(SEARCH("weak_legacy_content",'제외 후보'!P1120)),'선정 규칙'!$B$21,0)</x:f>
        <x:v>5</x:v>
      </x:c>
      <x:c r="J1120" s="11" t="n">
        <x:f>IF('제외 후보'!AC1120&lt;&gt;"",'선정 규칙'!$B$22,0)</x:f>
        <x:v>10</x:v>
      </x:c>
      <x:c r="K1120" s="11" t="n">
        <x:f>SUM(B1120:J1120)</x:f>
        <x:v>-4</x:v>
      </x:c>
      <x:c r="L1120" s="11" t="n">
        <x:f>'제외 후보'!N1120</x:f>
        <x:v>-4</x:v>
      </x:c>
      <x:c r="M1120" s="2" t="str">
        <x:f>IF(K1120=L1120,"OK","MISMATCH")</x:f>
        <x:v>OK</x:v>
      </x:c>
    </x:row>
    <x:row r="1121">
      <x:c r="A1121" s="2" t="str">
        <x:f>'제외 후보'!G1121</x:f>
        <x:v>w_b98563c83919ac09</x:v>
      </x:c>
      <x:c r="B1121" s="11" t="n">
        <x:f>IF('제외 후보'!Q1121&lt;&gt;"",'선정 규칙'!$B$4,0)</x:f>
        <x:v>0</x:v>
      </x:c>
      <x:c r="C1121" s="11" t="n">
        <x:f>IF(ISNUMBER(SEARCH("jmdict_uncommon_or_irregular",'제외 후보'!P1121)),'선정 규칙'!$B$5,IF(ISNUMBER(SEARCH("jmdict_rare_or_dated",'제외 후보'!P1121)),'선정 규칙'!$B$6,0))</x:f>
        <x:v>0</x:v>
      </x:c>
      <x:c r="D1121" s="11" t="n">
        <x:f>IF(ISNUMBER(SEARCH("jmdict_exact_pair_not_found",'제외 후보'!P1121)),'선정 규칙'!$B$7,0)</x:f>
        <x:v>0</x:v>
      </x:c>
      <x:c r="E1121" s="11" t="n">
        <x:f>IF(OR('제외 후보'!L1121="",'제외 후보'!L1121&lt;=0),'선정 규칙'!$B$8,IF('제외 후보'!L1121&lt;=1.5,'선정 규칙'!$B$9,IF('제외 후보'!L1121&lt;=2,'선정 규칙'!$B$10,IF('제외 후보'!L1121&lt;=2.5,'선정 규칙'!$B$11,IF('제외 후보'!L1121&lt;=3,'선정 규칙'!$B$12,IF('제외 후보'!L1121&lt;=3.5,'선정 규칙'!$B$13,IF('제외 후보'!L1121&gt;=4.5,'선정 규칙'!$B$14,0)))))))</x:f>
        <x:v>0</x:v>
      </x:c>
      <x:c r="F1121" s="11" t="n">
        <x:f>IF('제외 후보'!Y1121=0,'선정 규칙'!$B$15,IF('제외 후보'!Y1121&gt;=100,'선정 규칙'!$B$16,'선정 규칙'!$B$17))</x:f>
        <x:v>-25</x:v>
      </x:c>
      <x:c r="G1121" s="11" t="n">
        <x:f>IF('제외 후보'!M1121="있음",'선정 규칙'!$B$18,'선정 규칙'!$B$19)</x:f>
        <x:v>6</x:v>
      </x:c>
      <x:c r="H1121" s="11" t="n">
        <x:f>IF(ISNUMBER(SEARCH("freq-core",'제외 후보'!AD1121)),'선정 규칙'!$B$20,0)</x:f>
        <x:v>0</x:v>
      </x:c>
      <x:c r="I1121" s="11" t="n">
        <x:f>IF(ISNUMBER(SEARCH("weak_legacy_content",'제외 후보'!P1121)),'선정 규칙'!$B$21,0)</x:f>
        <x:v>5</x:v>
      </x:c>
      <x:c r="J1121" s="11" t="n">
        <x:f>IF('제외 후보'!AC1121&lt;&gt;"",'선정 규칙'!$B$22,0)</x:f>
        <x:v>10</x:v>
      </x:c>
      <x:c r="K1121" s="11" t="n">
        <x:f>SUM(B1121:J1121)</x:f>
        <x:v>-4</x:v>
      </x:c>
      <x:c r="L1121" s="11" t="n">
        <x:f>'제외 후보'!N1121</x:f>
        <x:v>-4</x:v>
      </x:c>
      <x:c r="M1121" s="2" t="str">
        <x:f>IF(K1121=L1121,"OK","MISMATCH")</x:f>
        <x:v>OK</x:v>
      </x:c>
    </x:row>
    <x:row r="1122">
      <x:c r="A1122" s="2" t="str">
        <x:f>'제외 후보'!G1122</x:f>
        <x:v>w_45c375e94f7656fe</x:v>
      </x:c>
      <x:c r="B1122" s="11" t="n">
        <x:f>IF('제외 후보'!Q1122&lt;&gt;"",'선정 규칙'!$B$4,0)</x:f>
        <x:v>0</x:v>
      </x:c>
      <x:c r="C1122" s="11" t="n">
        <x:f>IF(ISNUMBER(SEARCH("jmdict_uncommon_or_irregular",'제외 후보'!P1122)),'선정 규칙'!$B$5,IF(ISNUMBER(SEARCH("jmdict_rare_or_dated",'제외 후보'!P1122)),'선정 규칙'!$B$6,0))</x:f>
        <x:v>0</x:v>
      </x:c>
      <x:c r="D1122" s="11" t="n">
        <x:f>IF(ISNUMBER(SEARCH("jmdict_exact_pair_not_found",'제외 후보'!P1122)),'선정 규칙'!$B$7,0)</x:f>
        <x:v>0</x:v>
      </x:c>
      <x:c r="E1122" s="11" t="n">
        <x:f>IF(OR('제외 후보'!L1122="",'제외 후보'!L1122&lt;=0),'선정 규칙'!$B$8,IF('제외 후보'!L1122&lt;=1.5,'선정 규칙'!$B$9,IF('제외 후보'!L1122&lt;=2,'선정 규칙'!$B$10,IF('제외 후보'!L1122&lt;=2.5,'선정 규칙'!$B$11,IF('제외 후보'!L1122&lt;=3,'선정 규칙'!$B$12,IF('제외 후보'!L1122&lt;=3.5,'선정 규칙'!$B$13,IF('제외 후보'!L1122&gt;=4.5,'선정 규칙'!$B$14,0)))))))</x:f>
        <x:v>0</x:v>
      </x:c>
      <x:c r="F1122" s="11" t="n">
        <x:f>IF('제외 후보'!Y1122=0,'선정 규칙'!$B$15,IF('제외 후보'!Y1122&gt;=100,'선정 규칙'!$B$16,'선정 규칙'!$B$17))</x:f>
        <x:v>-25</x:v>
      </x:c>
      <x:c r="G1122" s="11" t="n">
        <x:f>IF('제외 후보'!M1122="있음",'선정 규칙'!$B$18,'선정 규칙'!$B$19)</x:f>
        <x:v>6</x:v>
      </x:c>
      <x:c r="H1122" s="11" t="n">
        <x:f>IF(ISNUMBER(SEARCH("freq-core",'제외 후보'!AD1122)),'선정 규칙'!$B$20,0)</x:f>
        <x:v>0</x:v>
      </x:c>
      <x:c r="I1122" s="11" t="n">
        <x:f>IF(ISNUMBER(SEARCH("weak_legacy_content",'제외 후보'!P1122)),'선정 규칙'!$B$21,0)</x:f>
        <x:v>5</x:v>
      </x:c>
      <x:c r="J1122" s="11" t="n">
        <x:f>IF('제외 후보'!AC1122&lt;&gt;"",'선정 규칙'!$B$22,0)</x:f>
        <x:v>10</x:v>
      </x:c>
      <x:c r="K1122" s="11" t="n">
        <x:f>SUM(B1122:J1122)</x:f>
        <x:v>-4</x:v>
      </x:c>
      <x:c r="L1122" s="11" t="n">
        <x:f>'제외 후보'!N1122</x:f>
        <x:v>-4</x:v>
      </x:c>
      <x:c r="M1122" s="2" t="str">
        <x:f>IF(K1122=L1122,"OK","MISMATCH")</x:f>
        <x:v>OK</x:v>
      </x:c>
    </x:row>
    <x:row r="1123">
      <x:c r="A1123" s="2" t="str">
        <x:f>'제외 후보'!G1123</x:f>
        <x:v>w_c03bc787703f423b</x:v>
      </x:c>
      <x:c r="B1123" s="11" t="n">
        <x:f>IF('제외 후보'!Q1123&lt;&gt;"",'선정 규칙'!$B$4,0)</x:f>
        <x:v>0</x:v>
      </x:c>
      <x:c r="C1123" s="11" t="n">
        <x:f>IF(ISNUMBER(SEARCH("jmdict_uncommon_or_irregular",'제외 후보'!P1123)),'선정 규칙'!$B$5,IF(ISNUMBER(SEARCH("jmdict_rare_or_dated",'제외 후보'!P1123)),'선정 규칙'!$B$6,0))</x:f>
        <x:v>0</x:v>
      </x:c>
      <x:c r="D1123" s="11" t="n">
        <x:f>IF(ISNUMBER(SEARCH("jmdict_exact_pair_not_found",'제외 후보'!P1123)),'선정 규칙'!$B$7,0)</x:f>
        <x:v>0</x:v>
      </x:c>
      <x:c r="E1123" s="11" t="n">
        <x:f>IF(OR('제외 후보'!L1123="",'제외 후보'!L1123&lt;=0),'선정 규칙'!$B$8,IF('제외 후보'!L1123&lt;=1.5,'선정 규칙'!$B$9,IF('제외 후보'!L1123&lt;=2,'선정 규칙'!$B$10,IF('제외 후보'!L1123&lt;=2.5,'선정 규칙'!$B$11,IF('제외 후보'!L1123&lt;=3,'선정 규칙'!$B$12,IF('제외 후보'!L1123&lt;=3.5,'선정 규칙'!$B$13,IF('제외 후보'!L1123&gt;=4.5,'선정 규칙'!$B$14,0)))))))</x:f>
        <x:v>0</x:v>
      </x:c>
      <x:c r="F1123" s="11" t="n">
        <x:f>IF('제외 후보'!Y1123=0,'선정 규칙'!$B$15,IF('제외 후보'!Y1123&gt;=100,'선정 규칙'!$B$16,'선정 규칙'!$B$17))</x:f>
        <x:v>-25</x:v>
      </x:c>
      <x:c r="G1123" s="11" t="n">
        <x:f>IF('제외 후보'!M1123="있음",'선정 규칙'!$B$18,'선정 규칙'!$B$19)</x:f>
        <x:v>6</x:v>
      </x:c>
      <x:c r="H1123" s="11" t="n">
        <x:f>IF(ISNUMBER(SEARCH("freq-core",'제외 후보'!AD1123)),'선정 규칙'!$B$20,0)</x:f>
        <x:v>0</x:v>
      </x:c>
      <x:c r="I1123" s="11" t="n">
        <x:f>IF(ISNUMBER(SEARCH("weak_legacy_content",'제외 후보'!P1123)),'선정 규칙'!$B$21,0)</x:f>
        <x:v>5</x:v>
      </x:c>
      <x:c r="J1123" s="11" t="n">
        <x:f>IF('제외 후보'!AC1123&lt;&gt;"",'선정 규칙'!$B$22,0)</x:f>
        <x:v>10</x:v>
      </x:c>
      <x:c r="K1123" s="11" t="n">
        <x:f>SUM(B1123:J1123)</x:f>
        <x:v>-4</x:v>
      </x:c>
      <x:c r="L1123" s="11" t="n">
        <x:f>'제외 후보'!N1123</x:f>
        <x:v>-4</x:v>
      </x:c>
      <x:c r="M1123" s="2" t="str">
        <x:f>IF(K1123=L1123,"OK","MISMATCH")</x:f>
        <x:v>OK</x:v>
      </x:c>
    </x:row>
    <x:row r="1124">
      <x:c r="A1124" s="2" t="str">
        <x:f>'제외 후보'!G1124</x:f>
        <x:v>w_e95c54bc071c4506</x:v>
      </x:c>
      <x:c r="B1124" s="11" t="n">
        <x:f>IF('제외 후보'!Q1124&lt;&gt;"",'선정 규칙'!$B$4,0)</x:f>
        <x:v>0</x:v>
      </x:c>
      <x:c r="C1124" s="11" t="n">
        <x:f>IF(ISNUMBER(SEARCH("jmdict_uncommon_or_irregular",'제외 후보'!P1124)),'선정 규칙'!$B$5,IF(ISNUMBER(SEARCH("jmdict_rare_or_dated",'제외 후보'!P1124)),'선정 규칙'!$B$6,0))</x:f>
        <x:v>0</x:v>
      </x:c>
      <x:c r="D1124" s="11" t="n">
        <x:f>IF(ISNUMBER(SEARCH("jmdict_exact_pair_not_found",'제외 후보'!P1124)),'선정 규칙'!$B$7,0)</x:f>
        <x:v>0</x:v>
      </x:c>
      <x:c r="E1124" s="11" t="n">
        <x:f>IF(OR('제외 후보'!L1124="",'제외 후보'!L1124&lt;=0),'선정 규칙'!$B$8,IF('제외 후보'!L1124&lt;=1.5,'선정 규칙'!$B$9,IF('제외 후보'!L1124&lt;=2,'선정 규칙'!$B$10,IF('제외 후보'!L1124&lt;=2.5,'선정 규칙'!$B$11,IF('제외 후보'!L1124&lt;=3,'선정 규칙'!$B$12,IF('제외 후보'!L1124&lt;=3.5,'선정 규칙'!$B$13,IF('제외 후보'!L1124&gt;=4.5,'선정 규칙'!$B$14,0)))))))</x:f>
        <x:v>0</x:v>
      </x:c>
      <x:c r="F1124" s="11" t="n">
        <x:f>IF('제외 후보'!Y1124=0,'선정 규칙'!$B$15,IF('제외 후보'!Y1124&gt;=100,'선정 규칙'!$B$16,'선정 규칙'!$B$17))</x:f>
        <x:v>-25</x:v>
      </x:c>
      <x:c r="G1124" s="11" t="n">
        <x:f>IF('제외 후보'!M1124="있음",'선정 규칙'!$B$18,'선정 규칙'!$B$19)</x:f>
        <x:v>6</x:v>
      </x:c>
      <x:c r="H1124" s="11" t="n">
        <x:f>IF(ISNUMBER(SEARCH("freq-core",'제외 후보'!AD1124)),'선정 규칙'!$B$20,0)</x:f>
        <x:v>0</x:v>
      </x:c>
      <x:c r="I1124" s="11" t="n">
        <x:f>IF(ISNUMBER(SEARCH("weak_legacy_content",'제외 후보'!P1124)),'선정 규칙'!$B$21,0)</x:f>
        <x:v>5</x:v>
      </x:c>
      <x:c r="J1124" s="11" t="n">
        <x:f>IF('제외 후보'!AC1124&lt;&gt;"",'선정 규칙'!$B$22,0)</x:f>
        <x:v>10</x:v>
      </x:c>
      <x:c r="K1124" s="11" t="n">
        <x:f>SUM(B1124:J1124)</x:f>
        <x:v>-4</x:v>
      </x:c>
      <x:c r="L1124" s="11" t="n">
        <x:f>'제외 후보'!N1124</x:f>
        <x:v>-4</x:v>
      </x:c>
      <x:c r="M1124" s="2" t="str">
        <x:f>IF(K1124=L1124,"OK","MISMATCH")</x:f>
        <x:v>OK</x:v>
      </x:c>
    </x:row>
    <x:row r="1125">
      <x:c r="A1125" s="2" t="str">
        <x:f>'제외 후보'!G1125</x:f>
        <x:v>w_9c014cb5652a4679</x:v>
      </x:c>
      <x:c r="B1125" s="11" t="n">
        <x:f>IF('제외 후보'!Q1125&lt;&gt;"",'선정 규칙'!$B$4,0)</x:f>
        <x:v>0</x:v>
      </x:c>
      <x:c r="C1125" s="11" t="n">
        <x:f>IF(ISNUMBER(SEARCH("jmdict_uncommon_or_irregular",'제외 후보'!P1125)),'선정 규칙'!$B$5,IF(ISNUMBER(SEARCH("jmdict_rare_or_dated",'제외 후보'!P1125)),'선정 규칙'!$B$6,0))</x:f>
        <x:v>0</x:v>
      </x:c>
      <x:c r="D1125" s="11" t="n">
        <x:f>IF(ISNUMBER(SEARCH("jmdict_exact_pair_not_found",'제외 후보'!P1125)),'선정 규칙'!$B$7,0)</x:f>
        <x:v>0</x:v>
      </x:c>
      <x:c r="E1125" s="11" t="n">
        <x:f>IF(OR('제외 후보'!L1125="",'제외 후보'!L1125&lt;=0),'선정 규칙'!$B$8,IF('제외 후보'!L1125&lt;=1.5,'선정 규칙'!$B$9,IF('제외 후보'!L1125&lt;=2,'선정 규칙'!$B$10,IF('제외 후보'!L1125&lt;=2.5,'선정 규칙'!$B$11,IF('제외 후보'!L1125&lt;=3,'선정 규칙'!$B$12,IF('제외 후보'!L1125&lt;=3.5,'선정 규칙'!$B$13,IF('제외 후보'!L1125&gt;=4.5,'선정 규칙'!$B$14,0)))))))</x:f>
        <x:v>0</x:v>
      </x:c>
      <x:c r="F1125" s="11" t="n">
        <x:f>IF('제외 후보'!Y1125=0,'선정 규칙'!$B$15,IF('제외 후보'!Y1125&gt;=100,'선정 규칙'!$B$16,'선정 규칙'!$B$17))</x:f>
        <x:v>-25</x:v>
      </x:c>
      <x:c r="G1125" s="11" t="n">
        <x:f>IF('제외 후보'!M1125="있음",'선정 규칙'!$B$18,'선정 규칙'!$B$19)</x:f>
        <x:v>6</x:v>
      </x:c>
      <x:c r="H1125" s="11" t="n">
        <x:f>IF(ISNUMBER(SEARCH("freq-core",'제외 후보'!AD1125)),'선정 규칙'!$B$20,0)</x:f>
        <x:v>0</x:v>
      </x:c>
      <x:c r="I1125" s="11" t="n">
        <x:f>IF(ISNUMBER(SEARCH("weak_legacy_content",'제외 후보'!P1125)),'선정 규칙'!$B$21,0)</x:f>
        <x:v>5</x:v>
      </x:c>
      <x:c r="J1125" s="11" t="n">
        <x:f>IF('제외 후보'!AC1125&lt;&gt;"",'선정 규칙'!$B$22,0)</x:f>
        <x:v>10</x:v>
      </x:c>
      <x:c r="K1125" s="11" t="n">
        <x:f>SUM(B1125:J1125)</x:f>
        <x:v>-4</x:v>
      </x:c>
      <x:c r="L1125" s="11" t="n">
        <x:f>'제외 후보'!N1125</x:f>
        <x:v>-4</x:v>
      </x:c>
      <x:c r="M1125" s="2" t="str">
        <x:f>IF(K1125=L1125,"OK","MISMATCH")</x:f>
        <x:v>OK</x:v>
      </x:c>
    </x:row>
    <x:row r="1126">
      <x:c r="A1126" s="2" t="str">
        <x:f>'제외 후보'!G1126</x:f>
        <x:v>w_ae7c649b01299fea</x:v>
      </x:c>
      <x:c r="B1126" s="11" t="n">
        <x:f>IF('제외 후보'!Q1126&lt;&gt;"",'선정 규칙'!$B$4,0)</x:f>
        <x:v>0</x:v>
      </x:c>
      <x:c r="C1126" s="11" t="n">
        <x:f>IF(ISNUMBER(SEARCH("jmdict_uncommon_or_irregular",'제외 후보'!P1126)),'선정 규칙'!$B$5,IF(ISNUMBER(SEARCH("jmdict_rare_or_dated",'제외 후보'!P1126)),'선정 규칙'!$B$6,0))</x:f>
        <x:v>0</x:v>
      </x:c>
      <x:c r="D1126" s="11" t="n">
        <x:f>IF(ISNUMBER(SEARCH("jmdict_exact_pair_not_found",'제외 후보'!P1126)),'선정 규칙'!$B$7,0)</x:f>
        <x:v>0</x:v>
      </x:c>
      <x:c r="E1126" s="11" t="n">
        <x:f>IF(OR('제외 후보'!L1126="",'제외 후보'!L1126&lt;=0),'선정 규칙'!$B$8,IF('제외 후보'!L1126&lt;=1.5,'선정 규칙'!$B$9,IF('제외 후보'!L1126&lt;=2,'선정 규칙'!$B$10,IF('제외 후보'!L1126&lt;=2.5,'선정 규칙'!$B$11,IF('제외 후보'!L1126&lt;=3,'선정 규칙'!$B$12,IF('제외 후보'!L1126&lt;=3.5,'선정 규칙'!$B$13,IF('제외 후보'!L1126&gt;=4.5,'선정 규칙'!$B$14,0)))))))</x:f>
        <x:v>0</x:v>
      </x:c>
      <x:c r="F1126" s="11" t="n">
        <x:f>IF('제외 후보'!Y1126=0,'선정 규칙'!$B$15,IF('제외 후보'!Y1126&gt;=100,'선정 규칙'!$B$16,'선정 규칙'!$B$17))</x:f>
        <x:v>-25</x:v>
      </x:c>
      <x:c r="G1126" s="11" t="n">
        <x:f>IF('제외 후보'!M1126="있음",'선정 규칙'!$B$18,'선정 규칙'!$B$19)</x:f>
        <x:v>6</x:v>
      </x:c>
      <x:c r="H1126" s="11" t="n">
        <x:f>IF(ISNUMBER(SEARCH("freq-core",'제외 후보'!AD1126)),'선정 규칙'!$B$20,0)</x:f>
        <x:v>0</x:v>
      </x:c>
      <x:c r="I1126" s="11" t="n">
        <x:f>IF(ISNUMBER(SEARCH("weak_legacy_content",'제외 후보'!P1126)),'선정 규칙'!$B$21,0)</x:f>
        <x:v>5</x:v>
      </x:c>
      <x:c r="J1126" s="11" t="n">
        <x:f>IF('제외 후보'!AC1126&lt;&gt;"",'선정 규칙'!$B$22,0)</x:f>
        <x:v>10</x:v>
      </x:c>
      <x:c r="K1126" s="11" t="n">
        <x:f>SUM(B1126:J1126)</x:f>
        <x:v>-4</x:v>
      </x:c>
      <x:c r="L1126" s="11" t="n">
        <x:f>'제외 후보'!N1126</x:f>
        <x:v>-4</x:v>
      </x:c>
      <x:c r="M1126" s="2" t="str">
        <x:f>IF(K1126=L1126,"OK","MISMATCH")</x:f>
        <x:v>OK</x:v>
      </x:c>
    </x:row>
    <x:row r="1127">
      <x:c r="A1127" s="2" t="str">
        <x:f>'제외 후보'!G1127</x:f>
        <x:v>w_73a4105d9b3edf00</x:v>
      </x:c>
      <x:c r="B1127" s="11" t="n">
        <x:f>IF('제외 후보'!Q1127&lt;&gt;"",'선정 규칙'!$B$4,0)</x:f>
        <x:v>0</x:v>
      </x:c>
      <x:c r="C1127" s="11" t="n">
        <x:f>IF(ISNUMBER(SEARCH("jmdict_uncommon_or_irregular",'제외 후보'!P1127)),'선정 규칙'!$B$5,IF(ISNUMBER(SEARCH("jmdict_rare_or_dated",'제외 후보'!P1127)),'선정 규칙'!$B$6,0))</x:f>
        <x:v>0</x:v>
      </x:c>
      <x:c r="D1127" s="11" t="n">
        <x:f>IF(ISNUMBER(SEARCH("jmdict_exact_pair_not_found",'제외 후보'!P1127)),'선정 규칙'!$B$7,0)</x:f>
        <x:v>0</x:v>
      </x:c>
      <x:c r="E1127" s="11" t="n">
        <x:f>IF(OR('제외 후보'!L1127="",'제외 후보'!L1127&lt;=0),'선정 규칙'!$B$8,IF('제외 후보'!L1127&lt;=1.5,'선정 규칙'!$B$9,IF('제외 후보'!L1127&lt;=2,'선정 규칙'!$B$10,IF('제외 후보'!L1127&lt;=2.5,'선정 규칙'!$B$11,IF('제외 후보'!L1127&lt;=3,'선정 규칙'!$B$12,IF('제외 후보'!L1127&lt;=3.5,'선정 규칙'!$B$13,IF('제외 후보'!L1127&gt;=4.5,'선정 규칙'!$B$14,0)))))))</x:f>
        <x:v>0</x:v>
      </x:c>
      <x:c r="F1127" s="11" t="n">
        <x:f>IF('제외 후보'!Y1127=0,'선정 규칙'!$B$15,IF('제외 후보'!Y1127&gt;=100,'선정 규칙'!$B$16,'선정 규칙'!$B$17))</x:f>
        <x:v>-25</x:v>
      </x:c>
      <x:c r="G1127" s="11" t="n">
        <x:f>IF('제외 후보'!M1127="있음",'선정 규칙'!$B$18,'선정 규칙'!$B$19)</x:f>
        <x:v>6</x:v>
      </x:c>
      <x:c r="H1127" s="11" t="n">
        <x:f>IF(ISNUMBER(SEARCH("freq-core",'제외 후보'!AD1127)),'선정 규칙'!$B$20,0)</x:f>
        <x:v>0</x:v>
      </x:c>
      <x:c r="I1127" s="11" t="n">
        <x:f>IF(ISNUMBER(SEARCH("weak_legacy_content",'제외 후보'!P1127)),'선정 규칙'!$B$21,0)</x:f>
        <x:v>5</x:v>
      </x:c>
      <x:c r="J1127" s="11" t="n">
        <x:f>IF('제외 후보'!AC1127&lt;&gt;"",'선정 규칙'!$B$22,0)</x:f>
        <x:v>10</x:v>
      </x:c>
      <x:c r="K1127" s="11" t="n">
        <x:f>SUM(B1127:J1127)</x:f>
        <x:v>-4</x:v>
      </x:c>
      <x:c r="L1127" s="11" t="n">
        <x:f>'제외 후보'!N1127</x:f>
        <x:v>-4</x:v>
      </x:c>
      <x:c r="M1127" s="2" t="str">
        <x:f>IF(K1127=L1127,"OK","MISMATCH")</x:f>
        <x:v>OK</x:v>
      </x:c>
    </x:row>
    <x:row r="1128">
      <x:c r="A1128" s="2" t="str">
        <x:f>'제외 후보'!G1128</x:f>
        <x:v>w_6fb96ccf6fde1b64</x:v>
      </x:c>
      <x:c r="B1128" s="11" t="n">
        <x:f>IF('제외 후보'!Q1128&lt;&gt;"",'선정 규칙'!$B$4,0)</x:f>
        <x:v>0</x:v>
      </x:c>
      <x:c r="C1128" s="11" t="n">
        <x:f>IF(ISNUMBER(SEARCH("jmdict_uncommon_or_irregular",'제외 후보'!P1128)),'선정 규칙'!$B$5,IF(ISNUMBER(SEARCH("jmdict_rare_or_dated",'제외 후보'!P1128)),'선정 규칙'!$B$6,0))</x:f>
        <x:v>0</x:v>
      </x:c>
      <x:c r="D1128" s="11" t="n">
        <x:f>IF(ISNUMBER(SEARCH("jmdict_exact_pair_not_found",'제외 후보'!P1128)),'선정 규칙'!$B$7,0)</x:f>
        <x:v>0</x:v>
      </x:c>
      <x:c r="E1128" s="11" t="n">
        <x:f>IF(OR('제외 후보'!L1128="",'제외 후보'!L1128&lt;=0),'선정 규칙'!$B$8,IF('제외 후보'!L1128&lt;=1.5,'선정 규칙'!$B$9,IF('제외 후보'!L1128&lt;=2,'선정 규칙'!$B$10,IF('제외 후보'!L1128&lt;=2.5,'선정 규칙'!$B$11,IF('제외 후보'!L1128&lt;=3,'선정 규칙'!$B$12,IF('제외 후보'!L1128&lt;=3.5,'선정 규칙'!$B$13,IF('제외 후보'!L1128&gt;=4.5,'선정 규칙'!$B$14,0)))))))</x:f>
        <x:v>0</x:v>
      </x:c>
      <x:c r="F1128" s="11" t="n">
        <x:f>IF('제외 후보'!Y1128=0,'선정 규칙'!$B$15,IF('제외 후보'!Y1128&gt;=100,'선정 규칙'!$B$16,'선정 규칙'!$B$17))</x:f>
        <x:v>-25</x:v>
      </x:c>
      <x:c r="G1128" s="11" t="n">
        <x:f>IF('제외 후보'!M1128="있음",'선정 규칙'!$B$18,'선정 규칙'!$B$19)</x:f>
        <x:v>6</x:v>
      </x:c>
      <x:c r="H1128" s="11" t="n">
        <x:f>IF(ISNUMBER(SEARCH("freq-core",'제외 후보'!AD1128)),'선정 규칙'!$B$20,0)</x:f>
        <x:v>0</x:v>
      </x:c>
      <x:c r="I1128" s="11" t="n">
        <x:f>IF(ISNUMBER(SEARCH("weak_legacy_content",'제외 후보'!P1128)),'선정 규칙'!$B$21,0)</x:f>
        <x:v>5</x:v>
      </x:c>
      <x:c r="J1128" s="11" t="n">
        <x:f>IF('제외 후보'!AC1128&lt;&gt;"",'선정 규칙'!$B$22,0)</x:f>
        <x:v>10</x:v>
      </x:c>
      <x:c r="K1128" s="11" t="n">
        <x:f>SUM(B1128:J1128)</x:f>
        <x:v>-4</x:v>
      </x:c>
      <x:c r="L1128" s="11" t="n">
        <x:f>'제외 후보'!N1128</x:f>
        <x:v>-4</x:v>
      </x:c>
      <x:c r="M1128" s="2" t="str">
        <x:f>IF(K1128=L1128,"OK","MISMATCH")</x:f>
        <x:v>OK</x:v>
      </x:c>
    </x:row>
    <x:row r="1129">
      <x:c r="A1129" s="2" t="str">
        <x:f>'제외 후보'!G1129</x:f>
        <x:v>w_59ed2c6736f0b5bb</x:v>
      </x:c>
      <x:c r="B1129" s="11" t="n">
        <x:f>IF('제외 후보'!Q1129&lt;&gt;"",'선정 규칙'!$B$4,0)</x:f>
        <x:v>0</x:v>
      </x:c>
      <x:c r="C1129" s="11" t="n">
        <x:f>IF(ISNUMBER(SEARCH("jmdict_uncommon_or_irregular",'제외 후보'!P1129)),'선정 규칙'!$B$5,IF(ISNUMBER(SEARCH("jmdict_rare_or_dated",'제외 후보'!P1129)),'선정 규칙'!$B$6,0))</x:f>
        <x:v>0</x:v>
      </x:c>
      <x:c r="D1129" s="11" t="n">
        <x:f>IF(ISNUMBER(SEARCH("jmdict_exact_pair_not_found",'제외 후보'!P1129)),'선정 규칙'!$B$7,0)</x:f>
        <x:v>0</x:v>
      </x:c>
      <x:c r="E1129" s="11" t="n">
        <x:f>IF(OR('제외 후보'!L1129="",'제외 후보'!L1129&lt;=0),'선정 규칙'!$B$8,IF('제외 후보'!L1129&lt;=1.5,'선정 규칙'!$B$9,IF('제외 후보'!L1129&lt;=2,'선정 규칙'!$B$10,IF('제외 후보'!L1129&lt;=2.5,'선정 규칙'!$B$11,IF('제외 후보'!L1129&lt;=3,'선정 규칙'!$B$12,IF('제외 후보'!L1129&lt;=3.5,'선정 규칙'!$B$13,IF('제외 후보'!L1129&gt;=4.5,'선정 규칙'!$B$14,0)))))))</x:f>
        <x:v>0</x:v>
      </x:c>
      <x:c r="F1129" s="11" t="n">
        <x:f>IF('제외 후보'!Y1129=0,'선정 규칙'!$B$15,IF('제외 후보'!Y1129&gt;=100,'선정 규칙'!$B$16,'선정 규칙'!$B$17))</x:f>
        <x:v>-25</x:v>
      </x:c>
      <x:c r="G1129" s="11" t="n">
        <x:f>IF('제외 후보'!M1129="있음",'선정 규칙'!$B$18,'선정 규칙'!$B$19)</x:f>
        <x:v>6</x:v>
      </x:c>
      <x:c r="H1129" s="11" t="n">
        <x:f>IF(ISNUMBER(SEARCH("freq-core",'제외 후보'!AD1129)),'선정 규칙'!$B$20,0)</x:f>
        <x:v>0</x:v>
      </x:c>
      <x:c r="I1129" s="11" t="n">
        <x:f>IF(ISNUMBER(SEARCH("weak_legacy_content",'제외 후보'!P1129)),'선정 규칙'!$B$21,0)</x:f>
        <x:v>5</x:v>
      </x:c>
      <x:c r="J1129" s="11" t="n">
        <x:f>IF('제외 후보'!AC1129&lt;&gt;"",'선정 규칙'!$B$22,0)</x:f>
        <x:v>10</x:v>
      </x:c>
      <x:c r="K1129" s="11" t="n">
        <x:f>SUM(B1129:J1129)</x:f>
        <x:v>-4</x:v>
      </x:c>
      <x:c r="L1129" s="11" t="n">
        <x:f>'제외 후보'!N1129</x:f>
        <x:v>-4</x:v>
      </x:c>
      <x:c r="M1129" s="2" t="str">
        <x:f>IF(K1129=L1129,"OK","MISMATCH")</x:f>
        <x:v>OK</x:v>
      </x:c>
    </x:row>
    <x:row r="1130">
      <x:c r="A1130" s="2" t="str">
        <x:f>'제외 후보'!G1130</x:f>
        <x:v>w_e4247da1f9fb515e</x:v>
      </x:c>
      <x:c r="B1130" s="11" t="n">
        <x:f>IF('제외 후보'!Q1130&lt;&gt;"",'선정 규칙'!$B$4,0)</x:f>
        <x:v>0</x:v>
      </x:c>
      <x:c r="C1130" s="11" t="n">
        <x:f>IF(ISNUMBER(SEARCH("jmdict_uncommon_or_irregular",'제외 후보'!P1130)),'선정 규칙'!$B$5,IF(ISNUMBER(SEARCH("jmdict_rare_or_dated",'제외 후보'!P1130)),'선정 규칙'!$B$6,0))</x:f>
        <x:v>0</x:v>
      </x:c>
      <x:c r="D1130" s="11" t="n">
        <x:f>IF(ISNUMBER(SEARCH("jmdict_exact_pair_not_found",'제외 후보'!P1130)),'선정 규칙'!$B$7,0)</x:f>
        <x:v>0</x:v>
      </x:c>
      <x:c r="E1130" s="11" t="n">
        <x:f>IF(OR('제외 후보'!L1130="",'제외 후보'!L1130&lt;=0),'선정 규칙'!$B$8,IF('제외 후보'!L1130&lt;=1.5,'선정 규칙'!$B$9,IF('제외 후보'!L1130&lt;=2,'선정 규칙'!$B$10,IF('제외 후보'!L1130&lt;=2.5,'선정 규칙'!$B$11,IF('제외 후보'!L1130&lt;=3,'선정 규칙'!$B$12,IF('제외 후보'!L1130&lt;=3.5,'선정 규칙'!$B$13,IF('제외 후보'!L1130&gt;=4.5,'선정 규칙'!$B$14,0)))))))</x:f>
        <x:v>0</x:v>
      </x:c>
      <x:c r="F1130" s="11" t="n">
        <x:f>IF('제외 후보'!Y1130=0,'선정 규칙'!$B$15,IF('제외 후보'!Y1130&gt;=100,'선정 규칙'!$B$16,'선정 규칙'!$B$17))</x:f>
        <x:v>-25</x:v>
      </x:c>
      <x:c r="G1130" s="11" t="n">
        <x:f>IF('제외 후보'!M1130="있음",'선정 규칙'!$B$18,'선정 규칙'!$B$19)</x:f>
        <x:v>6</x:v>
      </x:c>
      <x:c r="H1130" s="11" t="n">
        <x:f>IF(ISNUMBER(SEARCH("freq-core",'제외 후보'!AD1130)),'선정 규칙'!$B$20,0)</x:f>
        <x:v>0</x:v>
      </x:c>
      <x:c r="I1130" s="11" t="n">
        <x:f>IF(ISNUMBER(SEARCH("weak_legacy_content",'제외 후보'!P1130)),'선정 규칙'!$B$21,0)</x:f>
        <x:v>5</x:v>
      </x:c>
      <x:c r="J1130" s="11" t="n">
        <x:f>IF('제외 후보'!AC1130&lt;&gt;"",'선정 규칙'!$B$22,0)</x:f>
        <x:v>10</x:v>
      </x:c>
      <x:c r="K1130" s="11" t="n">
        <x:f>SUM(B1130:J1130)</x:f>
        <x:v>-4</x:v>
      </x:c>
      <x:c r="L1130" s="11" t="n">
        <x:f>'제외 후보'!N1130</x:f>
        <x:v>-4</x:v>
      </x:c>
      <x:c r="M1130" s="2" t="str">
        <x:f>IF(K1130=L1130,"OK","MISMATCH")</x:f>
        <x:v>OK</x:v>
      </x:c>
    </x:row>
    <x:row r="1131">
      <x:c r="A1131" s="2" t="str">
        <x:f>'제외 후보'!G1131</x:f>
        <x:v>w_bb08904f23e2f634</x:v>
      </x:c>
      <x:c r="B1131" s="11" t="n">
        <x:f>IF('제외 후보'!Q1131&lt;&gt;"",'선정 규칙'!$B$4,0)</x:f>
        <x:v>0</x:v>
      </x:c>
      <x:c r="C1131" s="11" t="n">
        <x:f>IF(ISNUMBER(SEARCH("jmdict_uncommon_or_irregular",'제외 후보'!P1131)),'선정 규칙'!$B$5,IF(ISNUMBER(SEARCH("jmdict_rare_or_dated",'제외 후보'!P1131)),'선정 규칙'!$B$6,0))</x:f>
        <x:v>0</x:v>
      </x:c>
      <x:c r="D1131" s="11" t="n">
        <x:f>IF(ISNUMBER(SEARCH("jmdict_exact_pair_not_found",'제외 후보'!P1131)),'선정 규칙'!$B$7,0)</x:f>
        <x:v>0</x:v>
      </x:c>
      <x:c r="E1131" s="11" t="n">
        <x:f>IF(OR('제외 후보'!L1131="",'제외 후보'!L1131&lt;=0),'선정 규칙'!$B$8,IF('제외 후보'!L1131&lt;=1.5,'선정 규칙'!$B$9,IF('제외 후보'!L1131&lt;=2,'선정 규칙'!$B$10,IF('제외 후보'!L1131&lt;=2.5,'선정 규칙'!$B$11,IF('제외 후보'!L1131&lt;=3,'선정 규칙'!$B$12,IF('제외 후보'!L1131&lt;=3.5,'선정 규칙'!$B$13,IF('제외 후보'!L1131&gt;=4.5,'선정 규칙'!$B$14,0)))))))</x:f>
        <x:v>40</x:v>
      </x:c>
      <x:c r="F1131" s="11" t="n">
        <x:f>IF('제외 후보'!Y1131=0,'선정 규칙'!$B$15,IF('제외 후보'!Y1131&gt;=100,'선정 규칙'!$B$16,'선정 규칙'!$B$17))</x:f>
        <x:v>-25</x:v>
      </x:c>
      <x:c r="G1131" s="11" t="n">
        <x:f>IF('제외 후보'!M1131="있음",'선정 규칙'!$B$18,'선정 규칙'!$B$19)</x:f>
        <x:v>-25</x:v>
      </x:c>
      <x:c r="H1131" s="11" t="n">
        <x:f>IF(ISNUMBER(SEARCH("freq-core",'제외 후보'!AD1131)),'선정 규칙'!$B$20,0)</x:f>
        <x:v>0</x:v>
      </x:c>
      <x:c r="I1131" s="11" t="n">
        <x:f>IF(ISNUMBER(SEARCH("weak_legacy_content",'제외 후보'!P1131)),'선정 규칙'!$B$21,0)</x:f>
        <x:v>5</x:v>
      </x:c>
      <x:c r="J1131" s="11" t="n">
        <x:f>IF('제외 후보'!AC1131&lt;&gt;"",'선정 규칙'!$B$22,0)</x:f>
        <x:v>0</x:v>
      </x:c>
      <x:c r="K1131" s="11" t="n">
        <x:f>SUM(B1131:J1131)</x:f>
        <x:v>-5</x:v>
      </x:c>
      <x:c r="L1131" s="11" t="n">
        <x:f>'제외 후보'!N1131</x:f>
        <x:v>-5</x:v>
      </x:c>
      <x:c r="M1131" s="2" t="str">
        <x:f>IF(K1131=L1131,"OK","MISMATCH")</x:f>
        <x:v>OK</x:v>
      </x:c>
    </x:row>
    <x:row r="1132">
      <x:c r="A1132" s="2" t="str">
        <x:f>'제외 후보'!G1132</x:f>
        <x:v>w_48a942088c2a3c4f</x:v>
      </x:c>
      <x:c r="B1132" s="11" t="n">
        <x:f>IF('제외 후보'!Q1132&lt;&gt;"",'선정 규칙'!$B$4,0)</x:f>
        <x:v>0</x:v>
      </x:c>
      <x:c r="C1132" s="11" t="n">
        <x:f>IF(ISNUMBER(SEARCH("jmdict_uncommon_or_irregular",'제외 후보'!P1132)),'선정 규칙'!$B$5,IF(ISNUMBER(SEARCH("jmdict_rare_or_dated",'제외 후보'!P1132)),'선정 규칙'!$B$6,0))</x:f>
        <x:v>0</x:v>
      </x:c>
      <x:c r="D1132" s="11" t="n">
        <x:f>IF(ISNUMBER(SEARCH("jmdict_exact_pair_not_found",'제외 후보'!P1132)),'선정 규칙'!$B$7,0)</x:f>
        <x:v>0</x:v>
      </x:c>
      <x:c r="E1132" s="11" t="n">
        <x:f>IF(OR('제외 후보'!L1132="",'제외 후보'!L1132&lt;=0),'선정 규칙'!$B$8,IF('제외 후보'!L1132&lt;=1.5,'선정 규칙'!$B$9,IF('제외 후보'!L1132&lt;=2,'선정 규칙'!$B$10,IF('제외 후보'!L1132&lt;=2.5,'선정 규칙'!$B$11,IF('제외 후보'!L1132&lt;=3,'선정 규칙'!$B$12,IF('제외 후보'!L1132&lt;=3.5,'선정 규칙'!$B$13,IF('제외 후보'!L1132&gt;=4.5,'선정 규칙'!$B$14,0)))))))</x:f>
        <x:v>32</x:v>
      </x:c>
      <x:c r="F1132" s="11" t="n">
        <x:f>IF('제외 후보'!Y1132=0,'선정 규칙'!$B$15,IF('제외 후보'!Y1132&gt;=100,'선정 규칙'!$B$16,'선정 규칙'!$B$17))</x:f>
        <x:v>-12</x:v>
      </x:c>
      <x:c r="G1132" s="11" t="n">
        <x:f>IF('제외 후보'!M1132="있음",'선정 규칙'!$B$18,'선정 규칙'!$B$19)</x:f>
        <x:v>-25</x:v>
      </x:c>
      <x:c r="H1132" s="11" t="n">
        <x:f>IF(ISNUMBER(SEARCH("freq-core",'제외 후보'!AD1132)),'선정 규칙'!$B$20,0)</x:f>
        <x:v>0</x:v>
      </x:c>
      <x:c r="I1132" s="11" t="n">
        <x:f>IF(ISNUMBER(SEARCH("weak_legacy_content",'제외 후보'!P1132)),'선정 규칙'!$B$21,0)</x:f>
        <x:v>0</x:v>
      </x:c>
      <x:c r="J1132" s="11" t="n">
        <x:f>IF('제외 후보'!AC1132&lt;&gt;"",'선정 규칙'!$B$22,0)</x:f>
        <x:v>0</x:v>
      </x:c>
      <x:c r="K1132" s="11" t="n">
        <x:f>SUM(B1132:J1132)</x:f>
        <x:v>-5</x:v>
      </x:c>
      <x:c r="L1132" s="11" t="n">
        <x:f>'제외 후보'!N1132</x:f>
        <x:v>-5</x:v>
      </x:c>
      <x:c r="M1132" s="2" t="str">
        <x:f>IF(K1132=L1132,"OK","MISMATCH")</x:f>
        <x:v>OK</x:v>
      </x:c>
    </x:row>
    <x:row r="1133">
      <x:c r="A1133" s="2" t="str">
        <x:f>'제외 후보'!G1133</x:f>
        <x:v>w_7c846856a25ae36a</x:v>
      </x:c>
      <x:c r="B1133" s="11" t="n">
        <x:f>IF('제외 후보'!Q1133&lt;&gt;"",'선정 규칙'!$B$4,0)</x:f>
        <x:v>60</x:v>
      </x:c>
      <x:c r="C1133" s="11" t="n">
        <x:f>IF(ISNUMBER(SEARCH("jmdict_uncommon_or_irregular",'제외 후보'!P1133)),'선정 규칙'!$B$5,IF(ISNUMBER(SEARCH("jmdict_rare_or_dated",'제외 후보'!P1133)),'선정 규칙'!$B$6,0))</x:f>
        <x:v>0</x:v>
      </x:c>
      <x:c r="D1133" s="11" t="n">
        <x:f>IF(ISNUMBER(SEARCH("jmdict_exact_pair_not_found",'제외 후보'!P1133)),'선정 규칙'!$B$7,0)</x:f>
        <x:v>0</x:v>
      </x:c>
      <x:c r="E1133" s="11" t="n">
        <x:f>IF(OR('제외 후보'!L1133="",'제외 후보'!L1133&lt;=0),'선정 규칙'!$B$8,IF('제외 후보'!L1133&lt;=1.5,'선정 규칙'!$B$9,IF('제외 후보'!L1133&lt;=2,'선정 규칙'!$B$10,IF('제외 후보'!L1133&lt;=2.5,'선정 규칙'!$B$11,IF('제외 후보'!L1133&lt;=3,'선정 규칙'!$B$12,IF('제외 후보'!L1133&lt;=3.5,'선정 규칙'!$B$13,IF('제외 후보'!L1133&gt;=4.5,'선정 규칙'!$B$14,0)))))))</x:f>
        <x:v>-20</x:v>
      </x:c>
      <x:c r="F1133" s="11" t="n">
        <x:f>IF('제외 후보'!Y1133=0,'선정 규칙'!$B$15,IF('제외 후보'!Y1133&gt;=100,'선정 규칙'!$B$16,'선정 규칙'!$B$17))</x:f>
        <x:v>-25</x:v>
      </x:c>
      <x:c r="G1133" s="11" t="n">
        <x:f>IF('제외 후보'!M1133="있음",'선정 규칙'!$B$18,'선정 규칙'!$B$19)</x:f>
        <x:v>-25</x:v>
      </x:c>
      <x:c r="H1133" s="11" t="n">
        <x:f>IF(ISNUMBER(SEARCH("freq-core",'제외 후보'!AD1133)),'선정 규칙'!$B$20,0)</x:f>
        <x:v>0</x:v>
      </x:c>
      <x:c r="I1133" s="11" t="n">
        <x:f>IF(ISNUMBER(SEARCH("weak_legacy_content",'제외 후보'!P1133)),'선정 규칙'!$B$21,0)</x:f>
        <x:v>5</x:v>
      </x:c>
      <x:c r="J1133" s="11" t="n">
        <x:f>IF('제외 후보'!AC1133&lt;&gt;"",'선정 규칙'!$B$22,0)</x:f>
        <x:v>0</x:v>
      </x:c>
      <x:c r="K1133" s="11" t="n">
        <x:f>SUM(B1133:J1133)</x:f>
        <x:v>-5</x:v>
      </x:c>
      <x:c r="L1133" s="11" t="n">
        <x:f>'제외 후보'!N1133</x:f>
        <x:v>-5</x:v>
      </x:c>
      <x:c r="M1133" s="2" t="str">
        <x:f>IF(K1133=L1133,"OK","MISMATCH")</x:f>
        <x:v>OK</x:v>
      </x:c>
    </x:row>
    <x:row r="1134">
      <x:c r="A1134" s="2" t="str">
        <x:f>'제외 후보'!G1134</x:f>
        <x:v>w_6eb5db28959e8997</x:v>
      </x:c>
      <x:c r="B1134" s="11" t="n">
        <x:f>IF('제외 후보'!Q1134&lt;&gt;"",'선정 규칙'!$B$4,0)</x:f>
        <x:v>0</x:v>
      </x:c>
      <x:c r="C1134" s="11" t="n">
        <x:f>IF(ISNUMBER(SEARCH("jmdict_uncommon_or_irregular",'제외 후보'!P1134)),'선정 규칙'!$B$5,IF(ISNUMBER(SEARCH("jmdict_rare_or_dated",'제외 후보'!P1134)),'선정 규칙'!$B$6,0))</x:f>
        <x:v>0</x:v>
      </x:c>
      <x:c r="D1134" s="11" t="n">
        <x:f>IF(ISNUMBER(SEARCH("jmdict_exact_pair_not_found",'제외 후보'!P1134)),'선정 규칙'!$B$7,0)</x:f>
        <x:v>0</x:v>
      </x:c>
      <x:c r="E1134" s="11" t="n">
        <x:f>IF(OR('제외 후보'!L1134="",'제외 후보'!L1134&lt;=0),'선정 규칙'!$B$8,IF('제외 후보'!L1134&lt;=1.5,'선정 규칙'!$B$9,IF('제외 후보'!L1134&lt;=2,'선정 규칙'!$B$10,IF('제외 후보'!L1134&lt;=2.5,'선정 규칙'!$B$11,IF('제외 후보'!L1134&lt;=3,'선정 규칙'!$B$12,IF('제외 후보'!L1134&lt;=3.5,'선정 규칙'!$B$13,IF('제외 후보'!L1134&gt;=4.5,'선정 규칙'!$B$14,0)))))))</x:f>
        <x:v>26</x:v>
      </x:c>
      <x:c r="F1134" s="11" t="n">
        <x:f>IF('제외 후보'!Y1134=0,'선정 규칙'!$B$15,IF('제외 후보'!Y1134&gt;=100,'선정 규칙'!$B$16,'선정 규칙'!$B$17))</x:f>
        <x:v>-12</x:v>
      </x:c>
      <x:c r="G1134" s="11" t="n">
        <x:f>IF('제외 후보'!M1134="있음",'선정 규칙'!$B$18,'선정 규칙'!$B$19)</x:f>
        <x:v>-25</x:v>
      </x:c>
      <x:c r="H1134" s="11" t="n">
        <x:f>IF(ISNUMBER(SEARCH("freq-core",'제외 후보'!AD1134)),'선정 규칙'!$B$20,0)</x:f>
        <x:v>0</x:v>
      </x:c>
      <x:c r="I1134" s="11" t="n">
        <x:f>IF(ISNUMBER(SEARCH("weak_legacy_content",'제외 후보'!P1134)),'선정 규칙'!$B$21,0)</x:f>
        <x:v>5</x:v>
      </x:c>
      <x:c r="J1134" s="11" t="n">
        <x:f>IF('제외 후보'!AC1134&lt;&gt;"",'선정 규칙'!$B$22,0)</x:f>
        <x:v>0</x:v>
      </x:c>
      <x:c r="K1134" s="11" t="n">
        <x:f>SUM(B1134:J1134)</x:f>
        <x:v>-6</x:v>
      </x:c>
      <x:c r="L1134" s="11" t="n">
        <x:f>'제외 후보'!N1134</x:f>
        <x:v>-6</x:v>
      </x:c>
      <x:c r="M1134" s="2" t="str">
        <x:f>IF(K1134=L1134,"OK","MISMATCH")</x:f>
        <x:v>OK</x:v>
      </x:c>
    </x:row>
    <x:row r="1135">
      <x:c r="A1135" s="2" t="str">
        <x:f>'제외 후보'!G1135</x:f>
        <x:v>w_c1db72f774e3728e</x:v>
      </x:c>
      <x:c r="B1135" s="11" t="n">
        <x:f>IF('제외 후보'!Q1135&lt;&gt;"",'선정 규칙'!$B$4,0)</x:f>
        <x:v>0</x:v>
      </x:c>
      <x:c r="C1135" s="11" t="n">
        <x:f>IF(ISNUMBER(SEARCH("jmdict_uncommon_or_irregular",'제외 후보'!P1135)),'선정 규칙'!$B$5,IF(ISNUMBER(SEARCH("jmdict_rare_or_dated",'제외 후보'!P1135)),'선정 규칙'!$B$6,0))</x:f>
        <x:v>0</x:v>
      </x:c>
      <x:c r="D1135" s="11" t="n">
        <x:f>IF(ISNUMBER(SEARCH("jmdict_exact_pair_not_found",'제외 후보'!P1135)),'선정 규칙'!$B$7,0)</x:f>
        <x:v>0</x:v>
      </x:c>
      <x:c r="E1135" s="11" t="n">
        <x:f>IF(OR('제외 후보'!L1135="",'제외 후보'!L1135&lt;=0),'선정 규칙'!$B$8,IF('제외 후보'!L1135&lt;=1.5,'선정 규칙'!$B$9,IF('제외 후보'!L1135&lt;=2,'선정 규칙'!$B$10,IF('제외 후보'!L1135&lt;=2.5,'선정 규칙'!$B$11,IF('제외 후보'!L1135&lt;=3,'선정 규칙'!$B$12,IF('제외 후보'!L1135&lt;=3.5,'선정 규칙'!$B$13,IF('제외 후보'!L1135&gt;=4.5,'선정 규칙'!$B$14,0)))))))</x:f>
        <x:v>0</x:v>
      </x:c>
      <x:c r="F1135" s="11" t="n">
        <x:f>IF('제외 후보'!Y1135=0,'선정 규칙'!$B$15,IF('제외 후보'!Y1135&gt;=100,'선정 규칙'!$B$16,'선정 규칙'!$B$17))</x:f>
        <x:v>-12</x:v>
      </x:c>
      <x:c r="G1135" s="11" t="n">
        <x:f>IF('제외 후보'!M1135="있음",'선정 규칙'!$B$18,'선정 규칙'!$B$19)</x:f>
        <x:v>6</x:v>
      </x:c>
      <x:c r="H1135" s="11" t="n">
        <x:f>IF(ISNUMBER(SEARCH("freq-core",'제외 후보'!AD1135)),'선정 규칙'!$B$20,0)</x:f>
        <x:v>0</x:v>
      </x:c>
      <x:c r="I1135" s="11" t="n">
        <x:f>IF(ISNUMBER(SEARCH("weak_legacy_content",'제외 후보'!P1135)),'선정 규칙'!$B$21,0)</x:f>
        <x:v>0</x:v>
      </x:c>
      <x:c r="J1135" s="11" t="n">
        <x:f>IF('제외 후보'!AC1135&lt;&gt;"",'선정 규칙'!$B$22,0)</x:f>
        <x:v>0</x:v>
      </x:c>
      <x:c r="K1135" s="11" t="n">
        <x:f>SUM(B1135:J1135)</x:f>
        <x:v>-6</x:v>
      </x:c>
      <x:c r="L1135" s="11" t="n">
        <x:f>'제외 후보'!N1135</x:f>
        <x:v>-6</x:v>
      </x:c>
      <x:c r="M1135" s="2" t="str">
        <x:f>IF(K1135=L1135,"OK","MISMATCH")</x:f>
        <x:v>OK</x:v>
      </x:c>
    </x:row>
    <x:row r="1136">
      <x:c r="A1136" s="2" t="str">
        <x:f>'제외 후보'!G1136</x:f>
        <x:v>w_ce285518225afb6d</x:v>
      </x:c>
      <x:c r="B1136" s="11" t="n">
        <x:f>IF('제외 후보'!Q1136&lt;&gt;"",'선정 규칙'!$B$4,0)</x:f>
        <x:v>0</x:v>
      </x:c>
      <x:c r="C1136" s="11" t="n">
        <x:f>IF(ISNUMBER(SEARCH("jmdict_uncommon_or_irregular",'제외 후보'!P1136)),'선정 규칙'!$B$5,IF(ISNUMBER(SEARCH("jmdict_rare_or_dated",'제외 후보'!P1136)),'선정 규칙'!$B$6,0))</x:f>
        <x:v>0</x:v>
      </x:c>
      <x:c r="D1136" s="11" t="n">
        <x:f>IF(ISNUMBER(SEARCH("jmdict_exact_pair_not_found",'제외 후보'!P1136)),'선정 규칙'!$B$7,0)</x:f>
        <x:v>0</x:v>
      </x:c>
      <x:c r="E1136" s="11" t="n">
        <x:f>IF(OR('제외 후보'!L1136="",'제외 후보'!L1136&lt;=0),'선정 규칙'!$B$8,IF('제외 후보'!L1136&lt;=1.5,'선정 규칙'!$B$9,IF('제외 후보'!L1136&lt;=2,'선정 규칙'!$B$10,IF('제외 후보'!L1136&lt;=2.5,'선정 규칙'!$B$11,IF('제외 후보'!L1136&lt;=3,'선정 규칙'!$B$12,IF('제외 후보'!L1136&lt;=3.5,'선정 규칙'!$B$13,IF('제외 후보'!L1136&gt;=4.5,'선정 규칙'!$B$14,0)))))))</x:f>
        <x:v>0</x:v>
      </x:c>
      <x:c r="F1136" s="11" t="n">
        <x:f>IF('제외 후보'!Y1136=0,'선정 규칙'!$B$15,IF('제외 후보'!Y1136&gt;=100,'선정 규칙'!$B$16,'선정 규칙'!$B$17))</x:f>
        <x:v>-12</x:v>
      </x:c>
      <x:c r="G1136" s="11" t="n">
        <x:f>IF('제외 후보'!M1136="있음",'선정 규칙'!$B$18,'선정 규칙'!$B$19)</x:f>
        <x:v>6</x:v>
      </x:c>
      <x:c r="H1136" s="11" t="n">
        <x:f>IF(ISNUMBER(SEARCH("freq-core",'제외 후보'!AD1136)),'선정 규칙'!$B$20,0)</x:f>
        <x:v>0</x:v>
      </x:c>
      <x:c r="I1136" s="11" t="n">
        <x:f>IF(ISNUMBER(SEARCH("weak_legacy_content",'제외 후보'!P1136)),'선정 규칙'!$B$21,0)</x:f>
        <x:v>0</x:v>
      </x:c>
      <x:c r="J1136" s="11" t="n">
        <x:f>IF('제외 후보'!AC1136&lt;&gt;"",'선정 규칙'!$B$22,0)</x:f>
        <x:v>0</x:v>
      </x:c>
      <x:c r="K1136" s="11" t="n">
        <x:f>SUM(B1136:J1136)</x:f>
        <x:v>-6</x:v>
      </x:c>
      <x:c r="L1136" s="11" t="n">
        <x:f>'제외 후보'!N1136</x:f>
        <x:v>-6</x:v>
      </x:c>
      <x:c r="M1136" s="2" t="str">
        <x:f>IF(K1136=L1136,"OK","MISMATCH")</x:f>
        <x:v>OK</x:v>
      </x:c>
    </x:row>
    <x:row r="1137">
      <x:c r="A1137" s="2" t="str">
        <x:f>'제외 후보'!G1137</x:f>
        <x:v>w_07b3929512d229c4</x:v>
      </x:c>
      <x:c r="B1137" s="11" t="n">
        <x:f>IF('제외 후보'!Q1137&lt;&gt;"",'선정 규칙'!$B$4,0)</x:f>
        <x:v>0</x:v>
      </x:c>
      <x:c r="C1137" s="11" t="n">
        <x:f>IF(ISNUMBER(SEARCH("jmdict_uncommon_or_irregular",'제외 후보'!P1137)),'선정 규칙'!$B$5,IF(ISNUMBER(SEARCH("jmdict_rare_or_dated",'제외 후보'!P1137)),'선정 규칙'!$B$6,0))</x:f>
        <x:v>0</x:v>
      </x:c>
      <x:c r="D1137" s="11" t="n">
        <x:f>IF(ISNUMBER(SEARCH("jmdict_exact_pair_not_found",'제외 후보'!P1137)),'선정 규칙'!$B$7,0)</x:f>
        <x:v>0</x:v>
      </x:c>
      <x:c r="E1137" s="11" t="n">
        <x:f>IF(OR('제외 후보'!L1137="",'제외 후보'!L1137&lt;=0),'선정 규칙'!$B$8,IF('제외 후보'!L1137&lt;=1.5,'선정 규칙'!$B$9,IF('제외 후보'!L1137&lt;=2,'선정 규칙'!$B$10,IF('제외 후보'!L1137&lt;=2.5,'선정 규칙'!$B$11,IF('제외 후보'!L1137&lt;=3,'선정 규칙'!$B$12,IF('제외 후보'!L1137&lt;=3.5,'선정 규칙'!$B$13,IF('제외 후보'!L1137&gt;=4.5,'선정 규칙'!$B$14,0)))))))</x:f>
        <x:v>0</x:v>
      </x:c>
      <x:c r="F1137" s="11" t="n">
        <x:f>IF('제외 후보'!Y1137=0,'선정 규칙'!$B$15,IF('제외 후보'!Y1137&gt;=100,'선정 규칙'!$B$16,'선정 규칙'!$B$17))</x:f>
        <x:v>-12</x:v>
      </x:c>
      <x:c r="G1137" s="11" t="n">
        <x:f>IF('제외 후보'!M1137="있음",'선정 규칙'!$B$18,'선정 규칙'!$B$19)</x:f>
        <x:v>6</x:v>
      </x:c>
      <x:c r="H1137" s="11" t="n">
        <x:f>IF(ISNUMBER(SEARCH("freq-core",'제외 후보'!AD1137)),'선정 규칙'!$B$20,0)</x:f>
        <x:v>0</x:v>
      </x:c>
      <x:c r="I1137" s="11" t="n">
        <x:f>IF(ISNUMBER(SEARCH("weak_legacy_content",'제외 후보'!P1137)),'선정 규칙'!$B$21,0)</x:f>
        <x:v>0</x:v>
      </x:c>
      <x:c r="J1137" s="11" t="n">
        <x:f>IF('제외 후보'!AC1137&lt;&gt;"",'선정 규칙'!$B$22,0)</x:f>
        <x:v>0</x:v>
      </x:c>
      <x:c r="K1137" s="11" t="n">
        <x:f>SUM(B1137:J1137)</x:f>
        <x:v>-6</x:v>
      </x:c>
      <x:c r="L1137" s="11" t="n">
        <x:f>'제외 후보'!N1137</x:f>
        <x:v>-6</x:v>
      </x:c>
      <x:c r="M1137" s="2" t="str">
        <x:f>IF(K1137=L1137,"OK","MISMATCH")</x:f>
        <x:v>OK</x:v>
      </x:c>
    </x:row>
    <x:row r="1138">
      <x:c r="A1138" s="2" t="str">
        <x:f>'제외 후보'!G1138</x:f>
        <x:v>w_bdc8ea0e85d8bb6b</x:v>
      </x:c>
      <x:c r="B1138" s="11" t="n">
        <x:f>IF('제외 후보'!Q1138&lt;&gt;"",'선정 규칙'!$B$4,0)</x:f>
        <x:v>0</x:v>
      </x:c>
      <x:c r="C1138" s="11" t="n">
        <x:f>IF(ISNUMBER(SEARCH("jmdict_uncommon_or_irregular",'제외 후보'!P1138)),'선정 규칙'!$B$5,IF(ISNUMBER(SEARCH("jmdict_rare_or_dated",'제외 후보'!P1138)),'선정 규칙'!$B$6,0))</x:f>
        <x:v>0</x:v>
      </x:c>
      <x:c r="D1138" s="11" t="n">
        <x:f>IF(ISNUMBER(SEARCH("jmdict_exact_pair_not_found",'제외 후보'!P1138)),'선정 규칙'!$B$7,0)</x:f>
        <x:v>0</x:v>
      </x:c>
      <x:c r="E1138" s="11" t="n">
        <x:f>IF(OR('제외 후보'!L1138="",'제외 후보'!L1138&lt;=0),'선정 규칙'!$B$8,IF('제외 후보'!L1138&lt;=1.5,'선정 규칙'!$B$9,IF('제외 후보'!L1138&lt;=2,'선정 규칙'!$B$10,IF('제외 후보'!L1138&lt;=2.5,'선정 규칙'!$B$11,IF('제외 후보'!L1138&lt;=3,'선정 규칙'!$B$12,IF('제외 후보'!L1138&lt;=3.5,'선정 규칙'!$B$13,IF('제외 후보'!L1138&gt;=4.5,'선정 규칙'!$B$14,0)))))))</x:f>
        <x:v>0</x:v>
      </x:c>
      <x:c r="F1138" s="11" t="n">
        <x:f>IF('제외 후보'!Y1138=0,'선정 규칙'!$B$15,IF('제외 후보'!Y1138&gt;=100,'선정 규칙'!$B$16,'선정 규칙'!$B$17))</x:f>
        <x:v>-12</x:v>
      </x:c>
      <x:c r="G1138" s="11" t="n">
        <x:f>IF('제외 후보'!M1138="있음",'선정 규칙'!$B$18,'선정 규칙'!$B$19)</x:f>
        <x:v>6</x:v>
      </x:c>
      <x:c r="H1138" s="11" t="n">
        <x:f>IF(ISNUMBER(SEARCH("freq-core",'제외 후보'!AD1138)),'선정 규칙'!$B$20,0)</x:f>
        <x:v>0</x:v>
      </x:c>
      <x:c r="I1138" s="11" t="n">
        <x:f>IF(ISNUMBER(SEARCH("weak_legacy_content",'제외 후보'!P1138)),'선정 규칙'!$B$21,0)</x:f>
        <x:v>0</x:v>
      </x:c>
      <x:c r="J1138" s="11" t="n">
        <x:f>IF('제외 후보'!AC1138&lt;&gt;"",'선정 규칙'!$B$22,0)</x:f>
        <x:v>0</x:v>
      </x:c>
      <x:c r="K1138" s="11" t="n">
        <x:f>SUM(B1138:J1138)</x:f>
        <x:v>-6</x:v>
      </x:c>
      <x:c r="L1138" s="11" t="n">
        <x:f>'제외 후보'!N1138</x:f>
        <x:v>-6</x:v>
      </x:c>
      <x:c r="M1138" s="2" t="str">
        <x:f>IF(K1138=L1138,"OK","MISMATCH")</x:f>
        <x:v>OK</x:v>
      </x:c>
    </x:row>
    <x:row r="1139">
      <x:c r="A1139" s="2" t="str">
        <x:f>'제외 후보'!G1139</x:f>
        <x:v>w_093d87812a264ceb</x:v>
      </x:c>
      <x:c r="B1139" s="11" t="n">
        <x:f>IF('제외 후보'!Q1139&lt;&gt;"",'선정 규칙'!$B$4,0)</x:f>
        <x:v>0</x:v>
      </x:c>
      <x:c r="C1139" s="11" t="n">
        <x:f>IF(ISNUMBER(SEARCH("jmdict_uncommon_or_irregular",'제외 후보'!P1139)),'선정 규칙'!$B$5,IF(ISNUMBER(SEARCH("jmdict_rare_or_dated",'제외 후보'!P1139)),'선정 규칙'!$B$6,0))</x:f>
        <x:v>0</x:v>
      </x:c>
      <x:c r="D1139" s="11" t="n">
        <x:f>IF(ISNUMBER(SEARCH("jmdict_exact_pair_not_found",'제외 후보'!P1139)),'선정 규칙'!$B$7,0)</x:f>
        <x:v>0</x:v>
      </x:c>
      <x:c r="E1139" s="11" t="n">
        <x:f>IF(OR('제외 후보'!L1139="",'제외 후보'!L1139&lt;=0),'선정 규칙'!$B$8,IF('제외 후보'!L1139&lt;=1.5,'선정 규칙'!$B$9,IF('제외 후보'!L1139&lt;=2,'선정 규칙'!$B$10,IF('제외 후보'!L1139&lt;=2.5,'선정 규칙'!$B$11,IF('제외 후보'!L1139&lt;=3,'선정 규칙'!$B$12,IF('제외 후보'!L1139&lt;=3.5,'선정 규칙'!$B$13,IF('제외 후보'!L1139&gt;=4.5,'선정 규칙'!$B$14,0)))))))</x:f>
        <x:v>0</x:v>
      </x:c>
      <x:c r="F1139" s="11" t="n">
        <x:f>IF('제외 후보'!Y1139=0,'선정 규칙'!$B$15,IF('제외 후보'!Y1139&gt;=100,'선정 규칙'!$B$16,'선정 규칙'!$B$17))</x:f>
        <x:v>-12</x:v>
      </x:c>
      <x:c r="G1139" s="11" t="n">
        <x:f>IF('제외 후보'!M1139="있음",'선정 규칙'!$B$18,'선정 규칙'!$B$19)</x:f>
        <x:v>6</x:v>
      </x:c>
      <x:c r="H1139" s="11" t="n">
        <x:f>IF(ISNUMBER(SEARCH("freq-core",'제외 후보'!AD1139)),'선정 규칙'!$B$20,0)</x:f>
        <x:v>0</x:v>
      </x:c>
      <x:c r="I1139" s="11" t="n">
        <x:f>IF(ISNUMBER(SEARCH("weak_legacy_content",'제외 후보'!P1139)),'선정 규칙'!$B$21,0)</x:f>
        <x:v>0</x:v>
      </x:c>
      <x:c r="J1139" s="11" t="n">
        <x:f>IF('제외 후보'!AC1139&lt;&gt;"",'선정 규칙'!$B$22,0)</x:f>
        <x:v>0</x:v>
      </x:c>
      <x:c r="K1139" s="11" t="n">
        <x:f>SUM(B1139:J1139)</x:f>
        <x:v>-6</x:v>
      </x:c>
      <x:c r="L1139" s="11" t="n">
        <x:f>'제외 후보'!N1139</x:f>
        <x:v>-6</x:v>
      </x:c>
      <x:c r="M1139" s="2" t="str">
        <x:f>IF(K1139=L1139,"OK","MISMATCH")</x:f>
        <x:v>OK</x:v>
      </x:c>
    </x:row>
    <x:row r="1140">
      <x:c r="A1140" s="2" t="str">
        <x:f>'제외 후보'!G1140</x:f>
        <x:v>w_25d79c8180503b46</x:v>
      </x:c>
      <x:c r="B1140" s="11" t="n">
        <x:f>IF('제외 후보'!Q1140&lt;&gt;"",'선정 규칙'!$B$4,0)</x:f>
        <x:v>0</x:v>
      </x:c>
      <x:c r="C1140" s="11" t="n">
        <x:f>IF(ISNUMBER(SEARCH("jmdict_uncommon_or_irregular",'제외 후보'!P1140)),'선정 규칙'!$B$5,IF(ISNUMBER(SEARCH("jmdict_rare_or_dated",'제외 후보'!P1140)),'선정 규칙'!$B$6,0))</x:f>
        <x:v>0</x:v>
      </x:c>
      <x:c r="D1140" s="11" t="n">
        <x:f>IF(ISNUMBER(SEARCH("jmdict_exact_pair_not_found",'제외 후보'!P1140)),'선정 규칙'!$B$7,0)</x:f>
        <x:v>0</x:v>
      </x:c>
      <x:c r="E1140" s="11" t="n">
        <x:f>IF(OR('제외 후보'!L1140="",'제외 후보'!L1140&lt;=0),'선정 규칙'!$B$8,IF('제외 후보'!L1140&lt;=1.5,'선정 규칙'!$B$9,IF('제외 후보'!L1140&lt;=2,'선정 규칙'!$B$10,IF('제외 후보'!L1140&lt;=2.5,'선정 규칙'!$B$11,IF('제외 후보'!L1140&lt;=3,'선정 규칙'!$B$12,IF('제외 후보'!L1140&lt;=3.5,'선정 규칙'!$B$13,IF('제외 후보'!L1140&gt;=4.5,'선정 규칙'!$B$14,0)))))))</x:f>
        <x:v>12</x:v>
      </x:c>
      <x:c r="F1140" s="11" t="n">
        <x:f>IF('제외 후보'!Y1140=0,'선정 규칙'!$B$15,IF('제외 후보'!Y1140&gt;=100,'선정 규칙'!$B$16,'선정 규칙'!$B$17))</x:f>
        <x:v>-25</x:v>
      </x:c>
      <x:c r="G1140" s="11" t="n">
        <x:f>IF('제외 후보'!M1140="있음",'선정 규칙'!$B$18,'선정 규칙'!$B$19)</x:f>
        <x:v>6</x:v>
      </x:c>
      <x:c r="H1140" s="11" t="n">
        <x:f>IF(ISNUMBER(SEARCH("freq-core",'제외 후보'!AD1140)),'선정 규칙'!$B$20,0)</x:f>
        <x:v>0</x:v>
      </x:c>
      <x:c r="I1140" s="11" t="n">
        <x:f>IF(ISNUMBER(SEARCH("weak_legacy_content",'제외 후보'!P1140)),'선정 규칙'!$B$21,0)</x:f>
        <x:v>0</x:v>
      </x:c>
      <x:c r="J1140" s="11" t="n">
        <x:f>IF('제외 후보'!AC1140&lt;&gt;"",'선정 규칙'!$B$22,0)</x:f>
        <x:v>0</x:v>
      </x:c>
      <x:c r="K1140" s="11" t="n">
        <x:f>SUM(B1140:J1140)</x:f>
        <x:v>-7</x:v>
      </x:c>
      <x:c r="L1140" s="11" t="n">
        <x:f>'제외 후보'!N1140</x:f>
        <x:v>-7</x:v>
      </x:c>
      <x:c r="M1140" s="2" t="str">
        <x:f>IF(K1140=L1140,"OK","MISMATCH")</x:f>
        <x:v>OK</x:v>
      </x:c>
    </x:row>
    <x:row r="1141">
      <x:c r="A1141" s="2" t="str">
        <x:f>'제외 후보'!G1141</x:f>
        <x:v>w_4231572eea930be1</x:v>
      </x:c>
      <x:c r="B1141" s="11" t="n">
        <x:f>IF('제외 후보'!Q1141&lt;&gt;"",'선정 규칙'!$B$4,0)</x:f>
        <x:v>0</x:v>
      </x:c>
      <x:c r="C1141" s="11" t="n">
        <x:f>IF(ISNUMBER(SEARCH("jmdict_uncommon_or_irregular",'제외 후보'!P1141)),'선정 규칙'!$B$5,IF(ISNUMBER(SEARCH("jmdict_rare_or_dated",'제외 후보'!P1141)),'선정 규칙'!$B$6,0))</x:f>
        <x:v>0</x:v>
      </x:c>
      <x:c r="D1141" s="11" t="n">
        <x:f>IF(ISNUMBER(SEARCH("jmdict_exact_pair_not_found",'제외 후보'!P1141)),'선정 규칙'!$B$7,0)</x:f>
        <x:v>0</x:v>
      </x:c>
      <x:c r="E1141" s="11" t="n">
        <x:f>IF(OR('제외 후보'!L1141="",'제외 후보'!L1141&lt;=0),'선정 규칙'!$B$8,IF('제외 후보'!L1141&lt;=1.5,'선정 규칙'!$B$9,IF('제외 후보'!L1141&lt;=2,'선정 규칙'!$B$10,IF('제외 후보'!L1141&lt;=2.5,'선정 규칙'!$B$11,IF('제외 후보'!L1141&lt;=3,'선정 규칙'!$B$12,IF('제외 후보'!L1141&lt;=3.5,'선정 규칙'!$B$13,IF('제외 후보'!L1141&gt;=4.5,'선정 규칙'!$B$14,0)))))))</x:f>
        <x:v>12</x:v>
      </x:c>
      <x:c r="F1141" s="11" t="n">
        <x:f>IF('제외 후보'!Y1141=0,'선정 규칙'!$B$15,IF('제외 후보'!Y1141&gt;=100,'선정 규칙'!$B$16,'선정 규칙'!$B$17))</x:f>
        <x:v>-25</x:v>
      </x:c>
      <x:c r="G1141" s="11" t="n">
        <x:f>IF('제외 후보'!M1141="있음",'선정 규칙'!$B$18,'선정 규칙'!$B$19)</x:f>
        <x:v>6</x:v>
      </x:c>
      <x:c r="H1141" s="11" t="n">
        <x:f>IF(ISNUMBER(SEARCH("freq-core",'제외 후보'!AD1141)),'선정 규칙'!$B$20,0)</x:f>
        <x:v>0</x:v>
      </x:c>
      <x:c r="I1141" s="11" t="n">
        <x:f>IF(ISNUMBER(SEARCH("weak_legacy_content",'제외 후보'!P1141)),'선정 규칙'!$B$21,0)</x:f>
        <x:v>0</x:v>
      </x:c>
      <x:c r="J1141" s="11" t="n">
        <x:f>IF('제외 후보'!AC1141&lt;&gt;"",'선정 규칙'!$B$22,0)</x:f>
        <x:v>0</x:v>
      </x:c>
      <x:c r="K1141" s="11" t="n">
        <x:f>SUM(B1141:J1141)</x:f>
        <x:v>-7</x:v>
      </x:c>
      <x:c r="L1141" s="11" t="n">
        <x:f>'제외 후보'!N1141</x:f>
        <x:v>-7</x:v>
      </x:c>
      <x:c r="M1141" s="2" t="str">
        <x:f>IF(K1141=L1141,"OK","MISMATCH")</x:f>
        <x:v>OK</x:v>
      </x:c>
    </x:row>
    <x:row r="1142">
      <x:c r="A1142" s="2" t="str">
        <x:f>'제외 후보'!G1142</x:f>
        <x:v>w_073adca1c5d13d71</x:v>
      </x:c>
      <x:c r="B1142" s="11" t="n">
        <x:f>IF('제외 후보'!Q1142&lt;&gt;"",'선정 규칙'!$B$4,0)</x:f>
        <x:v>0</x:v>
      </x:c>
      <x:c r="C1142" s="11" t="n">
        <x:f>IF(ISNUMBER(SEARCH("jmdict_uncommon_or_irregular",'제외 후보'!P1142)),'선정 규칙'!$B$5,IF(ISNUMBER(SEARCH("jmdict_rare_or_dated",'제외 후보'!P1142)),'선정 규칙'!$B$6,0))</x:f>
        <x:v>0</x:v>
      </x:c>
      <x:c r="D1142" s="11" t="n">
        <x:f>IF(ISNUMBER(SEARCH("jmdict_exact_pair_not_found",'제외 후보'!P1142)),'선정 규칙'!$B$7,0)</x:f>
        <x:v>0</x:v>
      </x:c>
      <x:c r="E1142" s="11" t="n">
        <x:f>IF(OR('제외 후보'!L1142="",'제외 후보'!L1142&lt;=0),'선정 규칙'!$B$8,IF('제외 후보'!L1142&lt;=1.5,'선정 규칙'!$B$9,IF('제외 후보'!L1142&lt;=2,'선정 규칙'!$B$10,IF('제외 후보'!L1142&lt;=2.5,'선정 규칙'!$B$11,IF('제외 후보'!L1142&lt;=3,'선정 규칙'!$B$12,IF('제외 후보'!L1142&lt;=3.5,'선정 규칙'!$B$13,IF('제외 후보'!L1142&gt;=4.5,'선정 규칙'!$B$14,0)))))))</x:f>
        <x:v>12</x:v>
      </x:c>
      <x:c r="F1142" s="11" t="n">
        <x:f>IF('제외 후보'!Y1142=0,'선정 규칙'!$B$15,IF('제외 후보'!Y1142&gt;=100,'선정 규칙'!$B$16,'선정 규칙'!$B$17))</x:f>
        <x:v>-25</x:v>
      </x:c>
      <x:c r="G1142" s="11" t="n">
        <x:f>IF('제외 후보'!M1142="있음",'선정 규칙'!$B$18,'선정 규칙'!$B$19)</x:f>
        <x:v>6</x:v>
      </x:c>
      <x:c r="H1142" s="11" t="n">
        <x:f>IF(ISNUMBER(SEARCH("freq-core",'제외 후보'!AD1142)),'선정 규칙'!$B$20,0)</x:f>
        <x:v>0</x:v>
      </x:c>
      <x:c r="I1142" s="11" t="n">
        <x:f>IF(ISNUMBER(SEARCH("weak_legacy_content",'제외 후보'!P1142)),'선정 규칙'!$B$21,0)</x:f>
        <x:v>0</x:v>
      </x:c>
      <x:c r="J1142" s="11" t="n">
        <x:f>IF('제외 후보'!AC1142&lt;&gt;"",'선정 규칙'!$B$22,0)</x:f>
        <x:v>0</x:v>
      </x:c>
      <x:c r="K1142" s="11" t="n">
        <x:f>SUM(B1142:J1142)</x:f>
        <x:v>-7</x:v>
      </x:c>
      <x:c r="L1142" s="11" t="n">
        <x:f>'제외 후보'!N1142</x:f>
        <x:v>-7</x:v>
      </x:c>
      <x:c r="M1142" s="2" t="str">
        <x:f>IF(K1142=L1142,"OK","MISMATCH")</x:f>
        <x:v>OK</x:v>
      </x:c>
    </x:row>
    <x:row r="1143">
      <x:c r="A1143" s="2" t="str">
        <x:f>'제외 후보'!G1143</x:f>
        <x:v>w_3fdb71882ab12ba8</x:v>
      </x:c>
      <x:c r="B1143" s="11" t="n">
        <x:f>IF('제외 후보'!Q1143&lt;&gt;"",'선정 규칙'!$B$4,0)</x:f>
        <x:v>0</x:v>
      </x:c>
      <x:c r="C1143" s="11" t="n">
        <x:f>IF(ISNUMBER(SEARCH("jmdict_uncommon_or_irregular",'제외 후보'!P1143)),'선정 규칙'!$B$5,IF(ISNUMBER(SEARCH("jmdict_rare_or_dated",'제외 후보'!P1143)),'선정 규칙'!$B$6,0))</x:f>
        <x:v>0</x:v>
      </x:c>
      <x:c r="D1143" s="11" t="n">
        <x:f>IF(ISNUMBER(SEARCH("jmdict_exact_pair_not_found",'제외 후보'!P1143)),'선정 규칙'!$B$7,0)</x:f>
        <x:v>0</x:v>
      </x:c>
      <x:c r="E1143" s="11" t="n">
        <x:f>IF(OR('제외 후보'!L1143="",'제외 후보'!L1143&lt;=0),'선정 규칙'!$B$8,IF('제외 후보'!L1143&lt;=1.5,'선정 규칙'!$B$9,IF('제외 후보'!L1143&lt;=2,'선정 규칙'!$B$10,IF('제외 후보'!L1143&lt;=2.5,'선정 규칙'!$B$11,IF('제외 후보'!L1143&lt;=3,'선정 규칙'!$B$12,IF('제외 후보'!L1143&lt;=3.5,'선정 규칙'!$B$13,IF('제외 후보'!L1143&gt;=4.5,'선정 규칙'!$B$14,0)))))))</x:f>
        <x:v>12</x:v>
      </x:c>
      <x:c r="F1143" s="11" t="n">
        <x:f>IF('제외 후보'!Y1143=0,'선정 규칙'!$B$15,IF('제외 후보'!Y1143&gt;=100,'선정 규칙'!$B$16,'선정 규칙'!$B$17))</x:f>
        <x:v>-25</x:v>
      </x:c>
      <x:c r="G1143" s="11" t="n">
        <x:f>IF('제외 후보'!M1143="있음",'선정 규칙'!$B$18,'선정 규칙'!$B$19)</x:f>
        <x:v>6</x:v>
      </x:c>
      <x:c r="H1143" s="11" t="n">
        <x:f>IF(ISNUMBER(SEARCH("freq-core",'제외 후보'!AD1143)),'선정 규칙'!$B$20,0)</x:f>
        <x:v>0</x:v>
      </x:c>
      <x:c r="I1143" s="11" t="n">
        <x:f>IF(ISNUMBER(SEARCH("weak_legacy_content",'제외 후보'!P1143)),'선정 규칙'!$B$21,0)</x:f>
        <x:v>0</x:v>
      </x:c>
      <x:c r="J1143" s="11" t="n">
        <x:f>IF('제외 후보'!AC1143&lt;&gt;"",'선정 규칙'!$B$22,0)</x:f>
        <x:v>0</x:v>
      </x:c>
      <x:c r="K1143" s="11" t="n">
        <x:f>SUM(B1143:J1143)</x:f>
        <x:v>-7</x:v>
      </x:c>
      <x:c r="L1143" s="11" t="n">
        <x:f>'제외 후보'!N1143</x:f>
        <x:v>-7</x:v>
      </x:c>
      <x:c r="M1143" s="2" t="str">
        <x:f>IF(K1143=L1143,"OK","MISMATCH")</x:f>
        <x:v>OK</x:v>
      </x:c>
    </x:row>
    <x:row r="1144">
      <x:c r="A1144" s="2" t="str">
        <x:f>'제외 후보'!G1144</x:f>
        <x:v>w_a3bc697a0cbfade0</x:v>
      </x:c>
      <x:c r="B1144" s="11" t="n">
        <x:f>IF('제외 후보'!Q1144&lt;&gt;"",'선정 규칙'!$B$4,0)</x:f>
        <x:v>0</x:v>
      </x:c>
      <x:c r="C1144" s="11" t="n">
        <x:f>IF(ISNUMBER(SEARCH("jmdict_uncommon_or_irregular",'제외 후보'!P1144)),'선정 규칙'!$B$5,IF(ISNUMBER(SEARCH("jmdict_rare_or_dated",'제외 후보'!P1144)),'선정 규칙'!$B$6,0))</x:f>
        <x:v>0</x:v>
      </x:c>
      <x:c r="D1144" s="11" t="n">
        <x:f>IF(ISNUMBER(SEARCH("jmdict_exact_pair_not_found",'제외 후보'!P1144)),'선정 규칙'!$B$7,0)</x:f>
        <x:v>0</x:v>
      </x:c>
      <x:c r="E1144" s="11" t="n">
        <x:f>IF(OR('제외 후보'!L1144="",'제외 후보'!L1144&lt;=0),'선정 규칙'!$B$8,IF('제외 후보'!L1144&lt;=1.5,'선정 규칙'!$B$9,IF('제외 후보'!L1144&lt;=2,'선정 규칙'!$B$10,IF('제외 후보'!L1144&lt;=2.5,'선정 규칙'!$B$11,IF('제외 후보'!L1144&lt;=3,'선정 규칙'!$B$12,IF('제외 후보'!L1144&lt;=3.5,'선정 규칙'!$B$13,IF('제외 후보'!L1144&gt;=4.5,'선정 규칙'!$B$14,0)))))))</x:f>
        <x:v>12</x:v>
      </x:c>
      <x:c r="F1144" s="11" t="n">
        <x:f>IF('제외 후보'!Y1144=0,'선정 규칙'!$B$15,IF('제외 후보'!Y1144&gt;=100,'선정 규칙'!$B$16,'선정 규칙'!$B$17))</x:f>
        <x:v>-25</x:v>
      </x:c>
      <x:c r="G1144" s="11" t="n">
        <x:f>IF('제외 후보'!M1144="있음",'선정 규칙'!$B$18,'선정 규칙'!$B$19)</x:f>
        <x:v>6</x:v>
      </x:c>
      <x:c r="H1144" s="11" t="n">
        <x:f>IF(ISNUMBER(SEARCH("freq-core",'제외 후보'!AD1144)),'선정 규칙'!$B$20,0)</x:f>
        <x:v>0</x:v>
      </x:c>
      <x:c r="I1144" s="11" t="n">
        <x:f>IF(ISNUMBER(SEARCH("weak_legacy_content",'제외 후보'!P1144)),'선정 규칙'!$B$21,0)</x:f>
        <x:v>0</x:v>
      </x:c>
      <x:c r="J1144" s="11" t="n">
        <x:f>IF('제외 후보'!AC1144&lt;&gt;"",'선정 규칙'!$B$22,0)</x:f>
        <x:v>0</x:v>
      </x:c>
      <x:c r="K1144" s="11" t="n">
        <x:f>SUM(B1144:J1144)</x:f>
        <x:v>-7</x:v>
      </x:c>
      <x:c r="L1144" s="11" t="n">
        <x:f>'제외 후보'!N1144</x:f>
        <x:v>-7</x:v>
      </x:c>
      <x:c r="M1144" s="2" t="str">
        <x:f>IF(K1144=L1144,"OK","MISMATCH")</x:f>
        <x:v>OK</x:v>
      </x:c>
    </x:row>
    <x:row r="1145">
      <x:c r="A1145" s="2" t="str">
        <x:f>'제외 후보'!G1145</x:f>
        <x:v>w_6558fe7dbc059f61</x:v>
      </x:c>
      <x:c r="B1145" s="11" t="n">
        <x:f>IF('제외 후보'!Q1145&lt;&gt;"",'선정 규칙'!$B$4,0)</x:f>
        <x:v>0</x:v>
      </x:c>
      <x:c r="C1145" s="11" t="n">
        <x:f>IF(ISNUMBER(SEARCH("jmdict_uncommon_or_irregular",'제외 후보'!P1145)),'선정 규칙'!$B$5,IF(ISNUMBER(SEARCH("jmdict_rare_or_dated",'제외 후보'!P1145)),'선정 규칙'!$B$6,0))</x:f>
        <x:v>0</x:v>
      </x:c>
      <x:c r="D1145" s="11" t="n">
        <x:f>IF(ISNUMBER(SEARCH("jmdict_exact_pair_not_found",'제외 후보'!P1145)),'선정 규칙'!$B$7,0)</x:f>
        <x:v>0</x:v>
      </x:c>
      <x:c r="E1145" s="11" t="n">
        <x:f>IF(OR('제외 후보'!L1145="",'제외 후보'!L1145&lt;=0),'선정 규칙'!$B$8,IF('제외 후보'!L1145&lt;=1.5,'선정 규칙'!$B$9,IF('제외 후보'!L1145&lt;=2,'선정 규칙'!$B$10,IF('제외 후보'!L1145&lt;=2.5,'선정 규칙'!$B$11,IF('제외 후보'!L1145&lt;=3,'선정 규칙'!$B$12,IF('제외 후보'!L1145&lt;=3.5,'선정 규칙'!$B$13,IF('제외 후보'!L1145&gt;=4.5,'선정 규칙'!$B$14,0)))))))</x:f>
        <x:v>12</x:v>
      </x:c>
      <x:c r="F1145" s="11" t="n">
        <x:f>IF('제외 후보'!Y1145=0,'선정 규칙'!$B$15,IF('제외 후보'!Y1145&gt;=100,'선정 규칙'!$B$16,'선정 규칙'!$B$17))</x:f>
        <x:v>-25</x:v>
      </x:c>
      <x:c r="G1145" s="11" t="n">
        <x:f>IF('제외 후보'!M1145="있음",'선정 규칙'!$B$18,'선정 규칙'!$B$19)</x:f>
        <x:v>6</x:v>
      </x:c>
      <x:c r="H1145" s="11" t="n">
        <x:f>IF(ISNUMBER(SEARCH("freq-core",'제외 후보'!AD1145)),'선정 규칙'!$B$20,0)</x:f>
        <x:v>0</x:v>
      </x:c>
      <x:c r="I1145" s="11" t="n">
        <x:f>IF(ISNUMBER(SEARCH("weak_legacy_content",'제외 후보'!P1145)),'선정 규칙'!$B$21,0)</x:f>
        <x:v>0</x:v>
      </x:c>
      <x:c r="J1145" s="11" t="n">
        <x:f>IF('제외 후보'!AC1145&lt;&gt;"",'선정 규칙'!$B$22,0)</x:f>
        <x:v>0</x:v>
      </x:c>
      <x:c r="K1145" s="11" t="n">
        <x:f>SUM(B1145:J1145)</x:f>
        <x:v>-7</x:v>
      </x:c>
      <x:c r="L1145" s="11" t="n">
        <x:f>'제외 후보'!N1145</x:f>
        <x:v>-7</x:v>
      </x:c>
      <x:c r="M1145" s="2" t="str">
        <x:f>IF(K1145=L1145,"OK","MISMATCH")</x:f>
        <x:v>OK</x:v>
      </x:c>
    </x:row>
    <x:row r="1146">
      <x:c r="A1146" s="2" t="str">
        <x:f>'제외 후보'!G1146</x:f>
        <x:v>w_bdc0a5d733d22e0e</x:v>
      </x:c>
      <x:c r="B1146" s="11" t="n">
        <x:f>IF('제외 후보'!Q1146&lt;&gt;"",'선정 규칙'!$B$4,0)</x:f>
        <x:v>0</x:v>
      </x:c>
      <x:c r="C1146" s="11" t="n">
        <x:f>IF(ISNUMBER(SEARCH("jmdict_uncommon_or_irregular",'제외 후보'!P1146)),'선정 규칙'!$B$5,IF(ISNUMBER(SEARCH("jmdict_rare_or_dated",'제외 후보'!P1146)),'선정 규칙'!$B$6,0))</x:f>
        <x:v>0</x:v>
      </x:c>
      <x:c r="D1146" s="11" t="n">
        <x:f>IF(ISNUMBER(SEARCH("jmdict_exact_pair_not_found",'제외 후보'!P1146)),'선정 규칙'!$B$7,0)</x:f>
        <x:v>0</x:v>
      </x:c>
      <x:c r="E1146" s="11" t="n">
        <x:f>IF(OR('제외 후보'!L1146="",'제외 후보'!L1146&lt;=0),'선정 규칙'!$B$8,IF('제외 후보'!L1146&lt;=1.5,'선정 규칙'!$B$9,IF('제외 후보'!L1146&lt;=2,'선정 규칙'!$B$10,IF('제외 후보'!L1146&lt;=2.5,'선정 규칙'!$B$11,IF('제외 후보'!L1146&lt;=3,'선정 규칙'!$B$12,IF('제외 후보'!L1146&lt;=3.5,'선정 규칙'!$B$13,IF('제외 후보'!L1146&gt;=4.5,'선정 규칙'!$B$14,0)))))))</x:f>
        <x:v>12</x:v>
      </x:c>
      <x:c r="F1146" s="11" t="n">
        <x:f>IF('제외 후보'!Y1146=0,'선정 규칙'!$B$15,IF('제외 후보'!Y1146&gt;=100,'선정 규칙'!$B$16,'선정 규칙'!$B$17))</x:f>
        <x:v>-25</x:v>
      </x:c>
      <x:c r="G1146" s="11" t="n">
        <x:f>IF('제외 후보'!M1146="있음",'선정 규칙'!$B$18,'선정 규칙'!$B$19)</x:f>
        <x:v>6</x:v>
      </x:c>
      <x:c r="H1146" s="11" t="n">
        <x:f>IF(ISNUMBER(SEARCH("freq-core",'제외 후보'!AD1146)),'선정 규칙'!$B$20,0)</x:f>
        <x:v>0</x:v>
      </x:c>
      <x:c r="I1146" s="11" t="n">
        <x:f>IF(ISNUMBER(SEARCH("weak_legacy_content",'제외 후보'!P1146)),'선정 규칙'!$B$21,0)</x:f>
        <x:v>0</x:v>
      </x:c>
      <x:c r="J1146" s="11" t="n">
        <x:f>IF('제외 후보'!AC1146&lt;&gt;"",'선정 규칙'!$B$22,0)</x:f>
        <x:v>0</x:v>
      </x:c>
      <x:c r="K1146" s="11" t="n">
        <x:f>SUM(B1146:J1146)</x:f>
        <x:v>-7</x:v>
      </x:c>
      <x:c r="L1146" s="11" t="n">
        <x:f>'제외 후보'!N1146</x:f>
        <x:v>-7</x:v>
      </x:c>
      <x:c r="M1146" s="2" t="str">
        <x:f>IF(K1146=L1146,"OK","MISMATCH")</x:f>
        <x:v>OK</x:v>
      </x:c>
    </x:row>
    <x:row r="1147">
      <x:c r="A1147" s="2" t="str">
        <x:f>'제외 후보'!G1147</x:f>
        <x:v>w_e81883cba896b19f</x:v>
      </x:c>
      <x:c r="B1147" s="11" t="n">
        <x:f>IF('제외 후보'!Q1147&lt;&gt;"",'선정 규칙'!$B$4,0)</x:f>
        <x:v>0</x:v>
      </x:c>
      <x:c r="C1147" s="11" t="n">
        <x:f>IF(ISNUMBER(SEARCH("jmdict_uncommon_or_irregular",'제외 후보'!P1147)),'선정 규칙'!$B$5,IF(ISNUMBER(SEARCH("jmdict_rare_or_dated",'제외 후보'!P1147)),'선정 규칙'!$B$6,0))</x:f>
        <x:v>0</x:v>
      </x:c>
      <x:c r="D1147" s="11" t="n">
        <x:f>IF(ISNUMBER(SEARCH("jmdict_exact_pair_not_found",'제외 후보'!P1147)),'선정 규칙'!$B$7,0)</x:f>
        <x:v>0</x:v>
      </x:c>
      <x:c r="E1147" s="11" t="n">
        <x:f>IF(OR('제외 후보'!L1147="",'제외 후보'!L1147&lt;=0),'선정 규칙'!$B$8,IF('제외 후보'!L1147&lt;=1.5,'선정 규칙'!$B$9,IF('제외 후보'!L1147&lt;=2,'선정 규칙'!$B$10,IF('제외 후보'!L1147&lt;=2.5,'선정 규칙'!$B$11,IF('제외 후보'!L1147&lt;=3,'선정 규칙'!$B$12,IF('제외 후보'!L1147&lt;=3.5,'선정 규칙'!$B$13,IF('제외 후보'!L1147&gt;=4.5,'선정 규칙'!$B$14,0)))))))</x:f>
        <x:v>12</x:v>
      </x:c>
      <x:c r="F1147" s="11" t="n">
        <x:f>IF('제외 후보'!Y1147=0,'선정 규칙'!$B$15,IF('제외 후보'!Y1147&gt;=100,'선정 규칙'!$B$16,'선정 규칙'!$B$17))</x:f>
        <x:v>-25</x:v>
      </x:c>
      <x:c r="G1147" s="11" t="n">
        <x:f>IF('제외 후보'!M1147="있음",'선정 규칙'!$B$18,'선정 규칙'!$B$19)</x:f>
        <x:v>6</x:v>
      </x:c>
      <x:c r="H1147" s="11" t="n">
        <x:f>IF(ISNUMBER(SEARCH("freq-core",'제외 후보'!AD1147)),'선정 규칙'!$B$20,0)</x:f>
        <x:v>0</x:v>
      </x:c>
      <x:c r="I1147" s="11" t="n">
        <x:f>IF(ISNUMBER(SEARCH("weak_legacy_content",'제외 후보'!P1147)),'선정 규칙'!$B$21,0)</x:f>
        <x:v>0</x:v>
      </x:c>
      <x:c r="J1147" s="11" t="n">
        <x:f>IF('제외 후보'!AC1147&lt;&gt;"",'선정 규칙'!$B$22,0)</x:f>
        <x:v>0</x:v>
      </x:c>
      <x:c r="K1147" s="11" t="n">
        <x:f>SUM(B1147:J1147)</x:f>
        <x:v>-7</x:v>
      </x:c>
      <x:c r="L1147" s="11" t="n">
        <x:f>'제외 후보'!N1147</x:f>
        <x:v>-7</x:v>
      </x:c>
      <x:c r="M1147" s="2" t="str">
        <x:f>IF(K1147=L1147,"OK","MISMATCH")</x:f>
        <x:v>OK</x:v>
      </x:c>
    </x:row>
    <x:row r="1148">
      <x:c r="A1148" s="2" t="str">
        <x:f>'제외 후보'!G1148</x:f>
        <x:v>w_41f80514da34307e</x:v>
      </x:c>
      <x:c r="B1148" s="11" t="n">
        <x:f>IF('제외 후보'!Q1148&lt;&gt;"",'선정 규칙'!$B$4,0)</x:f>
        <x:v>0</x:v>
      </x:c>
      <x:c r="C1148" s="11" t="n">
        <x:f>IF(ISNUMBER(SEARCH("jmdict_uncommon_or_irregular",'제외 후보'!P1148)),'선정 규칙'!$B$5,IF(ISNUMBER(SEARCH("jmdict_rare_or_dated",'제외 후보'!P1148)),'선정 규칙'!$B$6,0))</x:f>
        <x:v>0</x:v>
      </x:c>
      <x:c r="D1148" s="11" t="n">
        <x:f>IF(ISNUMBER(SEARCH("jmdict_exact_pair_not_found",'제외 후보'!P1148)),'선정 규칙'!$B$7,0)</x:f>
        <x:v>0</x:v>
      </x:c>
      <x:c r="E1148" s="11" t="n">
        <x:f>IF(OR('제외 후보'!L1148="",'제외 후보'!L1148&lt;=0),'선정 규칙'!$B$8,IF('제외 후보'!L1148&lt;=1.5,'선정 규칙'!$B$9,IF('제외 후보'!L1148&lt;=2,'선정 규칙'!$B$10,IF('제외 후보'!L1148&lt;=2.5,'선정 규칙'!$B$11,IF('제외 후보'!L1148&lt;=3,'선정 규칙'!$B$12,IF('제외 후보'!L1148&lt;=3.5,'선정 규칙'!$B$13,IF('제외 후보'!L1148&gt;=4.5,'선정 규칙'!$B$14,0)))))))</x:f>
        <x:v>12</x:v>
      </x:c>
      <x:c r="F1148" s="11" t="n">
        <x:f>IF('제외 후보'!Y1148=0,'선정 규칙'!$B$15,IF('제외 후보'!Y1148&gt;=100,'선정 규칙'!$B$16,'선정 규칙'!$B$17))</x:f>
        <x:v>-25</x:v>
      </x:c>
      <x:c r="G1148" s="11" t="n">
        <x:f>IF('제외 후보'!M1148="있음",'선정 규칙'!$B$18,'선정 규칙'!$B$19)</x:f>
        <x:v>6</x:v>
      </x:c>
      <x:c r="H1148" s="11" t="n">
        <x:f>IF(ISNUMBER(SEARCH("freq-core",'제외 후보'!AD1148)),'선정 규칙'!$B$20,0)</x:f>
        <x:v>0</x:v>
      </x:c>
      <x:c r="I1148" s="11" t="n">
        <x:f>IF(ISNUMBER(SEARCH("weak_legacy_content",'제외 후보'!P1148)),'선정 규칙'!$B$21,0)</x:f>
        <x:v>0</x:v>
      </x:c>
      <x:c r="J1148" s="11" t="n">
        <x:f>IF('제외 후보'!AC1148&lt;&gt;"",'선정 규칙'!$B$22,0)</x:f>
        <x:v>0</x:v>
      </x:c>
      <x:c r="K1148" s="11" t="n">
        <x:f>SUM(B1148:J1148)</x:f>
        <x:v>-7</x:v>
      </x:c>
      <x:c r="L1148" s="11" t="n">
        <x:f>'제외 후보'!N1148</x:f>
        <x:v>-7</x:v>
      </x:c>
      <x:c r="M1148" s="2" t="str">
        <x:f>IF(K1148=L1148,"OK","MISMATCH")</x:f>
        <x:v>OK</x:v>
      </x:c>
    </x:row>
    <x:row r="1149">
      <x:c r="A1149" s="2" t="str">
        <x:f>'제외 후보'!G1149</x:f>
        <x:v>w_0fee8560d7ab9cc3</x:v>
      </x:c>
      <x:c r="B1149" s="11" t="n">
        <x:f>IF('제외 후보'!Q1149&lt;&gt;"",'선정 규칙'!$B$4,0)</x:f>
        <x:v>0</x:v>
      </x:c>
      <x:c r="C1149" s="11" t="n">
        <x:f>IF(ISNUMBER(SEARCH("jmdict_uncommon_or_irregular",'제외 후보'!P1149)),'선정 규칙'!$B$5,IF(ISNUMBER(SEARCH("jmdict_rare_or_dated",'제외 후보'!P1149)),'선정 규칙'!$B$6,0))</x:f>
        <x:v>0</x:v>
      </x:c>
      <x:c r="D1149" s="11" t="n">
        <x:f>IF(ISNUMBER(SEARCH("jmdict_exact_pair_not_found",'제외 후보'!P1149)),'선정 규칙'!$B$7,0)</x:f>
        <x:v>0</x:v>
      </x:c>
      <x:c r="E1149" s="11" t="n">
        <x:f>IF(OR('제외 후보'!L1149="",'제외 후보'!L1149&lt;=0),'선정 규칙'!$B$8,IF('제외 후보'!L1149&lt;=1.5,'선정 규칙'!$B$9,IF('제외 후보'!L1149&lt;=2,'선정 규칙'!$B$10,IF('제외 후보'!L1149&lt;=2.5,'선정 규칙'!$B$11,IF('제외 후보'!L1149&lt;=3,'선정 규칙'!$B$12,IF('제외 후보'!L1149&lt;=3.5,'선정 규칙'!$B$13,IF('제외 후보'!L1149&gt;=4.5,'선정 규칙'!$B$14,0)))))))</x:f>
        <x:v>12</x:v>
      </x:c>
      <x:c r="F1149" s="11" t="n">
        <x:f>IF('제외 후보'!Y1149=0,'선정 규칙'!$B$15,IF('제외 후보'!Y1149&gt;=100,'선정 규칙'!$B$16,'선정 규칙'!$B$17))</x:f>
        <x:v>-25</x:v>
      </x:c>
      <x:c r="G1149" s="11" t="n">
        <x:f>IF('제외 후보'!M1149="있음",'선정 규칙'!$B$18,'선정 규칙'!$B$19)</x:f>
        <x:v>6</x:v>
      </x:c>
      <x:c r="H1149" s="11" t="n">
        <x:f>IF(ISNUMBER(SEARCH("freq-core",'제외 후보'!AD1149)),'선정 규칙'!$B$20,0)</x:f>
        <x:v>0</x:v>
      </x:c>
      <x:c r="I1149" s="11" t="n">
        <x:f>IF(ISNUMBER(SEARCH("weak_legacy_content",'제외 후보'!P1149)),'선정 규칙'!$B$21,0)</x:f>
        <x:v>0</x:v>
      </x:c>
      <x:c r="J1149" s="11" t="n">
        <x:f>IF('제외 후보'!AC1149&lt;&gt;"",'선정 규칙'!$B$22,0)</x:f>
        <x:v>0</x:v>
      </x:c>
      <x:c r="K1149" s="11" t="n">
        <x:f>SUM(B1149:J1149)</x:f>
        <x:v>-7</x:v>
      </x:c>
      <x:c r="L1149" s="11" t="n">
        <x:f>'제외 후보'!N1149</x:f>
        <x:v>-7</x:v>
      </x:c>
      <x:c r="M1149" s="2" t="str">
        <x:f>IF(K1149=L1149,"OK","MISMATCH")</x:f>
        <x:v>OK</x:v>
      </x:c>
    </x:row>
    <x:row r="1150">
      <x:c r="A1150" s="2" t="str">
        <x:f>'제외 후보'!G1150</x:f>
        <x:v>w_6b524de26331e5d1</x:v>
      </x:c>
      <x:c r="B1150" s="11" t="n">
        <x:f>IF('제외 후보'!Q1150&lt;&gt;"",'선정 규칙'!$B$4,0)</x:f>
        <x:v>0</x:v>
      </x:c>
      <x:c r="C1150" s="11" t="n">
        <x:f>IF(ISNUMBER(SEARCH("jmdict_uncommon_or_irregular",'제외 후보'!P1150)),'선정 규칙'!$B$5,IF(ISNUMBER(SEARCH("jmdict_rare_or_dated",'제외 후보'!P1150)),'선정 규칙'!$B$6,0))</x:f>
        <x:v>0</x:v>
      </x:c>
      <x:c r="D1150" s="11" t="n">
        <x:f>IF(ISNUMBER(SEARCH("jmdict_exact_pair_not_found",'제외 후보'!P1150)),'선정 규칙'!$B$7,0)</x:f>
        <x:v>0</x:v>
      </x:c>
      <x:c r="E1150" s="11" t="n">
        <x:f>IF(OR('제외 후보'!L1150="",'제외 후보'!L1150&lt;=0),'선정 규칙'!$B$8,IF('제외 후보'!L1150&lt;=1.5,'선정 규칙'!$B$9,IF('제외 후보'!L1150&lt;=2,'선정 규칙'!$B$10,IF('제외 후보'!L1150&lt;=2.5,'선정 규칙'!$B$11,IF('제외 후보'!L1150&lt;=3,'선정 규칙'!$B$12,IF('제외 후보'!L1150&lt;=3.5,'선정 규칙'!$B$13,IF('제외 후보'!L1150&gt;=4.5,'선정 규칙'!$B$14,0)))))))</x:f>
        <x:v>12</x:v>
      </x:c>
      <x:c r="F1150" s="11" t="n">
        <x:f>IF('제외 후보'!Y1150=0,'선정 규칙'!$B$15,IF('제외 후보'!Y1150&gt;=100,'선정 규칙'!$B$16,'선정 규칙'!$B$17))</x:f>
        <x:v>-25</x:v>
      </x:c>
      <x:c r="G1150" s="11" t="n">
        <x:f>IF('제외 후보'!M1150="있음",'선정 규칙'!$B$18,'선정 규칙'!$B$19)</x:f>
        <x:v>6</x:v>
      </x:c>
      <x:c r="H1150" s="11" t="n">
        <x:f>IF(ISNUMBER(SEARCH("freq-core",'제외 후보'!AD1150)),'선정 규칙'!$B$20,0)</x:f>
        <x:v>0</x:v>
      </x:c>
      <x:c r="I1150" s="11" t="n">
        <x:f>IF(ISNUMBER(SEARCH("weak_legacy_content",'제외 후보'!P1150)),'선정 규칙'!$B$21,0)</x:f>
        <x:v>0</x:v>
      </x:c>
      <x:c r="J1150" s="11" t="n">
        <x:f>IF('제외 후보'!AC1150&lt;&gt;"",'선정 규칙'!$B$22,0)</x:f>
        <x:v>0</x:v>
      </x:c>
      <x:c r="K1150" s="11" t="n">
        <x:f>SUM(B1150:J1150)</x:f>
        <x:v>-7</x:v>
      </x:c>
      <x:c r="L1150" s="11" t="n">
        <x:f>'제외 후보'!N1150</x:f>
        <x:v>-7</x:v>
      </x:c>
      <x:c r="M1150" s="2" t="str">
        <x:f>IF(K1150=L1150,"OK","MISMATCH")</x:f>
        <x:v>OK</x:v>
      </x:c>
    </x:row>
    <x:row r="1151">
      <x:c r="A1151" s="2" t="str">
        <x:f>'제외 후보'!G1151</x:f>
        <x:v>w_2a580f196c7e6bfc</x:v>
      </x:c>
      <x:c r="B1151" s="11" t="n">
        <x:f>IF('제외 후보'!Q1151&lt;&gt;"",'선정 규칙'!$B$4,0)</x:f>
        <x:v>0</x:v>
      </x:c>
      <x:c r="C1151" s="11" t="n">
        <x:f>IF(ISNUMBER(SEARCH("jmdict_uncommon_or_irregular",'제외 후보'!P1151)),'선정 규칙'!$B$5,IF(ISNUMBER(SEARCH("jmdict_rare_or_dated",'제외 후보'!P1151)),'선정 규칙'!$B$6,0))</x:f>
        <x:v>0</x:v>
      </x:c>
      <x:c r="D1151" s="11" t="n">
        <x:f>IF(ISNUMBER(SEARCH("jmdict_exact_pair_not_found",'제외 후보'!P1151)),'선정 규칙'!$B$7,0)</x:f>
        <x:v>0</x:v>
      </x:c>
      <x:c r="E1151" s="11" t="n">
        <x:f>IF(OR('제외 후보'!L1151="",'제외 후보'!L1151&lt;=0),'선정 규칙'!$B$8,IF('제외 후보'!L1151&lt;=1.5,'선정 규칙'!$B$9,IF('제외 후보'!L1151&lt;=2,'선정 규칙'!$B$10,IF('제외 후보'!L1151&lt;=2.5,'선정 규칙'!$B$11,IF('제외 후보'!L1151&lt;=3,'선정 규칙'!$B$12,IF('제외 후보'!L1151&lt;=3.5,'선정 규칙'!$B$13,IF('제외 후보'!L1151&gt;=4.5,'선정 규칙'!$B$14,0)))))))</x:f>
        <x:v>12</x:v>
      </x:c>
      <x:c r="F1151" s="11" t="n">
        <x:f>IF('제외 후보'!Y1151=0,'선정 규칙'!$B$15,IF('제외 후보'!Y1151&gt;=100,'선정 규칙'!$B$16,'선정 규칙'!$B$17))</x:f>
        <x:v>-25</x:v>
      </x:c>
      <x:c r="G1151" s="11" t="n">
        <x:f>IF('제외 후보'!M1151="있음",'선정 규칙'!$B$18,'선정 규칙'!$B$19)</x:f>
        <x:v>6</x:v>
      </x:c>
      <x:c r="H1151" s="11" t="n">
        <x:f>IF(ISNUMBER(SEARCH("freq-core",'제외 후보'!AD1151)),'선정 규칙'!$B$20,0)</x:f>
        <x:v>0</x:v>
      </x:c>
      <x:c r="I1151" s="11" t="n">
        <x:f>IF(ISNUMBER(SEARCH("weak_legacy_content",'제외 후보'!P1151)),'선정 규칙'!$B$21,0)</x:f>
        <x:v>0</x:v>
      </x:c>
      <x:c r="J1151" s="11" t="n">
        <x:f>IF('제외 후보'!AC1151&lt;&gt;"",'선정 규칙'!$B$22,0)</x:f>
        <x:v>0</x:v>
      </x:c>
      <x:c r="K1151" s="11" t="n">
        <x:f>SUM(B1151:J1151)</x:f>
        <x:v>-7</x:v>
      </x:c>
      <x:c r="L1151" s="11" t="n">
        <x:f>'제외 후보'!N1151</x:f>
        <x:v>-7</x:v>
      </x:c>
      <x:c r="M1151" s="2" t="str">
        <x:f>IF(K1151=L1151,"OK","MISMATCH")</x:f>
        <x:v>OK</x:v>
      </x:c>
    </x:row>
    <x:row r="1152">
      <x:c r="A1152" s="2" t="str">
        <x:f>'제외 후보'!G1152</x:f>
        <x:v>w_5f2f5825e2a1cc04</x:v>
      </x:c>
      <x:c r="B1152" s="11" t="n">
        <x:f>IF('제외 후보'!Q1152&lt;&gt;"",'선정 규칙'!$B$4,0)</x:f>
        <x:v>0</x:v>
      </x:c>
      <x:c r="C1152" s="11" t="n">
        <x:f>IF(ISNUMBER(SEARCH("jmdict_uncommon_or_irregular",'제외 후보'!P1152)),'선정 규칙'!$B$5,IF(ISNUMBER(SEARCH("jmdict_rare_or_dated",'제외 후보'!P1152)),'선정 규칙'!$B$6,0))</x:f>
        <x:v>0</x:v>
      </x:c>
      <x:c r="D1152" s="11" t="n">
        <x:f>IF(ISNUMBER(SEARCH("jmdict_exact_pair_not_found",'제외 후보'!P1152)),'선정 규칙'!$B$7,0)</x:f>
        <x:v>0</x:v>
      </x:c>
      <x:c r="E1152" s="11" t="n">
        <x:f>IF(OR('제외 후보'!L1152="",'제외 후보'!L1152&lt;=0),'선정 규칙'!$B$8,IF('제외 후보'!L1152&lt;=1.5,'선정 규칙'!$B$9,IF('제외 후보'!L1152&lt;=2,'선정 규칙'!$B$10,IF('제외 후보'!L1152&lt;=2.5,'선정 규칙'!$B$11,IF('제외 후보'!L1152&lt;=3,'선정 규칙'!$B$12,IF('제외 후보'!L1152&lt;=3.5,'선정 규칙'!$B$13,IF('제외 후보'!L1152&gt;=4.5,'선정 규칙'!$B$14,0)))))))</x:f>
        <x:v>12</x:v>
      </x:c>
      <x:c r="F1152" s="11" t="n">
        <x:f>IF('제외 후보'!Y1152=0,'선정 규칙'!$B$15,IF('제외 후보'!Y1152&gt;=100,'선정 규칙'!$B$16,'선정 규칙'!$B$17))</x:f>
        <x:v>-25</x:v>
      </x:c>
      <x:c r="G1152" s="11" t="n">
        <x:f>IF('제외 후보'!M1152="있음",'선정 규칙'!$B$18,'선정 규칙'!$B$19)</x:f>
        <x:v>6</x:v>
      </x:c>
      <x:c r="H1152" s="11" t="n">
        <x:f>IF(ISNUMBER(SEARCH("freq-core",'제외 후보'!AD1152)),'선정 규칙'!$B$20,0)</x:f>
        <x:v>0</x:v>
      </x:c>
      <x:c r="I1152" s="11" t="n">
        <x:f>IF(ISNUMBER(SEARCH("weak_legacy_content",'제외 후보'!P1152)),'선정 규칙'!$B$21,0)</x:f>
        <x:v>0</x:v>
      </x:c>
      <x:c r="J1152" s="11" t="n">
        <x:f>IF('제외 후보'!AC1152&lt;&gt;"",'선정 규칙'!$B$22,0)</x:f>
        <x:v>0</x:v>
      </x:c>
      <x:c r="K1152" s="11" t="n">
        <x:f>SUM(B1152:J1152)</x:f>
        <x:v>-7</x:v>
      </x:c>
      <x:c r="L1152" s="11" t="n">
        <x:f>'제외 후보'!N1152</x:f>
        <x:v>-7</x:v>
      </x:c>
      <x:c r="M1152" s="2" t="str">
        <x:f>IF(K1152=L1152,"OK","MISMATCH")</x:f>
        <x:v>OK</x:v>
      </x:c>
    </x:row>
    <x:row r="1153">
      <x:c r="A1153" s="2" t="str">
        <x:f>'제외 후보'!G1153</x:f>
        <x:v>w_14d8d8e3463811d9</x:v>
      </x:c>
      <x:c r="B1153" s="11" t="n">
        <x:f>IF('제외 후보'!Q1153&lt;&gt;"",'선정 규칙'!$B$4,0)</x:f>
        <x:v>0</x:v>
      </x:c>
      <x:c r="C1153" s="11" t="n">
        <x:f>IF(ISNUMBER(SEARCH("jmdict_uncommon_or_irregular",'제외 후보'!P1153)),'선정 규칙'!$B$5,IF(ISNUMBER(SEARCH("jmdict_rare_or_dated",'제외 후보'!P1153)),'선정 규칙'!$B$6,0))</x:f>
        <x:v>0</x:v>
      </x:c>
      <x:c r="D1153" s="11" t="n">
        <x:f>IF(ISNUMBER(SEARCH("jmdict_exact_pair_not_found",'제외 후보'!P1153)),'선정 규칙'!$B$7,0)</x:f>
        <x:v>0</x:v>
      </x:c>
      <x:c r="E1153" s="11" t="n">
        <x:f>IF(OR('제외 후보'!L1153="",'제외 후보'!L1153&lt;=0),'선정 규칙'!$B$8,IF('제외 후보'!L1153&lt;=1.5,'선정 규칙'!$B$9,IF('제외 후보'!L1153&lt;=2,'선정 규칙'!$B$10,IF('제외 후보'!L1153&lt;=2.5,'선정 규칙'!$B$11,IF('제외 후보'!L1153&lt;=3,'선정 규칙'!$B$12,IF('제외 후보'!L1153&lt;=3.5,'선정 규칙'!$B$13,IF('제외 후보'!L1153&gt;=4.5,'선정 규칙'!$B$14,0)))))))</x:f>
        <x:v>12</x:v>
      </x:c>
      <x:c r="F1153" s="11" t="n">
        <x:f>IF('제외 후보'!Y1153=0,'선정 규칙'!$B$15,IF('제외 후보'!Y1153&gt;=100,'선정 규칙'!$B$16,'선정 규칙'!$B$17))</x:f>
        <x:v>-25</x:v>
      </x:c>
      <x:c r="G1153" s="11" t="n">
        <x:f>IF('제외 후보'!M1153="있음",'선정 규칙'!$B$18,'선정 규칙'!$B$19)</x:f>
        <x:v>6</x:v>
      </x:c>
      <x:c r="H1153" s="11" t="n">
        <x:f>IF(ISNUMBER(SEARCH("freq-core",'제외 후보'!AD1153)),'선정 규칙'!$B$20,0)</x:f>
        <x:v>0</x:v>
      </x:c>
      <x:c r="I1153" s="11" t="n">
        <x:f>IF(ISNUMBER(SEARCH("weak_legacy_content",'제외 후보'!P1153)),'선정 규칙'!$B$21,0)</x:f>
        <x:v>0</x:v>
      </x:c>
      <x:c r="J1153" s="11" t="n">
        <x:f>IF('제외 후보'!AC1153&lt;&gt;"",'선정 규칙'!$B$22,0)</x:f>
        <x:v>0</x:v>
      </x:c>
      <x:c r="K1153" s="11" t="n">
        <x:f>SUM(B1153:J1153)</x:f>
        <x:v>-7</x:v>
      </x:c>
      <x:c r="L1153" s="11" t="n">
        <x:f>'제외 후보'!N1153</x:f>
        <x:v>-7</x:v>
      </x:c>
      <x:c r="M1153" s="2" t="str">
        <x:f>IF(K1153=L1153,"OK","MISMATCH")</x:f>
        <x:v>OK</x:v>
      </x:c>
    </x:row>
    <x:row r="1154">
      <x:c r="A1154" s="2" t="str">
        <x:f>'제외 후보'!G1154</x:f>
        <x:v>w_80c14bcf71e6f42d</x:v>
      </x:c>
      <x:c r="B1154" s="11" t="n">
        <x:f>IF('제외 후보'!Q1154&lt;&gt;"",'선정 규칙'!$B$4,0)</x:f>
        <x:v>0</x:v>
      </x:c>
      <x:c r="C1154" s="11" t="n">
        <x:f>IF(ISNUMBER(SEARCH("jmdict_uncommon_or_irregular",'제외 후보'!P1154)),'선정 규칙'!$B$5,IF(ISNUMBER(SEARCH("jmdict_rare_or_dated",'제외 후보'!P1154)),'선정 규칙'!$B$6,0))</x:f>
        <x:v>0</x:v>
      </x:c>
      <x:c r="D1154" s="11" t="n">
        <x:f>IF(ISNUMBER(SEARCH("jmdict_exact_pair_not_found",'제외 후보'!P1154)),'선정 규칙'!$B$7,0)</x:f>
        <x:v>0</x:v>
      </x:c>
      <x:c r="E1154" s="11" t="n">
        <x:f>IF(OR('제외 후보'!L1154="",'제외 후보'!L1154&lt;=0),'선정 규칙'!$B$8,IF('제외 후보'!L1154&lt;=1.5,'선정 규칙'!$B$9,IF('제외 후보'!L1154&lt;=2,'선정 규칙'!$B$10,IF('제외 후보'!L1154&lt;=2.5,'선정 규칙'!$B$11,IF('제외 후보'!L1154&lt;=3,'선정 규칙'!$B$12,IF('제외 후보'!L1154&lt;=3.5,'선정 규칙'!$B$13,IF('제외 후보'!L1154&gt;=4.5,'선정 규칙'!$B$14,0)))))))</x:f>
        <x:v>12</x:v>
      </x:c>
      <x:c r="F1154" s="11" t="n">
        <x:f>IF('제외 후보'!Y1154=0,'선정 규칙'!$B$15,IF('제외 후보'!Y1154&gt;=100,'선정 규칙'!$B$16,'선정 규칙'!$B$17))</x:f>
        <x:v>-25</x:v>
      </x:c>
      <x:c r="G1154" s="11" t="n">
        <x:f>IF('제외 후보'!M1154="있음",'선정 규칙'!$B$18,'선정 규칙'!$B$19)</x:f>
        <x:v>6</x:v>
      </x:c>
      <x:c r="H1154" s="11" t="n">
        <x:f>IF(ISNUMBER(SEARCH("freq-core",'제외 후보'!AD1154)),'선정 규칙'!$B$20,0)</x:f>
        <x:v>0</x:v>
      </x:c>
      <x:c r="I1154" s="11" t="n">
        <x:f>IF(ISNUMBER(SEARCH("weak_legacy_content",'제외 후보'!P1154)),'선정 규칙'!$B$21,0)</x:f>
        <x:v>0</x:v>
      </x:c>
      <x:c r="J1154" s="11" t="n">
        <x:f>IF('제외 후보'!AC1154&lt;&gt;"",'선정 규칙'!$B$22,0)</x:f>
        <x:v>0</x:v>
      </x:c>
      <x:c r="K1154" s="11" t="n">
        <x:f>SUM(B1154:J1154)</x:f>
        <x:v>-7</x:v>
      </x:c>
      <x:c r="L1154" s="11" t="n">
        <x:f>'제외 후보'!N1154</x:f>
        <x:v>-7</x:v>
      </x:c>
      <x:c r="M1154" s="2" t="str">
        <x:f>IF(K1154=L1154,"OK","MISMATCH")</x:f>
        <x:v>OK</x:v>
      </x:c>
    </x:row>
    <x:row r="1155">
      <x:c r="A1155" s="2" t="str">
        <x:f>'제외 후보'!G1155</x:f>
        <x:v>w_b7e605e82426b997</x:v>
      </x:c>
      <x:c r="B1155" s="11" t="n">
        <x:f>IF('제외 후보'!Q1155&lt;&gt;"",'선정 규칙'!$B$4,0)</x:f>
        <x:v>0</x:v>
      </x:c>
      <x:c r="C1155" s="11" t="n">
        <x:f>IF(ISNUMBER(SEARCH("jmdict_uncommon_or_irregular",'제외 후보'!P1155)),'선정 규칙'!$B$5,IF(ISNUMBER(SEARCH("jmdict_rare_or_dated",'제외 후보'!P1155)),'선정 규칙'!$B$6,0))</x:f>
        <x:v>0</x:v>
      </x:c>
      <x:c r="D1155" s="11" t="n">
        <x:f>IF(ISNUMBER(SEARCH("jmdict_exact_pair_not_found",'제외 후보'!P1155)),'선정 규칙'!$B$7,0)</x:f>
        <x:v>0</x:v>
      </x:c>
      <x:c r="E1155" s="11" t="n">
        <x:f>IF(OR('제외 후보'!L1155="",'제외 후보'!L1155&lt;=0),'선정 규칙'!$B$8,IF('제외 후보'!L1155&lt;=1.5,'선정 규칙'!$B$9,IF('제외 후보'!L1155&lt;=2,'선정 규칙'!$B$10,IF('제외 후보'!L1155&lt;=2.5,'선정 규칙'!$B$11,IF('제외 후보'!L1155&lt;=3,'선정 규칙'!$B$12,IF('제외 후보'!L1155&lt;=3.5,'선정 규칙'!$B$13,IF('제외 후보'!L1155&gt;=4.5,'선정 규칙'!$B$14,0)))))))</x:f>
        <x:v>12</x:v>
      </x:c>
      <x:c r="F1155" s="11" t="n">
        <x:f>IF('제외 후보'!Y1155=0,'선정 규칙'!$B$15,IF('제외 후보'!Y1155&gt;=100,'선정 규칙'!$B$16,'선정 규칙'!$B$17))</x:f>
        <x:v>-25</x:v>
      </x:c>
      <x:c r="G1155" s="11" t="n">
        <x:f>IF('제외 후보'!M1155="있음",'선정 규칙'!$B$18,'선정 규칙'!$B$19)</x:f>
        <x:v>6</x:v>
      </x:c>
      <x:c r="H1155" s="11" t="n">
        <x:f>IF(ISNUMBER(SEARCH("freq-core",'제외 후보'!AD1155)),'선정 규칙'!$B$20,0)</x:f>
        <x:v>0</x:v>
      </x:c>
      <x:c r="I1155" s="11" t="n">
        <x:f>IF(ISNUMBER(SEARCH("weak_legacy_content",'제외 후보'!P1155)),'선정 규칙'!$B$21,0)</x:f>
        <x:v>0</x:v>
      </x:c>
      <x:c r="J1155" s="11" t="n">
        <x:f>IF('제외 후보'!AC1155&lt;&gt;"",'선정 규칙'!$B$22,0)</x:f>
        <x:v>0</x:v>
      </x:c>
      <x:c r="K1155" s="11" t="n">
        <x:f>SUM(B1155:J1155)</x:f>
        <x:v>-7</x:v>
      </x:c>
      <x:c r="L1155" s="11" t="n">
        <x:f>'제외 후보'!N1155</x:f>
        <x:v>-7</x:v>
      </x:c>
      <x:c r="M1155" s="2" t="str">
        <x:f>IF(K1155=L1155,"OK","MISMATCH")</x:f>
        <x:v>OK</x:v>
      </x:c>
    </x:row>
    <x:row r="1156">
      <x:c r="A1156" s="2" t="str">
        <x:f>'제외 후보'!G1156</x:f>
        <x:v>w_17f0f7e5b8a97bb2</x:v>
      </x:c>
      <x:c r="B1156" s="11" t="n">
        <x:f>IF('제외 후보'!Q1156&lt;&gt;"",'선정 규칙'!$B$4,0)</x:f>
        <x:v>0</x:v>
      </x:c>
      <x:c r="C1156" s="11" t="n">
        <x:f>IF(ISNUMBER(SEARCH("jmdict_uncommon_or_irregular",'제외 후보'!P1156)),'선정 규칙'!$B$5,IF(ISNUMBER(SEARCH("jmdict_rare_or_dated",'제외 후보'!P1156)),'선정 규칙'!$B$6,0))</x:f>
        <x:v>0</x:v>
      </x:c>
      <x:c r="D1156" s="11" t="n">
        <x:f>IF(ISNUMBER(SEARCH("jmdict_exact_pair_not_found",'제외 후보'!P1156)),'선정 규칙'!$B$7,0)</x:f>
        <x:v>0</x:v>
      </x:c>
      <x:c r="E1156" s="11" t="n">
        <x:f>IF(OR('제외 후보'!L1156="",'제외 후보'!L1156&lt;=0),'선정 규칙'!$B$8,IF('제외 후보'!L1156&lt;=1.5,'선정 규칙'!$B$9,IF('제외 후보'!L1156&lt;=2,'선정 규칙'!$B$10,IF('제외 후보'!L1156&lt;=2.5,'선정 규칙'!$B$11,IF('제외 후보'!L1156&lt;=3,'선정 규칙'!$B$12,IF('제외 후보'!L1156&lt;=3.5,'선정 규칙'!$B$13,IF('제외 후보'!L1156&gt;=4.5,'선정 규칙'!$B$14,0)))))))</x:f>
        <x:v>12</x:v>
      </x:c>
      <x:c r="F1156" s="11" t="n">
        <x:f>IF('제외 후보'!Y1156=0,'선정 규칙'!$B$15,IF('제외 후보'!Y1156&gt;=100,'선정 규칙'!$B$16,'선정 규칙'!$B$17))</x:f>
        <x:v>-25</x:v>
      </x:c>
      <x:c r="G1156" s="11" t="n">
        <x:f>IF('제외 후보'!M1156="있음",'선정 규칙'!$B$18,'선정 규칙'!$B$19)</x:f>
        <x:v>6</x:v>
      </x:c>
      <x:c r="H1156" s="11" t="n">
        <x:f>IF(ISNUMBER(SEARCH("freq-core",'제외 후보'!AD1156)),'선정 규칙'!$B$20,0)</x:f>
        <x:v>0</x:v>
      </x:c>
      <x:c r="I1156" s="11" t="n">
        <x:f>IF(ISNUMBER(SEARCH("weak_legacy_content",'제외 후보'!P1156)),'선정 규칙'!$B$21,0)</x:f>
        <x:v>0</x:v>
      </x:c>
      <x:c r="J1156" s="11" t="n">
        <x:f>IF('제외 후보'!AC1156&lt;&gt;"",'선정 규칙'!$B$22,0)</x:f>
        <x:v>0</x:v>
      </x:c>
      <x:c r="K1156" s="11" t="n">
        <x:f>SUM(B1156:J1156)</x:f>
        <x:v>-7</x:v>
      </x:c>
      <x:c r="L1156" s="11" t="n">
        <x:f>'제외 후보'!N1156</x:f>
        <x:v>-7</x:v>
      </x:c>
      <x:c r="M1156" s="2" t="str">
        <x:f>IF(K1156=L1156,"OK","MISMATCH")</x:f>
        <x:v>OK</x:v>
      </x:c>
    </x:row>
    <x:row r="1157">
      <x:c r="A1157" s="2" t="str">
        <x:f>'제외 후보'!G1157</x:f>
        <x:v>w_99375e60fdeb18f4</x:v>
      </x:c>
      <x:c r="B1157" s="11" t="n">
        <x:f>IF('제외 후보'!Q1157&lt;&gt;"",'선정 규칙'!$B$4,0)</x:f>
        <x:v>0</x:v>
      </x:c>
      <x:c r="C1157" s="11" t="n">
        <x:f>IF(ISNUMBER(SEARCH("jmdict_uncommon_or_irregular",'제외 후보'!P1157)),'선정 규칙'!$B$5,IF(ISNUMBER(SEARCH("jmdict_rare_or_dated",'제외 후보'!P1157)),'선정 규칙'!$B$6,0))</x:f>
        <x:v>0</x:v>
      </x:c>
      <x:c r="D1157" s="11" t="n">
        <x:f>IF(ISNUMBER(SEARCH("jmdict_exact_pair_not_found",'제외 후보'!P1157)),'선정 규칙'!$B$7,0)</x:f>
        <x:v>0</x:v>
      </x:c>
      <x:c r="E1157" s="11" t="n">
        <x:f>IF(OR('제외 후보'!L1157="",'제외 후보'!L1157&lt;=0),'선정 규칙'!$B$8,IF('제외 후보'!L1157&lt;=1.5,'선정 규칙'!$B$9,IF('제외 후보'!L1157&lt;=2,'선정 규칙'!$B$10,IF('제외 후보'!L1157&lt;=2.5,'선정 규칙'!$B$11,IF('제외 후보'!L1157&lt;=3,'선정 규칙'!$B$12,IF('제외 후보'!L1157&lt;=3.5,'선정 규칙'!$B$13,IF('제외 후보'!L1157&gt;=4.5,'선정 규칙'!$B$14,0)))))))</x:f>
        <x:v>12</x:v>
      </x:c>
      <x:c r="F1157" s="11" t="n">
        <x:f>IF('제외 후보'!Y1157=0,'선정 규칙'!$B$15,IF('제외 후보'!Y1157&gt;=100,'선정 규칙'!$B$16,'선정 규칙'!$B$17))</x:f>
        <x:v>-25</x:v>
      </x:c>
      <x:c r="G1157" s="11" t="n">
        <x:f>IF('제외 후보'!M1157="있음",'선정 규칙'!$B$18,'선정 규칙'!$B$19)</x:f>
        <x:v>6</x:v>
      </x:c>
      <x:c r="H1157" s="11" t="n">
        <x:f>IF(ISNUMBER(SEARCH("freq-core",'제외 후보'!AD1157)),'선정 규칙'!$B$20,0)</x:f>
        <x:v>0</x:v>
      </x:c>
      <x:c r="I1157" s="11" t="n">
        <x:f>IF(ISNUMBER(SEARCH("weak_legacy_content",'제외 후보'!P1157)),'선정 규칙'!$B$21,0)</x:f>
        <x:v>0</x:v>
      </x:c>
      <x:c r="J1157" s="11" t="n">
        <x:f>IF('제외 후보'!AC1157&lt;&gt;"",'선정 규칙'!$B$22,0)</x:f>
        <x:v>0</x:v>
      </x:c>
      <x:c r="K1157" s="11" t="n">
        <x:f>SUM(B1157:J1157)</x:f>
        <x:v>-7</x:v>
      </x:c>
      <x:c r="L1157" s="11" t="n">
        <x:f>'제외 후보'!N1157</x:f>
        <x:v>-7</x:v>
      </x:c>
      <x:c r="M1157" s="2" t="str">
        <x:f>IF(K1157=L1157,"OK","MISMATCH")</x:f>
        <x:v>OK</x:v>
      </x:c>
    </x:row>
    <x:row r="1158">
      <x:c r="A1158" s="2" t="str">
        <x:f>'제외 후보'!G1158</x:f>
        <x:v>w_451818ecc889c81e</x:v>
      </x:c>
      <x:c r="B1158" s="11" t="n">
        <x:f>IF('제외 후보'!Q1158&lt;&gt;"",'선정 규칙'!$B$4,0)</x:f>
        <x:v>0</x:v>
      </x:c>
      <x:c r="C1158" s="11" t="n">
        <x:f>IF(ISNUMBER(SEARCH("jmdict_uncommon_or_irregular",'제외 후보'!P1158)),'선정 규칙'!$B$5,IF(ISNUMBER(SEARCH("jmdict_rare_or_dated",'제외 후보'!P1158)),'선정 규칙'!$B$6,0))</x:f>
        <x:v>0</x:v>
      </x:c>
      <x:c r="D1158" s="11" t="n">
        <x:f>IF(ISNUMBER(SEARCH("jmdict_exact_pair_not_found",'제외 후보'!P1158)),'선정 규칙'!$B$7,0)</x:f>
        <x:v>0</x:v>
      </x:c>
      <x:c r="E1158" s="11" t="n">
        <x:f>IF(OR('제외 후보'!L1158="",'제외 후보'!L1158&lt;=0),'선정 규칙'!$B$8,IF('제외 후보'!L1158&lt;=1.5,'선정 규칙'!$B$9,IF('제외 후보'!L1158&lt;=2,'선정 규칙'!$B$10,IF('제외 후보'!L1158&lt;=2.5,'선정 규칙'!$B$11,IF('제외 후보'!L1158&lt;=3,'선정 규칙'!$B$12,IF('제외 후보'!L1158&lt;=3.5,'선정 규칙'!$B$13,IF('제외 후보'!L1158&gt;=4.5,'선정 규칙'!$B$14,0)))))))</x:f>
        <x:v>12</x:v>
      </x:c>
      <x:c r="F1158" s="11" t="n">
        <x:f>IF('제외 후보'!Y1158=0,'선정 규칙'!$B$15,IF('제외 후보'!Y1158&gt;=100,'선정 규칙'!$B$16,'선정 규칙'!$B$17))</x:f>
        <x:v>-25</x:v>
      </x:c>
      <x:c r="G1158" s="11" t="n">
        <x:f>IF('제외 후보'!M1158="있음",'선정 규칙'!$B$18,'선정 규칙'!$B$19)</x:f>
        <x:v>6</x:v>
      </x:c>
      <x:c r="H1158" s="11" t="n">
        <x:f>IF(ISNUMBER(SEARCH("freq-core",'제외 후보'!AD1158)),'선정 규칙'!$B$20,0)</x:f>
        <x:v>0</x:v>
      </x:c>
      <x:c r="I1158" s="11" t="n">
        <x:f>IF(ISNUMBER(SEARCH("weak_legacy_content",'제외 후보'!P1158)),'선정 규칙'!$B$21,0)</x:f>
        <x:v>0</x:v>
      </x:c>
      <x:c r="J1158" s="11" t="n">
        <x:f>IF('제외 후보'!AC1158&lt;&gt;"",'선정 규칙'!$B$22,0)</x:f>
        <x:v>0</x:v>
      </x:c>
      <x:c r="K1158" s="11" t="n">
        <x:f>SUM(B1158:J1158)</x:f>
        <x:v>-7</x:v>
      </x:c>
      <x:c r="L1158" s="11" t="n">
        <x:f>'제외 후보'!N1158</x:f>
        <x:v>-7</x:v>
      </x:c>
      <x:c r="M1158" s="2" t="str">
        <x:f>IF(K1158=L1158,"OK","MISMATCH")</x:f>
        <x:v>OK</x:v>
      </x:c>
    </x:row>
    <x:row r="1159">
      <x:c r="A1159" s="2" t="str">
        <x:f>'제외 후보'!G1159</x:f>
        <x:v>w_80d723159dbb281d</x:v>
      </x:c>
      <x:c r="B1159" s="11" t="n">
        <x:f>IF('제외 후보'!Q1159&lt;&gt;"",'선정 규칙'!$B$4,0)</x:f>
        <x:v>0</x:v>
      </x:c>
      <x:c r="C1159" s="11" t="n">
        <x:f>IF(ISNUMBER(SEARCH("jmdict_uncommon_or_irregular",'제외 후보'!P1159)),'선정 규칙'!$B$5,IF(ISNUMBER(SEARCH("jmdict_rare_or_dated",'제외 후보'!P1159)),'선정 규칙'!$B$6,0))</x:f>
        <x:v>0</x:v>
      </x:c>
      <x:c r="D1159" s="11" t="n">
        <x:f>IF(ISNUMBER(SEARCH("jmdict_exact_pair_not_found",'제외 후보'!P1159)),'선정 규칙'!$B$7,0)</x:f>
        <x:v>0</x:v>
      </x:c>
      <x:c r="E1159" s="11" t="n">
        <x:f>IF(OR('제외 후보'!L1159="",'제외 후보'!L1159&lt;=0),'선정 규칙'!$B$8,IF('제외 후보'!L1159&lt;=1.5,'선정 규칙'!$B$9,IF('제외 후보'!L1159&lt;=2,'선정 규칙'!$B$10,IF('제외 후보'!L1159&lt;=2.5,'선정 규칙'!$B$11,IF('제외 후보'!L1159&lt;=3,'선정 규칙'!$B$12,IF('제외 후보'!L1159&lt;=3.5,'선정 규칙'!$B$13,IF('제외 후보'!L1159&gt;=4.5,'선정 규칙'!$B$14,0)))))))</x:f>
        <x:v>12</x:v>
      </x:c>
      <x:c r="F1159" s="11" t="n">
        <x:f>IF('제외 후보'!Y1159=0,'선정 규칙'!$B$15,IF('제외 후보'!Y1159&gt;=100,'선정 규칙'!$B$16,'선정 규칙'!$B$17))</x:f>
        <x:v>-25</x:v>
      </x:c>
      <x:c r="G1159" s="11" t="n">
        <x:f>IF('제외 후보'!M1159="있음",'선정 규칙'!$B$18,'선정 규칙'!$B$19)</x:f>
        <x:v>6</x:v>
      </x:c>
      <x:c r="H1159" s="11" t="n">
        <x:f>IF(ISNUMBER(SEARCH("freq-core",'제외 후보'!AD1159)),'선정 규칙'!$B$20,0)</x:f>
        <x:v>0</x:v>
      </x:c>
      <x:c r="I1159" s="11" t="n">
        <x:f>IF(ISNUMBER(SEARCH("weak_legacy_content",'제외 후보'!P1159)),'선정 규칙'!$B$21,0)</x:f>
        <x:v>0</x:v>
      </x:c>
      <x:c r="J1159" s="11" t="n">
        <x:f>IF('제외 후보'!AC1159&lt;&gt;"",'선정 규칙'!$B$22,0)</x:f>
        <x:v>0</x:v>
      </x:c>
      <x:c r="K1159" s="11" t="n">
        <x:f>SUM(B1159:J1159)</x:f>
        <x:v>-7</x:v>
      </x:c>
      <x:c r="L1159" s="11" t="n">
        <x:f>'제외 후보'!N1159</x:f>
        <x:v>-7</x:v>
      </x:c>
      <x:c r="M1159" s="2" t="str">
        <x:f>IF(K1159=L1159,"OK","MISMATCH")</x:f>
        <x:v>OK</x:v>
      </x:c>
    </x:row>
    <x:row r="1160">
      <x:c r="A1160" s="2" t="str">
        <x:f>'제외 후보'!G1160</x:f>
        <x:v>w_acb5911b27094bb4</x:v>
      </x:c>
      <x:c r="B1160" s="11" t="n">
        <x:f>IF('제외 후보'!Q1160&lt;&gt;"",'선정 규칙'!$B$4,0)</x:f>
        <x:v>0</x:v>
      </x:c>
      <x:c r="C1160" s="11" t="n">
        <x:f>IF(ISNUMBER(SEARCH("jmdict_uncommon_or_irregular",'제외 후보'!P1160)),'선정 규칙'!$B$5,IF(ISNUMBER(SEARCH("jmdict_rare_or_dated",'제외 후보'!P1160)),'선정 규칙'!$B$6,0))</x:f>
        <x:v>0</x:v>
      </x:c>
      <x:c r="D1160" s="11" t="n">
        <x:f>IF(ISNUMBER(SEARCH("jmdict_exact_pair_not_found",'제외 후보'!P1160)),'선정 규칙'!$B$7,0)</x:f>
        <x:v>0</x:v>
      </x:c>
      <x:c r="E1160" s="11" t="n">
        <x:f>IF(OR('제외 후보'!L1160="",'제외 후보'!L1160&lt;=0),'선정 규칙'!$B$8,IF('제외 후보'!L1160&lt;=1.5,'선정 규칙'!$B$9,IF('제외 후보'!L1160&lt;=2,'선정 규칙'!$B$10,IF('제외 후보'!L1160&lt;=2.5,'선정 규칙'!$B$11,IF('제외 후보'!L1160&lt;=3,'선정 규칙'!$B$12,IF('제외 후보'!L1160&lt;=3.5,'선정 규칙'!$B$13,IF('제외 후보'!L1160&gt;=4.5,'선정 규칙'!$B$14,0)))))))</x:f>
        <x:v>12</x:v>
      </x:c>
      <x:c r="F1160" s="11" t="n">
        <x:f>IF('제외 후보'!Y1160=0,'선정 규칙'!$B$15,IF('제외 후보'!Y1160&gt;=100,'선정 규칙'!$B$16,'선정 규칙'!$B$17))</x:f>
        <x:v>-25</x:v>
      </x:c>
      <x:c r="G1160" s="11" t="n">
        <x:f>IF('제외 후보'!M1160="있음",'선정 규칙'!$B$18,'선정 규칙'!$B$19)</x:f>
        <x:v>6</x:v>
      </x:c>
      <x:c r="H1160" s="11" t="n">
        <x:f>IF(ISNUMBER(SEARCH("freq-core",'제외 후보'!AD1160)),'선정 규칙'!$B$20,0)</x:f>
        <x:v>0</x:v>
      </x:c>
      <x:c r="I1160" s="11" t="n">
        <x:f>IF(ISNUMBER(SEARCH("weak_legacy_content",'제외 후보'!P1160)),'선정 규칙'!$B$21,0)</x:f>
        <x:v>0</x:v>
      </x:c>
      <x:c r="J1160" s="11" t="n">
        <x:f>IF('제외 후보'!AC1160&lt;&gt;"",'선정 규칙'!$B$22,0)</x:f>
        <x:v>0</x:v>
      </x:c>
      <x:c r="K1160" s="11" t="n">
        <x:f>SUM(B1160:J1160)</x:f>
        <x:v>-7</x:v>
      </x:c>
      <x:c r="L1160" s="11" t="n">
        <x:f>'제외 후보'!N1160</x:f>
        <x:v>-7</x:v>
      </x:c>
      <x:c r="M1160" s="2" t="str">
        <x:f>IF(K1160=L1160,"OK","MISMATCH")</x:f>
        <x:v>OK</x:v>
      </x:c>
    </x:row>
    <x:row r="1161">
      <x:c r="A1161" s="2" t="str">
        <x:f>'제외 후보'!G1161</x:f>
        <x:v>w_801a4ef078453053</x:v>
      </x:c>
      <x:c r="B1161" s="11" t="n">
        <x:f>IF('제외 후보'!Q1161&lt;&gt;"",'선정 규칙'!$B$4,0)</x:f>
        <x:v>0</x:v>
      </x:c>
      <x:c r="C1161" s="11" t="n">
        <x:f>IF(ISNUMBER(SEARCH("jmdict_uncommon_or_irregular",'제외 후보'!P1161)),'선정 규칙'!$B$5,IF(ISNUMBER(SEARCH("jmdict_rare_or_dated",'제외 후보'!P1161)),'선정 규칙'!$B$6,0))</x:f>
        <x:v>0</x:v>
      </x:c>
      <x:c r="D1161" s="11" t="n">
        <x:f>IF(ISNUMBER(SEARCH("jmdict_exact_pair_not_found",'제외 후보'!P1161)),'선정 규칙'!$B$7,0)</x:f>
        <x:v>0</x:v>
      </x:c>
      <x:c r="E1161" s="11" t="n">
        <x:f>IF(OR('제외 후보'!L1161="",'제외 후보'!L1161&lt;=0),'선정 규칙'!$B$8,IF('제외 후보'!L1161&lt;=1.5,'선정 규칙'!$B$9,IF('제외 후보'!L1161&lt;=2,'선정 규칙'!$B$10,IF('제외 후보'!L1161&lt;=2.5,'선정 규칙'!$B$11,IF('제외 후보'!L1161&lt;=3,'선정 규칙'!$B$12,IF('제외 후보'!L1161&lt;=3.5,'선정 규칙'!$B$13,IF('제외 후보'!L1161&gt;=4.5,'선정 규칙'!$B$14,0)))))))</x:f>
        <x:v>12</x:v>
      </x:c>
      <x:c r="F1161" s="11" t="n">
        <x:f>IF('제외 후보'!Y1161=0,'선정 규칙'!$B$15,IF('제외 후보'!Y1161&gt;=100,'선정 규칙'!$B$16,'선정 규칙'!$B$17))</x:f>
        <x:v>-25</x:v>
      </x:c>
      <x:c r="G1161" s="11" t="n">
        <x:f>IF('제외 후보'!M1161="있음",'선정 규칙'!$B$18,'선정 규칙'!$B$19)</x:f>
        <x:v>6</x:v>
      </x:c>
      <x:c r="H1161" s="11" t="n">
        <x:f>IF(ISNUMBER(SEARCH("freq-core",'제외 후보'!AD1161)),'선정 규칙'!$B$20,0)</x:f>
        <x:v>0</x:v>
      </x:c>
      <x:c r="I1161" s="11" t="n">
        <x:f>IF(ISNUMBER(SEARCH("weak_legacy_content",'제외 후보'!P1161)),'선정 규칙'!$B$21,0)</x:f>
        <x:v>0</x:v>
      </x:c>
      <x:c r="J1161" s="11" t="n">
        <x:f>IF('제외 후보'!AC1161&lt;&gt;"",'선정 규칙'!$B$22,0)</x:f>
        <x:v>0</x:v>
      </x:c>
      <x:c r="K1161" s="11" t="n">
        <x:f>SUM(B1161:J1161)</x:f>
        <x:v>-7</x:v>
      </x:c>
      <x:c r="L1161" s="11" t="n">
        <x:f>'제외 후보'!N1161</x:f>
        <x:v>-7</x:v>
      </x:c>
      <x:c r="M1161" s="2" t="str">
        <x:f>IF(K1161=L1161,"OK","MISMATCH")</x:f>
        <x:v>OK</x:v>
      </x:c>
    </x:row>
    <x:row r="1162">
      <x:c r="A1162" s="2" t="str">
        <x:f>'제외 후보'!G1162</x:f>
        <x:v>w_7b196f5e46445331</x:v>
      </x:c>
      <x:c r="B1162" s="11" t="n">
        <x:f>IF('제외 후보'!Q1162&lt;&gt;"",'선정 규칙'!$B$4,0)</x:f>
        <x:v>0</x:v>
      </x:c>
      <x:c r="C1162" s="11" t="n">
        <x:f>IF(ISNUMBER(SEARCH("jmdict_uncommon_or_irregular",'제외 후보'!P1162)),'선정 규칙'!$B$5,IF(ISNUMBER(SEARCH("jmdict_rare_or_dated",'제외 후보'!P1162)),'선정 규칙'!$B$6,0))</x:f>
        <x:v>0</x:v>
      </x:c>
      <x:c r="D1162" s="11" t="n">
        <x:f>IF(ISNUMBER(SEARCH("jmdict_exact_pair_not_found",'제외 후보'!P1162)),'선정 규칙'!$B$7,0)</x:f>
        <x:v>0</x:v>
      </x:c>
      <x:c r="E1162" s="11" t="n">
        <x:f>IF(OR('제외 후보'!L1162="",'제외 후보'!L1162&lt;=0),'선정 규칙'!$B$8,IF('제외 후보'!L1162&lt;=1.5,'선정 규칙'!$B$9,IF('제외 후보'!L1162&lt;=2,'선정 규칙'!$B$10,IF('제외 후보'!L1162&lt;=2.5,'선정 규칙'!$B$11,IF('제외 후보'!L1162&lt;=3,'선정 규칙'!$B$12,IF('제외 후보'!L1162&lt;=3.5,'선정 규칙'!$B$13,IF('제외 후보'!L1162&gt;=4.5,'선정 규칙'!$B$14,0)))))))</x:f>
        <x:v>12</x:v>
      </x:c>
      <x:c r="F1162" s="11" t="n">
        <x:f>IF('제외 후보'!Y1162=0,'선정 규칙'!$B$15,IF('제외 후보'!Y1162&gt;=100,'선정 규칙'!$B$16,'선정 규칙'!$B$17))</x:f>
        <x:v>-25</x:v>
      </x:c>
      <x:c r="G1162" s="11" t="n">
        <x:f>IF('제외 후보'!M1162="있음",'선정 규칙'!$B$18,'선정 규칙'!$B$19)</x:f>
        <x:v>6</x:v>
      </x:c>
      <x:c r="H1162" s="11" t="n">
        <x:f>IF(ISNUMBER(SEARCH("freq-core",'제외 후보'!AD1162)),'선정 규칙'!$B$20,0)</x:f>
        <x:v>0</x:v>
      </x:c>
      <x:c r="I1162" s="11" t="n">
        <x:f>IF(ISNUMBER(SEARCH("weak_legacy_content",'제외 후보'!P1162)),'선정 규칙'!$B$21,0)</x:f>
        <x:v>0</x:v>
      </x:c>
      <x:c r="J1162" s="11" t="n">
        <x:f>IF('제외 후보'!AC1162&lt;&gt;"",'선정 규칙'!$B$22,0)</x:f>
        <x:v>0</x:v>
      </x:c>
      <x:c r="K1162" s="11" t="n">
        <x:f>SUM(B1162:J1162)</x:f>
        <x:v>-7</x:v>
      </x:c>
      <x:c r="L1162" s="11" t="n">
        <x:f>'제외 후보'!N1162</x:f>
        <x:v>-7</x:v>
      </x:c>
      <x:c r="M1162" s="2" t="str">
        <x:f>IF(K1162=L1162,"OK","MISMATCH")</x:f>
        <x:v>OK</x:v>
      </x:c>
    </x:row>
    <x:row r="1163">
      <x:c r="A1163" s="2" t="str">
        <x:f>'제외 후보'!G1163</x:f>
        <x:v>w_e00dbe6126a8bcff</x:v>
      </x:c>
      <x:c r="B1163" s="11" t="n">
        <x:f>IF('제외 후보'!Q1163&lt;&gt;"",'선정 규칙'!$B$4,0)</x:f>
        <x:v>0</x:v>
      </x:c>
      <x:c r="C1163" s="11" t="n">
        <x:f>IF(ISNUMBER(SEARCH("jmdict_uncommon_or_irregular",'제외 후보'!P1163)),'선정 규칙'!$B$5,IF(ISNUMBER(SEARCH("jmdict_rare_or_dated",'제외 후보'!P1163)),'선정 규칙'!$B$6,0))</x:f>
        <x:v>0</x:v>
      </x:c>
      <x:c r="D1163" s="11" t="n">
        <x:f>IF(ISNUMBER(SEARCH("jmdict_exact_pair_not_found",'제외 후보'!P1163)),'선정 규칙'!$B$7,0)</x:f>
        <x:v>0</x:v>
      </x:c>
      <x:c r="E1163" s="11" t="n">
        <x:f>IF(OR('제외 후보'!L1163="",'제외 후보'!L1163&lt;=0),'선정 규칙'!$B$8,IF('제외 후보'!L1163&lt;=1.5,'선정 규칙'!$B$9,IF('제외 후보'!L1163&lt;=2,'선정 규칙'!$B$10,IF('제외 후보'!L1163&lt;=2.5,'선정 규칙'!$B$11,IF('제외 후보'!L1163&lt;=3,'선정 규칙'!$B$12,IF('제외 후보'!L1163&lt;=3.5,'선정 규칙'!$B$13,IF('제외 후보'!L1163&gt;=4.5,'선정 규칙'!$B$14,0)))))))</x:f>
        <x:v>12</x:v>
      </x:c>
      <x:c r="F1163" s="11" t="n">
        <x:f>IF('제외 후보'!Y1163=0,'선정 규칙'!$B$15,IF('제외 후보'!Y1163&gt;=100,'선정 규칙'!$B$16,'선정 규칙'!$B$17))</x:f>
        <x:v>-25</x:v>
      </x:c>
      <x:c r="G1163" s="11" t="n">
        <x:f>IF('제외 후보'!M1163="있음",'선정 규칙'!$B$18,'선정 규칙'!$B$19)</x:f>
        <x:v>6</x:v>
      </x:c>
      <x:c r="H1163" s="11" t="n">
        <x:f>IF(ISNUMBER(SEARCH("freq-core",'제외 후보'!AD1163)),'선정 규칙'!$B$20,0)</x:f>
        <x:v>0</x:v>
      </x:c>
      <x:c r="I1163" s="11" t="n">
        <x:f>IF(ISNUMBER(SEARCH("weak_legacy_content",'제외 후보'!P1163)),'선정 규칙'!$B$21,0)</x:f>
        <x:v>0</x:v>
      </x:c>
      <x:c r="J1163" s="11" t="n">
        <x:f>IF('제외 후보'!AC1163&lt;&gt;"",'선정 규칙'!$B$22,0)</x:f>
        <x:v>0</x:v>
      </x:c>
      <x:c r="K1163" s="11" t="n">
        <x:f>SUM(B1163:J1163)</x:f>
        <x:v>-7</x:v>
      </x:c>
      <x:c r="L1163" s="11" t="n">
        <x:f>'제외 후보'!N1163</x:f>
        <x:v>-7</x:v>
      </x:c>
      <x:c r="M1163" s="2" t="str">
        <x:f>IF(K1163=L1163,"OK","MISMATCH")</x:f>
        <x:v>OK</x:v>
      </x:c>
    </x:row>
    <x:row r="1164">
      <x:c r="A1164" s="2" t="str">
        <x:f>'제외 후보'!G1164</x:f>
        <x:v>w_1fc993a9b8776402</x:v>
      </x:c>
      <x:c r="B1164" s="11" t="n">
        <x:f>IF('제외 후보'!Q1164&lt;&gt;"",'선정 규칙'!$B$4,0)</x:f>
        <x:v>0</x:v>
      </x:c>
      <x:c r="C1164" s="11" t="n">
        <x:f>IF(ISNUMBER(SEARCH("jmdict_uncommon_or_irregular",'제외 후보'!P1164)),'선정 규칙'!$B$5,IF(ISNUMBER(SEARCH("jmdict_rare_or_dated",'제외 후보'!P1164)),'선정 규칙'!$B$6,0))</x:f>
        <x:v>0</x:v>
      </x:c>
      <x:c r="D1164" s="11" t="n">
        <x:f>IF(ISNUMBER(SEARCH("jmdict_exact_pair_not_found",'제외 후보'!P1164)),'선정 규칙'!$B$7,0)</x:f>
        <x:v>0</x:v>
      </x:c>
      <x:c r="E1164" s="11" t="n">
        <x:f>IF(OR('제외 후보'!L1164="",'제외 후보'!L1164&lt;=0),'선정 규칙'!$B$8,IF('제외 후보'!L1164&lt;=1.5,'선정 규칙'!$B$9,IF('제외 후보'!L1164&lt;=2,'선정 규칙'!$B$10,IF('제외 후보'!L1164&lt;=2.5,'선정 규칙'!$B$11,IF('제외 후보'!L1164&lt;=3,'선정 규칙'!$B$12,IF('제외 후보'!L1164&lt;=3.5,'선정 규칙'!$B$13,IF('제외 후보'!L1164&gt;=4.5,'선정 규칙'!$B$14,0)))))))</x:f>
        <x:v>12</x:v>
      </x:c>
      <x:c r="F1164" s="11" t="n">
        <x:f>IF('제외 후보'!Y1164=0,'선정 규칙'!$B$15,IF('제외 후보'!Y1164&gt;=100,'선정 규칙'!$B$16,'선정 규칙'!$B$17))</x:f>
        <x:v>-25</x:v>
      </x:c>
      <x:c r="G1164" s="11" t="n">
        <x:f>IF('제외 후보'!M1164="있음",'선정 규칙'!$B$18,'선정 규칙'!$B$19)</x:f>
        <x:v>6</x:v>
      </x:c>
      <x:c r="H1164" s="11" t="n">
        <x:f>IF(ISNUMBER(SEARCH("freq-core",'제외 후보'!AD1164)),'선정 규칙'!$B$20,0)</x:f>
        <x:v>0</x:v>
      </x:c>
      <x:c r="I1164" s="11" t="n">
        <x:f>IF(ISNUMBER(SEARCH("weak_legacy_content",'제외 후보'!P1164)),'선정 규칙'!$B$21,0)</x:f>
        <x:v>0</x:v>
      </x:c>
      <x:c r="J1164" s="11" t="n">
        <x:f>IF('제외 후보'!AC1164&lt;&gt;"",'선정 규칙'!$B$22,0)</x:f>
        <x:v>0</x:v>
      </x:c>
      <x:c r="K1164" s="11" t="n">
        <x:f>SUM(B1164:J1164)</x:f>
        <x:v>-7</x:v>
      </x:c>
      <x:c r="L1164" s="11" t="n">
        <x:f>'제외 후보'!N1164</x:f>
        <x:v>-7</x:v>
      </x:c>
      <x:c r="M1164" s="2" t="str">
        <x:f>IF(K1164=L1164,"OK","MISMATCH")</x:f>
        <x:v>OK</x:v>
      </x:c>
    </x:row>
    <x:row r="1165">
      <x:c r="A1165" s="2" t="str">
        <x:f>'제외 후보'!G1165</x:f>
        <x:v>w_7bd70840a87aa407</x:v>
      </x:c>
      <x:c r="B1165" s="11" t="n">
        <x:f>IF('제외 후보'!Q1165&lt;&gt;"",'선정 규칙'!$B$4,0)</x:f>
        <x:v>0</x:v>
      </x:c>
      <x:c r="C1165" s="11" t="n">
        <x:f>IF(ISNUMBER(SEARCH("jmdict_uncommon_or_irregular",'제외 후보'!P1165)),'선정 규칙'!$B$5,IF(ISNUMBER(SEARCH("jmdict_rare_or_dated",'제외 후보'!P1165)),'선정 규칙'!$B$6,0))</x:f>
        <x:v>0</x:v>
      </x:c>
      <x:c r="D1165" s="11" t="n">
        <x:f>IF(ISNUMBER(SEARCH("jmdict_exact_pair_not_found",'제외 후보'!P1165)),'선정 규칙'!$B$7,0)</x:f>
        <x:v>0</x:v>
      </x:c>
      <x:c r="E1165" s="11" t="n">
        <x:f>IF(OR('제외 후보'!L1165="",'제외 후보'!L1165&lt;=0),'선정 규칙'!$B$8,IF('제외 후보'!L1165&lt;=1.5,'선정 규칙'!$B$9,IF('제외 후보'!L1165&lt;=2,'선정 규칙'!$B$10,IF('제외 후보'!L1165&lt;=2.5,'선정 규칙'!$B$11,IF('제외 후보'!L1165&lt;=3,'선정 규칙'!$B$12,IF('제외 후보'!L1165&lt;=3.5,'선정 규칙'!$B$13,IF('제외 후보'!L1165&gt;=4.5,'선정 규칙'!$B$14,0)))))))</x:f>
        <x:v>12</x:v>
      </x:c>
      <x:c r="F1165" s="11" t="n">
        <x:f>IF('제외 후보'!Y1165=0,'선정 규칙'!$B$15,IF('제외 후보'!Y1165&gt;=100,'선정 규칙'!$B$16,'선정 규칙'!$B$17))</x:f>
        <x:v>-25</x:v>
      </x:c>
      <x:c r="G1165" s="11" t="n">
        <x:f>IF('제외 후보'!M1165="있음",'선정 규칙'!$B$18,'선정 규칙'!$B$19)</x:f>
        <x:v>6</x:v>
      </x:c>
      <x:c r="H1165" s="11" t="n">
        <x:f>IF(ISNUMBER(SEARCH("freq-core",'제외 후보'!AD1165)),'선정 규칙'!$B$20,0)</x:f>
        <x:v>0</x:v>
      </x:c>
      <x:c r="I1165" s="11" t="n">
        <x:f>IF(ISNUMBER(SEARCH("weak_legacy_content",'제외 후보'!P1165)),'선정 규칙'!$B$21,0)</x:f>
        <x:v>0</x:v>
      </x:c>
      <x:c r="J1165" s="11" t="n">
        <x:f>IF('제외 후보'!AC1165&lt;&gt;"",'선정 규칙'!$B$22,0)</x:f>
        <x:v>0</x:v>
      </x:c>
      <x:c r="K1165" s="11" t="n">
        <x:f>SUM(B1165:J1165)</x:f>
        <x:v>-7</x:v>
      </x:c>
      <x:c r="L1165" s="11" t="n">
        <x:f>'제외 후보'!N1165</x:f>
        <x:v>-7</x:v>
      </x:c>
      <x:c r="M1165" s="2" t="str">
        <x:f>IF(K1165=L1165,"OK","MISMATCH")</x:f>
        <x:v>OK</x:v>
      </x:c>
    </x:row>
    <x:row r="1166">
      <x:c r="A1166" s="2" t="str">
        <x:f>'제외 후보'!G1166</x:f>
        <x:v>w_b34cf940738e2be9</x:v>
      </x:c>
      <x:c r="B1166" s="11" t="n">
        <x:f>IF('제외 후보'!Q1166&lt;&gt;"",'선정 규칙'!$B$4,0)</x:f>
        <x:v>0</x:v>
      </x:c>
      <x:c r="C1166" s="11" t="n">
        <x:f>IF(ISNUMBER(SEARCH("jmdict_uncommon_or_irregular",'제외 후보'!P1166)),'선정 규칙'!$B$5,IF(ISNUMBER(SEARCH("jmdict_rare_or_dated",'제외 후보'!P1166)),'선정 규칙'!$B$6,0))</x:f>
        <x:v>0</x:v>
      </x:c>
      <x:c r="D1166" s="11" t="n">
        <x:f>IF(ISNUMBER(SEARCH("jmdict_exact_pair_not_found",'제외 후보'!P1166)),'선정 규칙'!$B$7,0)</x:f>
        <x:v>0</x:v>
      </x:c>
      <x:c r="E1166" s="11" t="n">
        <x:f>IF(OR('제외 후보'!L1166="",'제외 후보'!L1166&lt;=0),'선정 규칙'!$B$8,IF('제외 후보'!L1166&lt;=1.5,'선정 규칙'!$B$9,IF('제외 후보'!L1166&lt;=2,'선정 규칙'!$B$10,IF('제외 후보'!L1166&lt;=2.5,'선정 규칙'!$B$11,IF('제외 후보'!L1166&lt;=3,'선정 규칙'!$B$12,IF('제외 후보'!L1166&lt;=3.5,'선정 규칙'!$B$13,IF('제외 후보'!L1166&gt;=4.5,'선정 규칙'!$B$14,0)))))))</x:f>
        <x:v>12</x:v>
      </x:c>
      <x:c r="F1166" s="11" t="n">
        <x:f>IF('제외 후보'!Y1166=0,'선정 규칙'!$B$15,IF('제외 후보'!Y1166&gt;=100,'선정 규칙'!$B$16,'선정 규칙'!$B$17))</x:f>
        <x:v>-25</x:v>
      </x:c>
      <x:c r="G1166" s="11" t="n">
        <x:f>IF('제외 후보'!M1166="있음",'선정 규칙'!$B$18,'선정 규칙'!$B$19)</x:f>
        <x:v>6</x:v>
      </x:c>
      <x:c r="H1166" s="11" t="n">
        <x:f>IF(ISNUMBER(SEARCH("freq-core",'제외 후보'!AD1166)),'선정 규칙'!$B$20,0)</x:f>
        <x:v>0</x:v>
      </x:c>
      <x:c r="I1166" s="11" t="n">
        <x:f>IF(ISNUMBER(SEARCH("weak_legacy_content",'제외 후보'!P1166)),'선정 규칙'!$B$21,0)</x:f>
        <x:v>0</x:v>
      </x:c>
      <x:c r="J1166" s="11" t="n">
        <x:f>IF('제외 후보'!AC1166&lt;&gt;"",'선정 규칙'!$B$22,0)</x:f>
        <x:v>0</x:v>
      </x:c>
      <x:c r="K1166" s="11" t="n">
        <x:f>SUM(B1166:J1166)</x:f>
        <x:v>-7</x:v>
      </x:c>
      <x:c r="L1166" s="11" t="n">
        <x:f>'제외 후보'!N1166</x:f>
        <x:v>-7</x:v>
      </x:c>
      <x:c r="M1166" s="2" t="str">
        <x:f>IF(K1166=L1166,"OK","MISMATCH")</x:f>
        <x:v>OK</x:v>
      </x:c>
    </x:row>
    <x:row r="1167">
      <x:c r="A1167" s="2" t="str">
        <x:f>'제외 후보'!G1167</x:f>
        <x:v>w_6e71f536abfacdec</x:v>
      </x:c>
      <x:c r="B1167" s="11" t="n">
        <x:f>IF('제외 후보'!Q1167&lt;&gt;"",'선정 규칙'!$B$4,0)</x:f>
        <x:v>0</x:v>
      </x:c>
      <x:c r="C1167" s="11" t="n">
        <x:f>IF(ISNUMBER(SEARCH("jmdict_uncommon_or_irregular",'제외 후보'!P1167)),'선정 규칙'!$B$5,IF(ISNUMBER(SEARCH("jmdict_rare_or_dated",'제외 후보'!P1167)),'선정 규칙'!$B$6,0))</x:f>
        <x:v>0</x:v>
      </x:c>
      <x:c r="D1167" s="11" t="n">
        <x:f>IF(ISNUMBER(SEARCH("jmdict_exact_pair_not_found",'제외 후보'!P1167)),'선정 규칙'!$B$7,0)</x:f>
        <x:v>0</x:v>
      </x:c>
      <x:c r="E1167" s="11" t="n">
        <x:f>IF(OR('제외 후보'!L1167="",'제외 후보'!L1167&lt;=0),'선정 규칙'!$B$8,IF('제외 후보'!L1167&lt;=1.5,'선정 규칙'!$B$9,IF('제외 후보'!L1167&lt;=2,'선정 규칙'!$B$10,IF('제외 후보'!L1167&lt;=2.5,'선정 규칙'!$B$11,IF('제외 후보'!L1167&lt;=3,'선정 규칙'!$B$12,IF('제외 후보'!L1167&lt;=3.5,'선정 규칙'!$B$13,IF('제외 후보'!L1167&gt;=4.5,'선정 규칙'!$B$14,0)))))))</x:f>
        <x:v>12</x:v>
      </x:c>
      <x:c r="F1167" s="11" t="n">
        <x:f>IF('제외 후보'!Y1167=0,'선정 규칙'!$B$15,IF('제외 후보'!Y1167&gt;=100,'선정 규칙'!$B$16,'선정 규칙'!$B$17))</x:f>
        <x:v>-25</x:v>
      </x:c>
      <x:c r="G1167" s="11" t="n">
        <x:f>IF('제외 후보'!M1167="있음",'선정 규칙'!$B$18,'선정 규칙'!$B$19)</x:f>
        <x:v>6</x:v>
      </x:c>
      <x:c r="H1167" s="11" t="n">
        <x:f>IF(ISNUMBER(SEARCH("freq-core",'제외 후보'!AD1167)),'선정 규칙'!$B$20,0)</x:f>
        <x:v>0</x:v>
      </x:c>
      <x:c r="I1167" s="11" t="n">
        <x:f>IF(ISNUMBER(SEARCH("weak_legacy_content",'제외 후보'!P1167)),'선정 규칙'!$B$21,0)</x:f>
        <x:v>0</x:v>
      </x:c>
      <x:c r="J1167" s="11" t="n">
        <x:f>IF('제외 후보'!AC1167&lt;&gt;"",'선정 규칙'!$B$22,0)</x:f>
        <x:v>0</x:v>
      </x:c>
      <x:c r="K1167" s="11" t="n">
        <x:f>SUM(B1167:J1167)</x:f>
        <x:v>-7</x:v>
      </x:c>
      <x:c r="L1167" s="11" t="n">
        <x:f>'제외 후보'!N1167</x:f>
        <x:v>-7</x:v>
      </x:c>
      <x:c r="M1167" s="2" t="str">
        <x:f>IF(K1167=L1167,"OK","MISMATCH")</x:f>
        <x:v>OK</x:v>
      </x:c>
    </x:row>
    <x:row r="1168">
      <x:c r="A1168" s="2" t="str">
        <x:f>'제외 후보'!G1168</x:f>
        <x:v>w_d71a8c96af7a8cb2</x:v>
      </x:c>
      <x:c r="B1168" s="11" t="n">
        <x:f>IF('제외 후보'!Q1168&lt;&gt;"",'선정 규칙'!$B$4,0)</x:f>
        <x:v>0</x:v>
      </x:c>
      <x:c r="C1168" s="11" t="n">
        <x:f>IF(ISNUMBER(SEARCH("jmdict_uncommon_or_irregular",'제외 후보'!P1168)),'선정 규칙'!$B$5,IF(ISNUMBER(SEARCH("jmdict_rare_or_dated",'제외 후보'!P1168)),'선정 규칙'!$B$6,0))</x:f>
        <x:v>0</x:v>
      </x:c>
      <x:c r="D1168" s="11" t="n">
        <x:f>IF(ISNUMBER(SEARCH("jmdict_exact_pair_not_found",'제외 후보'!P1168)),'선정 규칙'!$B$7,0)</x:f>
        <x:v>0</x:v>
      </x:c>
      <x:c r="E1168" s="11" t="n">
        <x:f>IF(OR('제외 후보'!L1168="",'제외 후보'!L1168&lt;=0),'선정 규칙'!$B$8,IF('제외 후보'!L1168&lt;=1.5,'선정 규칙'!$B$9,IF('제외 후보'!L1168&lt;=2,'선정 규칙'!$B$10,IF('제외 후보'!L1168&lt;=2.5,'선정 규칙'!$B$11,IF('제외 후보'!L1168&lt;=3,'선정 규칙'!$B$12,IF('제외 후보'!L1168&lt;=3.5,'선정 규칙'!$B$13,IF('제외 후보'!L1168&gt;=4.5,'선정 규칙'!$B$14,0)))))))</x:f>
        <x:v>12</x:v>
      </x:c>
      <x:c r="F1168" s="11" t="n">
        <x:f>IF('제외 후보'!Y1168=0,'선정 규칙'!$B$15,IF('제외 후보'!Y1168&gt;=100,'선정 규칙'!$B$16,'선정 규칙'!$B$17))</x:f>
        <x:v>-25</x:v>
      </x:c>
      <x:c r="G1168" s="11" t="n">
        <x:f>IF('제외 후보'!M1168="있음",'선정 규칙'!$B$18,'선정 규칙'!$B$19)</x:f>
        <x:v>6</x:v>
      </x:c>
      <x:c r="H1168" s="11" t="n">
        <x:f>IF(ISNUMBER(SEARCH("freq-core",'제외 후보'!AD1168)),'선정 규칙'!$B$20,0)</x:f>
        <x:v>0</x:v>
      </x:c>
      <x:c r="I1168" s="11" t="n">
        <x:f>IF(ISNUMBER(SEARCH("weak_legacy_content",'제외 후보'!P1168)),'선정 규칙'!$B$21,0)</x:f>
        <x:v>0</x:v>
      </x:c>
      <x:c r="J1168" s="11" t="n">
        <x:f>IF('제외 후보'!AC1168&lt;&gt;"",'선정 규칙'!$B$22,0)</x:f>
        <x:v>0</x:v>
      </x:c>
      <x:c r="K1168" s="11" t="n">
        <x:f>SUM(B1168:J1168)</x:f>
        <x:v>-7</x:v>
      </x:c>
      <x:c r="L1168" s="11" t="n">
        <x:f>'제외 후보'!N1168</x:f>
        <x:v>-7</x:v>
      </x:c>
      <x:c r="M1168" s="2" t="str">
        <x:f>IF(K1168=L1168,"OK","MISMATCH")</x:f>
        <x:v>OK</x:v>
      </x:c>
    </x:row>
    <x:row r="1169">
      <x:c r="A1169" s="2" t="str">
        <x:f>'제외 후보'!G1169</x:f>
        <x:v>w_c8bb7abc970431b9</x:v>
      </x:c>
      <x:c r="B1169" s="11" t="n">
        <x:f>IF('제외 후보'!Q1169&lt;&gt;"",'선정 규칙'!$B$4,0)</x:f>
        <x:v>0</x:v>
      </x:c>
      <x:c r="C1169" s="11" t="n">
        <x:f>IF(ISNUMBER(SEARCH("jmdict_uncommon_or_irregular",'제외 후보'!P1169)),'선정 규칙'!$B$5,IF(ISNUMBER(SEARCH("jmdict_rare_or_dated",'제외 후보'!P1169)),'선정 규칙'!$B$6,0))</x:f>
        <x:v>0</x:v>
      </x:c>
      <x:c r="D1169" s="11" t="n">
        <x:f>IF(ISNUMBER(SEARCH("jmdict_exact_pair_not_found",'제외 후보'!P1169)),'선정 규칙'!$B$7,0)</x:f>
        <x:v>0</x:v>
      </x:c>
      <x:c r="E1169" s="11" t="n">
        <x:f>IF(OR('제외 후보'!L1169="",'제외 후보'!L1169&lt;=0),'선정 규칙'!$B$8,IF('제외 후보'!L1169&lt;=1.5,'선정 규칙'!$B$9,IF('제외 후보'!L1169&lt;=2,'선정 규칙'!$B$10,IF('제외 후보'!L1169&lt;=2.5,'선정 규칙'!$B$11,IF('제외 후보'!L1169&lt;=3,'선정 규칙'!$B$12,IF('제외 후보'!L1169&lt;=3.5,'선정 규칙'!$B$13,IF('제외 후보'!L1169&gt;=4.5,'선정 규칙'!$B$14,0)))))))</x:f>
        <x:v>12</x:v>
      </x:c>
      <x:c r="F1169" s="11" t="n">
        <x:f>IF('제외 후보'!Y1169=0,'선정 규칙'!$B$15,IF('제외 후보'!Y1169&gt;=100,'선정 규칙'!$B$16,'선정 규칙'!$B$17))</x:f>
        <x:v>-25</x:v>
      </x:c>
      <x:c r="G1169" s="11" t="n">
        <x:f>IF('제외 후보'!M1169="있음",'선정 규칙'!$B$18,'선정 규칙'!$B$19)</x:f>
        <x:v>6</x:v>
      </x:c>
      <x:c r="H1169" s="11" t="n">
        <x:f>IF(ISNUMBER(SEARCH("freq-core",'제외 후보'!AD1169)),'선정 규칙'!$B$20,0)</x:f>
        <x:v>0</x:v>
      </x:c>
      <x:c r="I1169" s="11" t="n">
        <x:f>IF(ISNUMBER(SEARCH("weak_legacy_content",'제외 후보'!P1169)),'선정 규칙'!$B$21,0)</x:f>
        <x:v>0</x:v>
      </x:c>
      <x:c r="J1169" s="11" t="n">
        <x:f>IF('제외 후보'!AC1169&lt;&gt;"",'선정 규칙'!$B$22,0)</x:f>
        <x:v>0</x:v>
      </x:c>
      <x:c r="K1169" s="11" t="n">
        <x:f>SUM(B1169:J1169)</x:f>
        <x:v>-7</x:v>
      </x:c>
      <x:c r="L1169" s="11" t="n">
        <x:f>'제외 후보'!N1169</x:f>
        <x:v>-7</x:v>
      </x:c>
      <x:c r="M1169" s="2" t="str">
        <x:f>IF(K1169=L1169,"OK","MISMATCH")</x:f>
        <x:v>OK</x:v>
      </x:c>
    </x:row>
    <x:row r="1170">
      <x:c r="A1170" s="2" t="str">
        <x:f>'제외 후보'!G1170</x:f>
        <x:v>w_e5ec8b55574e3beb</x:v>
      </x:c>
      <x:c r="B1170" s="11" t="n">
        <x:f>IF('제외 후보'!Q1170&lt;&gt;"",'선정 규칙'!$B$4,0)</x:f>
        <x:v>0</x:v>
      </x:c>
      <x:c r="C1170" s="11" t="n">
        <x:f>IF(ISNUMBER(SEARCH("jmdict_uncommon_or_irregular",'제외 후보'!P1170)),'선정 규칙'!$B$5,IF(ISNUMBER(SEARCH("jmdict_rare_or_dated",'제외 후보'!P1170)),'선정 규칙'!$B$6,0))</x:f>
        <x:v>0</x:v>
      </x:c>
      <x:c r="D1170" s="11" t="n">
        <x:f>IF(ISNUMBER(SEARCH("jmdict_exact_pair_not_found",'제외 후보'!P1170)),'선정 규칙'!$B$7,0)</x:f>
        <x:v>0</x:v>
      </x:c>
      <x:c r="E1170" s="11" t="n">
        <x:f>IF(OR('제외 후보'!L1170="",'제외 후보'!L1170&lt;=0),'선정 규칙'!$B$8,IF('제외 후보'!L1170&lt;=1.5,'선정 규칙'!$B$9,IF('제외 후보'!L1170&lt;=2,'선정 규칙'!$B$10,IF('제외 후보'!L1170&lt;=2.5,'선정 규칙'!$B$11,IF('제외 후보'!L1170&lt;=3,'선정 규칙'!$B$12,IF('제외 후보'!L1170&lt;=3.5,'선정 규칙'!$B$13,IF('제외 후보'!L1170&gt;=4.5,'선정 규칙'!$B$14,0)))))))</x:f>
        <x:v>12</x:v>
      </x:c>
      <x:c r="F1170" s="11" t="n">
        <x:f>IF('제외 후보'!Y1170=0,'선정 규칙'!$B$15,IF('제외 후보'!Y1170&gt;=100,'선정 규칙'!$B$16,'선정 규칙'!$B$17))</x:f>
        <x:v>-25</x:v>
      </x:c>
      <x:c r="G1170" s="11" t="n">
        <x:f>IF('제외 후보'!M1170="있음",'선정 규칙'!$B$18,'선정 규칙'!$B$19)</x:f>
        <x:v>6</x:v>
      </x:c>
      <x:c r="H1170" s="11" t="n">
        <x:f>IF(ISNUMBER(SEARCH("freq-core",'제외 후보'!AD1170)),'선정 규칙'!$B$20,0)</x:f>
        <x:v>0</x:v>
      </x:c>
      <x:c r="I1170" s="11" t="n">
        <x:f>IF(ISNUMBER(SEARCH("weak_legacy_content",'제외 후보'!P1170)),'선정 규칙'!$B$21,0)</x:f>
        <x:v>0</x:v>
      </x:c>
      <x:c r="J1170" s="11" t="n">
        <x:f>IF('제외 후보'!AC1170&lt;&gt;"",'선정 규칙'!$B$22,0)</x:f>
        <x:v>0</x:v>
      </x:c>
      <x:c r="K1170" s="11" t="n">
        <x:f>SUM(B1170:J1170)</x:f>
        <x:v>-7</x:v>
      </x:c>
      <x:c r="L1170" s="11" t="n">
        <x:f>'제외 후보'!N1170</x:f>
        <x:v>-7</x:v>
      </x:c>
      <x:c r="M1170" s="2" t="str">
        <x:f>IF(K1170=L1170,"OK","MISMATCH")</x:f>
        <x:v>OK</x:v>
      </x:c>
    </x:row>
    <x:row r="1171">
      <x:c r="A1171" s="2" t="str">
        <x:f>'제외 후보'!G1171</x:f>
        <x:v>w_992a6e9147e43979</x:v>
      </x:c>
      <x:c r="B1171" s="11" t="n">
        <x:f>IF('제외 후보'!Q1171&lt;&gt;"",'선정 규칙'!$B$4,0)</x:f>
        <x:v>0</x:v>
      </x:c>
      <x:c r="C1171" s="11" t="n">
        <x:f>IF(ISNUMBER(SEARCH("jmdict_uncommon_or_irregular",'제외 후보'!P1171)),'선정 규칙'!$B$5,IF(ISNUMBER(SEARCH("jmdict_rare_or_dated",'제외 후보'!P1171)),'선정 규칙'!$B$6,0))</x:f>
        <x:v>0</x:v>
      </x:c>
      <x:c r="D1171" s="11" t="n">
        <x:f>IF(ISNUMBER(SEARCH("jmdict_exact_pair_not_found",'제외 후보'!P1171)),'선정 규칙'!$B$7,0)</x:f>
        <x:v>0</x:v>
      </x:c>
      <x:c r="E1171" s="11" t="n">
        <x:f>IF(OR('제외 후보'!L1171="",'제외 후보'!L1171&lt;=0),'선정 규칙'!$B$8,IF('제외 후보'!L1171&lt;=1.5,'선정 규칙'!$B$9,IF('제외 후보'!L1171&lt;=2,'선정 규칙'!$B$10,IF('제외 후보'!L1171&lt;=2.5,'선정 규칙'!$B$11,IF('제외 후보'!L1171&lt;=3,'선정 규칙'!$B$12,IF('제외 후보'!L1171&lt;=3.5,'선정 규칙'!$B$13,IF('제외 후보'!L1171&gt;=4.5,'선정 규칙'!$B$14,0)))))))</x:f>
        <x:v>12</x:v>
      </x:c>
      <x:c r="F1171" s="11" t="n">
        <x:f>IF('제외 후보'!Y1171=0,'선정 규칙'!$B$15,IF('제외 후보'!Y1171&gt;=100,'선정 규칙'!$B$16,'선정 규칙'!$B$17))</x:f>
        <x:v>-25</x:v>
      </x:c>
      <x:c r="G1171" s="11" t="n">
        <x:f>IF('제외 후보'!M1171="있음",'선정 규칙'!$B$18,'선정 규칙'!$B$19)</x:f>
        <x:v>6</x:v>
      </x:c>
      <x:c r="H1171" s="11" t="n">
        <x:f>IF(ISNUMBER(SEARCH("freq-core",'제외 후보'!AD1171)),'선정 규칙'!$B$20,0)</x:f>
        <x:v>0</x:v>
      </x:c>
      <x:c r="I1171" s="11" t="n">
        <x:f>IF(ISNUMBER(SEARCH("weak_legacy_content",'제외 후보'!P1171)),'선정 규칙'!$B$21,0)</x:f>
        <x:v>0</x:v>
      </x:c>
      <x:c r="J1171" s="11" t="n">
        <x:f>IF('제외 후보'!AC1171&lt;&gt;"",'선정 규칙'!$B$22,0)</x:f>
        <x:v>0</x:v>
      </x:c>
      <x:c r="K1171" s="11" t="n">
        <x:f>SUM(B1171:J1171)</x:f>
        <x:v>-7</x:v>
      </x:c>
      <x:c r="L1171" s="11" t="n">
        <x:f>'제외 후보'!N1171</x:f>
        <x:v>-7</x:v>
      </x:c>
      <x:c r="M1171" s="2" t="str">
        <x:f>IF(K1171=L1171,"OK","MISMATCH")</x:f>
        <x:v>OK</x:v>
      </x:c>
    </x:row>
    <x:row r="1172">
      <x:c r="A1172" s="2" t="str">
        <x:f>'제외 후보'!G1172</x:f>
        <x:v>w_c4d45c1153b13074</x:v>
      </x:c>
      <x:c r="B1172" s="11" t="n">
        <x:f>IF('제외 후보'!Q1172&lt;&gt;"",'선정 규칙'!$B$4,0)</x:f>
        <x:v>0</x:v>
      </x:c>
      <x:c r="C1172" s="11" t="n">
        <x:f>IF(ISNUMBER(SEARCH("jmdict_uncommon_or_irregular",'제외 후보'!P1172)),'선정 규칙'!$B$5,IF(ISNUMBER(SEARCH("jmdict_rare_or_dated",'제외 후보'!P1172)),'선정 규칙'!$B$6,0))</x:f>
        <x:v>0</x:v>
      </x:c>
      <x:c r="D1172" s="11" t="n">
        <x:f>IF(ISNUMBER(SEARCH("jmdict_exact_pair_not_found",'제외 후보'!P1172)),'선정 규칙'!$B$7,0)</x:f>
        <x:v>0</x:v>
      </x:c>
      <x:c r="E1172" s="11" t="n">
        <x:f>IF(OR('제외 후보'!L1172="",'제외 후보'!L1172&lt;=0),'선정 규칙'!$B$8,IF('제외 후보'!L1172&lt;=1.5,'선정 규칙'!$B$9,IF('제외 후보'!L1172&lt;=2,'선정 규칙'!$B$10,IF('제외 후보'!L1172&lt;=2.5,'선정 규칙'!$B$11,IF('제외 후보'!L1172&lt;=3,'선정 규칙'!$B$12,IF('제외 후보'!L1172&lt;=3.5,'선정 규칙'!$B$13,IF('제외 후보'!L1172&gt;=4.5,'선정 규칙'!$B$14,0)))))))</x:f>
        <x:v>12</x:v>
      </x:c>
      <x:c r="F1172" s="11" t="n">
        <x:f>IF('제외 후보'!Y1172=0,'선정 규칙'!$B$15,IF('제외 후보'!Y1172&gt;=100,'선정 규칙'!$B$16,'선정 규칙'!$B$17))</x:f>
        <x:v>-25</x:v>
      </x:c>
      <x:c r="G1172" s="11" t="n">
        <x:f>IF('제외 후보'!M1172="있음",'선정 규칙'!$B$18,'선정 규칙'!$B$19)</x:f>
        <x:v>6</x:v>
      </x:c>
      <x:c r="H1172" s="11" t="n">
        <x:f>IF(ISNUMBER(SEARCH("freq-core",'제외 후보'!AD1172)),'선정 규칙'!$B$20,0)</x:f>
        <x:v>0</x:v>
      </x:c>
      <x:c r="I1172" s="11" t="n">
        <x:f>IF(ISNUMBER(SEARCH("weak_legacy_content",'제외 후보'!P1172)),'선정 규칙'!$B$21,0)</x:f>
        <x:v>0</x:v>
      </x:c>
      <x:c r="J1172" s="11" t="n">
        <x:f>IF('제외 후보'!AC1172&lt;&gt;"",'선정 규칙'!$B$22,0)</x:f>
        <x:v>0</x:v>
      </x:c>
      <x:c r="K1172" s="11" t="n">
        <x:f>SUM(B1172:J1172)</x:f>
        <x:v>-7</x:v>
      </x:c>
      <x:c r="L1172" s="11" t="n">
        <x:f>'제외 후보'!N1172</x:f>
        <x:v>-7</x:v>
      </x:c>
      <x:c r="M1172" s="2" t="str">
        <x:f>IF(K1172=L1172,"OK","MISMATCH")</x:f>
        <x:v>OK</x:v>
      </x:c>
    </x:row>
    <x:row r="1173">
      <x:c r="A1173" s="2" t="str">
        <x:f>'제외 후보'!G1173</x:f>
        <x:v>w_44df893bc2c36040</x:v>
      </x:c>
      <x:c r="B1173" s="11" t="n">
        <x:f>IF('제외 후보'!Q1173&lt;&gt;"",'선정 규칙'!$B$4,0)</x:f>
        <x:v>0</x:v>
      </x:c>
      <x:c r="C1173" s="11" t="n">
        <x:f>IF(ISNUMBER(SEARCH("jmdict_uncommon_or_irregular",'제외 후보'!P1173)),'선정 규칙'!$B$5,IF(ISNUMBER(SEARCH("jmdict_rare_or_dated",'제외 후보'!P1173)),'선정 규칙'!$B$6,0))</x:f>
        <x:v>0</x:v>
      </x:c>
      <x:c r="D1173" s="11" t="n">
        <x:f>IF(ISNUMBER(SEARCH("jmdict_exact_pair_not_found",'제외 후보'!P1173)),'선정 규칙'!$B$7,0)</x:f>
        <x:v>0</x:v>
      </x:c>
      <x:c r="E1173" s="11" t="n">
        <x:f>IF(OR('제외 후보'!L1173="",'제외 후보'!L1173&lt;=0),'선정 규칙'!$B$8,IF('제외 후보'!L1173&lt;=1.5,'선정 규칙'!$B$9,IF('제외 후보'!L1173&lt;=2,'선정 규칙'!$B$10,IF('제외 후보'!L1173&lt;=2.5,'선정 규칙'!$B$11,IF('제외 후보'!L1173&lt;=3,'선정 규칙'!$B$12,IF('제외 후보'!L1173&lt;=3.5,'선정 규칙'!$B$13,IF('제외 후보'!L1173&gt;=4.5,'선정 규칙'!$B$14,0)))))))</x:f>
        <x:v>12</x:v>
      </x:c>
      <x:c r="F1173" s="11" t="n">
        <x:f>IF('제외 후보'!Y1173=0,'선정 규칙'!$B$15,IF('제외 후보'!Y1173&gt;=100,'선정 규칙'!$B$16,'선정 규칙'!$B$17))</x:f>
        <x:v>-25</x:v>
      </x:c>
      <x:c r="G1173" s="11" t="n">
        <x:f>IF('제외 후보'!M1173="있음",'선정 규칙'!$B$18,'선정 규칙'!$B$19)</x:f>
        <x:v>6</x:v>
      </x:c>
      <x:c r="H1173" s="11" t="n">
        <x:f>IF(ISNUMBER(SEARCH("freq-core",'제외 후보'!AD1173)),'선정 규칙'!$B$20,0)</x:f>
        <x:v>0</x:v>
      </x:c>
      <x:c r="I1173" s="11" t="n">
        <x:f>IF(ISNUMBER(SEARCH("weak_legacy_content",'제외 후보'!P1173)),'선정 규칙'!$B$21,0)</x:f>
        <x:v>0</x:v>
      </x:c>
      <x:c r="J1173" s="11" t="n">
        <x:f>IF('제외 후보'!AC1173&lt;&gt;"",'선정 규칙'!$B$22,0)</x:f>
        <x:v>0</x:v>
      </x:c>
      <x:c r="K1173" s="11" t="n">
        <x:f>SUM(B1173:J1173)</x:f>
        <x:v>-7</x:v>
      </x:c>
      <x:c r="L1173" s="11" t="n">
        <x:f>'제외 후보'!N1173</x:f>
        <x:v>-7</x:v>
      </x:c>
      <x:c r="M1173" s="2" t="str">
        <x:f>IF(K1173=L1173,"OK","MISMATCH")</x:f>
        <x:v>OK</x:v>
      </x:c>
    </x:row>
    <x:row r="1174">
      <x:c r="A1174" s="2" t="str">
        <x:f>'제외 후보'!G1174</x:f>
        <x:v>w_504086cd552f2336</x:v>
      </x:c>
      <x:c r="B1174" s="11" t="n">
        <x:f>IF('제외 후보'!Q1174&lt;&gt;"",'선정 규칙'!$B$4,0)</x:f>
        <x:v>0</x:v>
      </x:c>
      <x:c r="C1174" s="11" t="n">
        <x:f>IF(ISNUMBER(SEARCH("jmdict_uncommon_or_irregular",'제외 후보'!P1174)),'선정 규칙'!$B$5,IF(ISNUMBER(SEARCH("jmdict_rare_or_dated",'제외 후보'!P1174)),'선정 규칙'!$B$6,0))</x:f>
        <x:v>0</x:v>
      </x:c>
      <x:c r="D1174" s="11" t="n">
        <x:f>IF(ISNUMBER(SEARCH("jmdict_exact_pair_not_found",'제외 후보'!P1174)),'선정 규칙'!$B$7,0)</x:f>
        <x:v>0</x:v>
      </x:c>
      <x:c r="E1174" s="11" t="n">
        <x:f>IF(OR('제외 후보'!L1174="",'제외 후보'!L1174&lt;=0),'선정 규칙'!$B$8,IF('제외 후보'!L1174&lt;=1.5,'선정 규칙'!$B$9,IF('제외 후보'!L1174&lt;=2,'선정 규칙'!$B$10,IF('제외 후보'!L1174&lt;=2.5,'선정 규칙'!$B$11,IF('제외 후보'!L1174&lt;=3,'선정 규칙'!$B$12,IF('제외 후보'!L1174&lt;=3.5,'선정 규칙'!$B$13,IF('제외 후보'!L1174&gt;=4.5,'선정 규칙'!$B$14,0)))))))</x:f>
        <x:v>12</x:v>
      </x:c>
      <x:c r="F1174" s="11" t="n">
        <x:f>IF('제외 후보'!Y1174=0,'선정 규칙'!$B$15,IF('제외 후보'!Y1174&gt;=100,'선정 규칙'!$B$16,'선정 규칙'!$B$17))</x:f>
        <x:v>-25</x:v>
      </x:c>
      <x:c r="G1174" s="11" t="n">
        <x:f>IF('제외 후보'!M1174="있음",'선정 규칙'!$B$18,'선정 규칙'!$B$19)</x:f>
        <x:v>6</x:v>
      </x:c>
      <x:c r="H1174" s="11" t="n">
        <x:f>IF(ISNUMBER(SEARCH("freq-core",'제외 후보'!AD1174)),'선정 규칙'!$B$20,0)</x:f>
        <x:v>0</x:v>
      </x:c>
      <x:c r="I1174" s="11" t="n">
        <x:f>IF(ISNUMBER(SEARCH("weak_legacy_content",'제외 후보'!P1174)),'선정 규칙'!$B$21,0)</x:f>
        <x:v>0</x:v>
      </x:c>
      <x:c r="J1174" s="11" t="n">
        <x:f>IF('제외 후보'!AC1174&lt;&gt;"",'선정 규칙'!$B$22,0)</x:f>
        <x:v>0</x:v>
      </x:c>
      <x:c r="K1174" s="11" t="n">
        <x:f>SUM(B1174:J1174)</x:f>
        <x:v>-7</x:v>
      </x:c>
      <x:c r="L1174" s="11" t="n">
        <x:f>'제외 후보'!N1174</x:f>
        <x:v>-7</x:v>
      </x:c>
      <x:c r="M1174" s="2" t="str">
        <x:f>IF(K1174=L1174,"OK","MISMATCH")</x:f>
        <x:v>OK</x:v>
      </x:c>
    </x:row>
    <x:row r="1175">
      <x:c r="A1175" s="2" t="str">
        <x:f>'제외 후보'!G1175</x:f>
        <x:v>w_98523ca68bd0aba1</x:v>
      </x:c>
      <x:c r="B1175" s="11" t="n">
        <x:f>IF('제외 후보'!Q1175&lt;&gt;"",'선정 규칙'!$B$4,0)</x:f>
        <x:v>0</x:v>
      </x:c>
      <x:c r="C1175" s="11" t="n">
        <x:f>IF(ISNUMBER(SEARCH("jmdict_uncommon_or_irregular",'제외 후보'!P1175)),'선정 규칙'!$B$5,IF(ISNUMBER(SEARCH("jmdict_rare_or_dated",'제외 후보'!P1175)),'선정 규칙'!$B$6,0))</x:f>
        <x:v>0</x:v>
      </x:c>
      <x:c r="D1175" s="11" t="n">
        <x:f>IF(ISNUMBER(SEARCH("jmdict_exact_pair_not_found",'제외 후보'!P1175)),'선정 규칙'!$B$7,0)</x:f>
        <x:v>0</x:v>
      </x:c>
      <x:c r="E1175" s="11" t="n">
        <x:f>IF(OR('제외 후보'!L1175="",'제외 후보'!L1175&lt;=0),'선정 규칙'!$B$8,IF('제외 후보'!L1175&lt;=1.5,'선정 규칙'!$B$9,IF('제외 후보'!L1175&lt;=2,'선정 규칙'!$B$10,IF('제외 후보'!L1175&lt;=2.5,'선정 규칙'!$B$11,IF('제외 후보'!L1175&lt;=3,'선정 규칙'!$B$12,IF('제외 후보'!L1175&lt;=3.5,'선정 규칙'!$B$13,IF('제외 후보'!L1175&gt;=4.5,'선정 규칙'!$B$14,0)))))))</x:f>
        <x:v>12</x:v>
      </x:c>
      <x:c r="F1175" s="11" t="n">
        <x:f>IF('제외 후보'!Y1175=0,'선정 규칙'!$B$15,IF('제외 후보'!Y1175&gt;=100,'선정 규칙'!$B$16,'선정 규칙'!$B$17))</x:f>
        <x:v>-25</x:v>
      </x:c>
      <x:c r="G1175" s="11" t="n">
        <x:f>IF('제외 후보'!M1175="있음",'선정 규칙'!$B$18,'선정 규칙'!$B$19)</x:f>
        <x:v>6</x:v>
      </x:c>
      <x:c r="H1175" s="11" t="n">
        <x:f>IF(ISNUMBER(SEARCH("freq-core",'제외 후보'!AD1175)),'선정 규칙'!$B$20,0)</x:f>
        <x:v>0</x:v>
      </x:c>
      <x:c r="I1175" s="11" t="n">
        <x:f>IF(ISNUMBER(SEARCH("weak_legacy_content",'제외 후보'!P1175)),'선정 규칙'!$B$21,0)</x:f>
        <x:v>0</x:v>
      </x:c>
      <x:c r="J1175" s="11" t="n">
        <x:f>IF('제외 후보'!AC1175&lt;&gt;"",'선정 규칙'!$B$22,0)</x:f>
        <x:v>0</x:v>
      </x:c>
      <x:c r="K1175" s="11" t="n">
        <x:f>SUM(B1175:J1175)</x:f>
        <x:v>-7</x:v>
      </x:c>
      <x:c r="L1175" s="11" t="n">
        <x:f>'제외 후보'!N1175</x:f>
        <x:v>-7</x:v>
      </x:c>
      <x:c r="M1175" s="2" t="str">
        <x:f>IF(K1175=L1175,"OK","MISMATCH")</x:f>
        <x:v>OK</x:v>
      </x:c>
    </x:row>
    <x:row r="1176">
      <x:c r="A1176" s="2" t="str">
        <x:f>'제외 후보'!G1176</x:f>
        <x:v>w_efea8d64c87236ab</x:v>
      </x:c>
      <x:c r="B1176" s="11" t="n">
        <x:f>IF('제외 후보'!Q1176&lt;&gt;"",'선정 규칙'!$B$4,0)</x:f>
        <x:v>0</x:v>
      </x:c>
      <x:c r="C1176" s="11" t="n">
        <x:f>IF(ISNUMBER(SEARCH("jmdict_uncommon_or_irregular",'제외 후보'!P1176)),'선정 규칙'!$B$5,IF(ISNUMBER(SEARCH("jmdict_rare_or_dated",'제외 후보'!P1176)),'선정 규칙'!$B$6,0))</x:f>
        <x:v>0</x:v>
      </x:c>
      <x:c r="D1176" s="11" t="n">
        <x:f>IF(ISNUMBER(SEARCH("jmdict_exact_pair_not_found",'제외 후보'!P1176)),'선정 규칙'!$B$7,0)</x:f>
        <x:v>0</x:v>
      </x:c>
      <x:c r="E1176" s="11" t="n">
        <x:f>IF(OR('제외 후보'!L1176="",'제외 후보'!L1176&lt;=0),'선정 규칙'!$B$8,IF('제외 후보'!L1176&lt;=1.5,'선정 규칙'!$B$9,IF('제외 후보'!L1176&lt;=2,'선정 규칙'!$B$10,IF('제외 후보'!L1176&lt;=2.5,'선정 규칙'!$B$11,IF('제외 후보'!L1176&lt;=3,'선정 규칙'!$B$12,IF('제외 후보'!L1176&lt;=3.5,'선정 규칙'!$B$13,IF('제외 후보'!L1176&gt;=4.5,'선정 규칙'!$B$14,0)))))))</x:f>
        <x:v>12</x:v>
      </x:c>
      <x:c r="F1176" s="11" t="n">
        <x:f>IF('제외 후보'!Y1176=0,'선정 규칙'!$B$15,IF('제외 후보'!Y1176&gt;=100,'선정 규칙'!$B$16,'선정 규칙'!$B$17))</x:f>
        <x:v>-25</x:v>
      </x:c>
      <x:c r="G1176" s="11" t="n">
        <x:f>IF('제외 후보'!M1176="있음",'선정 규칙'!$B$18,'선정 규칙'!$B$19)</x:f>
        <x:v>6</x:v>
      </x:c>
      <x:c r="H1176" s="11" t="n">
        <x:f>IF(ISNUMBER(SEARCH("freq-core",'제외 후보'!AD1176)),'선정 규칙'!$B$20,0)</x:f>
        <x:v>0</x:v>
      </x:c>
      <x:c r="I1176" s="11" t="n">
        <x:f>IF(ISNUMBER(SEARCH("weak_legacy_content",'제외 후보'!P1176)),'선정 규칙'!$B$21,0)</x:f>
        <x:v>0</x:v>
      </x:c>
      <x:c r="J1176" s="11" t="n">
        <x:f>IF('제외 후보'!AC1176&lt;&gt;"",'선정 규칙'!$B$22,0)</x:f>
        <x:v>0</x:v>
      </x:c>
      <x:c r="K1176" s="11" t="n">
        <x:f>SUM(B1176:J1176)</x:f>
        <x:v>-7</x:v>
      </x:c>
      <x:c r="L1176" s="11" t="n">
        <x:f>'제외 후보'!N1176</x:f>
        <x:v>-7</x:v>
      </x:c>
      <x:c r="M1176" s="2" t="str">
        <x:f>IF(K1176=L1176,"OK","MISMATCH")</x:f>
        <x:v>OK</x:v>
      </x:c>
    </x:row>
    <x:row r="1177">
      <x:c r="A1177" s="2" t="str">
        <x:f>'제외 후보'!G1177</x:f>
        <x:v>w_648739b0fd54b279</x:v>
      </x:c>
      <x:c r="B1177" s="11" t="n">
        <x:f>IF('제외 후보'!Q1177&lt;&gt;"",'선정 규칙'!$B$4,0)</x:f>
        <x:v>0</x:v>
      </x:c>
      <x:c r="C1177" s="11" t="n">
        <x:f>IF(ISNUMBER(SEARCH("jmdict_uncommon_or_irregular",'제외 후보'!P1177)),'선정 규칙'!$B$5,IF(ISNUMBER(SEARCH("jmdict_rare_or_dated",'제외 후보'!P1177)),'선정 규칙'!$B$6,0))</x:f>
        <x:v>0</x:v>
      </x:c>
      <x:c r="D1177" s="11" t="n">
        <x:f>IF(ISNUMBER(SEARCH("jmdict_exact_pair_not_found",'제외 후보'!P1177)),'선정 규칙'!$B$7,0)</x:f>
        <x:v>0</x:v>
      </x:c>
      <x:c r="E1177" s="11" t="n">
        <x:f>IF(OR('제외 후보'!L1177="",'제외 후보'!L1177&lt;=0),'선정 규칙'!$B$8,IF('제외 후보'!L1177&lt;=1.5,'선정 규칙'!$B$9,IF('제외 후보'!L1177&lt;=2,'선정 규칙'!$B$10,IF('제외 후보'!L1177&lt;=2.5,'선정 규칙'!$B$11,IF('제외 후보'!L1177&lt;=3,'선정 규칙'!$B$12,IF('제외 후보'!L1177&lt;=3.5,'선정 규칙'!$B$13,IF('제외 후보'!L1177&gt;=4.5,'선정 규칙'!$B$14,0)))))))</x:f>
        <x:v>12</x:v>
      </x:c>
      <x:c r="F1177" s="11" t="n">
        <x:f>IF('제외 후보'!Y1177=0,'선정 규칙'!$B$15,IF('제외 후보'!Y1177&gt;=100,'선정 규칙'!$B$16,'선정 규칙'!$B$17))</x:f>
        <x:v>-25</x:v>
      </x:c>
      <x:c r="G1177" s="11" t="n">
        <x:f>IF('제외 후보'!M1177="있음",'선정 규칙'!$B$18,'선정 규칙'!$B$19)</x:f>
        <x:v>6</x:v>
      </x:c>
      <x:c r="H1177" s="11" t="n">
        <x:f>IF(ISNUMBER(SEARCH("freq-core",'제외 후보'!AD1177)),'선정 규칙'!$B$20,0)</x:f>
        <x:v>0</x:v>
      </x:c>
      <x:c r="I1177" s="11" t="n">
        <x:f>IF(ISNUMBER(SEARCH("weak_legacy_content",'제외 후보'!P1177)),'선정 규칙'!$B$21,0)</x:f>
        <x:v>0</x:v>
      </x:c>
      <x:c r="J1177" s="11" t="n">
        <x:f>IF('제외 후보'!AC1177&lt;&gt;"",'선정 규칙'!$B$22,0)</x:f>
        <x:v>0</x:v>
      </x:c>
      <x:c r="K1177" s="11" t="n">
        <x:f>SUM(B1177:J1177)</x:f>
        <x:v>-7</x:v>
      </x:c>
      <x:c r="L1177" s="11" t="n">
        <x:f>'제외 후보'!N1177</x:f>
        <x:v>-7</x:v>
      </x:c>
      <x:c r="M1177" s="2" t="str">
        <x:f>IF(K1177=L1177,"OK","MISMATCH")</x:f>
        <x:v>OK</x:v>
      </x:c>
    </x:row>
    <x:row r="1178">
      <x:c r="A1178" s="2" t="str">
        <x:f>'제외 후보'!G1178</x:f>
        <x:v>w_70d444f0b75ce53c</x:v>
      </x:c>
      <x:c r="B1178" s="11" t="n">
        <x:f>IF('제외 후보'!Q1178&lt;&gt;"",'선정 규칙'!$B$4,0)</x:f>
        <x:v>0</x:v>
      </x:c>
      <x:c r="C1178" s="11" t="n">
        <x:f>IF(ISNUMBER(SEARCH("jmdict_uncommon_or_irregular",'제외 후보'!P1178)),'선정 규칙'!$B$5,IF(ISNUMBER(SEARCH("jmdict_rare_or_dated",'제외 후보'!P1178)),'선정 규칙'!$B$6,0))</x:f>
        <x:v>0</x:v>
      </x:c>
      <x:c r="D1178" s="11" t="n">
        <x:f>IF(ISNUMBER(SEARCH("jmdict_exact_pair_not_found",'제외 후보'!P1178)),'선정 규칙'!$B$7,0)</x:f>
        <x:v>0</x:v>
      </x:c>
      <x:c r="E1178" s="11" t="n">
        <x:f>IF(OR('제외 후보'!L1178="",'제외 후보'!L1178&lt;=0),'선정 규칙'!$B$8,IF('제외 후보'!L1178&lt;=1.5,'선정 규칙'!$B$9,IF('제외 후보'!L1178&lt;=2,'선정 규칙'!$B$10,IF('제외 후보'!L1178&lt;=2.5,'선정 규칙'!$B$11,IF('제외 후보'!L1178&lt;=3,'선정 규칙'!$B$12,IF('제외 후보'!L1178&lt;=3.5,'선정 규칙'!$B$13,IF('제외 후보'!L1178&gt;=4.5,'선정 규칙'!$B$14,0)))))))</x:f>
        <x:v>12</x:v>
      </x:c>
      <x:c r="F1178" s="11" t="n">
        <x:f>IF('제외 후보'!Y1178=0,'선정 규칙'!$B$15,IF('제외 후보'!Y1178&gt;=100,'선정 규칙'!$B$16,'선정 규칙'!$B$17))</x:f>
        <x:v>-25</x:v>
      </x:c>
      <x:c r="G1178" s="11" t="n">
        <x:f>IF('제외 후보'!M1178="있음",'선정 규칙'!$B$18,'선정 규칙'!$B$19)</x:f>
        <x:v>6</x:v>
      </x:c>
      <x:c r="H1178" s="11" t="n">
        <x:f>IF(ISNUMBER(SEARCH("freq-core",'제외 후보'!AD1178)),'선정 규칙'!$B$20,0)</x:f>
        <x:v>0</x:v>
      </x:c>
      <x:c r="I1178" s="11" t="n">
        <x:f>IF(ISNUMBER(SEARCH("weak_legacy_content",'제외 후보'!P1178)),'선정 규칙'!$B$21,0)</x:f>
        <x:v>0</x:v>
      </x:c>
      <x:c r="J1178" s="11" t="n">
        <x:f>IF('제외 후보'!AC1178&lt;&gt;"",'선정 규칙'!$B$22,0)</x:f>
        <x:v>0</x:v>
      </x:c>
      <x:c r="K1178" s="11" t="n">
        <x:f>SUM(B1178:J1178)</x:f>
        <x:v>-7</x:v>
      </x:c>
      <x:c r="L1178" s="11" t="n">
        <x:f>'제외 후보'!N1178</x:f>
        <x:v>-7</x:v>
      </x:c>
      <x:c r="M1178" s="2" t="str">
        <x:f>IF(K1178=L1178,"OK","MISMATCH")</x:f>
        <x:v>OK</x:v>
      </x:c>
    </x:row>
    <x:row r="1179">
      <x:c r="A1179" s="2" t="str">
        <x:f>'제외 후보'!G1179</x:f>
        <x:v>w_18d02f0b4996faee</x:v>
      </x:c>
      <x:c r="B1179" s="11" t="n">
        <x:f>IF('제외 후보'!Q1179&lt;&gt;"",'선정 규칙'!$B$4,0)</x:f>
        <x:v>0</x:v>
      </x:c>
      <x:c r="C1179" s="11" t="n">
        <x:f>IF(ISNUMBER(SEARCH("jmdict_uncommon_or_irregular",'제외 후보'!P1179)),'선정 규칙'!$B$5,IF(ISNUMBER(SEARCH("jmdict_rare_or_dated",'제외 후보'!P1179)),'선정 규칙'!$B$6,0))</x:f>
        <x:v>0</x:v>
      </x:c>
      <x:c r="D1179" s="11" t="n">
        <x:f>IF(ISNUMBER(SEARCH("jmdict_exact_pair_not_found",'제외 후보'!P1179)),'선정 규칙'!$B$7,0)</x:f>
        <x:v>0</x:v>
      </x:c>
      <x:c r="E1179" s="11" t="n">
        <x:f>IF(OR('제외 후보'!L1179="",'제외 후보'!L1179&lt;=0),'선정 규칙'!$B$8,IF('제외 후보'!L1179&lt;=1.5,'선정 규칙'!$B$9,IF('제외 후보'!L1179&lt;=2,'선정 규칙'!$B$10,IF('제외 후보'!L1179&lt;=2.5,'선정 규칙'!$B$11,IF('제외 후보'!L1179&lt;=3,'선정 규칙'!$B$12,IF('제외 후보'!L1179&lt;=3.5,'선정 규칙'!$B$13,IF('제외 후보'!L1179&gt;=4.5,'선정 규칙'!$B$14,0)))))))</x:f>
        <x:v>12</x:v>
      </x:c>
      <x:c r="F1179" s="11" t="n">
        <x:f>IF('제외 후보'!Y1179=0,'선정 규칙'!$B$15,IF('제외 후보'!Y1179&gt;=100,'선정 규칙'!$B$16,'선정 규칙'!$B$17))</x:f>
        <x:v>-25</x:v>
      </x:c>
      <x:c r="G1179" s="11" t="n">
        <x:f>IF('제외 후보'!M1179="있음",'선정 규칙'!$B$18,'선정 규칙'!$B$19)</x:f>
        <x:v>6</x:v>
      </x:c>
      <x:c r="H1179" s="11" t="n">
        <x:f>IF(ISNUMBER(SEARCH("freq-core",'제외 후보'!AD1179)),'선정 규칙'!$B$20,0)</x:f>
        <x:v>0</x:v>
      </x:c>
      <x:c r="I1179" s="11" t="n">
        <x:f>IF(ISNUMBER(SEARCH("weak_legacy_content",'제외 후보'!P1179)),'선정 규칙'!$B$21,0)</x:f>
        <x:v>0</x:v>
      </x:c>
      <x:c r="J1179" s="11" t="n">
        <x:f>IF('제외 후보'!AC1179&lt;&gt;"",'선정 규칙'!$B$22,0)</x:f>
        <x:v>0</x:v>
      </x:c>
      <x:c r="K1179" s="11" t="n">
        <x:f>SUM(B1179:J1179)</x:f>
        <x:v>-7</x:v>
      </x:c>
      <x:c r="L1179" s="11" t="n">
        <x:f>'제외 후보'!N1179</x:f>
        <x:v>-7</x:v>
      </x:c>
      <x:c r="M1179" s="2" t="str">
        <x:f>IF(K1179=L1179,"OK","MISMATCH")</x:f>
        <x:v>OK</x:v>
      </x:c>
    </x:row>
    <x:row r="1180">
      <x:c r="A1180" s="2" t="str">
        <x:f>'제외 후보'!G1180</x:f>
        <x:v>w_27c43d84f52c14e7</x:v>
      </x:c>
      <x:c r="B1180" s="11" t="n">
        <x:f>IF('제외 후보'!Q1180&lt;&gt;"",'선정 규칙'!$B$4,0)</x:f>
        <x:v>0</x:v>
      </x:c>
      <x:c r="C1180" s="11" t="n">
        <x:f>IF(ISNUMBER(SEARCH("jmdict_uncommon_or_irregular",'제외 후보'!P1180)),'선정 규칙'!$B$5,IF(ISNUMBER(SEARCH("jmdict_rare_or_dated",'제외 후보'!P1180)),'선정 규칙'!$B$6,0))</x:f>
        <x:v>0</x:v>
      </x:c>
      <x:c r="D1180" s="11" t="n">
        <x:f>IF(ISNUMBER(SEARCH("jmdict_exact_pair_not_found",'제외 후보'!P1180)),'선정 규칙'!$B$7,0)</x:f>
        <x:v>0</x:v>
      </x:c>
      <x:c r="E1180" s="11" t="n">
        <x:f>IF(OR('제외 후보'!L1180="",'제외 후보'!L1180&lt;=0),'선정 규칙'!$B$8,IF('제외 후보'!L1180&lt;=1.5,'선정 규칙'!$B$9,IF('제외 후보'!L1180&lt;=2,'선정 규칙'!$B$10,IF('제외 후보'!L1180&lt;=2.5,'선정 규칙'!$B$11,IF('제외 후보'!L1180&lt;=3,'선정 규칙'!$B$12,IF('제외 후보'!L1180&lt;=3.5,'선정 규칙'!$B$13,IF('제외 후보'!L1180&gt;=4.5,'선정 규칙'!$B$14,0)))))))</x:f>
        <x:v>12</x:v>
      </x:c>
      <x:c r="F1180" s="11" t="n">
        <x:f>IF('제외 후보'!Y1180=0,'선정 규칙'!$B$15,IF('제외 후보'!Y1180&gt;=100,'선정 규칙'!$B$16,'선정 규칙'!$B$17))</x:f>
        <x:v>-25</x:v>
      </x:c>
      <x:c r="G1180" s="11" t="n">
        <x:f>IF('제외 후보'!M1180="있음",'선정 규칙'!$B$18,'선정 규칙'!$B$19)</x:f>
        <x:v>6</x:v>
      </x:c>
      <x:c r="H1180" s="11" t="n">
        <x:f>IF(ISNUMBER(SEARCH("freq-core",'제외 후보'!AD1180)),'선정 규칙'!$B$20,0)</x:f>
        <x:v>0</x:v>
      </x:c>
      <x:c r="I1180" s="11" t="n">
        <x:f>IF(ISNUMBER(SEARCH("weak_legacy_content",'제외 후보'!P1180)),'선정 규칙'!$B$21,0)</x:f>
        <x:v>0</x:v>
      </x:c>
      <x:c r="J1180" s="11" t="n">
        <x:f>IF('제외 후보'!AC1180&lt;&gt;"",'선정 규칙'!$B$22,0)</x:f>
        <x:v>0</x:v>
      </x:c>
      <x:c r="K1180" s="11" t="n">
        <x:f>SUM(B1180:J1180)</x:f>
        <x:v>-7</x:v>
      </x:c>
      <x:c r="L1180" s="11" t="n">
        <x:f>'제외 후보'!N1180</x:f>
        <x:v>-7</x:v>
      </x:c>
      <x:c r="M1180" s="2" t="str">
        <x:f>IF(K1180=L1180,"OK","MISMATCH")</x:f>
        <x:v>OK</x:v>
      </x:c>
    </x:row>
    <x:row r="1181">
      <x:c r="A1181" s="2" t="str">
        <x:f>'제외 후보'!G1181</x:f>
        <x:v>w_ae9f0fe4cacdf332</x:v>
      </x:c>
      <x:c r="B1181" s="11" t="n">
        <x:f>IF('제외 후보'!Q1181&lt;&gt;"",'선정 규칙'!$B$4,0)</x:f>
        <x:v>0</x:v>
      </x:c>
      <x:c r="C1181" s="11" t="n">
        <x:f>IF(ISNUMBER(SEARCH("jmdict_uncommon_or_irregular",'제외 후보'!P1181)),'선정 규칙'!$B$5,IF(ISNUMBER(SEARCH("jmdict_rare_or_dated",'제외 후보'!P1181)),'선정 규칙'!$B$6,0))</x:f>
        <x:v>0</x:v>
      </x:c>
      <x:c r="D1181" s="11" t="n">
        <x:f>IF(ISNUMBER(SEARCH("jmdict_exact_pair_not_found",'제외 후보'!P1181)),'선정 규칙'!$B$7,0)</x:f>
        <x:v>0</x:v>
      </x:c>
      <x:c r="E1181" s="11" t="n">
        <x:f>IF(OR('제외 후보'!L1181="",'제외 후보'!L1181&lt;=0),'선정 규칙'!$B$8,IF('제외 후보'!L1181&lt;=1.5,'선정 규칙'!$B$9,IF('제외 후보'!L1181&lt;=2,'선정 규칙'!$B$10,IF('제외 후보'!L1181&lt;=2.5,'선정 규칙'!$B$11,IF('제외 후보'!L1181&lt;=3,'선정 규칙'!$B$12,IF('제외 후보'!L1181&lt;=3.5,'선정 규칙'!$B$13,IF('제외 후보'!L1181&gt;=4.5,'선정 규칙'!$B$14,0)))))))</x:f>
        <x:v>12</x:v>
      </x:c>
      <x:c r="F1181" s="11" t="n">
        <x:f>IF('제외 후보'!Y1181=0,'선정 규칙'!$B$15,IF('제외 후보'!Y1181&gt;=100,'선정 규칙'!$B$16,'선정 규칙'!$B$17))</x:f>
        <x:v>-25</x:v>
      </x:c>
      <x:c r="G1181" s="11" t="n">
        <x:f>IF('제외 후보'!M1181="있음",'선정 규칙'!$B$18,'선정 규칙'!$B$19)</x:f>
        <x:v>6</x:v>
      </x:c>
      <x:c r="H1181" s="11" t="n">
        <x:f>IF(ISNUMBER(SEARCH("freq-core",'제외 후보'!AD1181)),'선정 규칙'!$B$20,0)</x:f>
        <x:v>0</x:v>
      </x:c>
      <x:c r="I1181" s="11" t="n">
        <x:f>IF(ISNUMBER(SEARCH("weak_legacy_content",'제외 후보'!P1181)),'선정 규칙'!$B$21,0)</x:f>
        <x:v>0</x:v>
      </x:c>
      <x:c r="J1181" s="11" t="n">
        <x:f>IF('제외 후보'!AC1181&lt;&gt;"",'선정 규칙'!$B$22,0)</x:f>
        <x:v>0</x:v>
      </x:c>
      <x:c r="K1181" s="11" t="n">
        <x:f>SUM(B1181:J1181)</x:f>
        <x:v>-7</x:v>
      </x:c>
      <x:c r="L1181" s="11" t="n">
        <x:f>'제외 후보'!N1181</x:f>
        <x:v>-7</x:v>
      </x:c>
      <x:c r="M1181" s="2" t="str">
        <x:f>IF(K1181=L1181,"OK","MISMATCH")</x:f>
        <x:v>OK</x:v>
      </x:c>
    </x:row>
    <x:row r="1182">
      <x:c r="A1182" s="2" t="str">
        <x:f>'제외 후보'!G1182</x:f>
        <x:v>w_0fc26a137f6ee5f6</x:v>
      </x:c>
      <x:c r="B1182" s="11" t="n">
        <x:f>IF('제외 후보'!Q1182&lt;&gt;"",'선정 규칙'!$B$4,0)</x:f>
        <x:v>0</x:v>
      </x:c>
      <x:c r="C1182" s="11" t="n">
        <x:f>IF(ISNUMBER(SEARCH("jmdict_uncommon_or_irregular",'제외 후보'!P1182)),'선정 규칙'!$B$5,IF(ISNUMBER(SEARCH("jmdict_rare_or_dated",'제외 후보'!P1182)),'선정 규칙'!$B$6,0))</x:f>
        <x:v>0</x:v>
      </x:c>
      <x:c r="D1182" s="11" t="n">
        <x:f>IF(ISNUMBER(SEARCH("jmdict_exact_pair_not_found",'제외 후보'!P1182)),'선정 규칙'!$B$7,0)</x:f>
        <x:v>0</x:v>
      </x:c>
      <x:c r="E1182" s="11" t="n">
        <x:f>IF(OR('제외 후보'!L1182="",'제외 후보'!L1182&lt;=0),'선정 규칙'!$B$8,IF('제외 후보'!L1182&lt;=1.5,'선정 규칙'!$B$9,IF('제외 후보'!L1182&lt;=2,'선정 규칙'!$B$10,IF('제외 후보'!L1182&lt;=2.5,'선정 규칙'!$B$11,IF('제외 후보'!L1182&lt;=3,'선정 규칙'!$B$12,IF('제외 후보'!L1182&lt;=3.5,'선정 규칙'!$B$13,IF('제외 후보'!L1182&gt;=4.5,'선정 규칙'!$B$14,0)))))))</x:f>
        <x:v>12</x:v>
      </x:c>
      <x:c r="F1182" s="11" t="n">
        <x:f>IF('제외 후보'!Y1182=0,'선정 규칙'!$B$15,IF('제외 후보'!Y1182&gt;=100,'선정 규칙'!$B$16,'선정 규칙'!$B$17))</x:f>
        <x:v>-25</x:v>
      </x:c>
      <x:c r="G1182" s="11" t="n">
        <x:f>IF('제외 후보'!M1182="있음",'선정 규칙'!$B$18,'선정 규칙'!$B$19)</x:f>
        <x:v>6</x:v>
      </x:c>
      <x:c r="H1182" s="11" t="n">
        <x:f>IF(ISNUMBER(SEARCH("freq-core",'제외 후보'!AD1182)),'선정 규칙'!$B$20,0)</x:f>
        <x:v>0</x:v>
      </x:c>
      <x:c r="I1182" s="11" t="n">
        <x:f>IF(ISNUMBER(SEARCH("weak_legacy_content",'제외 후보'!P1182)),'선정 규칙'!$B$21,0)</x:f>
        <x:v>0</x:v>
      </x:c>
      <x:c r="J1182" s="11" t="n">
        <x:f>IF('제외 후보'!AC1182&lt;&gt;"",'선정 규칙'!$B$22,0)</x:f>
        <x:v>0</x:v>
      </x:c>
      <x:c r="K1182" s="11" t="n">
        <x:f>SUM(B1182:J1182)</x:f>
        <x:v>-7</x:v>
      </x:c>
      <x:c r="L1182" s="11" t="n">
        <x:f>'제외 후보'!N1182</x:f>
        <x:v>-7</x:v>
      </x:c>
      <x:c r="M1182" s="2" t="str">
        <x:f>IF(K1182=L1182,"OK","MISMATCH")</x:f>
        <x:v>OK</x:v>
      </x:c>
    </x:row>
    <x:row r="1183">
      <x:c r="A1183" s="2" t="str">
        <x:f>'제외 후보'!G1183</x:f>
        <x:v>w_bd75aa731f4df5da</x:v>
      </x:c>
      <x:c r="B1183" s="11" t="n">
        <x:f>IF('제외 후보'!Q1183&lt;&gt;"",'선정 규칙'!$B$4,0)</x:f>
        <x:v>0</x:v>
      </x:c>
      <x:c r="C1183" s="11" t="n">
        <x:f>IF(ISNUMBER(SEARCH("jmdict_uncommon_or_irregular",'제외 후보'!P1183)),'선정 규칙'!$B$5,IF(ISNUMBER(SEARCH("jmdict_rare_or_dated",'제외 후보'!P1183)),'선정 규칙'!$B$6,0))</x:f>
        <x:v>0</x:v>
      </x:c>
      <x:c r="D1183" s="11" t="n">
        <x:f>IF(ISNUMBER(SEARCH("jmdict_exact_pair_not_found",'제외 후보'!P1183)),'선정 규칙'!$B$7,0)</x:f>
        <x:v>0</x:v>
      </x:c>
      <x:c r="E1183" s="11" t="n">
        <x:f>IF(OR('제외 후보'!L1183="",'제외 후보'!L1183&lt;=0),'선정 규칙'!$B$8,IF('제외 후보'!L1183&lt;=1.5,'선정 규칙'!$B$9,IF('제외 후보'!L1183&lt;=2,'선정 규칙'!$B$10,IF('제외 후보'!L1183&lt;=2.5,'선정 규칙'!$B$11,IF('제외 후보'!L1183&lt;=3,'선정 규칙'!$B$12,IF('제외 후보'!L1183&lt;=3.5,'선정 규칙'!$B$13,IF('제외 후보'!L1183&gt;=4.5,'선정 규칙'!$B$14,0)))))))</x:f>
        <x:v>12</x:v>
      </x:c>
      <x:c r="F1183" s="11" t="n">
        <x:f>IF('제외 후보'!Y1183=0,'선정 규칙'!$B$15,IF('제외 후보'!Y1183&gt;=100,'선정 규칙'!$B$16,'선정 규칙'!$B$17))</x:f>
        <x:v>-25</x:v>
      </x:c>
      <x:c r="G1183" s="11" t="n">
        <x:f>IF('제외 후보'!M1183="있음",'선정 규칙'!$B$18,'선정 규칙'!$B$19)</x:f>
        <x:v>6</x:v>
      </x:c>
      <x:c r="H1183" s="11" t="n">
        <x:f>IF(ISNUMBER(SEARCH("freq-core",'제외 후보'!AD1183)),'선정 규칙'!$B$20,0)</x:f>
        <x:v>0</x:v>
      </x:c>
      <x:c r="I1183" s="11" t="n">
        <x:f>IF(ISNUMBER(SEARCH("weak_legacy_content",'제외 후보'!P1183)),'선정 규칙'!$B$21,0)</x:f>
        <x:v>0</x:v>
      </x:c>
      <x:c r="J1183" s="11" t="n">
        <x:f>IF('제외 후보'!AC1183&lt;&gt;"",'선정 규칙'!$B$22,0)</x:f>
        <x:v>0</x:v>
      </x:c>
      <x:c r="K1183" s="11" t="n">
        <x:f>SUM(B1183:J1183)</x:f>
        <x:v>-7</x:v>
      </x:c>
      <x:c r="L1183" s="11" t="n">
        <x:f>'제외 후보'!N1183</x:f>
        <x:v>-7</x:v>
      </x:c>
      <x:c r="M1183" s="2" t="str">
        <x:f>IF(K1183=L1183,"OK","MISMATCH")</x:f>
        <x:v>OK</x:v>
      </x:c>
    </x:row>
    <x:row r="1184">
      <x:c r="A1184" s="2" t="str">
        <x:f>'제외 후보'!G1184</x:f>
        <x:v>w_773760ee6ecd2202</x:v>
      </x:c>
      <x:c r="B1184" s="11" t="n">
        <x:f>IF('제외 후보'!Q1184&lt;&gt;"",'선정 규칙'!$B$4,0)</x:f>
        <x:v>0</x:v>
      </x:c>
      <x:c r="C1184" s="11" t="n">
        <x:f>IF(ISNUMBER(SEARCH("jmdict_uncommon_or_irregular",'제외 후보'!P1184)),'선정 규칙'!$B$5,IF(ISNUMBER(SEARCH("jmdict_rare_or_dated",'제외 후보'!P1184)),'선정 규칙'!$B$6,0))</x:f>
        <x:v>0</x:v>
      </x:c>
      <x:c r="D1184" s="11" t="n">
        <x:f>IF(ISNUMBER(SEARCH("jmdict_exact_pair_not_found",'제외 후보'!P1184)),'선정 규칙'!$B$7,0)</x:f>
        <x:v>0</x:v>
      </x:c>
      <x:c r="E1184" s="11" t="n">
        <x:f>IF(OR('제외 후보'!L1184="",'제외 후보'!L1184&lt;=0),'선정 규칙'!$B$8,IF('제외 후보'!L1184&lt;=1.5,'선정 규칙'!$B$9,IF('제외 후보'!L1184&lt;=2,'선정 규칙'!$B$10,IF('제외 후보'!L1184&lt;=2.5,'선정 규칙'!$B$11,IF('제외 후보'!L1184&lt;=3,'선정 규칙'!$B$12,IF('제외 후보'!L1184&lt;=3.5,'선정 규칙'!$B$13,IF('제외 후보'!L1184&gt;=4.5,'선정 규칙'!$B$14,0)))))))</x:f>
        <x:v>12</x:v>
      </x:c>
      <x:c r="F1184" s="11" t="n">
        <x:f>IF('제외 후보'!Y1184=0,'선정 규칙'!$B$15,IF('제외 후보'!Y1184&gt;=100,'선정 규칙'!$B$16,'선정 규칙'!$B$17))</x:f>
        <x:v>-25</x:v>
      </x:c>
      <x:c r="G1184" s="11" t="n">
        <x:f>IF('제외 후보'!M1184="있음",'선정 규칙'!$B$18,'선정 규칙'!$B$19)</x:f>
        <x:v>6</x:v>
      </x:c>
      <x:c r="H1184" s="11" t="n">
        <x:f>IF(ISNUMBER(SEARCH("freq-core",'제외 후보'!AD1184)),'선정 규칙'!$B$20,0)</x:f>
        <x:v>0</x:v>
      </x:c>
      <x:c r="I1184" s="11" t="n">
        <x:f>IF(ISNUMBER(SEARCH("weak_legacy_content",'제외 후보'!P1184)),'선정 규칙'!$B$21,0)</x:f>
        <x:v>0</x:v>
      </x:c>
      <x:c r="J1184" s="11" t="n">
        <x:f>IF('제외 후보'!AC1184&lt;&gt;"",'선정 규칙'!$B$22,0)</x:f>
        <x:v>0</x:v>
      </x:c>
      <x:c r="K1184" s="11" t="n">
        <x:f>SUM(B1184:J1184)</x:f>
        <x:v>-7</x:v>
      </x:c>
      <x:c r="L1184" s="11" t="n">
        <x:f>'제외 후보'!N1184</x:f>
        <x:v>-7</x:v>
      </x:c>
      <x:c r="M1184" s="2" t="str">
        <x:f>IF(K1184=L1184,"OK","MISMATCH")</x:f>
        <x:v>OK</x:v>
      </x:c>
    </x:row>
    <x:row r="1185">
      <x:c r="A1185" s="2" t="str">
        <x:f>'제외 후보'!G1185</x:f>
        <x:v>w_0a2dbc5713663d21</x:v>
      </x:c>
      <x:c r="B1185" s="11" t="n">
        <x:f>IF('제외 후보'!Q1185&lt;&gt;"",'선정 규칙'!$B$4,0)</x:f>
        <x:v>0</x:v>
      </x:c>
      <x:c r="C1185" s="11" t="n">
        <x:f>IF(ISNUMBER(SEARCH("jmdict_uncommon_or_irregular",'제외 후보'!P1185)),'선정 규칙'!$B$5,IF(ISNUMBER(SEARCH("jmdict_rare_or_dated",'제외 후보'!P1185)),'선정 규칙'!$B$6,0))</x:f>
        <x:v>0</x:v>
      </x:c>
      <x:c r="D1185" s="11" t="n">
        <x:f>IF(ISNUMBER(SEARCH("jmdict_exact_pair_not_found",'제외 후보'!P1185)),'선정 규칙'!$B$7,0)</x:f>
        <x:v>0</x:v>
      </x:c>
      <x:c r="E1185" s="11" t="n">
        <x:f>IF(OR('제외 후보'!L1185="",'제외 후보'!L1185&lt;=0),'선정 규칙'!$B$8,IF('제외 후보'!L1185&lt;=1.5,'선정 규칙'!$B$9,IF('제외 후보'!L1185&lt;=2,'선정 규칙'!$B$10,IF('제외 후보'!L1185&lt;=2.5,'선정 규칙'!$B$11,IF('제외 후보'!L1185&lt;=3,'선정 규칙'!$B$12,IF('제외 후보'!L1185&lt;=3.5,'선정 규칙'!$B$13,IF('제외 후보'!L1185&gt;=4.5,'선정 규칙'!$B$14,0)))))))</x:f>
        <x:v>12</x:v>
      </x:c>
      <x:c r="F1185" s="11" t="n">
        <x:f>IF('제외 후보'!Y1185=0,'선정 규칙'!$B$15,IF('제외 후보'!Y1185&gt;=100,'선정 규칙'!$B$16,'선정 규칙'!$B$17))</x:f>
        <x:v>-25</x:v>
      </x:c>
      <x:c r="G1185" s="11" t="n">
        <x:f>IF('제외 후보'!M1185="있음",'선정 규칙'!$B$18,'선정 규칙'!$B$19)</x:f>
        <x:v>6</x:v>
      </x:c>
      <x:c r="H1185" s="11" t="n">
        <x:f>IF(ISNUMBER(SEARCH("freq-core",'제외 후보'!AD1185)),'선정 규칙'!$B$20,0)</x:f>
        <x:v>0</x:v>
      </x:c>
      <x:c r="I1185" s="11" t="n">
        <x:f>IF(ISNUMBER(SEARCH("weak_legacy_content",'제외 후보'!P1185)),'선정 규칙'!$B$21,0)</x:f>
        <x:v>0</x:v>
      </x:c>
      <x:c r="J1185" s="11" t="n">
        <x:f>IF('제외 후보'!AC1185&lt;&gt;"",'선정 규칙'!$B$22,0)</x:f>
        <x:v>0</x:v>
      </x:c>
      <x:c r="K1185" s="11" t="n">
        <x:f>SUM(B1185:J1185)</x:f>
        <x:v>-7</x:v>
      </x:c>
      <x:c r="L1185" s="11" t="n">
        <x:f>'제외 후보'!N1185</x:f>
        <x:v>-7</x:v>
      </x:c>
      <x:c r="M1185" s="2" t="str">
        <x:f>IF(K1185=L1185,"OK","MISMATCH")</x:f>
        <x:v>OK</x:v>
      </x:c>
    </x:row>
    <x:row r="1186">
      <x:c r="A1186" s="2" t="str">
        <x:f>'제외 후보'!G1186</x:f>
        <x:v>w_e44a8590c21dc06d</x:v>
      </x:c>
      <x:c r="B1186" s="11" t="n">
        <x:f>IF('제외 후보'!Q1186&lt;&gt;"",'선정 규칙'!$B$4,0)</x:f>
        <x:v>0</x:v>
      </x:c>
      <x:c r="C1186" s="11" t="n">
        <x:f>IF(ISNUMBER(SEARCH("jmdict_uncommon_or_irregular",'제외 후보'!P1186)),'선정 규칙'!$B$5,IF(ISNUMBER(SEARCH("jmdict_rare_or_dated",'제외 후보'!P1186)),'선정 규칙'!$B$6,0))</x:f>
        <x:v>0</x:v>
      </x:c>
      <x:c r="D1186" s="11" t="n">
        <x:f>IF(ISNUMBER(SEARCH("jmdict_exact_pair_not_found",'제외 후보'!P1186)),'선정 규칙'!$B$7,0)</x:f>
        <x:v>0</x:v>
      </x:c>
      <x:c r="E1186" s="11" t="n">
        <x:f>IF(OR('제외 후보'!L1186="",'제외 후보'!L1186&lt;=0),'선정 규칙'!$B$8,IF('제외 후보'!L1186&lt;=1.5,'선정 규칙'!$B$9,IF('제외 후보'!L1186&lt;=2,'선정 규칙'!$B$10,IF('제외 후보'!L1186&lt;=2.5,'선정 규칙'!$B$11,IF('제외 후보'!L1186&lt;=3,'선정 규칙'!$B$12,IF('제외 후보'!L1186&lt;=3.5,'선정 규칙'!$B$13,IF('제외 후보'!L1186&gt;=4.5,'선정 규칙'!$B$14,0)))))))</x:f>
        <x:v>12</x:v>
      </x:c>
      <x:c r="F1186" s="11" t="n">
        <x:f>IF('제외 후보'!Y1186=0,'선정 규칙'!$B$15,IF('제외 후보'!Y1186&gt;=100,'선정 규칙'!$B$16,'선정 규칙'!$B$17))</x:f>
        <x:v>-25</x:v>
      </x:c>
      <x:c r="G1186" s="11" t="n">
        <x:f>IF('제외 후보'!M1186="있음",'선정 규칙'!$B$18,'선정 규칙'!$B$19)</x:f>
        <x:v>6</x:v>
      </x:c>
      <x:c r="H1186" s="11" t="n">
        <x:f>IF(ISNUMBER(SEARCH("freq-core",'제외 후보'!AD1186)),'선정 규칙'!$B$20,0)</x:f>
        <x:v>0</x:v>
      </x:c>
      <x:c r="I1186" s="11" t="n">
        <x:f>IF(ISNUMBER(SEARCH("weak_legacy_content",'제외 후보'!P1186)),'선정 규칙'!$B$21,0)</x:f>
        <x:v>0</x:v>
      </x:c>
      <x:c r="J1186" s="11" t="n">
        <x:f>IF('제외 후보'!AC1186&lt;&gt;"",'선정 규칙'!$B$22,0)</x:f>
        <x:v>0</x:v>
      </x:c>
      <x:c r="K1186" s="11" t="n">
        <x:f>SUM(B1186:J1186)</x:f>
        <x:v>-7</x:v>
      </x:c>
      <x:c r="L1186" s="11" t="n">
        <x:f>'제외 후보'!N1186</x:f>
        <x:v>-7</x:v>
      </x:c>
      <x:c r="M1186" s="2" t="str">
        <x:f>IF(K1186=L1186,"OK","MISMATCH")</x:f>
        <x:v>OK</x:v>
      </x:c>
    </x:row>
    <x:row r="1187">
      <x:c r="A1187" s="2" t="str">
        <x:f>'제외 후보'!G1187</x:f>
        <x:v>w_c453e759b4056a60</x:v>
      </x:c>
      <x:c r="B1187" s="11" t="n">
        <x:f>IF('제외 후보'!Q1187&lt;&gt;"",'선정 규칙'!$B$4,0)</x:f>
        <x:v>0</x:v>
      </x:c>
      <x:c r="C1187" s="11" t="n">
        <x:f>IF(ISNUMBER(SEARCH("jmdict_uncommon_or_irregular",'제외 후보'!P1187)),'선정 규칙'!$B$5,IF(ISNUMBER(SEARCH("jmdict_rare_or_dated",'제외 후보'!P1187)),'선정 규칙'!$B$6,0))</x:f>
        <x:v>0</x:v>
      </x:c>
      <x:c r="D1187" s="11" t="n">
        <x:f>IF(ISNUMBER(SEARCH("jmdict_exact_pair_not_found",'제외 후보'!P1187)),'선정 규칙'!$B$7,0)</x:f>
        <x:v>0</x:v>
      </x:c>
      <x:c r="E1187" s="11" t="n">
        <x:f>IF(OR('제외 후보'!L1187="",'제외 후보'!L1187&lt;=0),'선정 규칙'!$B$8,IF('제외 후보'!L1187&lt;=1.5,'선정 규칙'!$B$9,IF('제외 후보'!L1187&lt;=2,'선정 규칙'!$B$10,IF('제외 후보'!L1187&lt;=2.5,'선정 규칙'!$B$11,IF('제외 후보'!L1187&lt;=3,'선정 규칙'!$B$12,IF('제외 후보'!L1187&lt;=3.5,'선정 규칙'!$B$13,IF('제외 후보'!L1187&gt;=4.5,'선정 규칙'!$B$14,0)))))))</x:f>
        <x:v>12</x:v>
      </x:c>
      <x:c r="F1187" s="11" t="n">
        <x:f>IF('제외 후보'!Y1187=0,'선정 규칙'!$B$15,IF('제외 후보'!Y1187&gt;=100,'선정 규칙'!$B$16,'선정 규칙'!$B$17))</x:f>
        <x:v>-25</x:v>
      </x:c>
      <x:c r="G1187" s="11" t="n">
        <x:f>IF('제외 후보'!M1187="있음",'선정 규칙'!$B$18,'선정 규칙'!$B$19)</x:f>
        <x:v>6</x:v>
      </x:c>
      <x:c r="H1187" s="11" t="n">
        <x:f>IF(ISNUMBER(SEARCH("freq-core",'제외 후보'!AD1187)),'선정 규칙'!$B$20,0)</x:f>
        <x:v>0</x:v>
      </x:c>
      <x:c r="I1187" s="11" t="n">
        <x:f>IF(ISNUMBER(SEARCH("weak_legacy_content",'제외 후보'!P1187)),'선정 규칙'!$B$21,0)</x:f>
        <x:v>0</x:v>
      </x:c>
      <x:c r="J1187" s="11" t="n">
        <x:f>IF('제외 후보'!AC1187&lt;&gt;"",'선정 규칙'!$B$22,0)</x:f>
        <x:v>0</x:v>
      </x:c>
      <x:c r="K1187" s="11" t="n">
        <x:f>SUM(B1187:J1187)</x:f>
        <x:v>-7</x:v>
      </x:c>
      <x:c r="L1187" s="11" t="n">
        <x:f>'제외 후보'!N1187</x:f>
        <x:v>-7</x:v>
      </x:c>
      <x:c r="M1187" s="2" t="str">
        <x:f>IF(K1187=L1187,"OK","MISMATCH")</x:f>
        <x:v>OK</x:v>
      </x:c>
    </x:row>
    <x:row r="1188">
      <x:c r="A1188" s="2" t="str">
        <x:f>'제외 후보'!G1188</x:f>
        <x:v>w_8066bc7c46e1fbb1</x:v>
      </x:c>
      <x:c r="B1188" s="11" t="n">
        <x:f>IF('제외 후보'!Q1188&lt;&gt;"",'선정 규칙'!$B$4,0)</x:f>
        <x:v>0</x:v>
      </x:c>
      <x:c r="C1188" s="11" t="n">
        <x:f>IF(ISNUMBER(SEARCH("jmdict_uncommon_or_irregular",'제외 후보'!P1188)),'선정 규칙'!$B$5,IF(ISNUMBER(SEARCH("jmdict_rare_or_dated",'제외 후보'!P1188)),'선정 규칙'!$B$6,0))</x:f>
        <x:v>0</x:v>
      </x:c>
      <x:c r="D1188" s="11" t="n">
        <x:f>IF(ISNUMBER(SEARCH("jmdict_exact_pair_not_found",'제외 후보'!P1188)),'선정 규칙'!$B$7,0)</x:f>
        <x:v>0</x:v>
      </x:c>
      <x:c r="E1188" s="11" t="n">
        <x:f>IF(OR('제외 후보'!L1188="",'제외 후보'!L1188&lt;=0),'선정 규칙'!$B$8,IF('제외 후보'!L1188&lt;=1.5,'선정 규칙'!$B$9,IF('제외 후보'!L1188&lt;=2,'선정 규칙'!$B$10,IF('제외 후보'!L1188&lt;=2.5,'선정 규칙'!$B$11,IF('제외 후보'!L1188&lt;=3,'선정 규칙'!$B$12,IF('제외 후보'!L1188&lt;=3.5,'선정 규칙'!$B$13,IF('제외 후보'!L1188&gt;=4.5,'선정 규칙'!$B$14,0)))))))</x:f>
        <x:v>12</x:v>
      </x:c>
      <x:c r="F1188" s="11" t="n">
        <x:f>IF('제외 후보'!Y1188=0,'선정 규칙'!$B$15,IF('제외 후보'!Y1188&gt;=100,'선정 규칙'!$B$16,'선정 규칙'!$B$17))</x:f>
        <x:v>-25</x:v>
      </x:c>
      <x:c r="G1188" s="11" t="n">
        <x:f>IF('제외 후보'!M1188="있음",'선정 규칙'!$B$18,'선정 규칙'!$B$19)</x:f>
        <x:v>6</x:v>
      </x:c>
      <x:c r="H1188" s="11" t="n">
        <x:f>IF(ISNUMBER(SEARCH("freq-core",'제외 후보'!AD1188)),'선정 규칙'!$B$20,0)</x:f>
        <x:v>0</x:v>
      </x:c>
      <x:c r="I1188" s="11" t="n">
        <x:f>IF(ISNUMBER(SEARCH("weak_legacy_content",'제외 후보'!P1188)),'선정 규칙'!$B$21,0)</x:f>
        <x:v>0</x:v>
      </x:c>
      <x:c r="J1188" s="11" t="n">
        <x:f>IF('제외 후보'!AC1188&lt;&gt;"",'선정 규칙'!$B$22,0)</x:f>
        <x:v>0</x:v>
      </x:c>
      <x:c r="K1188" s="11" t="n">
        <x:f>SUM(B1188:J1188)</x:f>
        <x:v>-7</x:v>
      </x:c>
      <x:c r="L1188" s="11" t="n">
        <x:f>'제외 후보'!N1188</x:f>
        <x:v>-7</x:v>
      </x:c>
      <x:c r="M1188" s="2" t="str">
        <x:f>IF(K1188=L1188,"OK","MISMATCH")</x:f>
        <x:v>OK</x:v>
      </x:c>
    </x:row>
    <x:row r="1189">
      <x:c r="A1189" s="2" t="str">
        <x:f>'제외 후보'!G1189</x:f>
        <x:v>w_da4147b96383b767</x:v>
      </x:c>
      <x:c r="B1189" s="11" t="n">
        <x:f>IF('제외 후보'!Q1189&lt;&gt;"",'선정 규칙'!$B$4,0)</x:f>
        <x:v>0</x:v>
      </x:c>
      <x:c r="C1189" s="11" t="n">
        <x:f>IF(ISNUMBER(SEARCH("jmdict_uncommon_or_irregular",'제외 후보'!P1189)),'선정 규칙'!$B$5,IF(ISNUMBER(SEARCH("jmdict_rare_or_dated",'제외 후보'!P1189)),'선정 규칙'!$B$6,0))</x:f>
        <x:v>0</x:v>
      </x:c>
      <x:c r="D1189" s="11" t="n">
        <x:f>IF(ISNUMBER(SEARCH("jmdict_exact_pair_not_found",'제외 후보'!P1189)),'선정 규칙'!$B$7,0)</x:f>
        <x:v>0</x:v>
      </x:c>
      <x:c r="E1189" s="11" t="n">
        <x:f>IF(OR('제외 후보'!L1189="",'제외 후보'!L1189&lt;=0),'선정 규칙'!$B$8,IF('제외 후보'!L1189&lt;=1.5,'선정 규칙'!$B$9,IF('제외 후보'!L1189&lt;=2,'선정 규칙'!$B$10,IF('제외 후보'!L1189&lt;=2.5,'선정 규칙'!$B$11,IF('제외 후보'!L1189&lt;=3,'선정 규칙'!$B$12,IF('제외 후보'!L1189&lt;=3.5,'선정 규칙'!$B$13,IF('제외 후보'!L1189&gt;=4.5,'선정 규칙'!$B$14,0)))))))</x:f>
        <x:v>12</x:v>
      </x:c>
      <x:c r="F1189" s="11" t="n">
        <x:f>IF('제외 후보'!Y1189=0,'선정 규칙'!$B$15,IF('제외 후보'!Y1189&gt;=100,'선정 규칙'!$B$16,'선정 규칙'!$B$17))</x:f>
        <x:v>-25</x:v>
      </x:c>
      <x:c r="G1189" s="11" t="n">
        <x:f>IF('제외 후보'!M1189="있음",'선정 규칙'!$B$18,'선정 규칙'!$B$19)</x:f>
        <x:v>6</x:v>
      </x:c>
      <x:c r="H1189" s="11" t="n">
        <x:f>IF(ISNUMBER(SEARCH("freq-core",'제외 후보'!AD1189)),'선정 규칙'!$B$20,0)</x:f>
        <x:v>0</x:v>
      </x:c>
      <x:c r="I1189" s="11" t="n">
        <x:f>IF(ISNUMBER(SEARCH("weak_legacy_content",'제외 후보'!P1189)),'선정 규칙'!$B$21,0)</x:f>
        <x:v>0</x:v>
      </x:c>
      <x:c r="J1189" s="11" t="n">
        <x:f>IF('제외 후보'!AC1189&lt;&gt;"",'선정 규칙'!$B$22,0)</x:f>
        <x:v>0</x:v>
      </x:c>
      <x:c r="K1189" s="11" t="n">
        <x:f>SUM(B1189:J1189)</x:f>
        <x:v>-7</x:v>
      </x:c>
      <x:c r="L1189" s="11" t="n">
        <x:f>'제외 후보'!N1189</x:f>
        <x:v>-7</x:v>
      </x:c>
      <x:c r="M1189" s="2" t="str">
        <x:f>IF(K1189=L1189,"OK","MISMATCH")</x:f>
        <x:v>OK</x:v>
      </x:c>
    </x:row>
    <x:row r="1190">
      <x:c r="A1190" s="2" t="str">
        <x:f>'제외 후보'!G1190</x:f>
        <x:v>w_7693c24a3ae3f600</x:v>
      </x:c>
      <x:c r="B1190" s="11" t="n">
        <x:f>IF('제외 후보'!Q1190&lt;&gt;"",'선정 규칙'!$B$4,0)</x:f>
        <x:v>0</x:v>
      </x:c>
      <x:c r="C1190" s="11" t="n">
        <x:f>IF(ISNUMBER(SEARCH("jmdict_uncommon_or_irregular",'제외 후보'!P1190)),'선정 규칙'!$B$5,IF(ISNUMBER(SEARCH("jmdict_rare_or_dated",'제외 후보'!P1190)),'선정 규칙'!$B$6,0))</x:f>
        <x:v>0</x:v>
      </x:c>
      <x:c r="D1190" s="11" t="n">
        <x:f>IF(ISNUMBER(SEARCH("jmdict_exact_pair_not_found",'제외 후보'!P1190)),'선정 규칙'!$B$7,0)</x:f>
        <x:v>0</x:v>
      </x:c>
      <x:c r="E1190" s="11" t="n">
        <x:f>IF(OR('제외 후보'!L1190="",'제외 후보'!L1190&lt;=0),'선정 규칙'!$B$8,IF('제외 후보'!L1190&lt;=1.5,'선정 규칙'!$B$9,IF('제외 후보'!L1190&lt;=2,'선정 규칙'!$B$10,IF('제외 후보'!L1190&lt;=2.5,'선정 규칙'!$B$11,IF('제외 후보'!L1190&lt;=3,'선정 규칙'!$B$12,IF('제외 후보'!L1190&lt;=3.5,'선정 규칙'!$B$13,IF('제외 후보'!L1190&gt;=4.5,'선정 규칙'!$B$14,0)))))))</x:f>
        <x:v>12</x:v>
      </x:c>
      <x:c r="F1190" s="11" t="n">
        <x:f>IF('제외 후보'!Y1190=0,'선정 규칙'!$B$15,IF('제외 후보'!Y1190&gt;=100,'선정 규칙'!$B$16,'선정 규칙'!$B$17))</x:f>
        <x:v>-25</x:v>
      </x:c>
      <x:c r="G1190" s="11" t="n">
        <x:f>IF('제외 후보'!M1190="있음",'선정 규칙'!$B$18,'선정 규칙'!$B$19)</x:f>
        <x:v>6</x:v>
      </x:c>
      <x:c r="H1190" s="11" t="n">
        <x:f>IF(ISNUMBER(SEARCH("freq-core",'제외 후보'!AD1190)),'선정 규칙'!$B$20,0)</x:f>
        <x:v>0</x:v>
      </x:c>
      <x:c r="I1190" s="11" t="n">
        <x:f>IF(ISNUMBER(SEARCH("weak_legacy_content",'제외 후보'!P1190)),'선정 규칙'!$B$21,0)</x:f>
        <x:v>0</x:v>
      </x:c>
      <x:c r="J1190" s="11" t="n">
        <x:f>IF('제외 후보'!AC1190&lt;&gt;"",'선정 규칙'!$B$22,0)</x:f>
        <x:v>0</x:v>
      </x:c>
      <x:c r="K1190" s="11" t="n">
        <x:f>SUM(B1190:J1190)</x:f>
        <x:v>-7</x:v>
      </x:c>
      <x:c r="L1190" s="11" t="n">
        <x:f>'제외 후보'!N1190</x:f>
        <x:v>-7</x:v>
      </x:c>
      <x:c r="M1190" s="2" t="str">
        <x:f>IF(K1190=L1190,"OK","MISMATCH")</x:f>
        <x:v>OK</x:v>
      </x:c>
    </x:row>
    <x:row r="1191">
      <x:c r="A1191" s="2" t="str">
        <x:f>'제외 후보'!G1191</x:f>
        <x:v>w_78527b9c49a89cb7</x:v>
      </x:c>
      <x:c r="B1191" s="11" t="n">
        <x:f>IF('제외 후보'!Q1191&lt;&gt;"",'선정 규칙'!$B$4,0)</x:f>
        <x:v>0</x:v>
      </x:c>
      <x:c r="C1191" s="11" t="n">
        <x:f>IF(ISNUMBER(SEARCH("jmdict_uncommon_or_irregular",'제외 후보'!P1191)),'선정 규칙'!$B$5,IF(ISNUMBER(SEARCH("jmdict_rare_or_dated",'제외 후보'!P1191)),'선정 규칙'!$B$6,0))</x:f>
        <x:v>0</x:v>
      </x:c>
      <x:c r="D1191" s="11" t="n">
        <x:f>IF(ISNUMBER(SEARCH("jmdict_exact_pair_not_found",'제외 후보'!P1191)),'선정 규칙'!$B$7,0)</x:f>
        <x:v>0</x:v>
      </x:c>
      <x:c r="E1191" s="11" t="n">
        <x:f>IF(OR('제외 후보'!L1191="",'제외 후보'!L1191&lt;=0),'선정 규칙'!$B$8,IF('제외 후보'!L1191&lt;=1.5,'선정 규칙'!$B$9,IF('제외 후보'!L1191&lt;=2,'선정 규칙'!$B$10,IF('제외 후보'!L1191&lt;=2.5,'선정 규칙'!$B$11,IF('제외 후보'!L1191&lt;=3,'선정 규칙'!$B$12,IF('제외 후보'!L1191&lt;=3.5,'선정 규칙'!$B$13,IF('제외 후보'!L1191&gt;=4.5,'선정 규칙'!$B$14,0)))))))</x:f>
        <x:v>12</x:v>
      </x:c>
      <x:c r="F1191" s="11" t="n">
        <x:f>IF('제외 후보'!Y1191=0,'선정 규칙'!$B$15,IF('제외 후보'!Y1191&gt;=100,'선정 규칙'!$B$16,'선정 규칙'!$B$17))</x:f>
        <x:v>-25</x:v>
      </x:c>
      <x:c r="G1191" s="11" t="n">
        <x:f>IF('제외 후보'!M1191="있음",'선정 규칙'!$B$18,'선정 규칙'!$B$19)</x:f>
        <x:v>6</x:v>
      </x:c>
      <x:c r="H1191" s="11" t="n">
        <x:f>IF(ISNUMBER(SEARCH("freq-core",'제외 후보'!AD1191)),'선정 규칙'!$B$20,0)</x:f>
        <x:v>0</x:v>
      </x:c>
      <x:c r="I1191" s="11" t="n">
        <x:f>IF(ISNUMBER(SEARCH("weak_legacy_content",'제외 후보'!P1191)),'선정 규칙'!$B$21,0)</x:f>
        <x:v>0</x:v>
      </x:c>
      <x:c r="J1191" s="11" t="n">
        <x:f>IF('제외 후보'!AC1191&lt;&gt;"",'선정 규칙'!$B$22,0)</x:f>
        <x:v>0</x:v>
      </x:c>
      <x:c r="K1191" s="11" t="n">
        <x:f>SUM(B1191:J1191)</x:f>
        <x:v>-7</x:v>
      </x:c>
      <x:c r="L1191" s="11" t="n">
        <x:f>'제외 후보'!N1191</x:f>
        <x:v>-7</x:v>
      </x:c>
      <x:c r="M1191" s="2" t="str">
        <x:f>IF(K1191=L1191,"OK","MISMATCH")</x:f>
        <x:v>OK</x:v>
      </x:c>
    </x:row>
    <x:row r="1192">
      <x:c r="A1192" s="2" t="str">
        <x:f>'제외 후보'!G1192</x:f>
        <x:v>w_11d04976f3550bcb</x:v>
      </x:c>
      <x:c r="B1192" s="11" t="n">
        <x:f>IF('제외 후보'!Q1192&lt;&gt;"",'선정 규칙'!$B$4,0)</x:f>
        <x:v>0</x:v>
      </x:c>
      <x:c r="C1192" s="11" t="n">
        <x:f>IF(ISNUMBER(SEARCH("jmdict_uncommon_or_irregular",'제외 후보'!P1192)),'선정 규칙'!$B$5,IF(ISNUMBER(SEARCH("jmdict_rare_or_dated",'제외 후보'!P1192)),'선정 규칙'!$B$6,0))</x:f>
        <x:v>0</x:v>
      </x:c>
      <x:c r="D1192" s="11" t="n">
        <x:f>IF(ISNUMBER(SEARCH("jmdict_exact_pair_not_found",'제외 후보'!P1192)),'선정 규칙'!$B$7,0)</x:f>
        <x:v>0</x:v>
      </x:c>
      <x:c r="E1192" s="11" t="n">
        <x:f>IF(OR('제외 후보'!L1192="",'제외 후보'!L1192&lt;=0),'선정 규칙'!$B$8,IF('제외 후보'!L1192&lt;=1.5,'선정 규칙'!$B$9,IF('제외 후보'!L1192&lt;=2,'선정 규칙'!$B$10,IF('제외 후보'!L1192&lt;=2.5,'선정 규칙'!$B$11,IF('제외 후보'!L1192&lt;=3,'선정 규칙'!$B$12,IF('제외 후보'!L1192&lt;=3.5,'선정 규칙'!$B$13,IF('제외 후보'!L1192&gt;=4.5,'선정 규칙'!$B$14,0)))))))</x:f>
        <x:v>12</x:v>
      </x:c>
      <x:c r="F1192" s="11" t="n">
        <x:f>IF('제외 후보'!Y1192=0,'선정 규칙'!$B$15,IF('제외 후보'!Y1192&gt;=100,'선정 규칙'!$B$16,'선정 규칙'!$B$17))</x:f>
        <x:v>-25</x:v>
      </x:c>
      <x:c r="G1192" s="11" t="n">
        <x:f>IF('제외 후보'!M1192="있음",'선정 규칙'!$B$18,'선정 규칙'!$B$19)</x:f>
        <x:v>6</x:v>
      </x:c>
      <x:c r="H1192" s="11" t="n">
        <x:f>IF(ISNUMBER(SEARCH("freq-core",'제외 후보'!AD1192)),'선정 규칙'!$B$20,0)</x:f>
        <x:v>0</x:v>
      </x:c>
      <x:c r="I1192" s="11" t="n">
        <x:f>IF(ISNUMBER(SEARCH("weak_legacy_content",'제외 후보'!P1192)),'선정 규칙'!$B$21,0)</x:f>
        <x:v>0</x:v>
      </x:c>
      <x:c r="J1192" s="11" t="n">
        <x:f>IF('제외 후보'!AC1192&lt;&gt;"",'선정 규칙'!$B$22,0)</x:f>
        <x:v>0</x:v>
      </x:c>
      <x:c r="K1192" s="11" t="n">
        <x:f>SUM(B1192:J1192)</x:f>
        <x:v>-7</x:v>
      </x:c>
      <x:c r="L1192" s="11" t="n">
        <x:f>'제외 후보'!N1192</x:f>
        <x:v>-7</x:v>
      </x:c>
      <x:c r="M1192" s="2" t="str">
        <x:f>IF(K1192=L1192,"OK","MISMATCH")</x:f>
        <x:v>OK</x:v>
      </x:c>
    </x:row>
    <x:row r="1193">
      <x:c r="A1193" s="2" t="str">
        <x:f>'제외 후보'!G1193</x:f>
        <x:v>w_59a3b2aab617c972</x:v>
      </x:c>
      <x:c r="B1193" s="11" t="n">
        <x:f>IF('제외 후보'!Q1193&lt;&gt;"",'선정 규칙'!$B$4,0)</x:f>
        <x:v>0</x:v>
      </x:c>
      <x:c r="C1193" s="11" t="n">
        <x:f>IF(ISNUMBER(SEARCH("jmdict_uncommon_or_irregular",'제외 후보'!P1193)),'선정 규칙'!$B$5,IF(ISNUMBER(SEARCH("jmdict_rare_or_dated",'제외 후보'!P1193)),'선정 규칙'!$B$6,0))</x:f>
        <x:v>0</x:v>
      </x:c>
      <x:c r="D1193" s="11" t="n">
        <x:f>IF(ISNUMBER(SEARCH("jmdict_exact_pair_not_found",'제외 후보'!P1193)),'선정 규칙'!$B$7,0)</x:f>
        <x:v>0</x:v>
      </x:c>
      <x:c r="E1193" s="11" t="n">
        <x:f>IF(OR('제외 후보'!L1193="",'제외 후보'!L1193&lt;=0),'선정 규칙'!$B$8,IF('제외 후보'!L1193&lt;=1.5,'선정 규칙'!$B$9,IF('제외 후보'!L1193&lt;=2,'선정 규칙'!$B$10,IF('제외 후보'!L1193&lt;=2.5,'선정 규칙'!$B$11,IF('제외 후보'!L1193&lt;=3,'선정 규칙'!$B$12,IF('제외 후보'!L1193&lt;=3.5,'선정 규칙'!$B$13,IF('제외 후보'!L1193&gt;=4.5,'선정 규칙'!$B$14,0)))))))</x:f>
        <x:v>12</x:v>
      </x:c>
      <x:c r="F1193" s="11" t="n">
        <x:f>IF('제외 후보'!Y1193=0,'선정 규칙'!$B$15,IF('제외 후보'!Y1193&gt;=100,'선정 규칙'!$B$16,'선정 규칙'!$B$17))</x:f>
        <x:v>-25</x:v>
      </x:c>
      <x:c r="G1193" s="11" t="n">
        <x:f>IF('제외 후보'!M1193="있음",'선정 규칙'!$B$18,'선정 규칙'!$B$19)</x:f>
        <x:v>6</x:v>
      </x:c>
      <x:c r="H1193" s="11" t="n">
        <x:f>IF(ISNUMBER(SEARCH("freq-core",'제외 후보'!AD1193)),'선정 규칙'!$B$20,0)</x:f>
        <x:v>0</x:v>
      </x:c>
      <x:c r="I1193" s="11" t="n">
        <x:f>IF(ISNUMBER(SEARCH("weak_legacy_content",'제외 후보'!P1193)),'선정 규칙'!$B$21,0)</x:f>
        <x:v>0</x:v>
      </x:c>
      <x:c r="J1193" s="11" t="n">
        <x:f>IF('제외 후보'!AC1193&lt;&gt;"",'선정 규칙'!$B$22,0)</x:f>
        <x:v>0</x:v>
      </x:c>
      <x:c r="K1193" s="11" t="n">
        <x:f>SUM(B1193:J1193)</x:f>
        <x:v>-7</x:v>
      </x:c>
      <x:c r="L1193" s="11" t="n">
        <x:f>'제외 후보'!N1193</x:f>
        <x:v>-7</x:v>
      </x:c>
      <x:c r="M1193" s="2" t="str">
        <x:f>IF(K1193=L1193,"OK","MISMATCH")</x:f>
        <x:v>OK</x:v>
      </x:c>
    </x:row>
    <x:row r="1194">
      <x:c r="A1194" s="2" t="str">
        <x:f>'제외 후보'!G1194</x:f>
        <x:v>w_abc1312fd0f77a2b</x:v>
      </x:c>
      <x:c r="B1194" s="11" t="n">
        <x:f>IF('제외 후보'!Q1194&lt;&gt;"",'선정 규칙'!$B$4,0)</x:f>
        <x:v>0</x:v>
      </x:c>
      <x:c r="C1194" s="11" t="n">
        <x:f>IF(ISNUMBER(SEARCH("jmdict_uncommon_or_irregular",'제외 후보'!P1194)),'선정 규칙'!$B$5,IF(ISNUMBER(SEARCH("jmdict_rare_or_dated",'제외 후보'!P1194)),'선정 규칙'!$B$6,0))</x:f>
        <x:v>0</x:v>
      </x:c>
      <x:c r="D1194" s="11" t="n">
        <x:f>IF(ISNUMBER(SEARCH("jmdict_exact_pair_not_found",'제외 후보'!P1194)),'선정 규칙'!$B$7,0)</x:f>
        <x:v>0</x:v>
      </x:c>
      <x:c r="E1194" s="11" t="n">
        <x:f>IF(OR('제외 후보'!L1194="",'제외 후보'!L1194&lt;=0),'선정 규칙'!$B$8,IF('제외 후보'!L1194&lt;=1.5,'선정 규칙'!$B$9,IF('제외 후보'!L1194&lt;=2,'선정 규칙'!$B$10,IF('제외 후보'!L1194&lt;=2.5,'선정 규칙'!$B$11,IF('제외 후보'!L1194&lt;=3,'선정 규칙'!$B$12,IF('제외 후보'!L1194&lt;=3.5,'선정 규칙'!$B$13,IF('제외 후보'!L1194&gt;=4.5,'선정 규칙'!$B$14,0)))))))</x:f>
        <x:v>12</x:v>
      </x:c>
      <x:c r="F1194" s="11" t="n">
        <x:f>IF('제외 후보'!Y1194=0,'선정 규칙'!$B$15,IF('제외 후보'!Y1194&gt;=100,'선정 규칙'!$B$16,'선정 규칙'!$B$17))</x:f>
        <x:v>-25</x:v>
      </x:c>
      <x:c r="G1194" s="11" t="n">
        <x:f>IF('제외 후보'!M1194="있음",'선정 규칙'!$B$18,'선정 규칙'!$B$19)</x:f>
        <x:v>6</x:v>
      </x:c>
      <x:c r="H1194" s="11" t="n">
        <x:f>IF(ISNUMBER(SEARCH("freq-core",'제외 후보'!AD1194)),'선정 규칙'!$B$20,0)</x:f>
        <x:v>0</x:v>
      </x:c>
      <x:c r="I1194" s="11" t="n">
        <x:f>IF(ISNUMBER(SEARCH("weak_legacy_content",'제외 후보'!P1194)),'선정 규칙'!$B$21,0)</x:f>
        <x:v>0</x:v>
      </x:c>
      <x:c r="J1194" s="11" t="n">
        <x:f>IF('제외 후보'!AC1194&lt;&gt;"",'선정 규칙'!$B$22,0)</x:f>
        <x:v>0</x:v>
      </x:c>
      <x:c r="K1194" s="11" t="n">
        <x:f>SUM(B1194:J1194)</x:f>
        <x:v>-7</x:v>
      </x:c>
      <x:c r="L1194" s="11" t="n">
        <x:f>'제외 후보'!N1194</x:f>
        <x:v>-7</x:v>
      </x:c>
      <x:c r="M1194" s="2" t="str">
        <x:f>IF(K1194=L1194,"OK","MISMATCH")</x:f>
        <x:v>OK</x:v>
      </x:c>
    </x:row>
    <x:row r="1195">
      <x:c r="A1195" s="2" t="str">
        <x:f>'제외 후보'!G1195</x:f>
        <x:v>w_cc99714ece4e3402</x:v>
      </x:c>
      <x:c r="B1195" s="11" t="n">
        <x:f>IF('제외 후보'!Q1195&lt;&gt;"",'선정 규칙'!$B$4,0)</x:f>
        <x:v>0</x:v>
      </x:c>
      <x:c r="C1195" s="11" t="n">
        <x:f>IF(ISNUMBER(SEARCH("jmdict_uncommon_or_irregular",'제외 후보'!P1195)),'선정 규칙'!$B$5,IF(ISNUMBER(SEARCH("jmdict_rare_or_dated",'제외 후보'!P1195)),'선정 규칙'!$B$6,0))</x:f>
        <x:v>0</x:v>
      </x:c>
      <x:c r="D1195" s="11" t="n">
        <x:f>IF(ISNUMBER(SEARCH("jmdict_exact_pair_not_found",'제외 후보'!P1195)),'선정 규칙'!$B$7,0)</x:f>
        <x:v>0</x:v>
      </x:c>
      <x:c r="E1195" s="11" t="n">
        <x:f>IF(OR('제외 후보'!L1195="",'제외 후보'!L1195&lt;=0),'선정 규칙'!$B$8,IF('제외 후보'!L1195&lt;=1.5,'선정 규칙'!$B$9,IF('제외 후보'!L1195&lt;=2,'선정 규칙'!$B$10,IF('제외 후보'!L1195&lt;=2.5,'선정 규칙'!$B$11,IF('제외 후보'!L1195&lt;=3,'선정 규칙'!$B$12,IF('제외 후보'!L1195&lt;=3.5,'선정 규칙'!$B$13,IF('제외 후보'!L1195&gt;=4.5,'선정 규칙'!$B$14,0)))))))</x:f>
        <x:v>12</x:v>
      </x:c>
      <x:c r="F1195" s="11" t="n">
        <x:f>IF('제외 후보'!Y1195=0,'선정 규칙'!$B$15,IF('제외 후보'!Y1195&gt;=100,'선정 규칙'!$B$16,'선정 규칙'!$B$17))</x:f>
        <x:v>-25</x:v>
      </x:c>
      <x:c r="G1195" s="11" t="n">
        <x:f>IF('제외 후보'!M1195="있음",'선정 규칙'!$B$18,'선정 규칙'!$B$19)</x:f>
        <x:v>6</x:v>
      </x:c>
      <x:c r="H1195" s="11" t="n">
        <x:f>IF(ISNUMBER(SEARCH("freq-core",'제외 후보'!AD1195)),'선정 규칙'!$B$20,0)</x:f>
        <x:v>0</x:v>
      </x:c>
      <x:c r="I1195" s="11" t="n">
        <x:f>IF(ISNUMBER(SEARCH("weak_legacy_content",'제외 후보'!P1195)),'선정 규칙'!$B$21,0)</x:f>
        <x:v>0</x:v>
      </x:c>
      <x:c r="J1195" s="11" t="n">
        <x:f>IF('제외 후보'!AC1195&lt;&gt;"",'선정 규칙'!$B$22,0)</x:f>
        <x:v>0</x:v>
      </x:c>
      <x:c r="K1195" s="11" t="n">
        <x:f>SUM(B1195:J1195)</x:f>
        <x:v>-7</x:v>
      </x:c>
      <x:c r="L1195" s="11" t="n">
        <x:f>'제외 후보'!N1195</x:f>
        <x:v>-7</x:v>
      </x:c>
      <x:c r="M1195" s="2" t="str">
        <x:f>IF(K1195=L1195,"OK","MISMATCH")</x:f>
        <x:v>OK</x:v>
      </x:c>
    </x:row>
    <x:row r="1196">
      <x:c r="A1196" s="2" t="str">
        <x:f>'제외 후보'!G1196</x:f>
        <x:v>w_8e980f9ef22d1661</x:v>
      </x:c>
      <x:c r="B1196" s="11" t="n">
        <x:f>IF('제외 후보'!Q1196&lt;&gt;"",'선정 규칙'!$B$4,0)</x:f>
        <x:v>0</x:v>
      </x:c>
      <x:c r="C1196" s="11" t="n">
        <x:f>IF(ISNUMBER(SEARCH("jmdict_uncommon_or_irregular",'제외 후보'!P1196)),'선정 규칙'!$B$5,IF(ISNUMBER(SEARCH("jmdict_rare_or_dated",'제외 후보'!P1196)),'선정 규칙'!$B$6,0))</x:f>
        <x:v>0</x:v>
      </x:c>
      <x:c r="D1196" s="11" t="n">
        <x:f>IF(ISNUMBER(SEARCH("jmdict_exact_pair_not_found",'제외 후보'!P1196)),'선정 규칙'!$B$7,0)</x:f>
        <x:v>0</x:v>
      </x:c>
      <x:c r="E1196" s="11" t="n">
        <x:f>IF(OR('제외 후보'!L1196="",'제외 후보'!L1196&lt;=0),'선정 규칙'!$B$8,IF('제외 후보'!L1196&lt;=1.5,'선정 규칙'!$B$9,IF('제외 후보'!L1196&lt;=2,'선정 규칙'!$B$10,IF('제외 후보'!L1196&lt;=2.5,'선정 규칙'!$B$11,IF('제외 후보'!L1196&lt;=3,'선정 규칙'!$B$12,IF('제외 후보'!L1196&lt;=3.5,'선정 규칙'!$B$13,IF('제외 후보'!L1196&gt;=4.5,'선정 규칙'!$B$14,0)))))))</x:f>
        <x:v>12</x:v>
      </x:c>
      <x:c r="F1196" s="11" t="n">
        <x:f>IF('제외 후보'!Y1196=0,'선정 규칙'!$B$15,IF('제외 후보'!Y1196&gt;=100,'선정 규칙'!$B$16,'선정 규칙'!$B$17))</x:f>
        <x:v>-25</x:v>
      </x:c>
      <x:c r="G1196" s="11" t="n">
        <x:f>IF('제외 후보'!M1196="있음",'선정 규칙'!$B$18,'선정 규칙'!$B$19)</x:f>
        <x:v>6</x:v>
      </x:c>
      <x:c r="H1196" s="11" t="n">
        <x:f>IF(ISNUMBER(SEARCH("freq-core",'제외 후보'!AD1196)),'선정 규칙'!$B$20,0)</x:f>
        <x:v>0</x:v>
      </x:c>
      <x:c r="I1196" s="11" t="n">
        <x:f>IF(ISNUMBER(SEARCH("weak_legacy_content",'제외 후보'!P1196)),'선정 규칙'!$B$21,0)</x:f>
        <x:v>0</x:v>
      </x:c>
      <x:c r="J1196" s="11" t="n">
        <x:f>IF('제외 후보'!AC1196&lt;&gt;"",'선정 규칙'!$B$22,0)</x:f>
        <x:v>0</x:v>
      </x:c>
      <x:c r="K1196" s="11" t="n">
        <x:f>SUM(B1196:J1196)</x:f>
        <x:v>-7</x:v>
      </x:c>
      <x:c r="L1196" s="11" t="n">
        <x:f>'제외 후보'!N1196</x:f>
        <x:v>-7</x:v>
      </x:c>
      <x:c r="M1196" s="2" t="str">
        <x:f>IF(K1196=L1196,"OK","MISMATCH")</x:f>
        <x:v>OK</x:v>
      </x:c>
    </x:row>
    <x:row r="1197">
      <x:c r="A1197" s="2" t="str">
        <x:f>'제외 후보'!G1197</x:f>
        <x:v>w_ccb26077b25c6a8a</x:v>
      </x:c>
      <x:c r="B1197" s="11" t="n">
        <x:f>IF('제외 후보'!Q1197&lt;&gt;"",'선정 규칙'!$B$4,0)</x:f>
        <x:v>0</x:v>
      </x:c>
      <x:c r="C1197" s="11" t="n">
        <x:f>IF(ISNUMBER(SEARCH("jmdict_uncommon_or_irregular",'제외 후보'!P1197)),'선정 규칙'!$B$5,IF(ISNUMBER(SEARCH("jmdict_rare_or_dated",'제외 후보'!P1197)),'선정 규칙'!$B$6,0))</x:f>
        <x:v>0</x:v>
      </x:c>
      <x:c r="D1197" s="11" t="n">
        <x:f>IF(ISNUMBER(SEARCH("jmdict_exact_pair_not_found",'제외 후보'!P1197)),'선정 규칙'!$B$7,0)</x:f>
        <x:v>0</x:v>
      </x:c>
      <x:c r="E1197" s="11" t="n">
        <x:f>IF(OR('제외 후보'!L1197="",'제외 후보'!L1197&lt;=0),'선정 규칙'!$B$8,IF('제외 후보'!L1197&lt;=1.5,'선정 규칙'!$B$9,IF('제외 후보'!L1197&lt;=2,'선정 규칙'!$B$10,IF('제외 후보'!L1197&lt;=2.5,'선정 규칙'!$B$11,IF('제외 후보'!L1197&lt;=3,'선정 규칙'!$B$12,IF('제외 후보'!L1197&lt;=3.5,'선정 규칙'!$B$13,IF('제외 후보'!L1197&gt;=4.5,'선정 규칙'!$B$14,0)))))))</x:f>
        <x:v>12</x:v>
      </x:c>
      <x:c r="F1197" s="11" t="n">
        <x:f>IF('제외 후보'!Y1197=0,'선정 규칙'!$B$15,IF('제외 후보'!Y1197&gt;=100,'선정 규칙'!$B$16,'선정 규칙'!$B$17))</x:f>
        <x:v>-25</x:v>
      </x:c>
      <x:c r="G1197" s="11" t="n">
        <x:f>IF('제외 후보'!M1197="있음",'선정 규칙'!$B$18,'선정 규칙'!$B$19)</x:f>
        <x:v>6</x:v>
      </x:c>
      <x:c r="H1197" s="11" t="n">
        <x:f>IF(ISNUMBER(SEARCH("freq-core",'제외 후보'!AD1197)),'선정 규칙'!$B$20,0)</x:f>
        <x:v>0</x:v>
      </x:c>
      <x:c r="I1197" s="11" t="n">
        <x:f>IF(ISNUMBER(SEARCH("weak_legacy_content",'제외 후보'!P1197)),'선정 규칙'!$B$21,0)</x:f>
        <x:v>0</x:v>
      </x:c>
      <x:c r="J1197" s="11" t="n">
        <x:f>IF('제외 후보'!AC1197&lt;&gt;"",'선정 규칙'!$B$22,0)</x:f>
        <x:v>0</x:v>
      </x:c>
      <x:c r="K1197" s="11" t="n">
        <x:f>SUM(B1197:J1197)</x:f>
        <x:v>-7</x:v>
      </x:c>
      <x:c r="L1197" s="11" t="n">
        <x:f>'제외 후보'!N1197</x:f>
        <x:v>-7</x:v>
      </x:c>
      <x:c r="M1197" s="2" t="str">
        <x:f>IF(K1197=L1197,"OK","MISMATCH")</x:f>
        <x:v>OK</x:v>
      </x:c>
    </x:row>
    <x:row r="1198">
      <x:c r="A1198" s="2" t="str">
        <x:f>'제외 후보'!G1198</x:f>
        <x:v>w_d17d418a98af8754</x:v>
      </x:c>
      <x:c r="B1198" s="11" t="n">
        <x:f>IF('제외 후보'!Q1198&lt;&gt;"",'선정 규칙'!$B$4,0)</x:f>
        <x:v>0</x:v>
      </x:c>
      <x:c r="C1198" s="11" t="n">
        <x:f>IF(ISNUMBER(SEARCH("jmdict_uncommon_or_irregular",'제외 후보'!P1198)),'선정 규칙'!$B$5,IF(ISNUMBER(SEARCH("jmdict_rare_or_dated",'제외 후보'!P1198)),'선정 규칙'!$B$6,0))</x:f>
        <x:v>0</x:v>
      </x:c>
      <x:c r="D1198" s="11" t="n">
        <x:f>IF(ISNUMBER(SEARCH("jmdict_exact_pair_not_found",'제외 후보'!P1198)),'선정 규칙'!$B$7,0)</x:f>
        <x:v>0</x:v>
      </x:c>
      <x:c r="E1198" s="11" t="n">
        <x:f>IF(OR('제외 후보'!L1198="",'제외 후보'!L1198&lt;=0),'선정 규칙'!$B$8,IF('제외 후보'!L1198&lt;=1.5,'선정 규칙'!$B$9,IF('제외 후보'!L1198&lt;=2,'선정 규칙'!$B$10,IF('제외 후보'!L1198&lt;=2.5,'선정 규칙'!$B$11,IF('제외 후보'!L1198&lt;=3,'선정 규칙'!$B$12,IF('제외 후보'!L1198&lt;=3.5,'선정 규칙'!$B$13,IF('제외 후보'!L1198&gt;=4.5,'선정 규칙'!$B$14,0)))))))</x:f>
        <x:v>12</x:v>
      </x:c>
      <x:c r="F1198" s="11" t="n">
        <x:f>IF('제외 후보'!Y1198=0,'선정 규칙'!$B$15,IF('제외 후보'!Y1198&gt;=100,'선정 규칙'!$B$16,'선정 규칙'!$B$17))</x:f>
        <x:v>-25</x:v>
      </x:c>
      <x:c r="G1198" s="11" t="n">
        <x:f>IF('제외 후보'!M1198="있음",'선정 규칙'!$B$18,'선정 규칙'!$B$19)</x:f>
        <x:v>6</x:v>
      </x:c>
      <x:c r="H1198" s="11" t="n">
        <x:f>IF(ISNUMBER(SEARCH("freq-core",'제외 후보'!AD1198)),'선정 규칙'!$B$20,0)</x:f>
        <x:v>0</x:v>
      </x:c>
      <x:c r="I1198" s="11" t="n">
        <x:f>IF(ISNUMBER(SEARCH("weak_legacy_content",'제외 후보'!P1198)),'선정 규칙'!$B$21,0)</x:f>
        <x:v>0</x:v>
      </x:c>
      <x:c r="J1198" s="11" t="n">
        <x:f>IF('제외 후보'!AC1198&lt;&gt;"",'선정 규칙'!$B$22,0)</x:f>
        <x:v>0</x:v>
      </x:c>
      <x:c r="K1198" s="11" t="n">
        <x:f>SUM(B1198:J1198)</x:f>
        <x:v>-7</x:v>
      </x:c>
      <x:c r="L1198" s="11" t="n">
        <x:f>'제외 후보'!N1198</x:f>
        <x:v>-7</x:v>
      </x:c>
      <x:c r="M1198" s="2" t="str">
        <x:f>IF(K1198=L1198,"OK","MISMATCH")</x:f>
        <x:v>OK</x:v>
      </x:c>
    </x:row>
    <x:row r="1199">
      <x:c r="A1199" s="2" t="str">
        <x:f>'제외 후보'!G1199</x:f>
        <x:v>w_d9e121c9f74a30b8</x:v>
      </x:c>
      <x:c r="B1199" s="11" t="n">
        <x:f>IF('제외 후보'!Q1199&lt;&gt;"",'선정 규칙'!$B$4,0)</x:f>
        <x:v>0</x:v>
      </x:c>
      <x:c r="C1199" s="11" t="n">
        <x:f>IF(ISNUMBER(SEARCH("jmdict_uncommon_or_irregular",'제외 후보'!P1199)),'선정 규칙'!$B$5,IF(ISNUMBER(SEARCH("jmdict_rare_or_dated",'제외 후보'!P1199)),'선정 규칙'!$B$6,0))</x:f>
        <x:v>0</x:v>
      </x:c>
      <x:c r="D1199" s="11" t="n">
        <x:f>IF(ISNUMBER(SEARCH("jmdict_exact_pair_not_found",'제외 후보'!P1199)),'선정 규칙'!$B$7,0)</x:f>
        <x:v>0</x:v>
      </x:c>
      <x:c r="E1199" s="11" t="n">
        <x:f>IF(OR('제외 후보'!L1199="",'제외 후보'!L1199&lt;=0),'선정 규칙'!$B$8,IF('제외 후보'!L1199&lt;=1.5,'선정 규칙'!$B$9,IF('제외 후보'!L1199&lt;=2,'선정 규칙'!$B$10,IF('제외 후보'!L1199&lt;=2.5,'선정 규칙'!$B$11,IF('제외 후보'!L1199&lt;=3,'선정 규칙'!$B$12,IF('제외 후보'!L1199&lt;=3.5,'선정 규칙'!$B$13,IF('제외 후보'!L1199&gt;=4.5,'선정 규칙'!$B$14,0)))))))</x:f>
        <x:v>12</x:v>
      </x:c>
      <x:c r="F1199" s="11" t="n">
        <x:f>IF('제외 후보'!Y1199=0,'선정 규칙'!$B$15,IF('제외 후보'!Y1199&gt;=100,'선정 규칙'!$B$16,'선정 규칙'!$B$17))</x:f>
        <x:v>-25</x:v>
      </x:c>
      <x:c r="G1199" s="11" t="n">
        <x:f>IF('제외 후보'!M1199="있음",'선정 규칙'!$B$18,'선정 규칙'!$B$19)</x:f>
        <x:v>6</x:v>
      </x:c>
      <x:c r="H1199" s="11" t="n">
        <x:f>IF(ISNUMBER(SEARCH("freq-core",'제외 후보'!AD1199)),'선정 규칙'!$B$20,0)</x:f>
        <x:v>0</x:v>
      </x:c>
      <x:c r="I1199" s="11" t="n">
        <x:f>IF(ISNUMBER(SEARCH("weak_legacy_content",'제외 후보'!P1199)),'선정 규칙'!$B$21,0)</x:f>
        <x:v>0</x:v>
      </x:c>
      <x:c r="J1199" s="11" t="n">
        <x:f>IF('제외 후보'!AC1199&lt;&gt;"",'선정 규칙'!$B$22,0)</x:f>
        <x:v>0</x:v>
      </x:c>
      <x:c r="K1199" s="11" t="n">
        <x:f>SUM(B1199:J1199)</x:f>
        <x:v>-7</x:v>
      </x:c>
      <x:c r="L1199" s="11" t="n">
        <x:f>'제외 후보'!N1199</x:f>
        <x:v>-7</x:v>
      </x:c>
      <x:c r="M1199" s="2" t="str">
        <x:f>IF(K1199=L1199,"OK","MISMATCH")</x:f>
        <x:v>OK</x:v>
      </x:c>
    </x:row>
    <x:row r="1200">
      <x:c r="A1200" s="2" t="str">
        <x:f>'제외 후보'!G1200</x:f>
        <x:v>w_0968a3e2189db9bd</x:v>
      </x:c>
      <x:c r="B1200" s="11" t="n">
        <x:f>IF('제외 후보'!Q1200&lt;&gt;"",'선정 규칙'!$B$4,0)</x:f>
        <x:v>0</x:v>
      </x:c>
      <x:c r="C1200" s="11" t="n">
        <x:f>IF(ISNUMBER(SEARCH("jmdict_uncommon_or_irregular",'제외 후보'!P1200)),'선정 규칙'!$B$5,IF(ISNUMBER(SEARCH("jmdict_rare_or_dated",'제외 후보'!P1200)),'선정 규칙'!$B$6,0))</x:f>
        <x:v>0</x:v>
      </x:c>
      <x:c r="D1200" s="11" t="n">
        <x:f>IF(ISNUMBER(SEARCH("jmdict_exact_pair_not_found",'제외 후보'!P1200)),'선정 규칙'!$B$7,0)</x:f>
        <x:v>0</x:v>
      </x:c>
      <x:c r="E1200" s="11" t="n">
        <x:f>IF(OR('제외 후보'!L1200="",'제외 후보'!L1200&lt;=0),'선정 규칙'!$B$8,IF('제외 후보'!L1200&lt;=1.5,'선정 규칙'!$B$9,IF('제외 후보'!L1200&lt;=2,'선정 규칙'!$B$10,IF('제외 후보'!L1200&lt;=2.5,'선정 규칙'!$B$11,IF('제외 후보'!L1200&lt;=3,'선정 규칙'!$B$12,IF('제외 후보'!L1200&lt;=3.5,'선정 규칙'!$B$13,IF('제외 후보'!L1200&gt;=4.5,'선정 규칙'!$B$14,0)))))))</x:f>
        <x:v>12</x:v>
      </x:c>
      <x:c r="F1200" s="11" t="n">
        <x:f>IF('제외 후보'!Y1200=0,'선정 규칙'!$B$15,IF('제외 후보'!Y1200&gt;=100,'선정 규칙'!$B$16,'선정 규칙'!$B$17))</x:f>
        <x:v>-25</x:v>
      </x:c>
      <x:c r="G1200" s="11" t="n">
        <x:f>IF('제외 후보'!M1200="있음",'선정 규칙'!$B$18,'선정 규칙'!$B$19)</x:f>
        <x:v>6</x:v>
      </x:c>
      <x:c r="H1200" s="11" t="n">
        <x:f>IF(ISNUMBER(SEARCH("freq-core",'제외 후보'!AD1200)),'선정 규칙'!$B$20,0)</x:f>
        <x:v>0</x:v>
      </x:c>
      <x:c r="I1200" s="11" t="n">
        <x:f>IF(ISNUMBER(SEARCH("weak_legacy_content",'제외 후보'!P1200)),'선정 규칙'!$B$21,0)</x:f>
        <x:v>0</x:v>
      </x:c>
      <x:c r="J1200" s="11" t="n">
        <x:f>IF('제외 후보'!AC1200&lt;&gt;"",'선정 규칙'!$B$22,0)</x:f>
        <x:v>0</x:v>
      </x:c>
      <x:c r="K1200" s="11" t="n">
        <x:f>SUM(B1200:J1200)</x:f>
        <x:v>-7</x:v>
      </x:c>
      <x:c r="L1200" s="11" t="n">
        <x:f>'제외 후보'!N1200</x:f>
        <x:v>-7</x:v>
      </x:c>
      <x:c r="M1200" s="2" t="str">
        <x:f>IF(K1200=L1200,"OK","MISMATCH")</x:f>
        <x:v>OK</x:v>
      </x:c>
    </x:row>
    <x:row r="1201">
      <x:c r="A1201" s="2" t="str">
        <x:f>'제외 후보'!G1201</x:f>
        <x:v>w_334c23b7fc181a8b</x:v>
      </x:c>
      <x:c r="B1201" s="11" t="n">
        <x:f>IF('제외 후보'!Q1201&lt;&gt;"",'선정 규칙'!$B$4,0)</x:f>
        <x:v>0</x:v>
      </x:c>
      <x:c r="C1201" s="11" t="n">
        <x:f>IF(ISNUMBER(SEARCH("jmdict_uncommon_or_irregular",'제외 후보'!P1201)),'선정 규칙'!$B$5,IF(ISNUMBER(SEARCH("jmdict_rare_or_dated",'제외 후보'!P1201)),'선정 규칙'!$B$6,0))</x:f>
        <x:v>0</x:v>
      </x:c>
      <x:c r="D1201" s="11" t="n">
        <x:f>IF(ISNUMBER(SEARCH("jmdict_exact_pair_not_found",'제외 후보'!P1201)),'선정 규칙'!$B$7,0)</x:f>
        <x:v>0</x:v>
      </x:c>
      <x:c r="E1201" s="11" t="n">
        <x:f>IF(OR('제외 후보'!L1201="",'제외 후보'!L1201&lt;=0),'선정 규칙'!$B$8,IF('제외 후보'!L1201&lt;=1.5,'선정 규칙'!$B$9,IF('제외 후보'!L1201&lt;=2,'선정 규칙'!$B$10,IF('제외 후보'!L1201&lt;=2.5,'선정 규칙'!$B$11,IF('제외 후보'!L1201&lt;=3,'선정 규칙'!$B$12,IF('제외 후보'!L1201&lt;=3.5,'선정 규칙'!$B$13,IF('제외 후보'!L1201&gt;=4.5,'선정 규칙'!$B$14,0)))))))</x:f>
        <x:v>12</x:v>
      </x:c>
      <x:c r="F1201" s="11" t="n">
        <x:f>IF('제외 후보'!Y1201=0,'선정 규칙'!$B$15,IF('제외 후보'!Y1201&gt;=100,'선정 규칙'!$B$16,'선정 규칙'!$B$17))</x:f>
        <x:v>-25</x:v>
      </x:c>
      <x:c r="G1201" s="11" t="n">
        <x:f>IF('제외 후보'!M1201="있음",'선정 규칙'!$B$18,'선정 규칙'!$B$19)</x:f>
        <x:v>6</x:v>
      </x:c>
      <x:c r="H1201" s="11" t="n">
        <x:f>IF(ISNUMBER(SEARCH("freq-core",'제외 후보'!AD1201)),'선정 규칙'!$B$20,0)</x:f>
        <x:v>0</x:v>
      </x:c>
      <x:c r="I1201" s="11" t="n">
        <x:f>IF(ISNUMBER(SEARCH("weak_legacy_content",'제외 후보'!P1201)),'선정 규칙'!$B$21,0)</x:f>
        <x:v>0</x:v>
      </x:c>
      <x:c r="J1201" s="11" t="n">
        <x:f>IF('제외 후보'!AC1201&lt;&gt;"",'선정 규칙'!$B$22,0)</x:f>
        <x:v>0</x:v>
      </x:c>
      <x:c r="K1201" s="11" t="n">
        <x:f>SUM(B1201:J1201)</x:f>
        <x:v>-7</x:v>
      </x:c>
      <x:c r="L1201" s="11" t="n">
        <x:f>'제외 후보'!N1201</x:f>
        <x:v>-7</x:v>
      </x:c>
      <x:c r="M1201" s="2" t="str">
        <x:f>IF(K1201=L1201,"OK","MISMATCH")</x:f>
        <x:v>OK</x:v>
      </x:c>
    </x:row>
    <x:row r="1202">
      <x:c r="A1202" s="2" t="str">
        <x:f>'제외 후보'!G1202</x:f>
        <x:v>w_4ab8fddb51501156</x:v>
      </x:c>
      <x:c r="B1202" s="11" t="n">
        <x:f>IF('제외 후보'!Q1202&lt;&gt;"",'선정 규칙'!$B$4,0)</x:f>
        <x:v>0</x:v>
      </x:c>
      <x:c r="C1202" s="11" t="n">
        <x:f>IF(ISNUMBER(SEARCH("jmdict_uncommon_or_irregular",'제외 후보'!P1202)),'선정 규칙'!$B$5,IF(ISNUMBER(SEARCH("jmdict_rare_or_dated",'제외 후보'!P1202)),'선정 규칙'!$B$6,0))</x:f>
        <x:v>0</x:v>
      </x:c>
      <x:c r="D1202" s="11" t="n">
        <x:f>IF(ISNUMBER(SEARCH("jmdict_exact_pair_not_found",'제외 후보'!P1202)),'선정 규칙'!$B$7,0)</x:f>
        <x:v>0</x:v>
      </x:c>
      <x:c r="E1202" s="11" t="n">
        <x:f>IF(OR('제외 후보'!L1202="",'제외 후보'!L1202&lt;=0),'선정 규칙'!$B$8,IF('제외 후보'!L1202&lt;=1.5,'선정 규칙'!$B$9,IF('제외 후보'!L1202&lt;=2,'선정 규칙'!$B$10,IF('제외 후보'!L1202&lt;=2.5,'선정 규칙'!$B$11,IF('제외 후보'!L1202&lt;=3,'선정 규칙'!$B$12,IF('제외 후보'!L1202&lt;=3.5,'선정 규칙'!$B$13,IF('제외 후보'!L1202&gt;=4.5,'선정 규칙'!$B$14,0)))))))</x:f>
        <x:v>12</x:v>
      </x:c>
      <x:c r="F1202" s="11" t="n">
        <x:f>IF('제외 후보'!Y1202=0,'선정 규칙'!$B$15,IF('제외 후보'!Y1202&gt;=100,'선정 규칙'!$B$16,'선정 규칙'!$B$17))</x:f>
        <x:v>-25</x:v>
      </x:c>
      <x:c r="G1202" s="11" t="n">
        <x:f>IF('제외 후보'!M1202="있음",'선정 규칙'!$B$18,'선정 규칙'!$B$19)</x:f>
        <x:v>6</x:v>
      </x:c>
      <x:c r="H1202" s="11" t="n">
        <x:f>IF(ISNUMBER(SEARCH("freq-core",'제외 후보'!AD1202)),'선정 규칙'!$B$20,0)</x:f>
        <x:v>0</x:v>
      </x:c>
      <x:c r="I1202" s="11" t="n">
        <x:f>IF(ISNUMBER(SEARCH("weak_legacy_content",'제외 후보'!P1202)),'선정 규칙'!$B$21,0)</x:f>
        <x:v>0</x:v>
      </x:c>
      <x:c r="J1202" s="11" t="n">
        <x:f>IF('제외 후보'!AC1202&lt;&gt;"",'선정 규칙'!$B$22,0)</x:f>
        <x:v>0</x:v>
      </x:c>
      <x:c r="K1202" s="11" t="n">
        <x:f>SUM(B1202:J1202)</x:f>
        <x:v>-7</x:v>
      </x:c>
      <x:c r="L1202" s="11" t="n">
        <x:f>'제외 후보'!N1202</x:f>
        <x:v>-7</x:v>
      </x:c>
      <x:c r="M1202" s="2" t="str">
        <x:f>IF(K1202=L1202,"OK","MISMATCH")</x:f>
        <x:v>OK</x:v>
      </x:c>
    </x:row>
    <x:row r="1203">
      <x:c r="A1203" s="2" t="str">
        <x:f>'제외 후보'!G1203</x:f>
        <x:v>w_a718136730aa2c54</x:v>
      </x:c>
      <x:c r="B1203" s="11" t="n">
        <x:f>IF('제외 후보'!Q1203&lt;&gt;"",'선정 규칙'!$B$4,0)</x:f>
        <x:v>0</x:v>
      </x:c>
      <x:c r="C1203" s="11" t="n">
        <x:f>IF(ISNUMBER(SEARCH("jmdict_uncommon_or_irregular",'제외 후보'!P1203)),'선정 규칙'!$B$5,IF(ISNUMBER(SEARCH("jmdict_rare_or_dated",'제외 후보'!P1203)),'선정 규칙'!$B$6,0))</x:f>
        <x:v>0</x:v>
      </x:c>
      <x:c r="D1203" s="11" t="n">
        <x:f>IF(ISNUMBER(SEARCH("jmdict_exact_pair_not_found",'제외 후보'!P1203)),'선정 규칙'!$B$7,0)</x:f>
        <x:v>0</x:v>
      </x:c>
      <x:c r="E1203" s="11" t="n">
        <x:f>IF(OR('제외 후보'!L1203="",'제외 후보'!L1203&lt;=0),'선정 규칙'!$B$8,IF('제외 후보'!L1203&lt;=1.5,'선정 규칙'!$B$9,IF('제외 후보'!L1203&lt;=2,'선정 규칙'!$B$10,IF('제외 후보'!L1203&lt;=2.5,'선정 규칙'!$B$11,IF('제외 후보'!L1203&lt;=3,'선정 규칙'!$B$12,IF('제외 후보'!L1203&lt;=3.5,'선정 규칙'!$B$13,IF('제외 후보'!L1203&gt;=4.5,'선정 규칙'!$B$14,0)))))))</x:f>
        <x:v>12</x:v>
      </x:c>
      <x:c r="F1203" s="11" t="n">
        <x:f>IF('제외 후보'!Y1203=0,'선정 규칙'!$B$15,IF('제외 후보'!Y1203&gt;=100,'선정 규칙'!$B$16,'선정 규칙'!$B$17))</x:f>
        <x:v>-25</x:v>
      </x:c>
      <x:c r="G1203" s="11" t="n">
        <x:f>IF('제외 후보'!M1203="있음",'선정 규칙'!$B$18,'선정 규칙'!$B$19)</x:f>
        <x:v>6</x:v>
      </x:c>
      <x:c r="H1203" s="11" t="n">
        <x:f>IF(ISNUMBER(SEARCH("freq-core",'제외 후보'!AD1203)),'선정 규칙'!$B$20,0)</x:f>
        <x:v>0</x:v>
      </x:c>
      <x:c r="I1203" s="11" t="n">
        <x:f>IF(ISNUMBER(SEARCH("weak_legacy_content",'제외 후보'!P1203)),'선정 규칙'!$B$21,0)</x:f>
        <x:v>0</x:v>
      </x:c>
      <x:c r="J1203" s="11" t="n">
        <x:f>IF('제외 후보'!AC1203&lt;&gt;"",'선정 규칙'!$B$22,0)</x:f>
        <x:v>0</x:v>
      </x:c>
      <x:c r="K1203" s="11" t="n">
        <x:f>SUM(B1203:J1203)</x:f>
        <x:v>-7</x:v>
      </x:c>
      <x:c r="L1203" s="11" t="n">
        <x:f>'제외 후보'!N1203</x:f>
        <x:v>-7</x:v>
      </x:c>
      <x:c r="M1203" s="2" t="str">
        <x:f>IF(K1203=L1203,"OK","MISMATCH")</x:f>
        <x:v>OK</x:v>
      </x:c>
    </x:row>
    <x:row r="1204">
      <x:c r="A1204" s="2" t="str">
        <x:f>'제외 후보'!G1204</x:f>
        <x:v>w_5101399164b8609d</x:v>
      </x:c>
      <x:c r="B1204" s="11" t="n">
        <x:f>IF('제외 후보'!Q1204&lt;&gt;"",'선정 규칙'!$B$4,0)</x:f>
        <x:v>0</x:v>
      </x:c>
      <x:c r="C1204" s="11" t="n">
        <x:f>IF(ISNUMBER(SEARCH("jmdict_uncommon_or_irregular",'제외 후보'!P1204)),'선정 규칙'!$B$5,IF(ISNUMBER(SEARCH("jmdict_rare_or_dated",'제외 후보'!P1204)),'선정 규칙'!$B$6,0))</x:f>
        <x:v>0</x:v>
      </x:c>
      <x:c r="D1204" s="11" t="n">
        <x:f>IF(ISNUMBER(SEARCH("jmdict_exact_pair_not_found",'제외 후보'!P1204)),'선정 규칙'!$B$7,0)</x:f>
        <x:v>0</x:v>
      </x:c>
      <x:c r="E1204" s="11" t="n">
        <x:f>IF(OR('제외 후보'!L1204="",'제외 후보'!L1204&lt;=0),'선정 규칙'!$B$8,IF('제외 후보'!L1204&lt;=1.5,'선정 규칙'!$B$9,IF('제외 후보'!L1204&lt;=2,'선정 규칙'!$B$10,IF('제외 후보'!L1204&lt;=2.5,'선정 규칙'!$B$11,IF('제외 후보'!L1204&lt;=3,'선정 규칙'!$B$12,IF('제외 후보'!L1204&lt;=3.5,'선정 규칙'!$B$13,IF('제외 후보'!L1204&gt;=4.5,'선정 규칙'!$B$14,0)))))))</x:f>
        <x:v>12</x:v>
      </x:c>
      <x:c r="F1204" s="11" t="n">
        <x:f>IF('제외 후보'!Y1204=0,'선정 규칙'!$B$15,IF('제외 후보'!Y1204&gt;=100,'선정 규칙'!$B$16,'선정 규칙'!$B$17))</x:f>
        <x:v>-25</x:v>
      </x:c>
      <x:c r="G1204" s="11" t="n">
        <x:f>IF('제외 후보'!M1204="있음",'선정 규칙'!$B$18,'선정 규칙'!$B$19)</x:f>
        <x:v>6</x:v>
      </x:c>
      <x:c r="H1204" s="11" t="n">
        <x:f>IF(ISNUMBER(SEARCH("freq-core",'제외 후보'!AD1204)),'선정 규칙'!$B$20,0)</x:f>
        <x:v>0</x:v>
      </x:c>
      <x:c r="I1204" s="11" t="n">
        <x:f>IF(ISNUMBER(SEARCH("weak_legacy_content",'제외 후보'!P1204)),'선정 규칙'!$B$21,0)</x:f>
        <x:v>0</x:v>
      </x:c>
      <x:c r="J1204" s="11" t="n">
        <x:f>IF('제외 후보'!AC1204&lt;&gt;"",'선정 규칙'!$B$22,0)</x:f>
        <x:v>0</x:v>
      </x:c>
      <x:c r="K1204" s="11" t="n">
        <x:f>SUM(B1204:J1204)</x:f>
        <x:v>-7</x:v>
      </x:c>
      <x:c r="L1204" s="11" t="n">
        <x:f>'제외 후보'!N1204</x:f>
        <x:v>-7</x:v>
      </x:c>
      <x:c r="M1204" s="2" t="str">
        <x:f>IF(K1204=L1204,"OK","MISMATCH")</x:f>
        <x:v>OK</x:v>
      </x:c>
    </x:row>
    <x:row r="1205">
      <x:c r="A1205" s="2" t="str">
        <x:f>'제외 후보'!G1205</x:f>
        <x:v>w_1c2ded63174fe839</x:v>
      </x:c>
      <x:c r="B1205" s="11" t="n">
        <x:f>IF('제외 후보'!Q1205&lt;&gt;"",'선정 규칙'!$B$4,0)</x:f>
        <x:v>0</x:v>
      </x:c>
      <x:c r="C1205" s="11" t="n">
        <x:f>IF(ISNUMBER(SEARCH("jmdict_uncommon_or_irregular",'제외 후보'!P1205)),'선정 규칙'!$B$5,IF(ISNUMBER(SEARCH("jmdict_rare_or_dated",'제외 후보'!P1205)),'선정 규칙'!$B$6,0))</x:f>
        <x:v>0</x:v>
      </x:c>
      <x:c r="D1205" s="11" t="n">
        <x:f>IF(ISNUMBER(SEARCH("jmdict_exact_pair_not_found",'제외 후보'!P1205)),'선정 규칙'!$B$7,0)</x:f>
        <x:v>0</x:v>
      </x:c>
      <x:c r="E1205" s="11" t="n">
        <x:f>IF(OR('제외 후보'!L1205="",'제외 후보'!L1205&lt;=0),'선정 규칙'!$B$8,IF('제외 후보'!L1205&lt;=1.5,'선정 규칙'!$B$9,IF('제외 후보'!L1205&lt;=2,'선정 규칙'!$B$10,IF('제외 후보'!L1205&lt;=2.5,'선정 규칙'!$B$11,IF('제외 후보'!L1205&lt;=3,'선정 규칙'!$B$12,IF('제외 후보'!L1205&lt;=3.5,'선정 규칙'!$B$13,IF('제외 후보'!L1205&gt;=4.5,'선정 규칙'!$B$14,0)))))))</x:f>
        <x:v>12</x:v>
      </x:c>
      <x:c r="F1205" s="11" t="n">
        <x:f>IF('제외 후보'!Y1205=0,'선정 규칙'!$B$15,IF('제외 후보'!Y1205&gt;=100,'선정 규칙'!$B$16,'선정 규칙'!$B$17))</x:f>
        <x:v>-25</x:v>
      </x:c>
      <x:c r="G1205" s="11" t="n">
        <x:f>IF('제외 후보'!M1205="있음",'선정 규칙'!$B$18,'선정 규칙'!$B$19)</x:f>
        <x:v>6</x:v>
      </x:c>
      <x:c r="H1205" s="11" t="n">
        <x:f>IF(ISNUMBER(SEARCH("freq-core",'제외 후보'!AD1205)),'선정 규칙'!$B$20,0)</x:f>
        <x:v>0</x:v>
      </x:c>
      <x:c r="I1205" s="11" t="n">
        <x:f>IF(ISNUMBER(SEARCH("weak_legacy_content",'제외 후보'!P1205)),'선정 규칙'!$B$21,0)</x:f>
        <x:v>0</x:v>
      </x:c>
      <x:c r="J1205" s="11" t="n">
        <x:f>IF('제외 후보'!AC1205&lt;&gt;"",'선정 규칙'!$B$22,0)</x:f>
        <x:v>0</x:v>
      </x:c>
      <x:c r="K1205" s="11" t="n">
        <x:f>SUM(B1205:J1205)</x:f>
        <x:v>-7</x:v>
      </x:c>
      <x:c r="L1205" s="11" t="n">
        <x:f>'제외 후보'!N1205</x:f>
        <x:v>-7</x:v>
      </x:c>
      <x:c r="M1205" s="2" t="str">
        <x:f>IF(K1205=L1205,"OK","MISMATCH")</x:f>
        <x:v>OK</x:v>
      </x:c>
    </x:row>
    <x:row r="1206">
      <x:c r="A1206" s="2" t="str">
        <x:f>'제외 후보'!G1206</x:f>
        <x:v>w_5d19115e7eb40ded</x:v>
      </x:c>
      <x:c r="B1206" s="11" t="n">
        <x:f>IF('제외 후보'!Q1206&lt;&gt;"",'선정 규칙'!$B$4,0)</x:f>
        <x:v>0</x:v>
      </x:c>
      <x:c r="C1206" s="11" t="n">
        <x:f>IF(ISNUMBER(SEARCH("jmdict_uncommon_or_irregular",'제외 후보'!P1206)),'선정 규칙'!$B$5,IF(ISNUMBER(SEARCH("jmdict_rare_or_dated",'제외 후보'!P1206)),'선정 규칙'!$B$6,0))</x:f>
        <x:v>0</x:v>
      </x:c>
      <x:c r="D1206" s="11" t="n">
        <x:f>IF(ISNUMBER(SEARCH("jmdict_exact_pair_not_found",'제외 후보'!P1206)),'선정 규칙'!$B$7,0)</x:f>
        <x:v>0</x:v>
      </x:c>
      <x:c r="E1206" s="11" t="n">
        <x:f>IF(OR('제외 후보'!L1206="",'제외 후보'!L1206&lt;=0),'선정 규칙'!$B$8,IF('제외 후보'!L1206&lt;=1.5,'선정 규칙'!$B$9,IF('제외 후보'!L1206&lt;=2,'선정 규칙'!$B$10,IF('제외 후보'!L1206&lt;=2.5,'선정 규칙'!$B$11,IF('제외 후보'!L1206&lt;=3,'선정 규칙'!$B$12,IF('제외 후보'!L1206&lt;=3.5,'선정 규칙'!$B$13,IF('제외 후보'!L1206&gt;=4.5,'선정 규칙'!$B$14,0)))))))</x:f>
        <x:v>12</x:v>
      </x:c>
      <x:c r="F1206" s="11" t="n">
        <x:f>IF('제외 후보'!Y1206=0,'선정 규칙'!$B$15,IF('제외 후보'!Y1206&gt;=100,'선정 규칙'!$B$16,'선정 규칙'!$B$17))</x:f>
        <x:v>-25</x:v>
      </x:c>
      <x:c r="G1206" s="11" t="n">
        <x:f>IF('제외 후보'!M1206="있음",'선정 규칙'!$B$18,'선정 규칙'!$B$19)</x:f>
        <x:v>6</x:v>
      </x:c>
      <x:c r="H1206" s="11" t="n">
        <x:f>IF(ISNUMBER(SEARCH("freq-core",'제외 후보'!AD1206)),'선정 규칙'!$B$20,0)</x:f>
        <x:v>0</x:v>
      </x:c>
      <x:c r="I1206" s="11" t="n">
        <x:f>IF(ISNUMBER(SEARCH("weak_legacy_content",'제외 후보'!P1206)),'선정 규칙'!$B$21,0)</x:f>
        <x:v>0</x:v>
      </x:c>
      <x:c r="J1206" s="11" t="n">
        <x:f>IF('제외 후보'!AC1206&lt;&gt;"",'선정 규칙'!$B$22,0)</x:f>
        <x:v>0</x:v>
      </x:c>
      <x:c r="K1206" s="11" t="n">
        <x:f>SUM(B1206:J1206)</x:f>
        <x:v>-7</x:v>
      </x:c>
      <x:c r="L1206" s="11" t="n">
        <x:f>'제외 후보'!N1206</x:f>
        <x:v>-7</x:v>
      </x:c>
      <x:c r="M1206" s="2" t="str">
        <x:f>IF(K1206=L1206,"OK","MISMATCH")</x:f>
        <x:v>OK</x:v>
      </x:c>
    </x:row>
    <x:row r="1207">
      <x:c r="A1207" s="2" t="str">
        <x:f>'제외 후보'!G1207</x:f>
        <x:v>w_2d2834f101feaba2</x:v>
      </x:c>
      <x:c r="B1207" s="11" t="n">
        <x:f>IF('제외 후보'!Q1207&lt;&gt;"",'선정 규칙'!$B$4,0)</x:f>
        <x:v>0</x:v>
      </x:c>
      <x:c r="C1207" s="11" t="n">
        <x:f>IF(ISNUMBER(SEARCH("jmdict_uncommon_or_irregular",'제외 후보'!P1207)),'선정 규칙'!$B$5,IF(ISNUMBER(SEARCH("jmdict_rare_or_dated",'제외 후보'!P1207)),'선정 규칙'!$B$6,0))</x:f>
        <x:v>0</x:v>
      </x:c>
      <x:c r="D1207" s="11" t="n">
        <x:f>IF(ISNUMBER(SEARCH("jmdict_exact_pair_not_found",'제외 후보'!P1207)),'선정 규칙'!$B$7,0)</x:f>
        <x:v>0</x:v>
      </x:c>
      <x:c r="E1207" s="11" t="n">
        <x:f>IF(OR('제외 후보'!L1207="",'제외 후보'!L1207&lt;=0),'선정 규칙'!$B$8,IF('제외 후보'!L1207&lt;=1.5,'선정 규칙'!$B$9,IF('제외 후보'!L1207&lt;=2,'선정 규칙'!$B$10,IF('제외 후보'!L1207&lt;=2.5,'선정 규칙'!$B$11,IF('제외 후보'!L1207&lt;=3,'선정 규칙'!$B$12,IF('제외 후보'!L1207&lt;=3.5,'선정 규칙'!$B$13,IF('제외 후보'!L1207&gt;=4.5,'선정 규칙'!$B$14,0)))))))</x:f>
        <x:v>12</x:v>
      </x:c>
      <x:c r="F1207" s="11" t="n">
        <x:f>IF('제외 후보'!Y1207=0,'선정 규칙'!$B$15,IF('제외 후보'!Y1207&gt;=100,'선정 규칙'!$B$16,'선정 규칙'!$B$17))</x:f>
        <x:v>-25</x:v>
      </x:c>
      <x:c r="G1207" s="11" t="n">
        <x:f>IF('제외 후보'!M1207="있음",'선정 규칙'!$B$18,'선정 규칙'!$B$19)</x:f>
        <x:v>6</x:v>
      </x:c>
      <x:c r="H1207" s="11" t="n">
        <x:f>IF(ISNUMBER(SEARCH("freq-core",'제외 후보'!AD1207)),'선정 규칙'!$B$20,0)</x:f>
        <x:v>0</x:v>
      </x:c>
      <x:c r="I1207" s="11" t="n">
        <x:f>IF(ISNUMBER(SEARCH("weak_legacy_content",'제외 후보'!P1207)),'선정 규칙'!$B$21,0)</x:f>
        <x:v>0</x:v>
      </x:c>
      <x:c r="J1207" s="11" t="n">
        <x:f>IF('제외 후보'!AC1207&lt;&gt;"",'선정 규칙'!$B$22,0)</x:f>
        <x:v>0</x:v>
      </x:c>
      <x:c r="K1207" s="11" t="n">
        <x:f>SUM(B1207:J1207)</x:f>
        <x:v>-7</x:v>
      </x:c>
      <x:c r="L1207" s="11" t="n">
        <x:f>'제외 후보'!N1207</x:f>
        <x:v>-7</x:v>
      </x:c>
      <x:c r="M1207" s="2" t="str">
        <x:f>IF(K1207=L1207,"OK","MISMATCH")</x:f>
        <x:v>OK</x:v>
      </x:c>
    </x:row>
    <x:row r="1208">
      <x:c r="A1208" s="2" t="str">
        <x:f>'제외 후보'!G1208</x:f>
        <x:v>w_be035463f7a68af0</x:v>
      </x:c>
      <x:c r="B1208" s="11" t="n">
        <x:f>IF('제외 후보'!Q1208&lt;&gt;"",'선정 규칙'!$B$4,0)</x:f>
        <x:v>0</x:v>
      </x:c>
      <x:c r="C1208" s="11" t="n">
        <x:f>IF(ISNUMBER(SEARCH("jmdict_uncommon_or_irregular",'제외 후보'!P1208)),'선정 규칙'!$B$5,IF(ISNUMBER(SEARCH("jmdict_rare_or_dated",'제외 후보'!P1208)),'선정 규칙'!$B$6,0))</x:f>
        <x:v>0</x:v>
      </x:c>
      <x:c r="D1208" s="11" t="n">
        <x:f>IF(ISNUMBER(SEARCH("jmdict_exact_pair_not_found",'제외 후보'!P1208)),'선정 규칙'!$B$7,0)</x:f>
        <x:v>0</x:v>
      </x:c>
      <x:c r="E1208" s="11" t="n">
        <x:f>IF(OR('제외 후보'!L1208="",'제외 후보'!L1208&lt;=0),'선정 규칙'!$B$8,IF('제외 후보'!L1208&lt;=1.5,'선정 규칙'!$B$9,IF('제외 후보'!L1208&lt;=2,'선정 규칙'!$B$10,IF('제외 후보'!L1208&lt;=2.5,'선정 규칙'!$B$11,IF('제외 후보'!L1208&lt;=3,'선정 규칙'!$B$12,IF('제외 후보'!L1208&lt;=3.5,'선정 규칙'!$B$13,IF('제외 후보'!L1208&gt;=4.5,'선정 규칙'!$B$14,0)))))))</x:f>
        <x:v>12</x:v>
      </x:c>
      <x:c r="F1208" s="11" t="n">
        <x:f>IF('제외 후보'!Y1208=0,'선정 규칙'!$B$15,IF('제외 후보'!Y1208&gt;=100,'선정 규칙'!$B$16,'선정 규칙'!$B$17))</x:f>
        <x:v>-25</x:v>
      </x:c>
      <x:c r="G1208" s="11" t="n">
        <x:f>IF('제외 후보'!M1208="있음",'선정 규칙'!$B$18,'선정 규칙'!$B$19)</x:f>
        <x:v>6</x:v>
      </x:c>
      <x:c r="H1208" s="11" t="n">
        <x:f>IF(ISNUMBER(SEARCH("freq-core",'제외 후보'!AD1208)),'선정 규칙'!$B$20,0)</x:f>
        <x:v>0</x:v>
      </x:c>
      <x:c r="I1208" s="11" t="n">
        <x:f>IF(ISNUMBER(SEARCH("weak_legacy_content",'제외 후보'!P1208)),'선정 규칙'!$B$21,0)</x:f>
        <x:v>0</x:v>
      </x:c>
      <x:c r="J1208" s="11" t="n">
        <x:f>IF('제외 후보'!AC1208&lt;&gt;"",'선정 규칙'!$B$22,0)</x:f>
        <x:v>0</x:v>
      </x:c>
      <x:c r="K1208" s="11" t="n">
        <x:f>SUM(B1208:J1208)</x:f>
        <x:v>-7</x:v>
      </x:c>
      <x:c r="L1208" s="11" t="n">
        <x:f>'제외 후보'!N1208</x:f>
        <x:v>-7</x:v>
      </x:c>
      <x:c r="M1208" s="2" t="str">
        <x:f>IF(K1208=L1208,"OK","MISMATCH")</x:f>
        <x:v>OK</x:v>
      </x:c>
    </x:row>
    <x:row r="1209">
      <x:c r="A1209" s="2" t="str">
        <x:f>'제외 후보'!G1209</x:f>
        <x:v>w_cf6e5403a48aae9c</x:v>
      </x:c>
      <x:c r="B1209" s="11" t="n">
        <x:f>IF('제외 후보'!Q1209&lt;&gt;"",'선정 규칙'!$B$4,0)</x:f>
        <x:v>0</x:v>
      </x:c>
      <x:c r="C1209" s="11" t="n">
        <x:f>IF(ISNUMBER(SEARCH("jmdict_uncommon_or_irregular",'제외 후보'!P1209)),'선정 규칙'!$B$5,IF(ISNUMBER(SEARCH("jmdict_rare_or_dated",'제외 후보'!P1209)),'선정 규칙'!$B$6,0))</x:f>
        <x:v>0</x:v>
      </x:c>
      <x:c r="D1209" s="11" t="n">
        <x:f>IF(ISNUMBER(SEARCH("jmdict_exact_pair_not_found",'제외 후보'!P1209)),'선정 규칙'!$B$7,0)</x:f>
        <x:v>0</x:v>
      </x:c>
      <x:c r="E1209" s="11" t="n">
        <x:f>IF(OR('제외 후보'!L1209="",'제외 후보'!L1209&lt;=0),'선정 규칙'!$B$8,IF('제외 후보'!L1209&lt;=1.5,'선정 규칙'!$B$9,IF('제외 후보'!L1209&lt;=2,'선정 규칙'!$B$10,IF('제외 후보'!L1209&lt;=2.5,'선정 규칙'!$B$11,IF('제외 후보'!L1209&lt;=3,'선정 규칙'!$B$12,IF('제외 후보'!L1209&lt;=3.5,'선정 규칙'!$B$13,IF('제외 후보'!L1209&gt;=4.5,'선정 규칙'!$B$14,0)))))))</x:f>
        <x:v>12</x:v>
      </x:c>
      <x:c r="F1209" s="11" t="n">
        <x:f>IF('제외 후보'!Y1209=0,'선정 규칙'!$B$15,IF('제외 후보'!Y1209&gt;=100,'선정 규칙'!$B$16,'선정 규칙'!$B$17))</x:f>
        <x:v>-25</x:v>
      </x:c>
      <x:c r="G1209" s="11" t="n">
        <x:f>IF('제외 후보'!M1209="있음",'선정 규칙'!$B$18,'선정 규칙'!$B$19)</x:f>
        <x:v>6</x:v>
      </x:c>
      <x:c r="H1209" s="11" t="n">
        <x:f>IF(ISNUMBER(SEARCH("freq-core",'제외 후보'!AD1209)),'선정 규칙'!$B$20,0)</x:f>
        <x:v>0</x:v>
      </x:c>
      <x:c r="I1209" s="11" t="n">
        <x:f>IF(ISNUMBER(SEARCH("weak_legacy_content",'제외 후보'!P1209)),'선정 규칙'!$B$21,0)</x:f>
        <x:v>0</x:v>
      </x:c>
      <x:c r="J1209" s="11" t="n">
        <x:f>IF('제외 후보'!AC1209&lt;&gt;"",'선정 규칙'!$B$22,0)</x:f>
        <x:v>0</x:v>
      </x:c>
      <x:c r="K1209" s="11" t="n">
        <x:f>SUM(B1209:J1209)</x:f>
        <x:v>-7</x:v>
      </x:c>
      <x:c r="L1209" s="11" t="n">
        <x:f>'제외 후보'!N1209</x:f>
        <x:v>-7</x:v>
      </x:c>
      <x:c r="M1209" s="2" t="str">
        <x:f>IF(K1209=L1209,"OK","MISMATCH")</x:f>
        <x:v>OK</x:v>
      </x:c>
    </x:row>
    <x:row r="1210">
      <x:c r="A1210" s="2" t="str">
        <x:f>'제외 후보'!G1210</x:f>
        <x:v>w_fe232373db8fd318</x:v>
      </x:c>
      <x:c r="B1210" s="11" t="n">
        <x:f>IF('제외 후보'!Q1210&lt;&gt;"",'선정 규칙'!$B$4,0)</x:f>
        <x:v>0</x:v>
      </x:c>
      <x:c r="C1210" s="11" t="n">
        <x:f>IF(ISNUMBER(SEARCH("jmdict_uncommon_or_irregular",'제외 후보'!P1210)),'선정 규칙'!$B$5,IF(ISNUMBER(SEARCH("jmdict_rare_or_dated",'제외 후보'!P1210)),'선정 규칙'!$B$6,0))</x:f>
        <x:v>0</x:v>
      </x:c>
      <x:c r="D1210" s="11" t="n">
        <x:f>IF(ISNUMBER(SEARCH("jmdict_exact_pair_not_found",'제외 후보'!P1210)),'선정 규칙'!$B$7,0)</x:f>
        <x:v>0</x:v>
      </x:c>
      <x:c r="E1210" s="11" t="n">
        <x:f>IF(OR('제외 후보'!L1210="",'제외 후보'!L1210&lt;=0),'선정 규칙'!$B$8,IF('제외 후보'!L1210&lt;=1.5,'선정 규칙'!$B$9,IF('제외 후보'!L1210&lt;=2,'선정 규칙'!$B$10,IF('제외 후보'!L1210&lt;=2.5,'선정 규칙'!$B$11,IF('제외 후보'!L1210&lt;=3,'선정 규칙'!$B$12,IF('제외 후보'!L1210&lt;=3.5,'선정 규칙'!$B$13,IF('제외 후보'!L1210&gt;=4.5,'선정 규칙'!$B$14,0)))))))</x:f>
        <x:v>12</x:v>
      </x:c>
      <x:c r="F1210" s="11" t="n">
        <x:f>IF('제외 후보'!Y1210=0,'선정 규칙'!$B$15,IF('제외 후보'!Y1210&gt;=100,'선정 규칙'!$B$16,'선정 규칙'!$B$17))</x:f>
        <x:v>-25</x:v>
      </x:c>
      <x:c r="G1210" s="11" t="n">
        <x:f>IF('제외 후보'!M1210="있음",'선정 규칙'!$B$18,'선정 규칙'!$B$19)</x:f>
        <x:v>6</x:v>
      </x:c>
      <x:c r="H1210" s="11" t="n">
        <x:f>IF(ISNUMBER(SEARCH("freq-core",'제외 후보'!AD1210)),'선정 규칙'!$B$20,0)</x:f>
        <x:v>0</x:v>
      </x:c>
      <x:c r="I1210" s="11" t="n">
        <x:f>IF(ISNUMBER(SEARCH("weak_legacy_content",'제외 후보'!P1210)),'선정 규칙'!$B$21,0)</x:f>
        <x:v>0</x:v>
      </x:c>
      <x:c r="J1210" s="11" t="n">
        <x:f>IF('제외 후보'!AC1210&lt;&gt;"",'선정 규칙'!$B$22,0)</x:f>
        <x:v>0</x:v>
      </x:c>
      <x:c r="K1210" s="11" t="n">
        <x:f>SUM(B1210:J1210)</x:f>
        <x:v>-7</x:v>
      </x:c>
      <x:c r="L1210" s="11" t="n">
        <x:f>'제외 후보'!N1210</x:f>
        <x:v>-7</x:v>
      </x:c>
      <x:c r="M1210" s="2" t="str">
        <x:f>IF(K1210=L1210,"OK","MISMATCH")</x:f>
        <x:v>OK</x:v>
      </x:c>
    </x:row>
    <x:row r="1211">
      <x:c r="A1211" s="2" t="str">
        <x:f>'제외 후보'!G1211</x:f>
        <x:v>w_5a4260a855090d55</x:v>
      </x:c>
      <x:c r="B1211" s="11" t="n">
        <x:f>IF('제외 후보'!Q1211&lt;&gt;"",'선정 규칙'!$B$4,0)</x:f>
        <x:v>0</x:v>
      </x:c>
      <x:c r="C1211" s="11" t="n">
        <x:f>IF(ISNUMBER(SEARCH("jmdict_uncommon_or_irregular",'제외 후보'!P1211)),'선정 규칙'!$B$5,IF(ISNUMBER(SEARCH("jmdict_rare_or_dated",'제외 후보'!P1211)),'선정 규칙'!$B$6,0))</x:f>
        <x:v>0</x:v>
      </x:c>
      <x:c r="D1211" s="11" t="n">
        <x:f>IF(ISNUMBER(SEARCH("jmdict_exact_pair_not_found",'제외 후보'!P1211)),'선정 규칙'!$B$7,0)</x:f>
        <x:v>0</x:v>
      </x:c>
      <x:c r="E1211" s="11" t="n">
        <x:f>IF(OR('제외 후보'!L1211="",'제외 후보'!L1211&lt;=0),'선정 규칙'!$B$8,IF('제외 후보'!L1211&lt;=1.5,'선정 규칙'!$B$9,IF('제외 후보'!L1211&lt;=2,'선정 규칙'!$B$10,IF('제외 후보'!L1211&lt;=2.5,'선정 규칙'!$B$11,IF('제외 후보'!L1211&lt;=3,'선정 규칙'!$B$12,IF('제외 후보'!L1211&lt;=3.5,'선정 규칙'!$B$13,IF('제외 후보'!L1211&gt;=4.5,'선정 규칙'!$B$14,0)))))))</x:f>
        <x:v>12</x:v>
      </x:c>
      <x:c r="F1211" s="11" t="n">
        <x:f>IF('제외 후보'!Y1211=0,'선정 규칙'!$B$15,IF('제외 후보'!Y1211&gt;=100,'선정 규칙'!$B$16,'선정 규칙'!$B$17))</x:f>
        <x:v>-25</x:v>
      </x:c>
      <x:c r="G1211" s="11" t="n">
        <x:f>IF('제외 후보'!M1211="있음",'선정 규칙'!$B$18,'선정 규칙'!$B$19)</x:f>
        <x:v>6</x:v>
      </x:c>
      <x:c r="H1211" s="11" t="n">
        <x:f>IF(ISNUMBER(SEARCH("freq-core",'제외 후보'!AD1211)),'선정 규칙'!$B$20,0)</x:f>
        <x:v>0</x:v>
      </x:c>
      <x:c r="I1211" s="11" t="n">
        <x:f>IF(ISNUMBER(SEARCH("weak_legacy_content",'제외 후보'!P1211)),'선정 규칙'!$B$21,0)</x:f>
        <x:v>0</x:v>
      </x:c>
      <x:c r="J1211" s="11" t="n">
        <x:f>IF('제외 후보'!AC1211&lt;&gt;"",'선정 규칙'!$B$22,0)</x:f>
        <x:v>0</x:v>
      </x:c>
      <x:c r="K1211" s="11" t="n">
        <x:f>SUM(B1211:J1211)</x:f>
        <x:v>-7</x:v>
      </x:c>
      <x:c r="L1211" s="11" t="n">
        <x:f>'제외 후보'!N1211</x:f>
        <x:v>-7</x:v>
      </x:c>
      <x:c r="M1211" s="2" t="str">
        <x:f>IF(K1211=L1211,"OK","MISMATCH")</x:f>
        <x:v>OK</x:v>
      </x:c>
    </x:row>
    <x:row r="1212">
      <x:c r="A1212" s="2" t="str">
        <x:f>'제외 후보'!G1212</x:f>
        <x:v>w_b360341e73b3e3dd</x:v>
      </x:c>
      <x:c r="B1212" s="11" t="n">
        <x:f>IF('제외 후보'!Q1212&lt;&gt;"",'선정 규칙'!$B$4,0)</x:f>
        <x:v>0</x:v>
      </x:c>
      <x:c r="C1212" s="11" t="n">
        <x:f>IF(ISNUMBER(SEARCH("jmdict_uncommon_or_irregular",'제외 후보'!P1212)),'선정 규칙'!$B$5,IF(ISNUMBER(SEARCH("jmdict_rare_or_dated",'제외 후보'!P1212)),'선정 규칙'!$B$6,0))</x:f>
        <x:v>0</x:v>
      </x:c>
      <x:c r="D1212" s="11" t="n">
        <x:f>IF(ISNUMBER(SEARCH("jmdict_exact_pair_not_found",'제외 후보'!P1212)),'선정 규칙'!$B$7,0)</x:f>
        <x:v>0</x:v>
      </x:c>
      <x:c r="E1212" s="11" t="n">
        <x:f>IF(OR('제외 후보'!L1212="",'제외 후보'!L1212&lt;=0),'선정 규칙'!$B$8,IF('제외 후보'!L1212&lt;=1.5,'선정 규칙'!$B$9,IF('제외 후보'!L1212&lt;=2,'선정 규칙'!$B$10,IF('제외 후보'!L1212&lt;=2.5,'선정 규칙'!$B$11,IF('제외 후보'!L1212&lt;=3,'선정 규칙'!$B$12,IF('제외 후보'!L1212&lt;=3.5,'선정 규칙'!$B$13,IF('제외 후보'!L1212&gt;=4.5,'선정 규칙'!$B$14,0)))))))</x:f>
        <x:v>12</x:v>
      </x:c>
      <x:c r="F1212" s="11" t="n">
        <x:f>IF('제외 후보'!Y1212=0,'선정 규칙'!$B$15,IF('제외 후보'!Y1212&gt;=100,'선정 규칙'!$B$16,'선정 규칙'!$B$17))</x:f>
        <x:v>-25</x:v>
      </x:c>
      <x:c r="G1212" s="11" t="n">
        <x:f>IF('제외 후보'!M1212="있음",'선정 규칙'!$B$18,'선정 규칙'!$B$19)</x:f>
        <x:v>6</x:v>
      </x:c>
      <x:c r="H1212" s="11" t="n">
        <x:f>IF(ISNUMBER(SEARCH("freq-core",'제외 후보'!AD1212)),'선정 규칙'!$B$20,0)</x:f>
        <x:v>0</x:v>
      </x:c>
      <x:c r="I1212" s="11" t="n">
        <x:f>IF(ISNUMBER(SEARCH("weak_legacy_content",'제외 후보'!P1212)),'선정 규칙'!$B$21,0)</x:f>
        <x:v>0</x:v>
      </x:c>
      <x:c r="J1212" s="11" t="n">
        <x:f>IF('제외 후보'!AC1212&lt;&gt;"",'선정 규칙'!$B$22,0)</x:f>
        <x:v>0</x:v>
      </x:c>
      <x:c r="K1212" s="11" t="n">
        <x:f>SUM(B1212:J1212)</x:f>
        <x:v>-7</x:v>
      </x:c>
      <x:c r="L1212" s="11" t="n">
        <x:f>'제외 후보'!N1212</x:f>
        <x:v>-7</x:v>
      </x:c>
      <x:c r="M1212" s="2" t="str">
        <x:f>IF(K1212=L1212,"OK","MISMATCH")</x:f>
        <x:v>OK</x:v>
      </x:c>
    </x:row>
    <x:row r="1213">
      <x:c r="A1213" s="2" t="str">
        <x:f>'제외 후보'!G1213</x:f>
        <x:v>w_0d7b1afa50b25dea</x:v>
      </x:c>
      <x:c r="B1213" s="11" t="n">
        <x:f>IF('제외 후보'!Q1213&lt;&gt;"",'선정 규칙'!$B$4,0)</x:f>
        <x:v>0</x:v>
      </x:c>
      <x:c r="C1213" s="11" t="n">
        <x:f>IF(ISNUMBER(SEARCH("jmdict_uncommon_or_irregular",'제외 후보'!P1213)),'선정 규칙'!$B$5,IF(ISNUMBER(SEARCH("jmdict_rare_or_dated",'제외 후보'!P1213)),'선정 규칙'!$B$6,0))</x:f>
        <x:v>0</x:v>
      </x:c>
      <x:c r="D1213" s="11" t="n">
        <x:f>IF(ISNUMBER(SEARCH("jmdict_exact_pair_not_found",'제외 후보'!P1213)),'선정 규칙'!$B$7,0)</x:f>
        <x:v>0</x:v>
      </x:c>
      <x:c r="E1213" s="11" t="n">
        <x:f>IF(OR('제외 후보'!L1213="",'제외 후보'!L1213&lt;=0),'선정 규칙'!$B$8,IF('제외 후보'!L1213&lt;=1.5,'선정 규칙'!$B$9,IF('제외 후보'!L1213&lt;=2,'선정 규칙'!$B$10,IF('제외 후보'!L1213&lt;=2.5,'선정 규칙'!$B$11,IF('제외 후보'!L1213&lt;=3,'선정 규칙'!$B$12,IF('제외 후보'!L1213&lt;=3.5,'선정 규칙'!$B$13,IF('제외 후보'!L1213&gt;=4.5,'선정 규칙'!$B$14,0)))))))</x:f>
        <x:v>12</x:v>
      </x:c>
      <x:c r="F1213" s="11" t="n">
        <x:f>IF('제외 후보'!Y1213=0,'선정 규칙'!$B$15,IF('제외 후보'!Y1213&gt;=100,'선정 규칙'!$B$16,'선정 규칙'!$B$17))</x:f>
        <x:v>-25</x:v>
      </x:c>
      <x:c r="G1213" s="11" t="n">
        <x:f>IF('제외 후보'!M1213="있음",'선정 규칙'!$B$18,'선정 규칙'!$B$19)</x:f>
        <x:v>6</x:v>
      </x:c>
      <x:c r="H1213" s="11" t="n">
        <x:f>IF(ISNUMBER(SEARCH("freq-core",'제외 후보'!AD1213)),'선정 규칙'!$B$20,0)</x:f>
        <x:v>0</x:v>
      </x:c>
      <x:c r="I1213" s="11" t="n">
        <x:f>IF(ISNUMBER(SEARCH("weak_legacy_content",'제외 후보'!P1213)),'선정 규칙'!$B$21,0)</x:f>
        <x:v>0</x:v>
      </x:c>
      <x:c r="J1213" s="11" t="n">
        <x:f>IF('제외 후보'!AC1213&lt;&gt;"",'선정 규칙'!$B$22,0)</x:f>
        <x:v>0</x:v>
      </x:c>
      <x:c r="K1213" s="11" t="n">
        <x:f>SUM(B1213:J1213)</x:f>
        <x:v>-7</x:v>
      </x:c>
      <x:c r="L1213" s="11" t="n">
        <x:f>'제외 후보'!N1213</x:f>
        <x:v>-7</x:v>
      </x:c>
      <x:c r="M1213" s="2" t="str">
        <x:f>IF(K1213=L1213,"OK","MISMATCH")</x:f>
        <x:v>OK</x:v>
      </x:c>
    </x:row>
    <x:row r="1214">
      <x:c r="A1214" s="2" t="str">
        <x:f>'제외 후보'!G1214</x:f>
        <x:v>w_c7cafafe0b39659f</x:v>
      </x:c>
      <x:c r="B1214" s="11" t="n">
        <x:f>IF('제외 후보'!Q1214&lt;&gt;"",'선정 규칙'!$B$4,0)</x:f>
        <x:v>0</x:v>
      </x:c>
      <x:c r="C1214" s="11" t="n">
        <x:f>IF(ISNUMBER(SEARCH("jmdict_uncommon_or_irregular",'제외 후보'!P1214)),'선정 규칙'!$B$5,IF(ISNUMBER(SEARCH("jmdict_rare_or_dated",'제외 후보'!P1214)),'선정 규칙'!$B$6,0))</x:f>
        <x:v>0</x:v>
      </x:c>
      <x:c r="D1214" s="11" t="n">
        <x:f>IF(ISNUMBER(SEARCH("jmdict_exact_pair_not_found",'제외 후보'!P1214)),'선정 규칙'!$B$7,0)</x:f>
        <x:v>0</x:v>
      </x:c>
      <x:c r="E1214" s="11" t="n">
        <x:f>IF(OR('제외 후보'!L1214="",'제외 후보'!L1214&lt;=0),'선정 규칙'!$B$8,IF('제외 후보'!L1214&lt;=1.5,'선정 규칙'!$B$9,IF('제외 후보'!L1214&lt;=2,'선정 규칙'!$B$10,IF('제외 후보'!L1214&lt;=2.5,'선정 규칙'!$B$11,IF('제외 후보'!L1214&lt;=3,'선정 규칙'!$B$12,IF('제외 후보'!L1214&lt;=3.5,'선정 규칙'!$B$13,IF('제외 후보'!L1214&gt;=4.5,'선정 규칙'!$B$14,0)))))))</x:f>
        <x:v>12</x:v>
      </x:c>
      <x:c r="F1214" s="11" t="n">
        <x:f>IF('제외 후보'!Y1214=0,'선정 규칙'!$B$15,IF('제외 후보'!Y1214&gt;=100,'선정 규칙'!$B$16,'선정 규칙'!$B$17))</x:f>
        <x:v>-25</x:v>
      </x:c>
      <x:c r="G1214" s="11" t="n">
        <x:f>IF('제외 후보'!M1214="있음",'선정 규칙'!$B$18,'선정 규칙'!$B$19)</x:f>
        <x:v>6</x:v>
      </x:c>
      <x:c r="H1214" s="11" t="n">
        <x:f>IF(ISNUMBER(SEARCH("freq-core",'제외 후보'!AD1214)),'선정 규칙'!$B$20,0)</x:f>
        <x:v>0</x:v>
      </x:c>
      <x:c r="I1214" s="11" t="n">
        <x:f>IF(ISNUMBER(SEARCH("weak_legacy_content",'제외 후보'!P1214)),'선정 규칙'!$B$21,0)</x:f>
        <x:v>0</x:v>
      </x:c>
      <x:c r="J1214" s="11" t="n">
        <x:f>IF('제외 후보'!AC1214&lt;&gt;"",'선정 규칙'!$B$22,0)</x:f>
        <x:v>0</x:v>
      </x:c>
      <x:c r="K1214" s="11" t="n">
        <x:f>SUM(B1214:J1214)</x:f>
        <x:v>-7</x:v>
      </x:c>
      <x:c r="L1214" s="11" t="n">
        <x:f>'제외 후보'!N1214</x:f>
        <x:v>-7</x:v>
      </x:c>
      <x:c r="M1214" s="2" t="str">
        <x:f>IF(K1214=L1214,"OK","MISMATCH")</x:f>
        <x:v>OK</x:v>
      </x:c>
    </x:row>
    <x:row r="1215">
      <x:c r="A1215" s="2" t="str">
        <x:f>'제외 후보'!G1215</x:f>
        <x:v>w_dc1d334393cc1205</x:v>
      </x:c>
      <x:c r="B1215" s="11" t="n">
        <x:f>IF('제외 후보'!Q1215&lt;&gt;"",'선정 규칙'!$B$4,0)</x:f>
        <x:v>0</x:v>
      </x:c>
      <x:c r="C1215" s="11" t="n">
        <x:f>IF(ISNUMBER(SEARCH("jmdict_uncommon_or_irregular",'제외 후보'!P1215)),'선정 규칙'!$B$5,IF(ISNUMBER(SEARCH("jmdict_rare_or_dated",'제외 후보'!P1215)),'선정 규칙'!$B$6,0))</x:f>
        <x:v>0</x:v>
      </x:c>
      <x:c r="D1215" s="11" t="n">
        <x:f>IF(ISNUMBER(SEARCH("jmdict_exact_pair_not_found",'제외 후보'!P1215)),'선정 규칙'!$B$7,0)</x:f>
        <x:v>0</x:v>
      </x:c>
      <x:c r="E1215" s="11" t="n">
        <x:f>IF(OR('제외 후보'!L1215="",'제외 후보'!L1215&lt;=0),'선정 규칙'!$B$8,IF('제외 후보'!L1215&lt;=1.5,'선정 규칙'!$B$9,IF('제외 후보'!L1215&lt;=2,'선정 규칙'!$B$10,IF('제외 후보'!L1215&lt;=2.5,'선정 규칙'!$B$11,IF('제외 후보'!L1215&lt;=3,'선정 규칙'!$B$12,IF('제외 후보'!L1215&lt;=3.5,'선정 규칙'!$B$13,IF('제외 후보'!L1215&gt;=4.5,'선정 규칙'!$B$14,0)))))))</x:f>
        <x:v>12</x:v>
      </x:c>
      <x:c r="F1215" s="11" t="n">
        <x:f>IF('제외 후보'!Y1215=0,'선정 규칙'!$B$15,IF('제외 후보'!Y1215&gt;=100,'선정 규칙'!$B$16,'선정 규칙'!$B$17))</x:f>
        <x:v>-25</x:v>
      </x:c>
      <x:c r="G1215" s="11" t="n">
        <x:f>IF('제외 후보'!M1215="있음",'선정 규칙'!$B$18,'선정 규칙'!$B$19)</x:f>
        <x:v>6</x:v>
      </x:c>
      <x:c r="H1215" s="11" t="n">
        <x:f>IF(ISNUMBER(SEARCH("freq-core",'제외 후보'!AD1215)),'선정 규칙'!$B$20,0)</x:f>
        <x:v>0</x:v>
      </x:c>
      <x:c r="I1215" s="11" t="n">
        <x:f>IF(ISNUMBER(SEARCH("weak_legacy_content",'제외 후보'!P1215)),'선정 규칙'!$B$21,0)</x:f>
        <x:v>0</x:v>
      </x:c>
      <x:c r="J1215" s="11" t="n">
        <x:f>IF('제외 후보'!AC1215&lt;&gt;"",'선정 규칙'!$B$22,0)</x:f>
        <x:v>0</x:v>
      </x:c>
      <x:c r="K1215" s="11" t="n">
        <x:f>SUM(B1215:J1215)</x:f>
        <x:v>-7</x:v>
      </x:c>
      <x:c r="L1215" s="11" t="n">
        <x:f>'제외 후보'!N1215</x:f>
        <x:v>-7</x:v>
      </x:c>
      <x:c r="M1215" s="2" t="str">
        <x:f>IF(K1215=L1215,"OK","MISMATCH")</x:f>
        <x:v>OK</x:v>
      </x:c>
    </x:row>
    <x:row r="1216">
      <x:c r="A1216" s="2" t="str">
        <x:f>'제외 후보'!G1216</x:f>
        <x:v>w_d0f6e5a0439f46dd</x:v>
      </x:c>
      <x:c r="B1216" s="11" t="n">
        <x:f>IF('제외 후보'!Q1216&lt;&gt;"",'선정 규칙'!$B$4,0)</x:f>
        <x:v>0</x:v>
      </x:c>
      <x:c r="C1216" s="11" t="n">
        <x:f>IF(ISNUMBER(SEARCH("jmdict_uncommon_or_irregular",'제외 후보'!P1216)),'선정 규칙'!$B$5,IF(ISNUMBER(SEARCH("jmdict_rare_or_dated",'제외 후보'!P1216)),'선정 규칙'!$B$6,0))</x:f>
        <x:v>0</x:v>
      </x:c>
      <x:c r="D1216" s="11" t="n">
        <x:f>IF(ISNUMBER(SEARCH("jmdict_exact_pair_not_found",'제외 후보'!P1216)),'선정 규칙'!$B$7,0)</x:f>
        <x:v>0</x:v>
      </x:c>
      <x:c r="E1216" s="11" t="n">
        <x:f>IF(OR('제외 후보'!L1216="",'제외 후보'!L1216&lt;=0),'선정 규칙'!$B$8,IF('제외 후보'!L1216&lt;=1.5,'선정 규칙'!$B$9,IF('제외 후보'!L1216&lt;=2,'선정 규칙'!$B$10,IF('제외 후보'!L1216&lt;=2.5,'선정 규칙'!$B$11,IF('제외 후보'!L1216&lt;=3,'선정 규칙'!$B$12,IF('제외 후보'!L1216&lt;=3.5,'선정 규칙'!$B$13,IF('제외 후보'!L1216&gt;=4.5,'선정 규칙'!$B$14,0)))))))</x:f>
        <x:v>12</x:v>
      </x:c>
      <x:c r="F1216" s="11" t="n">
        <x:f>IF('제외 후보'!Y1216=0,'선정 규칙'!$B$15,IF('제외 후보'!Y1216&gt;=100,'선정 규칙'!$B$16,'선정 규칙'!$B$17))</x:f>
        <x:v>-25</x:v>
      </x:c>
      <x:c r="G1216" s="11" t="n">
        <x:f>IF('제외 후보'!M1216="있음",'선정 규칙'!$B$18,'선정 규칙'!$B$19)</x:f>
        <x:v>6</x:v>
      </x:c>
      <x:c r="H1216" s="11" t="n">
        <x:f>IF(ISNUMBER(SEARCH("freq-core",'제외 후보'!AD1216)),'선정 규칙'!$B$20,0)</x:f>
        <x:v>0</x:v>
      </x:c>
      <x:c r="I1216" s="11" t="n">
        <x:f>IF(ISNUMBER(SEARCH("weak_legacy_content",'제외 후보'!P1216)),'선정 규칙'!$B$21,0)</x:f>
        <x:v>0</x:v>
      </x:c>
      <x:c r="J1216" s="11" t="n">
        <x:f>IF('제외 후보'!AC1216&lt;&gt;"",'선정 규칙'!$B$22,0)</x:f>
        <x:v>0</x:v>
      </x:c>
      <x:c r="K1216" s="11" t="n">
        <x:f>SUM(B1216:J1216)</x:f>
        <x:v>-7</x:v>
      </x:c>
      <x:c r="L1216" s="11" t="n">
        <x:f>'제외 후보'!N1216</x:f>
        <x:v>-7</x:v>
      </x:c>
      <x:c r="M1216" s="2" t="str">
        <x:f>IF(K1216=L1216,"OK","MISMATCH")</x:f>
        <x:v>OK</x:v>
      </x:c>
    </x:row>
    <x:row r="1217">
      <x:c r="A1217" s="2" t="str">
        <x:f>'제외 후보'!G1217</x:f>
        <x:v>w_efe85f3246a13482</x:v>
      </x:c>
      <x:c r="B1217" s="11" t="n">
        <x:f>IF('제외 후보'!Q1217&lt;&gt;"",'선정 규칙'!$B$4,0)</x:f>
        <x:v>0</x:v>
      </x:c>
      <x:c r="C1217" s="11" t="n">
        <x:f>IF(ISNUMBER(SEARCH("jmdict_uncommon_or_irregular",'제외 후보'!P1217)),'선정 규칙'!$B$5,IF(ISNUMBER(SEARCH("jmdict_rare_or_dated",'제외 후보'!P1217)),'선정 규칙'!$B$6,0))</x:f>
        <x:v>0</x:v>
      </x:c>
      <x:c r="D1217" s="11" t="n">
        <x:f>IF(ISNUMBER(SEARCH("jmdict_exact_pair_not_found",'제외 후보'!P1217)),'선정 규칙'!$B$7,0)</x:f>
        <x:v>0</x:v>
      </x:c>
      <x:c r="E1217" s="11" t="n">
        <x:f>IF(OR('제외 후보'!L1217="",'제외 후보'!L1217&lt;=0),'선정 규칙'!$B$8,IF('제외 후보'!L1217&lt;=1.5,'선정 규칙'!$B$9,IF('제외 후보'!L1217&lt;=2,'선정 규칙'!$B$10,IF('제외 후보'!L1217&lt;=2.5,'선정 규칙'!$B$11,IF('제외 후보'!L1217&lt;=3,'선정 규칙'!$B$12,IF('제외 후보'!L1217&lt;=3.5,'선정 규칙'!$B$13,IF('제외 후보'!L1217&gt;=4.5,'선정 규칙'!$B$14,0)))))))</x:f>
        <x:v>12</x:v>
      </x:c>
      <x:c r="F1217" s="11" t="n">
        <x:f>IF('제외 후보'!Y1217=0,'선정 규칙'!$B$15,IF('제외 후보'!Y1217&gt;=100,'선정 규칙'!$B$16,'선정 규칙'!$B$17))</x:f>
        <x:v>-25</x:v>
      </x:c>
      <x:c r="G1217" s="11" t="n">
        <x:f>IF('제외 후보'!M1217="있음",'선정 규칙'!$B$18,'선정 규칙'!$B$19)</x:f>
        <x:v>6</x:v>
      </x:c>
      <x:c r="H1217" s="11" t="n">
        <x:f>IF(ISNUMBER(SEARCH("freq-core",'제외 후보'!AD1217)),'선정 규칙'!$B$20,0)</x:f>
        <x:v>0</x:v>
      </x:c>
      <x:c r="I1217" s="11" t="n">
        <x:f>IF(ISNUMBER(SEARCH("weak_legacy_content",'제외 후보'!P1217)),'선정 규칙'!$B$21,0)</x:f>
        <x:v>0</x:v>
      </x:c>
      <x:c r="J1217" s="11" t="n">
        <x:f>IF('제외 후보'!AC1217&lt;&gt;"",'선정 규칙'!$B$22,0)</x:f>
        <x:v>0</x:v>
      </x:c>
      <x:c r="K1217" s="11" t="n">
        <x:f>SUM(B1217:J1217)</x:f>
        <x:v>-7</x:v>
      </x:c>
      <x:c r="L1217" s="11" t="n">
        <x:f>'제외 후보'!N1217</x:f>
        <x:v>-7</x:v>
      </x:c>
      <x:c r="M1217" s="2" t="str">
        <x:f>IF(K1217=L1217,"OK","MISMATCH")</x:f>
        <x:v>OK</x:v>
      </x:c>
    </x:row>
    <x:row r="1218">
      <x:c r="A1218" s="2" t="str">
        <x:f>'제외 후보'!G1218</x:f>
        <x:v>w_fbc8cedf156ac455</x:v>
      </x:c>
      <x:c r="B1218" s="11" t="n">
        <x:f>IF('제외 후보'!Q1218&lt;&gt;"",'선정 규칙'!$B$4,0)</x:f>
        <x:v>0</x:v>
      </x:c>
      <x:c r="C1218" s="11" t="n">
        <x:f>IF(ISNUMBER(SEARCH("jmdict_uncommon_or_irregular",'제외 후보'!P1218)),'선정 규칙'!$B$5,IF(ISNUMBER(SEARCH("jmdict_rare_or_dated",'제외 후보'!P1218)),'선정 규칙'!$B$6,0))</x:f>
        <x:v>0</x:v>
      </x:c>
      <x:c r="D1218" s="11" t="n">
        <x:f>IF(ISNUMBER(SEARCH("jmdict_exact_pair_not_found",'제외 후보'!P1218)),'선정 규칙'!$B$7,0)</x:f>
        <x:v>0</x:v>
      </x:c>
      <x:c r="E1218" s="11" t="n">
        <x:f>IF(OR('제외 후보'!L1218="",'제외 후보'!L1218&lt;=0),'선정 규칙'!$B$8,IF('제외 후보'!L1218&lt;=1.5,'선정 규칙'!$B$9,IF('제외 후보'!L1218&lt;=2,'선정 규칙'!$B$10,IF('제외 후보'!L1218&lt;=2.5,'선정 규칙'!$B$11,IF('제외 후보'!L1218&lt;=3,'선정 규칙'!$B$12,IF('제외 후보'!L1218&lt;=3.5,'선정 규칙'!$B$13,IF('제외 후보'!L1218&gt;=4.5,'선정 규칙'!$B$14,0)))))))</x:f>
        <x:v>12</x:v>
      </x:c>
      <x:c r="F1218" s="11" t="n">
        <x:f>IF('제외 후보'!Y1218=0,'선정 규칙'!$B$15,IF('제외 후보'!Y1218&gt;=100,'선정 규칙'!$B$16,'선정 규칙'!$B$17))</x:f>
        <x:v>-25</x:v>
      </x:c>
      <x:c r="G1218" s="11" t="n">
        <x:f>IF('제외 후보'!M1218="있음",'선정 규칙'!$B$18,'선정 규칙'!$B$19)</x:f>
        <x:v>6</x:v>
      </x:c>
      <x:c r="H1218" s="11" t="n">
        <x:f>IF(ISNUMBER(SEARCH("freq-core",'제외 후보'!AD1218)),'선정 규칙'!$B$20,0)</x:f>
        <x:v>0</x:v>
      </x:c>
      <x:c r="I1218" s="11" t="n">
        <x:f>IF(ISNUMBER(SEARCH("weak_legacy_content",'제외 후보'!P1218)),'선정 규칙'!$B$21,0)</x:f>
        <x:v>0</x:v>
      </x:c>
      <x:c r="J1218" s="11" t="n">
        <x:f>IF('제외 후보'!AC1218&lt;&gt;"",'선정 규칙'!$B$22,0)</x:f>
        <x:v>0</x:v>
      </x:c>
      <x:c r="K1218" s="11" t="n">
        <x:f>SUM(B1218:J1218)</x:f>
        <x:v>-7</x:v>
      </x:c>
      <x:c r="L1218" s="11" t="n">
        <x:f>'제외 후보'!N1218</x:f>
        <x:v>-7</x:v>
      </x:c>
      <x:c r="M1218" s="2" t="str">
        <x:f>IF(K1218=L1218,"OK","MISMATCH")</x:f>
        <x:v>OK</x:v>
      </x:c>
    </x:row>
    <x:row r="1219">
      <x:c r="A1219" s="2" t="str">
        <x:f>'제외 후보'!G1219</x:f>
        <x:v>w_cad45994e67b881d</x:v>
      </x:c>
      <x:c r="B1219" s="11" t="n">
        <x:f>IF('제외 후보'!Q1219&lt;&gt;"",'선정 규칙'!$B$4,0)</x:f>
        <x:v>0</x:v>
      </x:c>
      <x:c r="C1219" s="11" t="n">
        <x:f>IF(ISNUMBER(SEARCH("jmdict_uncommon_or_irregular",'제외 후보'!P1219)),'선정 규칙'!$B$5,IF(ISNUMBER(SEARCH("jmdict_rare_or_dated",'제외 후보'!P1219)),'선정 규칙'!$B$6,0))</x:f>
        <x:v>0</x:v>
      </x:c>
      <x:c r="D1219" s="11" t="n">
        <x:f>IF(ISNUMBER(SEARCH("jmdict_exact_pair_not_found",'제외 후보'!P1219)),'선정 규칙'!$B$7,0)</x:f>
        <x:v>0</x:v>
      </x:c>
      <x:c r="E1219" s="11" t="n">
        <x:f>IF(OR('제외 후보'!L1219="",'제외 후보'!L1219&lt;=0),'선정 규칙'!$B$8,IF('제외 후보'!L1219&lt;=1.5,'선정 규칙'!$B$9,IF('제외 후보'!L1219&lt;=2,'선정 규칙'!$B$10,IF('제외 후보'!L1219&lt;=2.5,'선정 규칙'!$B$11,IF('제외 후보'!L1219&lt;=3,'선정 규칙'!$B$12,IF('제외 후보'!L1219&lt;=3.5,'선정 규칙'!$B$13,IF('제외 후보'!L1219&gt;=4.5,'선정 규칙'!$B$14,0)))))))</x:f>
        <x:v>12</x:v>
      </x:c>
      <x:c r="F1219" s="11" t="n">
        <x:f>IF('제외 후보'!Y1219=0,'선정 규칙'!$B$15,IF('제외 후보'!Y1219&gt;=100,'선정 규칙'!$B$16,'선정 규칙'!$B$17))</x:f>
        <x:v>-25</x:v>
      </x:c>
      <x:c r="G1219" s="11" t="n">
        <x:f>IF('제외 후보'!M1219="있음",'선정 규칙'!$B$18,'선정 규칙'!$B$19)</x:f>
        <x:v>6</x:v>
      </x:c>
      <x:c r="H1219" s="11" t="n">
        <x:f>IF(ISNUMBER(SEARCH("freq-core",'제외 후보'!AD1219)),'선정 규칙'!$B$20,0)</x:f>
        <x:v>0</x:v>
      </x:c>
      <x:c r="I1219" s="11" t="n">
        <x:f>IF(ISNUMBER(SEARCH("weak_legacy_content",'제외 후보'!P1219)),'선정 규칙'!$B$21,0)</x:f>
        <x:v>0</x:v>
      </x:c>
      <x:c r="J1219" s="11" t="n">
        <x:f>IF('제외 후보'!AC1219&lt;&gt;"",'선정 규칙'!$B$22,0)</x:f>
        <x:v>0</x:v>
      </x:c>
      <x:c r="K1219" s="11" t="n">
        <x:f>SUM(B1219:J1219)</x:f>
        <x:v>-7</x:v>
      </x:c>
      <x:c r="L1219" s="11" t="n">
        <x:f>'제외 후보'!N1219</x:f>
        <x:v>-7</x:v>
      </x:c>
      <x:c r="M1219" s="2" t="str">
        <x:f>IF(K1219=L1219,"OK","MISMATCH")</x:f>
        <x:v>OK</x:v>
      </x:c>
    </x:row>
    <x:row r="1220">
      <x:c r="A1220" s="2" t="str">
        <x:f>'제외 후보'!G1220</x:f>
        <x:v>w_e4e05a9889537531</x:v>
      </x:c>
      <x:c r="B1220" s="11" t="n">
        <x:f>IF('제외 후보'!Q1220&lt;&gt;"",'선정 규칙'!$B$4,0)</x:f>
        <x:v>0</x:v>
      </x:c>
      <x:c r="C1220" s="11" t="n">
        <x:f>IF(ISNUMBER(SEARCH("jmdict_uncommon_or_irregular",'제외 후보'!P1220)),'선정 규칙'!$B$5,IF(ISNUMBER(SEARCH("jmdict_rare_or_dated",'제외 후보'!P1220)),'선정 규칙'!$B$6,0))</x:f>
        <x:v>0</x:v>
      </x:c>
      <x:c r="D1220" s="11" t="n">
        <x:f>IF(ISNUMBER(SEARCH("jmdict_exact_pair_not_found",'제외 후보'!P1220)),'선정 규칙'!$B$7,0)</x:f>
        <x:v>0</x:v>
      </x:c>
      <x:c r="E1220" s="11" t="n">
        <x:f>IF(OR('제외 후보'!L1220="",'제외 후보'!L1220&lt;=0),'선정 규칙'!$B$8,IF('제외 후보'!L1220&lt;=1.5,'선정 규칙'!$B$9,IF('제외 후보'!L1220&lt;=2,'선정 규칙'!$B$10,IF('제외 후보'!L1220&lt;=2.5,'선정 규칙'!$B$11,IF('제외 후보'!L1220&lt;=3,'선정 규칙'!$B$12,IF('제외 후보'!L1220&lt;=3.5,'선정 규칙'!$B$13,IF('제외 후보'!L1220&gt;=4.5,'선정 규칙'!$B$14,0)))))))</x:f>
        <x:v>12</x:v>
      </x:c>
      <x:c r="F1220" s="11" t="n">
        <x:f>IF('제외 후보'!Y1220=0,'선정 규칙'!$B$15,IF('제외 후보'!Y1220&gt;=100,'선정 규칙'!$B$16,'선정 규칙'!$B$17))</x:f>
        <x:v>-25</x:v>
      </x:c>
      <x:c r="G1220" s="11" t="n">
        <x:f>IF('제외 후보'!M1220="있음",'선정 규칙'!$B$18,'선정 규칙'!$B$19)</x:f>
        <x:v>6</x:v>
      </x:c>
      <x:c r="H1220" s="11" t="n">
        <x:f>IF(ISNUMBER(SEARCH("freq-core",'제외 후보'!AD1220)),'선정 규칙'!$B$20,0)</x:f>
        <x:v>0</x:v>
      </x:c>
      <x:c r="I1220" s="11" t="n">
        <x:f>IF(ISNUMBER(SEARCH("weak_legacy_content",'제외 후보'!P1220)),'선정 규칙'!$B$21,0)</x:f>
        <x:v>0</x:v>
      </x:c>
      <x:c r="J1220" s="11" t="n">
        <x:f>IF('제외 후보'!AC1220&lt;&gt;"",'선정 규칙'!$B$22,0)</x:f>
        <x:v>0</x:v>
      </x:c>
      <x:c r="K1220" s="11" t="n">
        <x:f>SUM(B1220:J1220)</x:f>
        <x:v>-7</x:v>
      </x:c>
      <x:c r="L1220" s="11" t="n">
        <x:f>'제외 후보'!N1220</x:f>
        <x:v>-7</x:v>
      </x:c>
      <x:c r="M1220" s="2" t="str">
        <x:f>IF(K1220=L1220,"OK","MISMATCH")</x:f>
        <x:v>OK</x:v>
      </x:c>
    </x:row>
    <x:row r="1221">
      <x:c r="A1221" s="2" t="str">
        <x:f>'제외 후보'!G1221</x:f>
        <x:v>w_1fae07d91193e34d</x:v>
      </x:c>
      <x:c r="B1221" s="11" t="n">
        <x:f>IF('제외 후보'!Q1221&lt;&gt;"",'선정 규칙'!$B$4,0)</x:f>
        <x:v>0</x:v>
      </x:c>
      <x:c r="C1221" s="11" t="n">
        <x:f>IF(ISNUMBER(SEARCH("jmdict_uncommon_or_irregular",'제외 후보'!P1221)),'선정 규칙'!$B$5,IF(ISNUMBER(SEARCH("jmdict_rare_or_dated",'제외 후보'!P1221)),'선정 규칙'!$B$6,0))</x:f>
        <x:v>0</x:v>
      </x:c>
      <x:c r="D1221" s="11" t="n">
        <x:f>IF(ISNUMBER(SEARCH("jmdict_exact_pair_not_found",'제외 후보'!P1221)),'선정 규칙'!$B$7,0)</x:f>
        <x:v>0</x:v>
      </x:c>
      <x:c r="E1221" s="11" t="n">
        <x:f>IF(OR('제외 후보'!L1221="",'제외 후보'!L1221&lt;=0),'선정 규칙'!$B$8,IF('제외 후보'!L1221&lt;=1.5,'선정 규칙'!$B$9,IF('제외 후보'!L1221&lt;=2,'선정 규칙'!$B$10,IF('제외 후보'!L1221&lt;=2.5,'선정 규칙'!$B$11,IF('제외 후보'!L1221&lt;=3,'선정 규칙'!$B$12,IF('제외 후보'!L1221&lt;=3.5,'선정 규칙'!$B$13,IF('제외 후보'!L1221&gt;=4.5,'선정 규칙'!$B$14,0)))))))</x:f>
        <x:v>12</x:v>
      </x:c>
      <x:c r="F1221" s="11" t="n">
        <x:f>IF('제외 후보'!Y1221=0,'선정 규칙'!$B$15,IF('제외 후보'!Y1221&gt;=100,'선정 규칙'!$B$16,'선정 규칙'!$B$17))</x:f>
        <x:v>-25</x:v>
      </x:c>
      <x:c r="G1221" s="11" t="n">
        <x:f>IF('제외 후보'!M1221="있음",'선정 규칙'!$B$18,'선정 규칙'!$B$19)</x:f>
        <x:v>6</x:v>
      </x:c>
      <x:c r="H1221" s="11" t="n">
        <x:f>IF(ISNUMBER(SEARCH("freq-core",'제외 후보'!AD1221)),'선정 규칙'!$B$20,0)</x:f>
        <x:v>0</x:v>
      </x:c>
      <x:c r="I1221" s="11" t="n">
        <x:f>IF(ISNUMBER(SEARCH("weak_legacy_content",'제외 후보'!P1221)),'선정 규칙'!$B$21,0)</x:f>
        <x:v>0</x:v>
      </x:c>
      <x:c r="J1221" s="11" t="n">
        <x:f>IF('제외 후보'!AC1221&lt;&gt;"",'선정 규칙'!$B$22,0)</x:f>
        <x:v>0</x:v>
      </x:c>
      <x:c r="K1221" s="11" t="n">
        <x:f>SUM(B1221:J1221)</x:f>
        <x:v>-7</x:v>
      </x:c>
      <x:c r="L1221" s="11" t="n">
        <x:f>'제외 후보'!N1221</x:f>
        <x:v>-7</x:v>
      </x:c>
      <x:c r="M1221" s="2" t="str">
        <x:f>IF(K1221=L1221,"OK","MISMATCH")</x:f>
        <x:v>OK</x:v>
      </x:c>
    </x:row>
    <x:row r="1222">
      <x:c r="A1222" s="2" t="str">
        <x:f>'제외 후보'!G1222</x:f>
        <x:v>w_5dbfbc1d6e28d829</x:v>
      </x:c>
      <x:c r="B1222" s="11" t="n">
        <x:f>IF('제외 후보'!Q1222&lt;&gt;"",'선정 규칙'!$B$4,0)</x:f>
        <x:v>0</x:v>
      </x:c>
      <x:c r="C1222" s="11" t="n">
        <x:f>IF(ISNUMBER(SEARCH("jmdict_uncommon_or_irregular",'제외 후보'!P1222)),'선정 규칙'!$B$5,IF(ISNUMBER(SEARCH("jmdict_rare_or_dated",'제외 후보'!P1222)),'선정 규칙'!$B$6,0))</x:f>
        <x:v>0</x:v>
      </x:c>
      <x:c r="D1222" s="11" t="n">
        <x:f>IF(ISNUMBER(SEARCH("jmdict_exact_pair_not_found",'제외 후보'!P1222)),'선정 규칙'!$B$7,0)</x:f>
        <x:v>0</x:v>
      </x:c>
      <x:c r="E1222" s="11" t="n">
        <x:f>IF(OR('제외 후보'!L1222="",'제외 후보'!L1222&lt;=0),'선정 규칙'!$B$8,IF('제외 후보'!L1222&lt;=1.5,'선정 규칙'!$B$9,IF('제외 후보'!L1222&lt;=2,'선정 규칙'!$B$10,IF('제외 후보'!L1222&lt;=2.5,'선정 규칙'!$B$11,IF('제외 후보'!L1222&lt;=3,'선정 규칙'!$B$12,IF('제외 후보'!L1222&lt;=3.5,'선정 규칙'!$B$13,IF('제외 후보'!L1222&gt;=4.5,'선정 규칙'!$B$14,0)))))))</x:f>
        <x:v>12</x:v>
      </x:c>
      <x:c r="F1222" s="11" t="n">
        <x:f>IF('제외 후보'!Y1222=0,'선정 규칙'!$B$15,IF('제외 후보'!Y1222&gt;=100,'선정 규칙'!$B$16,'선정 규칙'!$B$17))</x:f>
        <x:v>-25</x:v>
      </x:c>
      <x:c r="G1222" s="11" t="n">
        <x:f>IF('제외 후보'!M1222="있음",'선정 규칙'!$B$18,'선정 규칙'!$B$19)</x:f>
        <x:v>6</x:v>
      </x:c>
      <x:c r="H1222" s="11" t="n">
        <x:f>IF(ISNUMBER(SEARCH("freq-core",'제외 후보'!AD1222)),'선정 규칙'!$B$20,0)</x:f>
        <x:v>0</x:v>
      </x:c>
      <x:c r="I1222" s="11" t="n">
        <x:f>IF(ISNUMBER(SEARCH("weak_legacy_content",'제외 후보'!P1222)),'선정 규칙'!$B$21,0)</x:f>
        <x:v>0</x:v>
      </x:c>
      <x:c r="J1222" s="11" t="n">
        <x:f>IF('제외 후보'!AC1222&lt;&gt;"",'선정 규칙'!$B$22,0)</x:f>
        <x:v>0</x:v>
      </x:c>
      <x:c r="K1222" s="11" t="n">
        <x:f>SUM(B1222:J1222)</x:f>
        <x:v>-7</x:v>
      </x:c>
      <x:c r="L1222" s="11" t="n">
        <x:f>'제외 후보'!N1222</x:f>
        <x:v>-7</x:v>
      </x:c>
      <x:c r="M1222" s="2" t="str">
        <x:f>IF(K1222=L1222,"OK","MISMATCH")</x:f>
        <x:v>OK</x:v>
      </x:c>
    </x:row>
    <x:row r="1223">
      <x:c r="A1223" s="2" t="str">
        <x:f>'제외 후보'!G1223</x:f>
        <x:v>w_1550e1c34be164e4</x:v>
      </x:c>
      <x:c r="B1223" s="11" t="n">
        <x:f>IF('제외 후보'!Q1223&lt;&gt;"",'선정 규칙'!$B$4,0)</x:f>
        <x:v>0</x:v>
      </x:c>
      <x:c r="C1223" s="11" t="n">
        <x:f>IF(ISNUMBER(SEARCH("jmdict_uncommon_or_irregular",'제외 후보'!P1223)),'선정 규칙'!$B$5,IF(ISNUMBER(SEARCH("jmdict_rare_or_dated",'제외 후보'!P1223)),'선정 규칙'!$B$6,0))</x:f>
        <x:v>0</x:v>
      </x:c>
      <x:c r="D1223" s="11" t="n">
        <x:f>IF(ISNUMBER(SEARCH("jmdict_exact_pair_not_found",'제외 후보'!P1223)),'선정 규칙'!$B$7,0)</x:f>
        <x:v>0</x:v>
      </x:c>
      <x:c r="E1223" s="11" t="n">
        <x:f>IF(OR('제외 후보'!L1223="",'제외 후보'!L1223&lt;=0),'선정 규칙'!$B$8,IF('제외 후보'!L1223&lt;=1.5,'선정 규칙'!$B$9,IF('제외 후보'!L1223&lt;=2,'선정 규칙'!$B$10,IF('제외 후보'!L1223&lt;=2.5,'선정 규칙'!$B$11,IF('제외 후보'!L1223&lt;=3,'선정 규칙'!$B$12,IF('제외 후보'!L1223&lt;=3.5,'선정 규칙'!$B$13,IF('제외 후보'!L1223&gt;=4.5,'선정 규칙'!$B$14,0)))))))</x:f>
        <x:v>12</x:v>
      </x:c>
      <x:c r="F1223" s="11" t="n">
        <x:f>IF('제외 후보'!Y1223=0,'선정 규칙'!$B$15,IF('제외 후보'!Y1223&gt;=100,'선정 규칙'!$B$16,'선정 규칙'!$B$17))</x:f>
        <x:v>-25</x:v>
      </x:c>
      <x:c r="G1223" s="11" t="n">
        <x:f>IF('제외 후보'!M1223="있음",'선정 규칙'!$B$18,'선정 규칙'!$B$19)</x:f>
        <x:v>6</x:v>
      </x:c>
      <x:c r="H1223" s="11" t="n">
        <x:f>IF(ISNUMBER(SEARCH("freq-core",'제외 후보'!AD1223)),'선정 규칙'!$B$20,0)</x:f>
        <x:v>0</x:v>
      </x:c>
      <x:c r="I1223" s="11" t="n">
        <x:f>IF(ISNUMBER(SEARCH("weak_legacy_content",'제외 후보'!P1223)),'선정 규칙'!$B$21,0)</x:f>
        <x:v>0</x:v>
      </x:c>
      <x:c r="J1223" s="11" t="n">
        <x:f>IF('제외 후보'!AC1223&lt;&gt;"",'선정 규칙'!$B$22,0)</x:f>
        <x:v>0</x:v>
      </x:c>
      <x:c r="K1223" s="11" t="n">
        <x:f>SUM(B1223:J1223)</x:f>
        <x:v>-7</x:v>
      </x:c>
      <x:c r="L1223" s="11" t="n">
        <x:f>'제외 후보'!N1223</x:f>
        <x:v>-7</x:v>
      </x:c>
      <x:c r="M1223" s="2" t="str">
        <x:f>IF(K1223=L1223,"OK","MISMATCH")</x:f>
        <x:v>OK</x:v>
      </x:c>
    </x:row>
    <x:row r="1224">
      <x:c r="A1224" s="2" t="str">
        <x:f>'제외 후보'!G1224</x:f>
        <x:v>w_594aaafa80f4b28a</x:v>
      </x:c>
      <x:c r="B1224" s="11" t="n">
        <x:f>IF('제외 후보'!Q1224&lt;&gt;"",'선정 규칙'!$B$4,0)</x:f>
        <x:v>0</x:v>
      </x:c>
      <x:c r="C1224" s="11" t="n">
        <x:f>IF(ISNUMBER(SEARCH("jmdict_uncommon_or_irregular",'제외 후보'!P1224)),'선정 규칙'!$B$5,IF(ISNUMBER(SEARCH("jmdict_rare_or_dated",'제외 후보'!P1224)),'선정 규칙'!$B$6,0))</x:f>
        <x:v>0</x:v>
      </x:c>
      <x:c r="D1224" s="11" t="n">
        <x:f>IF(ISNUMBER(SEARCH("jmdict_exact_pair_not_found",'제외 후보'!P1224)),'선정 규칙'!$B$7,0)</x:f>
        <x:v>0</x:v>
      </x:c>
      <x:c r="E1224" s="11" t="n">
        <x:f>IF(OR('제외 후보'!L1224="",'제외 후보'!L1224&lt;=0),'선정 규칙'!$B$8,IF('제외 후보'!L1224&lt;=1.5,'선정 규칙'!$B$9,IF('제외 후보'!L1224&lt;=2,'선정 규칙'!$B$10,IF('제외 후보'!L1224&lt;=2.5,'선정 규칙'!$B$11,IF('제외 후보'!L1224&lt;=3,'선정 규칙'!$B$12,IF('제외 후보'!L1224&lt;=3.5,'선정 규칙'!$B$13,IF('제외 후보'!L1224&gt;=4.5,'선정 규칙'!$B$14,0)))))))</x:f>
        <x:v>12</x:v>
      </x:c>
      <x:c r="F1224" s="11" t="n">
        <x:f>IF('제외 후보'!Y1224=0,'선정 규칙'!$B$15,IF('제외 후보'!Y1224&gt;=100,'선정 규칙'!$B$16,'선정 규칙'!$B$17))</x:f>
        <x:v>-25</x:v>
      </x:c>
      <x:c r="G1224" s="11" t="n">
        <x:f>IF('제외 후보'!M1224="있음",'선정 규칙'!$B$18,'선정 규칙'!$B$19)</x:f>
        <x:v>6</x:v>
      </x:c>
      <x:c r="H1224" s="11" t="n">
        <x:f>IF(ISNUMBER(SEARCH("freq-core",'제외 후보'!AD1224)),'선정 규칙'!$B$20,0)</x:f>
        <x:v>0</x:v>
      </x:c>
      <x:c r="I1224" s="11" t="n">
        <x:f>IF(ISNUMBER(SEARCH("weak_legacy_content",'제외 후보'!P1224)),'선정 규칙'!$B$21,0)</x:f>
        <x:v>0</x:v>
      </x:c>
      <x:c r="J1224" s="11" t="n">
        <x:f>IF('제외 후보'!AC1224&lt;&gt;"",'선정 규칙'!$B$22,0)</x:f>
        <x:v>0</x:v>
      </x:c>
      <x:c r="K1224" s="11" t="n">
        <x:f>SUM(B1224:J1224)</x:f>
        <x:v>-7</x:v>
      </x:c>
      <x:c r="L1224" s="11" t="n">
        <x:f>'제외 후보'!N1224</x:f>
        <x:v>-7</x:v>
      </x:c>
      <x:c r="M1224" s="2" t="str">
        <x:f>IF(K1224=L1224,"OK","MISMATCH")</x:f>
        <x:v>OK</x:v>
      </x:c>
    </x:row>
    <x:row r="1225">
      <x:c r="A1225" s="2" t="str">
        <x:f>'제외 후보'!G1225</x:f>
        <x:v>w_e4bdfd0f8c9326a2</x:v>
      </x:c>
      <x:c r="B1225" s="11" t="n">
        <x:f>IF('제외 후보'!Q1225&lt;&gt;"",'선정 규칙'!$B$4,0)</x:f>
        <x:v>0</x:v>
      </x:c>
      <x:c r="C1225" s="11" t="n">
        <x:f>IF(ISNUMBER(SEARCH("jmdict_uncommon_or_irregular",'제외 후보'!P1225)),'선정 규칙'!$B$5,IF(ISNUMBER(SEARCH("jmdict_rare_or_dated",'제외 후보'!P1225)),'선정 규칙'!$B$6,0))</x:f>
        <x:v>0</x:v>
      </x:c>
      <x:c r="D1225" s="11" t="n">
        <x:f>IF(ISNUMBER(SEARCH("jmdict_exact_pair_not_found",'제외 후보'!P1225)),'선정 규칙'!$B$7,0)</x:f>
        <x:v>0</x:v>
      </x:c>
      <x:c r="E1225" s="11" t="n">
        <x:f>IF(OR('제외 후보'!L1225="",'제외 후보'!L1225&lt;=0),'선정 규칙'!$B$8,IF('제외 후보'!L1225&lt;=1.5,'선정 규칙'!$B$9,IF('제외 후보'!L1225&lt;=2,'선정 규칙'!$B$10,IF('제외 후보'!L1225&lt;=2.5,'선정 규칙'!$B$11,IF('제외 후보'!L1225&lt;=3,'선정 규칙'!$B$12,IF('제외 후보'!L1225&lt;=3.5,'선정 규칙'!$B$13,IF('제외 후보'!L1225&gt;=4.5,'선정 규칙'!$B$14,0)))))))</x:f>
        <x:v>12</x:v>
      </x:c>
      <x:c r="F1225" s="11" t="n">
        <x:f>IF('제외 후보'!Y1225=0,'선정 규칙'!$B$15,IF('제외 후보'!Y1225&gt;=100,'선정 규칙'!$B$16,'선정 규칙'!$B$17))</x:f>
        <x:v>-25</x:v>
      </x:c>
      <x:c r="G1225" s="11" t="n">
        <x:f>IF('제외 후보'!M1225="있음",'선정 규칙'!$B$18,'선정 규칙'!$B$19)</x:f>
        <x:v>6</x:v>
      </x:c>
      <x:c r="H1225" s="11" t="n">
        <x:f>IF(ISNUMBER(SEARCH("freq-core",'제외 후보'!AD1225)),'선정 규칙'!$B$20,0)</x:f>
        <x:v>0</x:v>
      </x:c>
      <x:c r="I1225" s="11" t="n">
        <x:f>IF(ISNUMBER(SEARCH("weak_legacy_content",'제외 후보'!P1225)),'선정 규칙'!$B$21,0)</x:f>
        <x:v>0</x:v>
      </x:c>
      <x:c r="J1225" s="11" t="n">
        <x:f>IF('제외 후보'!AC1225&lt;&gt;"",'선정 규칙'!$B$22,0)</x:f>
        <x:v>0</x:v>
      </x:c>
      <x:c r="K1225" s="11" t="n">
        <x:f>SUM(B1225:J1225)</x:f>
        <x:v>-7</x:v>
      </x:c>
      <x:c r="L1225" s="11" t="n">
        <x:f>'제외 후보'!N1225</x:f>
        <x:v>-7</x:v>
      </x:c>
      <x:c r="M1225" s="2" t="str">
        <x:f>IF(K1225=L1225,"OK","MISMATCH")</x:f>
        <x:v>OK</x:v>
      </x:c>
    </x:row>
    <x:row r="1226">
      <x:c r="A1226" s="2" t="str">
        <x:f>'제외 후보'!G1226</x:f>
        <x:v>w_1471aa8114e77f9f</x:v>
      </x:c>
      <x:c r="B1226" s="11" t="n">
        <x:f>IF('제외 후보'!Q1226&lt;&gt;"",'선정 규칙'!$B$4,0)</x:f>
        <x:v>0</x:v>
      </x:c>
      <x:c r="C1226" s="11" t="n">
        <x:f>IF(ISNUMBER(SEARCH("jmdict_uncommon_or_irregular",'제외 후보'!P1226)),'선정 규칙'!$B$5,IF(ISNUMBER(SEARCH("jmdict_rare_or_dated",'제외 후보'!P1226)),'선정 규칙'!$B$6,0))</x:f>
        <x:v>0</x:v>
      </x:c>
      <x:c r="D1226" s="11" t="n">
        <x:f>IF(ISNUMBER(SEARCH("jmdict_exact_pair_not_found",'제외 후보'!P1226)),'선정 규칙'!$B$7,0)</x:f>
        <x:v>0</x:v>
      </x:c>
      <x:c r="E1226" s="11" t="n">
        <x:f>IF(OR('제외 후보'!L1226="",'제외 후보'!L1226&lt;=0),'선정 규칙'!$B$8,IF('제외 후보'!L1226&lt;=1.5,'선정 규칙'!$B$9,IF('제외 후보'!L1226&lt;=2,'선정 규칙'!$B$10,IF('제외 후보'!L1226&lt;=2.5,'선정 규칙'!$B$11,IF('제외 후보'!L1226&lt;=3,'선정 규칙'!$B$12,IF('제외 후보'!L1226&lt;=3.5,'선정 규칙'!$B$13,IF('제외 후보'!L1226&gt;=4.5,'선정 규칙'!$B$14,0)))))))</x:f>
        <x:v>12</x:v>
      </x:c>
      <x:c r="F1226" s="11" t="n">
        <x:f>IF('제외 후보'!Y1226=0,'선정 규칙'!$B$15,IF('제외 후보'!Y1226&gt;=100,'선정 규칙'!$B$16,'선정 규칙'!$B$17))</x:f>
        <x:v>-25</x:v>
      </x:c>
      <x:c r="G1226" s="11" t="n">
        <x:f>IF('제외 후보'!M1226="있음",'선정 규칙'!$B$18,'선정 규칙'!$B$19)</x:f>
        <x:v>6</x:v>
      </x:c>
      <x:c r="H1226" s="11" t="n">
        <x:f>IF(ISNUMBER(SEARCH("freq-core",'제외 후보'!AD1226)),'선정 규칙'!$B$20,0)</x:f>
        <x:v>0</x:v>
      </x:c>
      <x:c r="I1226" s="11" t="n">
        <x:f>IF(ISNUMBER(SEARCH("weak_legacy_content",'제외 후보'!P1226)),'선정 규칙'!$B$21,0)</x:f>
        <x:v>0</x:v>
      </x:c>
      <x:c r="J1226" s="11" t="n">
        <x:f>IF('제외 후보'!AC1226&lt;&gt;"",'선정 규칙'!$B$22,0)</x:f>
        <x:v>0</x:v>
      </x:c>
      <x:c r="K1226" s="11" t="n">
        <x:f>SUM(B1226:J1226)</x:f>
        <x:v>-7</x:v>
      </x:c>
      <x:c r="L1226" s="11" t="n">
        <x:f>'제외 후보'!N1226</x:f>
        <x:v>-7</x:v>
      </x:c>
      <x:c r="M1226" s="2" t="str">
        <x:f>IF(K1226=L1226,"OK","MISMATCH")</x:f>
        <x:v>OK</x:v>
      </x:c>
    </x:row>
    <x:row r="1227">
      <x:c r="A1227" s="2" t="str">
        <x:f>'제외 후보'!G1227</x:f>
        <x:v>w_19bac1234743303b</x:v>
      </x:c>
      <x:c r="B1227" s="11" t="n">
        <x:f>IF('제외 후보'!Q1227&lt;&gt;"",'선정 규칙'!$B$4,0)</x:f>
        <x:v>0</x:v>
      </x:c>
      <x:c r="C1227" s="11" t="n">
        <x:f>IF(ISNUMBER(SEARCH("jmdict_uncommon_or_irregular",'제외 후보'!P1227)),'선정 규칙'!$B$5,IF(ISNUMBER(SEARCH("jmdict_rare_or_dated",'제외 후보'!P1227)),'선정 규칙'!$B$6,0))</x:f>
        <x:v>0</x:v>
      </x:c>
      <x:c r="D1227" s="11" t="n">
        <x:f>IF(ISNUMBER(SEARCH("jmdict_exact_pair_not_found",'제외 후보'!P1227)),'선정 규칙'!$B$7,0)</x:f>
        <x:v>0</x:v>
      </x:c>
      <x:c r="E1227" s="11" t="n">
        <x:f>IF(OR('제외 후보'!L1227="",'제외 후보'!L1227&lt;=0),'선정 규칙'!$B$8,IF('제외 후보'!L1227&lt;=1.5,'선정 규칙'!$B$9,IF('제외 후보'!L1227&lt;=2,'선정 규칙'!$B$10,IF('제외 후보'!L1227&lt;=2.5,'선정 규칙'!$B$11,IF('제외 후보'!L1227&lt;=3,'선정 규칙'!$B$12,IF('제외 후보'!L1227&lt;=3.5,'선정 규칙'!$B$13,IF('제외 후보'!L1227&gt;=4.5,'선정 규칙'!$B$14,0)))))))</x:f>
        <x:v>12</x:v>
      </x:c>
      <x:c r="F1227" s="11" t="n">
        <x:f>IF('제외 후보'!Y1227=0,'선정 규칙'!$B$15,IF('제외 후보'!Y1227&gt;=100,'선정 규칙'!$B$16,'선정 규칙'!$B$17))</x:f>
        <x:v>-25</x:v>
      </x:c>
      <x:c r="G1227" s="11" t="n">
        <x:f>IF('제외 후보'!M1227="있음",'선정 규칙'!$B$18,'선정 규칙'!$B$19)</x:f>
        <x:v>6</x:v>
      </x:c>
      <x:c r="H1227" s="11" t="n">
        <x:f>IF(ISNUMBER(SEARCH("freq-core",'제외 후보'!AD1227)),'선정 규칙'!$B$20,0)</x:f>
        <x:v>0</x:v>
      </x:c>
      <x:c r="I1227" s="11" t="n">
        <x:f>IF(ISNUMBER(SEARCH("weak_legacy_content",'제외 후보'!P1227)),'선정 규칙'!$B$21,0)</x:f>
        <x:v>0</x:v>
      </x:c>
      <x:c r="J1227" s="11" t="n">
        <x:f>IF('제외 후보'!AC1227&lt;&gt;"",'선정 규칙'!$B$22,0)</x:f>
        <x:v>0</x:v>
      </x:c>
      <x:c r="K1227" s="11" t="n">
        <x:f>SUM(B1227:J1227)</x:f>
        <x:v>-7</x:v>
      </x:c>
      <x:c r="L1227" s="11" t="n">
        <x:f>'제외 후보'!N1227</x:f>
        <x:v>-7</x:v>
      </x:c>
      <x:c r="M1227" s="2" t="str">
        <x:f>IF(K1227=L1227,"OK","MISMATCH")</x:f>
        <x:v>OK</x:v>
      </x:c>
    </x:row>
    <x:row r="1228">
      <x:c r="A1228" s="2" t="str">
        <x:f>'제외 후보'!G1228</x:f>
        <x:v>w_8e8e619883455076</x:v>
      </x:c>
      <x:c r="B1228" s="11" t="n">
        <x:f>IF('제외 후보'!Q1228&lt;&gt;"",'선정 규칙'!$B$4,0)</x:f>
        <x:v>0</x:v>
      </x:c>
      <x:c r="C1228" s="11" t="n">
        <x:f>IF(ISNUMBER(SEARCH("jmdict_uncommon_or_irregular",'제외 후보'!P1228)),'선정 규칙'!$B$5,IF(ISNUMBER(SEARCH("jmdict_rare_or_dated",'제외 후보'!P1228)),'선정 규칙'!$B$6,0))</x:f>
        <x:v>0</x:v>
      </x:c>
      <x:c r="D1228" s="11" t="n">
        <x:f>IF(ISNUMBER(SEARCH("jmdict_exact_pair_not_found",'제외 후보'!P1228)),'선정 규칙'!$B$7,0)</x:f>
        <x:v>0</x:v>
      </x:c>
      <x:c r="E1228" s="11" t="n">
        <x:f>IF(OR('제외 후보'!L1228="",'제외 후보'!L1228&lt;=0),'선정 규칙'!$B$8,IF('제외 후보'!L1228&lt;=1.5,'선정 규칙'!$B$9,IF('제외 후보'!L1228&lt;=2,'선정 규칙'!$B$10,IF('제외 후보'!L1228&lt;=2.5,'선정 규칙'!$B$11,IF('제외 후보'!L1228&lt;=3,'선정 규칙'!$B$12,IF('제외 후보'!L1228&lt;=3.5,'선정 규칙'!$B$13,IF('제외 후보'!L1228&gt;=4.5,'선정 규칙'!$B$14,0)))))))</x:f>
        <x:v>12</x:v>
      </x:c>
      <x:c r="F1228" s="11" t="n">
        <x:f>IF('제외 후보'!Y1228=0,'선정 규칙'!$B$15,IF('제외 후보'!Y1228&gt;=100,'선정 규칙'!$B$16,'선정 규칙'!$B$17))</x:f>
        <x:v>-25</x:v>
      </x:c>
      <x:c r="G1228" s="11" t="n">
        <x:f>IF('제외 후보'!M1228="있음",'선정 규칙'!$B$18,'선정 규칙'!$B$19)</x:f>
        <x:v>6</x:v>
      </x:c>
      <x:c r="H1228" s="11" t="n">
        <x:f>IF(ISNUMBER(SEARCH("freq-core",'제외 후보'!AD1228)),'선정 규칙'!$B$20,0)</x:f>
        <x:v>0</x:v>
      </x:c>
      <x:c r="I1228" s="11" t="n">
        <x:f>IF(ISNUMBER(SEARCH("weak_legacy_content",'제외 후보'!P1228)),'선정 규칙'!$B$21,0)</x:f>
        <x:v>0</x:v>
      </x:c>
      <x:c r="J1228" s="11" t="n">
        <x:f>IF('제외 후보'!AC1228&lt;&gt;"",'선정 규칙'!$B$22,0)</x:f>
        <x:v>0</x:v>
      </x:c>
      <x:c r="K1228" s="11" t="n">
        <x:f>SUM(B1228:J1228)</x:f>
        <x:v>-7</x:v>
      </x:c>
      <x:c r="L1228" s="11" t="n">
        <x:f>'제외 후보'!N1228</x:f>
        <x:v>-7</x:v>
      </x:c>
      <x:c r="M1228" s="2" t="str">
        <x:f>IF(K1228=L1228,"OK","MISMATCH")</x:f>
        <x:v>OK</x:v>
      </x:c>
    </x:row>
    <x:row r="1229">
      <x:c r="A1229" s="2" t="str">
        <x:f>'제외 후보'!G1229</x:f>
        <x:v>w_093c9965bf290ed5</x:v>
      </x:c>
      <x:c r="B1229" s="11" t="n">
        <x:f>IF('제외 후보'!Q1229&lt;&gt;"",'선정 규칙'!$B$4,0)</x:f>
        <x:v>0</x:v>
      </x:c>
      <x:c r="C1229" s="11" t="n">
        <x:f>IF(ISNUMBER(SEARCH("jmdict_uncommon_or_irregular",'제외 후보'!P1229)),'선정 규칙'!$B$5,IF(ISNUMBER(SEARCH("jmdict_rare_or_dated",'제외 후보'!P1229)),'선정 규칙'!$B$6,0))</x:f>
        <x:v>0</x:v>
      </x:c>
      <x:c r="D1229" s="11" t="n">
        <x:f>IF(ISNUMBER(SEARCH("jmdict_exact_pair_not_found",'제외 후보'!P1229)),'선정 규칙'!$B$7,0)</x:f>
        <x:v>0</x:v>
      </x:c>
      <x:c r="E1229" s="11" t="n">
        <x:f>IF(OR('제외 후보'!L1229="",'제외 후보'!L1229&lt;=0),'선정 규칙'!$B$8,IF('제외 후보'!L1229&lt;=1.5,'선정 규칙'!$B$9,IF('제외 후보'!L1229&lt;=2,'선정 규칙'!$B$10,IF('제외 후보'!L1229&lt;=2.5,'선정 규칙'!$B$11,IF('제외 후보'!L1229&lt;=3,'선정 규칙'!$B$12,IF('제외 후보'!L1229&lt;=3.5,'선정 규칙'!$B$13,IF('제외 후보'!L1229&gt;=4.5,'선정 규칙'!$B$14,0)))))))</x:f>
        <x:v>12</x:v>
      </x:c>
      <x:c r="F1229" s="11" t="n">
        <x:f>IF('제외 후보'!Y1229=0,'선정 규칙'!$B$15,IF('제외 후보'!Y1229&gt;=100,'선정 규칙'!$B$16,'선정 규칙'!$B$17))</x:f>
        <x:v>-25</x:v>
      </x:c>
      <x:c r="G1229" s="11" t="n">
        <x:f>IF('제외 후보'!M1229="있음",'선정 규칙'!$B$18,'선정 규칙'!$B$19)</x:f>
        <x:v>6</x:v>
      </x:c>
      <x:c r="H1229" s="11" t="n">
        <x:f>IF(ISNUMBER(SEARCH("freq-core",'제외 후보'!AD1229)),'선정 규칙'!$B$20,0)</x:f>
        <x:v>0</x:v>
      </x:c>
      <x:c r="I1229" s="11" t="n">
        <x:f>IF(ISNUMBER(SEARCH("weak_legacy_content",'제외 후보'!P1229)),'선정 규칙'!$B$21,0)</x:f>
        <x:v>0</x:v>
      </x:c>
      <x:c r="J1229" s="11" t="n">
        <x:f>IF('제외 후보'!AC1229&lt;&gt;"",'선정 규칙'!$B$22,0)</x:f>
        <x:v>0</x:v>
      </x:c>
      <x:c r="K1229" s="11" t="n">
        <x:f>SUM(B1229:J1229)</x:f>
        <x:v>-7</x:v>
      </x:c>
      <x:c r="L1229" s="11" t="n">
        <x:f>'제외 후보'!N1229</x:f>
        <x:v>-7</x:v>
      </x:c>
      <x:c r="M1229" s="2" t="str">
        <x:f>IF(K1229=L1229,"OK","MISMATCH")</x:f>
        <x:v>OK</x:v>
      </x:c>
    </x:row>
    <x:row r="1230">
      <x:c r="A1230" s="2" t="str">
        <x:f>'제외 후보'!G1230</x:f>
        <x:v>w_103c9f81122409c7</x:v>
      </x:c>
      <x:c r="B1230" s="11" t="n">
        <x:f>IF('제외 후보'!Q1230&lt;&gt;"",'선정 규칙'!$B$4,0)</x:f>
        <x:v>0</x:v>
      </x:c>
      <x:c r="C1230" s="11" t="n">
        <x:f>IF(ISNUMBER(SEARCH("jmdict_uncommon_or_irregular",'제외 후보'!P1230)),'선정 규칙'!$B$5,IF(ISNUMBER(SEARCH("jmdict_rare_or_dated",'제외 후보'!P1230)),'선정 규칙'!$B$6,0))</x:f>
        <x:v>0</x:v>
      </x:c>
      <x:c r="D1230" s="11" t="n">
        <x:f>IF(ISNUMBER(SEARCH("jmdict_exact_pair_not_found",'제외 후보'!P1230)),'선정 규칙'!$B$7,0)</x:f>
        <x:v>0</x:v>
      </x:c>
      <x:c r="E1230" s="11" t="n">
        <x:f>IF(OR('제외 후보'!L1230="",'제외 후보'!L1230&lt;=0),'선정 규칙'!$B$8,IF('제외 후보'!L1230&lt;=1.5,'선정 규칙'!$B$9,IF('제외 후보'!L1230&lt;=2,'선정 규칙'!$B$10,IF('제외 후보'!L1230&lt;=2.5,'선정 규칙'!$B$11,IF('제외 후보'!L1230&lt;=3,'선정 규칙'!$B$12,IF('제외 후보'!L1230&lt;=3.5,'선정 규칙'!$B$13,IF('제외 후보'!L1230&gt;=4.5,'선정 규칙'!$B$14,0)))))))</x:f>
        <x:v>12</x:v>
      </x:c>
      <x:c r="F1230" s="11" t="n">
        <x:f>IF('제외 후보'!Y1230=0,'선정 규칙'!$B$15,IF('제외 후보'!Y1230&gt;=100,'선정 규칙'!$B$16,'선정 규칙'!$B$17))</x:f>
        <x:v>-25</x:v>
      </x:c>
      <x:c r="G1230" s="11" t="n">
        <x:f>IF('제외 후보'!M1230="있음",'선정 규칙'!$B$18,'선정 규칙'!$B$19)</x:f>
        <x:v>6</x:v>
      </x:c>
      <x:c r="H1230" s="11" t="n">
        <x:f>IF(ISNUMBER(SEARCH("freq-core",'제외 후보'!AD1230)),'선정 규칙'!$B$20,0)</x:f>
        <x:v>0</x:v>
      </x:c>
      <x:c r="I1230" s="11" t="n">
        <x:f>IF(ISNUMBER(SEARCH("weak_legacy_content",'제외 후보'!P1230)),'선정 규칙'!$B$21,0)</x:f>
        <x:v>0</x:v>
      </x:c>
      <x:c r="J1230" s="11" t="n">
        <x:f>IF('제외 후보'!AC1230&lt;&gt;"",'선정 규칙'!$B$22,0)</x:f>
        <x:v>0</x:v>
      </x:c>
      <x:c r="K1230" s="11" t="n">
        <x:f>SUM(B1230:J1230)</x:f>
        <x:v>-7</x:v>
      </x:c>
      <x:c r="L1230" s="11" t="n">
        <x:f>'제외 후보'!N1230</x:f>
        <x:v>-7</x:v>
      </x:c>
      <x:c r="M1230" s="2" t="str">
        <x:f>IF(K1230=L1230,"OK","MISMATCH")</x:f>
        <x:v>OK</x:v>
      </x:c>
    </x:row>
    <x:row r="1231">
      <x:c r="A1231" s="2" t="str">
        <x:f>'제외 후보'!G1231</x:f>
        <x:v>w_1d730ec44af3353d</x:v>
      </x:c>
      <x:c r="B1231" s="11" t="n">
        <x:f>IF('제외 후보'!Q1231&lt;&gt;"",'선정 규칙'!$B$4,0)</x:f>
        <x:v>0</x:v>
      </x:c>
      <x:c r="C1231" s="11" t="n">
        <x:f>IF(ISNUMBER(SEARCH("jmdict_uncommon_or_irregular",'제외 후보'!P1231)),'선정 규칙'!$B$5,IF(ISNUMBER(SEARCH("jmdict_rare_or_dated",'제외 후보'!P1231)),'선정 규칙'!$B$6,0))</x:f>
        <x:v>0</x:v>
      </x:c>
      <x:c r="D1231" s="11" t="n">
        <x:f>IF(ISNUMBER(SEARCH("jmdict_exact_pair_not_found",'제외 후보'!P1231)),'선정 규칙'!$B$7,0)</x:f>
        <x:v>0</x:v>
      </x:c>
      <x:c r="E1231" s="11" t="n">
        <x:f>IF(OR('제외 후보'!L1231="",'제외 후보'!L1231&lt;=0),'선정 규칙'!$B$8,IF('제외 후보'!L1231&lt;=1.5,'선정 규칙'!$B$9,IF('제외 후보'!L1231&lt;=2,'선정 규칙'!$B$10,IF('제외 후보'!L1231&lt;=2.5,'선정 규칙'!$B$11,IF('제외 후보'!L1231&lt;=3,'선정 규칙'!$B$12,IF('제외 후보'!L1231&lt;=3.5,'선정 규칙'!$B$13,IF('제외 후보'!L1231&gt;=4.5,'선정 규칙'!$B$14,0)))))))</x:f>
        <x:v>12</x:v>
      </x:c>
      <x:c r="F1231" s="11" t="n">
        <x:f>IF('제외 후보'!Y1231=0,'선정 규칙'!$B$15,IF('제외 후보'!Y1231&gt;=100,'선정 규칙'!$B$16,'선정 규칙'!$B$17))</x:f>
        <x:v>-25</x:v>
      </x:c>
      <x:c r="G1231" s="11" t="n">
        <x:f>IF('제외 후보'!M1231="있음",'선정 규칙'!$B$18,'선정 규칙'!$B$19)</x:f>
        <x:v>6</x:v>
      </x:c>
      <x:c r="H1231" s="11" t="n">
        <x:f>IF(ISNUMBER(SEARCH("freq-core",'제외 후보'!AD1231)),'선정 규칙'!$B$20,0)</x:f>
        <x:v>0</x:v>
      </x:c>
      <x:c r="I1231" s="11" t="n">
        <x:f>IF(ISNUMBER(SEARCH("weak_legacy_content",'제외 후보'!P1231)),'선정 규칙'!$B$21,0)</x:f>
        <x:v>0</x:v>
      </x:c>
      <x:c r="J1231" s="11" t="n">
        <x:f>IF('제외 후보'!AC1231&lt;&gt;"",'선정 규칙'!$B$22,0)</x:f>
        <x:v>0</x:v>
      </x:c>
      <x:c r="K1231" s="11" t="n">
        <x:f>SUM(B1231:J1231)</x:f>
        <x:v>-7</x:v>
      </x:c>
      <x:c r="L1231" s="11" t="n">
        <x:f>'제외 후보'!N1231</x:f>
        <x:v>-7</x:v>
      </x:c>
      <x:c r="M1231" s="2" t="str">
        <x:f>IF(K1231=L1231,"OK","MISMATCH")</x:f>
        <x:v>OK</x:v>
      </x:c>
    </x:row>
    <x:row r="1232">
      <x:c r="A1232" s="2" t="str">
        <x:f>'제외 후보'!G1232</x:f>
        <x:v>w_b40f9c063be59826</x:v>
      </x:c>
      <x:c r="B1232" s="11" t="n">
        <x:f>IF('제외 후보'!Q1232&lt;&gt;"",'선정 규칙'!$B$4,0)</x:f>
        <x:v>0</x:v>
      </x:c>
      <x:c r="C1232" s="11" t="n">
        <x:f>IF(ISNUMBER(SEARCH("jmdict_uncommon_or_irregular",'제외 후보'!P1232)),'선정 규칙'!$B$5,IF(ISNUMBER(SEARCH("jmdict_rare_or_dated",'제외 후보'!P1232)),'선정 규칙'!$B$6,0))</x:f>
        <x:v>0</x:v>
      </x:c>
      <x:c r="D1232" s="11" t="n">
        <x:f>IF(ISNUMBER(SEARCH("jmdict_exact_pair_not_found",'제외 후보'!P1232)),'선정 규칙'!$B$7,0)</x:f>
        <x:v>0</x:v>
      </x:c>
      <x:c r="E1232" s="11" t="n">
        <x:f>IF(OR('제외 후보'!L1232="",'제외 후보'!L1232&lt;=0),'선정 규칙'!$B$8,IF('제외 후보'!L1232&lt;=1.5,'선정 규칙'!$B$9,IF('제외 후보'!L1232&lt;=2,'선정 규칙'!$B$10,IF('제외 후보'!L1232&lt;=2.5,'선정 규칙'!$B$11,IF('제외 후보'!L1232&lt;=3,'선정 규칙'!$B$12,IF('제외 후보'!L1232&lt;=3.5,'선정 규칙'!$B$13,IF('제외 후보'!L1232&gt;=4.5,'선정 규칙'!$B$14,0)))))))</x:f>
        <x:v>12</x:v>
      </x:c>
      <x:c r="F1232" s="11" t="n">
        <x:f>IF('제외 후보'!Y1232=0,'선정 규칙'!$B$15,IF('제외 후보'!Y1232&gt;=100,'선정 규칙'!$B$16,'선정 규칙'!$B$17))</x:f>
        <x:v>-25</x:v>
      </x:c>
      <x:c r="G1232" s="11" t="n">
        <x:f>IF('제외 후보'!M1232="있음",'선정 규칙'!$B$18,'선정 규칙'!$B$19)</x:f>
        <x:v>6</x:v>
      </x:c>
      <x:c r="H1232" s="11" t="n">
        <x:f>IF(ISNUMBER(SEARCH("freq-core",'제외 후보'!AD1232)),'선정 규칙'!$B$20,0)</x:f>
        <x:v>0</x:v>
      </x:c>
      <x:c r="I1232" s="11" t="n">
        <x:f>IF(ISNUMBER(SEARCH("weak_legacy_content",'제외 후보'!P1232)),'선정 규칙'!$B$21,0)</x:f>
        <x:v>0</x:v>
      </x:c>
      <x:c r="J1232" s="11" t="n">
        <x:f>IF('제외 후보'!AC1232&lt;&gt;"",'선정 규칙'!$B$22,0)</x:f>
        <x:v>0</x:v>
      </x:c>
      <x:c r="K1232" s="11" t="n">
        <x:f>SUM(B1232:J1232)</x:f>
        <x:v>-7</x:v>
      </x:c>
      <x:c r="L1232" s="11" t="n">
        <x:f>'제외 후보'!N1232</x:f>
        <x:v>-7</x:v>
      </x:c>
      <x:c r="M1232" s="2" t="str">
        <x:f>IF(K1232=L1232,"OK","MISMATCH")</x:f>
        <x:v>OK</x:v>
      </x:c>
    </x:row>
    <x:row r="1233">
      <x:c r="A1233" s="2" t="str">
        <x:f>'제외 후보'!G1233</x:f>
        <x:v>w_f01cca1be0d4385f</x:v>
      </x:c>
      <x:c r="B1233" s="11" t="n">
        <x:f>IF('제외 후보'!Q1233&lt;&gt;"",'선정 규칙'!$B$4,0)</x:f>
        <x:v>0</x:v>
      </x:c>
      <x:c r="C1233" s="11" t="n">
        <x:f>IF(ISNUMBER(SEARCH("jmdict_uncommon_or_irregular",'제외 후보'!P1233)),'선정 규칙'!$B$5,IF(ISNUMBER(SEARCH("jmdict_rare_or_dated",'제외 후보'!P1233)),'선정 규칙'!$B$6,0))</x:f>
        <x:v>0</x:v>
      </x:c>
      <x:c r="D1233" s="11" t="n">
        <x:f>IF(ISNUMBER(SEARCH("jmdict_exact_pair_not_found",'제외 후보'!P1233)),'선정 규칙'!$B$7,0)</x:f>
        <x:v>0</x:v>
      </x:c>
      <x:c r="E1233" s="11" t="n">
        <x:f>IF(OR('제외 후보'!L1233="",'제외 후보'!L1233&lt;=0),'선정 규칙'!$B$8,IF('제외 후보'!L1233&lt;=1.5,'선정 규칙'!$B$9,IF('제외 후보'!L1233&lt;=2,'선정 규칙'!$B$10,IF('제외 후보'!L1233&lt;=2.5,'선정 규칙'!$B$11,IF('제외 후보'!L1233&lt;=3,'선정 규칙'!$B$12,IF('제외 후보'!L1233&lt;=3.5,'선정 규칙'!$B$13,IF('제외 후보'!L1233&gt;=4.5,'선정 규칙'!$B$14,0)))))))</x:f>
        <x:v>12</x:v>
      </x:c>
      <x:c r="F1233" s="11" t="n">
        <x:f>IF('제외 후보'!Y1233=0,'선정 규칙'!$B$15,IF('제외 후보'!Y1233&gt;=100,'선정 규칙'!$B$16,'선정 규칙'!$B$17))</x:f>
        <x:v>-25</x:v>
      </x:c>
      <x:c r="G1233" s="11" t="n">
        <x:f>IF('제외 후보'!M1233="있음",'선정 규칙'!$B$18,'선정 규칙'!$B$19)</x:f>
        <x:v>6</x:v>
      </x:c>
      <x:c r="H1233" s="11" t="n">
        <x:f>IF(ISNUMBER(SEARCH("freq-core",'제외 후보'!AD1233)),'선정 규칙'!$B$20,0)</x:f>
        <x:v>0</x:v>
      </x:c>
      <x:c r="I1233" s="11" t="n">
        <x:f>IF(ISNUMBER(SEARCH("weak_legacy_content",'제외 후보'!P1233)),'선정 규칙'!$B$21,0)</x:f>
        <x:v>0</x:v>
      </x:c>
      <x:c r="J1233" s="11" t="n">
        <x:f>IF('제외 후보'!AC1233&lt;&gt;"",'선정 규칙'!$B$22,0)</x:f>
        <x:v>0</x:v>
      </x:c>
      <x:c r="K1233" s="11" t="n">
        <x:f>SUM(B1233:J1233)</x:f>
        <x:v>-7</x:v>
      </x:c>
      <x:c r="L1233" s="11" t="n">
        <x:f>'제외 후보'!N1233</x:f>
        <x:v>-7</x:v>
      </x:c>
      <x:c r="M1233" s="2" t="str">
        <x:f>IF(K1233=L1233,"OK","MISMATCH")</x:f>
        <x:v>OK</x:v>
      </x:c>
    </x:row>
    <x:row r="1234">
      <x:c r="A1234" s="2" t="str">
        <x:f>'제외 후보'!G1234</x:f>
        <x:v>w_3ab509c6a1e02b28</x:v>
      </x:c>
      <x:c r="B1234" s="11" t="n">
        <x:f>IF('제외 후보'!Q1234&lt;&gt;"",'선정 규칙'!$B$4,0)</x:f>
        <x:v>0</x:v>
      </x:c>
      <x:c r="C1234" s="11" t="n">
        <x:f>IF(ISNUMBER(SEARCH("jmdict_uncommon_or_irregular",'제외 후보'!P1234)),'선정 규칙'!$B$5,IF(ISNUMBER(SEARCH("jmdict_rare_or_dated",'제외 후보'!P1234)),'선정 규칙'!$B$6,0))</x:f>
        <x:v>0</x:v>
      </x:c>
      <x:c r="D1234" s="11" t="n">
        <x:f>IF(ISNUMBER(SEARCH("jmdict_exact_pair_not_found",'제외 후보'!P1234)),'선정 규칙'!$B$7,0)</x:f>
        <x:v>0</x:v>
      </x:c>
      <x:c r="E1234" s="11" t="n">
        <x:f>IF(OR('제외 후보'!L1234="",'제외 후보'!L1234&lt;=0),'선정 규칙'!$B$8,IF('제외 후보'!L1234&lt;=1.5,'선정 규칙'!$B$9,IF('제외 후보'!L1234&lt;=2,'선정 규칙'!$B$10,IF('제외 후보'!L1234&lt;=2.5,'선정 규칙'!$B$11,IF('제외 후보'!L1234&lt;=3,'선정 규칙'!$B$12,IF('제외 후보'!L1234&lt;=3.5,'선정 규칙'!$B$13,IF('제외 후보'!L1234&gt;=4.5,'선정 규칙'!$B$14,0)))))))</x:f>
        <x:v>12</x:v>
      </x:c>
      <x:c r="F1234" s="11" t="n">
        <x:f>IF('제외 후보'!Y1234=0,'선정 규칙'!$B$15,IF('제외 후보'!Y1234&gt;=100,'선정 규칙'!$B$16,'선정 규칙'!$B$17))</x:f>
        <x:v>-25</x:v>
      </x:c>
      <x:c r="G1234" s="11" t="n">
        <x:f>IF('제외 후보'!M1234="있음",'선정 규칙'!$B$18,'선정 규칙'!$B$19)</x:f>
        <x:v>6</x:v>
      </x:c>
      <x:c r="H1234" s="11" t="n">
        <x:f>IF(ISNUMBER(SEARCH("freq-core",'제외 후보'!AD1234)),'선정 규칙'!$B$20,0)</x:f>
        <x:v>0</x:v>
      </x:c>
      <x:c r="I1234" s="11" t="n">
        <x:f>IF(ISNUMBER(SEARCH("weak_legacy_content",'제외 후보'!P1234)),'선정 규칙'!$B$21,0)</x:f>
        <x:v>0</x:v>
      </x:c>
      <x:c r="J1234" s="11" t="n">
        <x:f>IF('제외 후보'!AC1234&lt;&gt;"",'선정 규칙'!$B$22,0)</x:f>
        <x:v>0</x:v>
      </x:c>
      <x:c r="K1234" s="11" t="n">
        <x:f>SUM(B1234:J1234)</x:f>
        <x:v>-7</x:v>
      </x:c>
      <x:c r="L1234" s="11" t="n">
        <x:f>'제외 후보'!N1234</x:f>
        <x:v>-7</x:v>
      </x:c>
      <x:c r="M1234" s="2" t="str">
        <x:f>IF(K1234=L1234,"OK","MISMATCH")</x:f>
        <x:v>OK</x:v>
      </x:c>
    </x:row>
    <x:row r="1235">
      <x:c r="A1235" s="2" t="str">
        <x:f>'제외 후보'!G1235</x:f>
        <x:v>w_91829b4aaab8c4d5</x:v>
      </x:c>
      <x:c r="B1235" s="11" t="n">
        <x:f>IF('제외 후보'!Q1235&lt;&gt;"",'선정 규칙'!$B$4,0)</x:f>
        <x:v>0</x:v>
      </x:c>
      <x:c r="C1235" s="11" t="n">
        <x:f>IF(ISNUMBER(SEARCH("jmdict_uncommon_or_irregular",'제외 후보'!P1235)),'선정 규칙'!$B$5,IF(ISNUMBER(SEARCH("jmdict_rare_or_dated",'제외 후보'!P1235)),'선정 규칙'!$B$6,0))</x:f>
        <x:v>0</x:v>
      </x:c>
      <x:c r="D1235" s="11" t="n">
        <x:f>IF(ISNUMBER(SEARCH("jmdict_exact_pair_not_found",'제외 후보'!P1235)),'선정 규칙'!$B$7,0)</x:f>
        <x:v>0</x:v>
      </x:c>
      <x:c r="E1235" s="11" t="n">
        <x:f>IF(OR('제외 후보'!L1235="",'제외 후보'!L1235&lt;=0),'선정 규칙'!$B$8,IF('제외 후보'!L1235&lt;=1.5,'선정 규칙'!$B$9,IF('제외 후보'!L1235&lt;=2,'선정 규칙'!$B$10,IF('제외 후보'!L1235&lt;=2.5,'선정 규칙'!$B$11,IF('제외 후보'!L1235&lt;=3,'선정 규칙'!$B$12,IF('제외 후보'!L1235&lt;=3.5,'선정 규칙'!$B$13,IF('제외 후보'!L1235&gt;=4.5,'선정 규칙'!$B$14,0)))))))</x:f>
        <x:v>12</x:v>
      </x:c>
      <x:c r="F1235" s="11" t="n">
        <x:f>IF('제외 후보'!Y1235=0,'선정 규칙'!$B$15,IF('제외 후보'!Y1235&gt;=100,'선정 규칙'!$B$16,'선정 규칙'!$B$17))</x:f>
        <x:v>-25</x:v>
      </x:c>
      <x:c r="G1235" s="11" t="n">
        <x:f>IF('제외 후보'!M1235="있음",'선정 규칙'!$B$18,'선정 규칙'!$B$19)</x:f>
        <x:v>6</x:v>
      </x:c>
      <x:c r="H1235" s="11" t="n">
        <x:f>IF(ISNUMBER(SEARCH("freq-core",'제외 후보'!AD1235)),'선정 규칙'!$B$20,0)</x:f>
        <x:v>0</x:v>
      </x:c>
      <x:c r="I1235" s="11" t="n">
        <x:f>IF(ISNUMBER(SEARCH("weak_legacy_content",'제외 후보'!P1235)),'선정 규칙'!$B$21,0)</x:f>
        <x:v>0</x:v>
      </x:c>
      <x:c r="J1235" s="11" t="n">
        <x:f>IF('제외 후보'!AC1235&lt;&gt;"",'선정 규칙'!$B$22,0)</x:f>
        <x:v>0</x:v>
      </x:c>
      <x:c r="K1235" s="11" t="n">
        <x:f>SUM(B1235:J1235)</x:f>
        <x:v>-7</x:v>
      </x:c>
      <x:c r="L1235" s="11" t="n">
        <x:f>'제외 후보'!N1235</x:f>
        <x:v>-7</x:v>
      </x:c>
      <x:c r="M1235" s="2" t="str">
        <x:f>IF(K1235=L1235,"OK","MISMATCH")</x:f>
        <x:v>OK</x:v>
      </x:c>
    </x:row>
    <x:row r="1236">
      <x:c r="A1236" s="2" t="str">
        <x:f>'제외 후보'!G1236</x:f>
        <x:v>w_db2ab214bf20d6c5</x:v>
      </x:c>
      <x:c r="B1236" s="11" t="n">
        <x:f>IF('제외 후보'!Q1236&lt;&gt;"",'선정 규칙'!$B$4,0)</x:f>
        <x:v>0</x:v>
      </x:c>
      <x:c r="C1236" s="11" t="n">
        <x:f>IF(ISNUMBER(SEARCH("jmdict_uncommon_or_irregular",'제외 후보'!P1236)),'선정 규칙'!$B$5,IF(ISNUMBER(SEARCH("jmdict_rare_or_dated",'제외 후보'!P1236)),'선정 규칙'!$B$6,0))</x:f>
        <x:v>0</x:v>
      </x:c>
      <x:c r="D1236" s="11" t="n">
        <x:f>IF(ISNUMBER(SEARCH("jmdict_exact_pair_not_found",'제외 후보'!P1236)),'선정 규칙'!$B$7,0)</x:f>
        <x:v>0</x:v>
      </x:c>
      <x:c r="E1236" s="11" t="n">
        <x:f>IF(OR('제외 후보'!L1236="",'제외 후보'!L1236&lt;=0),'선정 규칙'!$B$8,IF('제외 후보'!L1236&lt;=1.5,'선정 규칙'!$B$9,IF('제외 후보'!L1236&lt;=2,'선정 규칙'!$B$10,IF('제외 후보'!L1236&lt;=2.5,'선정 규칙'!$B$11,IF('제외 후보'!L1236&lt;=3,'선정 규칙'!$B$12,IF('제외 후보'!L1236&lt;=3.5,'선정 규칙'!$B$13,IF('제외 후보'!L1236&gt;=4.5,'선정 규칙'!$B$14,0)))))))</x:f>
        <x:v>12</x:v>
      </x:c>
      <x:c r="F1236" s="11" t="n">
        <x:f>IF('제외 후보'!Y1236=0,'선정 규칙'!$B$15,IF('제외 후보'!Y1236&gt;=100,'선정 규칙'!$B$16,'선정 규칙'!$B$17))</x:f>
        <x:v>-25</x:v>
      </x:c>
      <x:c r="G1236" s="11" t="n">
        <x:f>IF('제외 후보'!M1236="있음",'선정 규칙'!$B$18,'선정 규칙'!$B$19)</x:f>
        <x:v>6</x:v>
      </x:c>
      <x:c r="H1236" s="11" t="n">
        <x:f>IF(ISNUMBER(SEARCH("freq-core",'제외 후보'!AD1236)),'선정 규칙'!$B$20,0)</x:f>
        <x:v>0</x:v>
      </x:c>
      <x:c r="I1236" s="11" t="n">
        <x:f>IF(ISNUMBER(SEARCH("weak_legacy_content",'제외 후보'!P1236)),'선정 규칙'!$B$21,0)</x:f>
        <x:v>0</x:v>
      </x:c>
      <x:c r="J1236" s="11" t="n">
        <x:f>IF('제외 후보'!AC1236&lt;&gt;"",'선정 규칙'!$B$22,0)</x:f>
        <x:v>0</x:v>
      </x:c>
      <x:c r="K1236" s="11" t="n">
        <x:f>SUM(B1236:J1236)</x:f>
        <x:v>-7</x:v>
      </x:c>
      <x:c r="L1236" s="11" t="n">
        <x:f>'제외 후보'!N1236</x:f>
        <x:v>-7</x:v>
      </x:c>
      <x:c r="M1236" s="2" t="str">
        <x:f>IF(K1236=L1236,"OK","MISMATCH")</x:f>
        <x:v>OK</x:v>
      </x:c>
    </x:row>
    <x:row r="1237">
      <x:c r="A1237" s="2" t="str">
        <x:f>'제외 후보'!G1237</x:f>
        <x:v>w_1cb3c24ea6527cfa</x:v>
      </x:c>
      <x:c r="B1237" s="11" t="n">
        <x:f>IF('제외 후보'!Q1237&lt;&gt;"",'선정 규칙'!$B$4,0)</x:f>
        <x:v>0</x:v>
      </x:c>
      <x:c r="C1237" s="11" t="n">
        <x:f>IF(ISNUMBER(SEARCH("jmdict_uncommon_or_irregular",'제외 후보'!P1237)),'선정 규칙'!$B$5,IF(ISNUMBER(SEARCH("jmdict_rare_or_dated",'제외 후보'!P1237)),'선정 규칙'!$B$6,0))</x:f>
        <x:v>0</x:v>
      </x:c>
      <x:c r="D1237" s="11" t="n">
        <x:f>IF(ISNUMBER(SEARCH("jmdict_exact_pair_not_found",'제외 후보'!P1237)),'선정 규칙'!$B$7,0)</x:f>
        <x:v>0</x:v>
      </x:c>
      <x:c r="E1237" s="11" t="n">
        <x:f>IF(OR('제외 후보'!L1237="",'제외 후보'!L1237&lt;=0),'선정 규칙'!$B$8,IF('제외 후보'!L1237&lt;=1.5,'선정 규칙'!$B$9,IF('제외 후보'!L1237&lt;=2,'선정 규칙'!$B$10,IF('제외 후보'!L1237&lt;=2.5,'선정 규칙'!$B$11,IF('제외 후보'!L1237&lt;=3,'선정 규칙'!$B$12,IF('제외 후보'!L1237&lt;=3.5,'선정 규칙'!$B$13,IF('제외 후보'!L1237&gt;=4.5,'선정 규칙'!$B$14,0)))))))</x:f>
        <x:v>12</x:v>
      </x:c>
      <x:c r="F1237" s="11" t="n">
        <x:f>IF('제외 후보'!Y1237=0,'선정 규칙'!$B$15,IF('제외 후보'!Y1237&gt;=100,'선정 규칙'!$B$16,'선정 규칙'!$B$17))</x:f>
        <x:v>-25</x:v>
      </x:c>
      <x:c r="G1237" s="11" t="n">
        <x:f>IF('제외 후보'!M1237="있음",'선정 규칙'!$B$18,'선정 규칙'!$B$19)</x:f>
        <x:v>6</x:v>
      </x:c>
      <x:c r="H1237" s="11" t="n">
        <x:f>IF(ISNUMBER(SEARCH("freq-core",'제외 후보'!AD1237)),'선정 규칙'!$B$20,0)</x:f>
        <x:v>0</x:v>
      </x:c>
      <x:c r="I1237" s="11" t="n">
        <x:f>IF(ISNUMBER(SEARCH("weak_legacy_content",'제외 후보'!P1237)),'선정 규칙'!$B$21,0)</x:f>
        <x:v>0</x:v>
      </x:c>
      <x:c r="J1237" s="11" t="n">
        <x:f>IF('제외 후보'!AC1237&lt;&gt;"",'선정 규칙'!$B$22,0)</x:f>
        <x:v>0</x:v>
      </x:c>
      <x:c r="K1237" s="11" t="n">
        <x:f>SUM(B1237:J1237)</x:f>
        <x:v>-7</x:v>
      </x:c>
      <x:c r="L1237" s="11" t="n">
        <x:f>'제외 후보'!N1237</x:f>
        <x:v>-7</x:v>
      </x:c>
      <x:c r="M1237" s="2" t="str">
        <x:f>IF(K1237=L1237,"OK","MISMATCH")</x:f>
        <x:v>OK</x:v>
      </x:c>
    </x:row>
    <x:row r="1238">
      <x:c r="A1238" s="2" t="str">
        <x:f>'제외 후보'!G1238</x:f>
        <x:v>w_cf848447271a0490</x:v>
      </x:c>
      <x:c r="B1238" s="11" t="n">
        <x:f>IF('제외 후보'!Q1238&lt;&gt;"",'선정 규칙'!$B$4,0)</x:f>
        <x:v>0</x:v>
      </x:c>
      <x:c r="C1238" s="11" t="n">
        <x:f>IF(ISNUMBER(SEARCH("jmdict_uncommon_or_irregular",'제외 후보'!P1238)),'선정 규칙'!$B$5,IF(ISNUMBER(SEARCH("jmdict_rare_or_dated",'제외 후보'!P1238)),'선정 규칙'!$B$6,0))</x:f>
        <x:v>0</x:v>
      </x:c>
      <x:c r="D1238" s="11" t="n">
        <x:f>IF(ISNUMBER(SEARCH("jmdict_exact_pair_not_found",'제외 후보'!P1238)),'선정 규칙'!$B$7,0)</x:f>
        <x:v>0</x:v>
      </x:c>
      <x:c r="E1238" s="11" t="n">
        <x:f>IF(OR('제외 후보'!L1238="",'제외 후보'!L1238&lt;=0),'선정 규칙'!$B$8,IF('제외 후보'!L1238&lt;=1.5,'선정 규칙'!$B$9,IF('제외 후보'!L1238&lt;=2,'선정 규칙'!$B$10,IF('제외 후보'!L1238&lt;=2.5,'선정 규칙'!$B$11,IF('제외 후보'!L1238&lt;=3,'선정 규칙'!$B$12,IF('제외 후보'!L1238&lt;=3.5,'선정 규칙'!$B$13,IF('제외 후보'!L1238&gt;=4.5,'선정 규칙'!$B$14,0)))))))</x:f>
        <x:v>12</x:v>
      </x:c>
      <x:c r="F1238" s="11" t="n">
        <x:f>IF('제외 후보'!Y1238=0,'선정 규칙'!$B$15,IF('제외 후보'!Y1238&gt;=100,'선정 규칙'!$B$16,'선정 규칙'!$B$17))</x:f>
        <x:v>-25</x:v>
      </x:c>
      <x:c r="G1238" s="11" t="n">
        <x:f>IF('제외 후보'!M1238="있음",'선정 규칙'!$B$18,'선정 규칙'!$B$19)</x:f>
        <x:v>6</x:v>
      </x:c>
      <x:c r="H1238" s="11" t="n">
        <x:f>IF(ISNUMBER(SEARCH("freq-core",'제외 후보'!AD1238)),'선정 규칙'!$B$20,0)</x:f>
        <x:v>0</x:v>
      </x:c>
      <x:c r="I1238" s="11" t="n">
        <x:f>IF(ISNUMBER(SEARCH("weak_legacy_content",'제외 후보'!P1238)),'선정 규칙'!$B$21,0)</x:f>
        <x:v>0</x:v>
      </x:c>
      <x:c r="J1238" s="11" t="n">
        <x:f>IF('제외 후보'!AC1238&lt;&gt;"",'선정 규칙'!$B$22,0)</x:f>
        <x:v>0</x:v>
      </x:c>
      <x:c r="K1238" s="11" t="n">
        <x:f>SUM(B1238:J1238)</x:f>
        <x:v>-7</x:v>
      </x:c>
      <x:c r="L1238" s="11" t="n">
        <x:f>'제외 후보'!N1238</x:f>
        <x:v>-7</x:v>
      </x:c>
      <x:c r="M1238" s="2" t="str">
        <x:f>IF(K1238=L1238,"OK","MISMATCH")</x:f>
        <x:v>OK</x:v>
      </x:c>
    </x:row>
    <x:row r="1239">
      <x:c r="A1239" s="2" t="str">
        <x:f>'제외 후보'!G1239</x:f>
        <x:v>w_b097e87be35c53bf</x:v>
      </x:c>
      <x:c r="B1239" s="11" t="n">
        <x:f>IF('제외 후보'!Q1239&lt;&gt;"",'선정 규칙'!$B$4,0)</x:f>
        <x:v>0</x:v>
      </x:c>
      <x:c r="C1239" s="11" t="n">
        <x:f>IF(ISNUMBER(SEARCH("jmdict_uncommon_or_irregular",'제외 후보'!P1239)),'선정 규칙'!$B$5,IF(ISNUMBER(SEARCH("jmdict_rare_or_dated",'제외 후보'!P1239)),'선정 규칙'!$B$6,0))</x:f>
        <x:v>0</x:v>
      </x:c>
      <x:c r="D1239" s="11" t="n">
        <x:f>IF(ISNUMBER(SEARCH("jmdict_exact_pair_not_found",'제외 후보'!P1239)),'선정 규칙'!$B$7,0)</x:f>
        <x:v>0</x:v>
      </x:c>
      <x:c r="E1239" s="11" t="n">
        <x:f>IF(OR('제외 후보'!L1239="",'제외 후보'!L1239&lt;=0),'선정 규칙'!$B$8,IF('제외 후보'!L1239&lt;=1.5,'선정 규칙'!$B$9,IF('제외 후보'!L1239&lt;=2,'선정 규칙'!$B$10,IF('제외 후보'!L1239&lt;=2.5,'선정 규칙'!$B$11,IF('제외 후보'!L1239&lt;=3,'선정 규칙'!$B$12,IF('제외 후보'!L1239&lt;=3.5,'선정 규칙'!$B$13,IF('제외 후보'!L1239&gt;=4.5,'선정 규칙'!$B$14,0)))))))</x:f>
        <x:v>12</x:v>
      </x:c>
      <x:c r="F1239" s="11" t="n">
        <x:f>IF('제외 후보'!Y1239=0,'선정 규칙'!$B$15,IF('제외 후보'!Y1239&gt;=100,'선정 규칙'!$B$16,'선정 규칙'!$B$17))</x:f>
        <x:v>-25</x:v>
      </x:c>
      <x:c r="G1239" s="11" t="n">
        <x:f>IF('제외 후보'!M1239="있음",'선정 규칙'!$B$18,'선정 규칙'!$B$19)</x:f>
        <x:v>6</x:v>
      </x:c>
      <x:c r="H1239" s="11" t="n">
        <x:f>IF(ISNUMBER(SEARCH("freq-core",'제외 후보'!AD1239)),'선정 규칙'!$B$20,0)</x:f>
        <x:v>0</x:v>
      </x:c>
      <x:c r="I1239" s="11" t="n">
        <x:f>IF(ISNUMBER(SEARCH("weak_legacy_content",'제외 후보'!P1239)),'선정 규칙'!$B$21,0)</x:f>
        <x:v>0</x:v>
      </x:c>
      <x:c r="J1239" s="11" t="n">
        <x:f>IF('제외 후보'!AC1239&lt;&gt;"",'선정 규칙'!$B$22,0)</x:f>
        <x:v>0</x:v>
      </x:c>
      <x:c r="K1239" s="11" t="n">
        <x:f>SUM(B1239:J1239)</x:f>
        <x:v>-7</x:v>
      </x:c>
      <x:c r="L1239" s="11" t="n">
        <x:f>'제외 후보'!N1239</x:f>
        <x:v>-7</x:v>
      </x:c>
      <x:c r="M1239" s="2" t="str">
        <x:f>IF(K1239=L1239,"OK","MISMATCH")</x:f>
        <x:v>OK</x:v>
      </x:c>
    </x:row>
    <x:row r="1240">
      <x:c r="A1240" s="2" t="str">
        <x:f>'제외 후보'!G1240</x:f>
        <x:v>w_4a1f83a3a2f69125</x:v>
      </x:c>
      <x:c r="B1240" s="11" t="n">
        <x:f>IF('제외 후보'!Q1240&lt;&gt;"",'선정 규칙'!$B$4,0)</x:f>
        <x:v>0</x:v>
      </x:c>
      <x:c r="C1240" s="11" t="n">
        <x:f>IF(ISNUMBER(SEARCH("jmdict_uncommon_or_irregular",'제외 후보'!P1240)),'선정 규칙'!$B$5,IF(ISNUMBER(SEARCH("jmdict_rare_or_dated",'제외 후보'!P1240)),'선정 규칙'!$B$6,0))</x:f>
        <x:v>0</x:v>
      </x:c>
      <x:c r="D1240" s="11" t="n">
        <x:f>IF(ISNUMBER(SEARCH("jmdict_exact_pair_not_found",'제외 후보'!P1240)),'선정 규칙'!$B$7,0)</x:f>
        <x:v>0</x:v>
      </x:c>
      <x:c r="E1240" s="11" t="n">
        <x:f>IF(OR('제외 후보'!L1240="",'제외 후보'!L1240&lt;=0),'선정 규칙'!$B$8,IF('제외 후보'!L1240&lt;=1.5,'선정 규칙'!$B$9,IF('제외 후보'!L1240&lt;=2,'선정 규칙'!$B$10,IF('제외 후보'!L1240&lt;=2.5,'선정 규칙'!$B$11,IF('제외 후보'!L1240&lt;=3,'선정 규칙'!$B$12,IF('제외 후보'!L1240&lt;=3.5,'선정 규칙'!$B$13,IF('제외 후보'!L1240&gt;=4.5,'선정 규칙'!$B$14,0)))))))</x:f>
        <x:v>12</x:v>
      </x:c>
      <x:c r="F1240" s="11" t="n">
        <x:f>IF('제외 후보'!Y1240=0,'선정 규칙'!$B$15,IF('제외 후보'!Y1240&gt;=100,'선정 규칙'!$B$16,'선정 규칙'!$B$17))</x:f>
        <x:v>-25</x:v>
      </x:c>
      <x:c r="G1240" s="11" t="n">
        <x:f>IF('제외 후보'!M1240="있음",'선정 규칙'!$B$18,'선정 규칙'!$B$19)</x:f>
        <x:v>6</x:v>
      </x:c>
      <x:c r="H1240" s="11" t="n">
        <x:f>IF(ISNUMBER(SEARCH("freq-core",'제외 후보'!AD1240)),'선정 규칙'!$B$20,0)</x:f>
        <x:v>0</x:v>
      </x:c>
      <x:c r="I1240" s="11" t="n">
        <x:f>IF(ISNUMBER(SEARCH("weak_legacy_content",'제외 후보'!P1240)),'선정 규칙'!$B$21,0)</x:f>
        <x:v>0</x:v>
      </x:c>
      <x:c r="J1240" s="11" t="n">
        <x:f>IF('제외 후보'!AC1240&lt;&gt;"",'선정 규칙'!$B$22,0)</x:f>
        <x:v>0</x:v>
      </x:c>
      <x:c r="K1240" s="11" t="n">
        <x:f>SUM(B1240:J1240)</x:f>
        <x:v>-7</x:v>
      </x:c>
      <x:c r="L1240" s="11" t="n">
        <x:f>'제외 후보'!N1240</x:f>
        <x:v>-7</x:v>
      </x:c>
      <x:c r="M1240" s="2" t="str">
        <x:f>IF(K1240=L1240,"OK","MISMATCH")</x:f>
        <x:v>OK</x:v>
      </x:c>
    </x:row>
    <x:row r="1241">
      <x:c r="A1241" s="2" t="str">
        <x:f>'제외 후보'!G1241</x:f>
        <x:v>w_6f6291c512a7bd9c</x:v>
      </x:c>
      <x:c r="B1241" s="11" t="n">
        <x:f>IF('제외 후보'!Q1241&lt;&gt;"",'선정 규칙'!$B$4,0)</x:f>
        <x:v>0</x:v>
      </x:c>
      <x:c r="C1241" s="11" t="n">
        <x:f>IF(ISNUMBER(SEARCH("jmdict_uncommon_or_irregular",'제외 후보'!P1241)),'선정 규칙'!$B$5,IF(ISNUMBER(SEARCH("jmdict_rare_or_dated",'제외 후보'!P1241)),'선정 규칙'!$B$6,0))</x:f>
        <x:v>0</x:v>
      </x:c>
      <x:c r="D1241" s="11" t="n">
        <x:f>IF(ISNUMBER(SEARCH("jmdict_exact_pair_not_found",'제외 후보'!P1241)),'선정 규칙'!$B$7,0)</x:f>
        <x:v>0</x:v>
      </x:c>
      <x:c r="E1241" s="11" t="n">
        <x:f>IF(OR('제외 후보'!L1241="",'제외 후보'!L1241&lt;=0),'선정 규칙'!$B$8,IF('제외 후보'!L1241&lt;=1.5,'선정 규칙'!$B$9,IF('제외 후보'!L1241&lt;=2,'선정 규칙'!$B$10,IF('제외 후보'!L1241&lt;=2.5,'선정 규칙'!$B$11,IF('제외 후보'!L1241&lt;=3,'선정 규칙'!$B$12,IF('제외 후보'!L1241&lt;=3.5,'선정 규칙'!$B$13,IF('제외 후보'!L1241&gt;=4.5,'선정 규칙'!$B$14,0)))))))</x:f>
        <x:v>12</x:v>
      </x:c>
      <x:c r="F1241" s="11" t="n">
        <x:f>IF('제외 후보'!Y1241=0,'선정 규칙'!$B$15,IF('제외 후보'!Y1241&gt;=100,'선정 규칙'!$B$16,'선정 규칙'!$B$17))</x:f>
        <x:v>-25</x:v>
      </x:c>
      <x:c r="G1241" s="11" t="n">
        <x:f>IF('제외 후보'!M1241="있음",'선정 규칙'!$B$18,'선정 규칙'!$B$19)</x:f>
        <x:v>6</x:v>
      </x:c>
      <x:c r="H1241" s="11" t="n">
        <x:f>IF(ISNUMBER(SEARCH("freq-core",'제외 후보'!AD1241)),'선정 규칙'!$B$20,0)</x:f>
        <x:v>0</x:v>
      </x:c>
      <x:c r="I1241" s="11" t="n">
        <x:f>IF(ISNUMBER(SEARCH("weak_legacy_content",'제외 후보'!P1241)),'선정 규칙'!$B$21,0)</x:f>
        <x:v>0</x:v>
      </x:c>
      <x:c r="J1241" s="11" t="n">
        <x:f>IF('제외 후보'!AC1241&lt;&gt;"",'선정 규칙'!$B$22,0)</x:f>
        <x:v>0</x:v>
      </x:c>
      <x:c r="K1241" s="11" t="n">
        <x:f>SUM(B1241:J1241)</x:f>
        <x:v>-7</x:v>
      </x:c>
      <x:c r="L1241" s="11" t="n">
        <x:f>'제외 후보'!N1241</x:f>
        <x:v>-7</x:v>
      </x:c>
      <x:c r="M1241" s="2" t="str">
        <x:f>IF(K1241=L1241,"OK","MISMATCH")</x:f>
        <x:v>OK</x:v>
      </x:c>
    </x:row>
    <x:row r="1242">
      <x:c r="A1242" s="2" t="str">
        <x:f>'제외 후보'!G1242</x:f>
        <x:v>w_61db47cf355caff0</x:v>
      </x:c>
      <x:c r="B1242" s="11" t="n">
        <x:f>IF('제외 후보'!Q1242&lt;&gt;"",'선정 규칙'!$B$4,0)</x:f>
        <x:v>0</x:v>
      </x:c>
      <x:c r="C1242" s="11" t="n">
        <x:f>IF(ISNUMBER(SEARCH("jmdict_uncommon_or_irregular",'제외 후보'!P1242)),'선정 규칙'!$B$5,IF(ISNUMBER(SEARCH("jmdict_rare_or_dated",'제외 후보'!P1242)),'선정 규칙'!$B$6,0))</x:f>
        <x:v>0</x:v>
      </x:c>
      <x:c r="D1242" s="11" t="n">
        <x:f>IF(ISNUMBER(SEARCH("jmdict_exact_pair_not_found",'제외 후보'!P1242)),'선정 규칙'!$B$7,0)</x:f>
        <x:v>0</x:v>
      </x:c>
      <x:c r="E1242" s="11" t="n">
        <x:f>IF(OR('제외 후보'!L1242="",'제외 후보'!L1242&lt;=0),'선정 규칙'!$B$8,IF('제외 후보'!L1242&lt;=1.5,'선정 규칙'!$B$9,IF('제외 후보'!L1242&lt;=2,'선정 규칙'!$B$10,IF('제외 후보'!L1242&lt;=2.5,'선정 규칙'!$B$11,IF('제외 후보'!L1242&lt;=3,'선정 규칙'!$B$12,IF('제외 후보'!L1242&lt;=3.5,'선정 규칙'!$B$13,IF('제외 후보'!L1242&gt;=4.5,'선정 규칙'!$B$14,0)))))))</x:f>
        <x:v>12</x:v>
      </x:c>
      <x:c r="F1242" s="11" t="n">
        <x:f>IF('제외 후보'!Y1242=0,'선정 규칙'!$B$15,IF('제외 후보'!Y1242&gt;=100,'선정 규칙'!$B$16,'선정 규칙'!$B$17))</x:f>
        <x:v>-25</x:v>
      </x:c>
      <x:c r="G1242" s="11" t="n">
        <x:f>IF('제외 후보'!M1242="있음",'선정 규칙'!$B$18,'선정 규칙'!$B$19)</x:f>
        <x:v>6</x:v>
      </x:c>
      <x:c r="H1242" s="11" t="n">
        <x:f>IF(ISNUMBER(SEARCH("freq-core",'제외 후보'!AD1242)),'선정 규칙'!$B$20,0)</x:f>
        <x:v>0</x:v>
      </x:c>
      <x:c r="I1242" s="11" t="n">
        <x:f>IF(ISNUMBER(SEARCH("weak_legacy_content",'제외 후보'!P1242)),'선정 규칙'!$B$21,0)</x:f>
        <x:v>0</x:v>
      </x:c>
      <x:c r="J1242" s="11" t="n">
        <x:f>IF('제외 후보'!AC1242&lt;&gt;"",'선정 규칙'!$B$22,0)</x:f>
        <x:v>0</x:v>
      </x:c>
      <x:c r="K1242" s="11" t="n">
        <x:f>SUM(B1242:J1242)</x:f>
        <x:v>-7</x:v>
      </x:c>
      <x:c r="L1242" s="11" t="n">
        <x:f>'제외 후보'!N1242</x:f>
        <x:v>-7</x:v>
      </x:c>
      <x:c r="M1242" s="2" t="str">
        <x:f>IF(K1242=L1242,"OK","MISMATCH")</x:f>
        <x:v>OK</x:v>
      </x:c>
    </x:row>
    <x:row r="1243">
      <x:c r="A1243" s="2" t="str">
        <x:f>'제외 후보'!G1243</x:f>
        <x:v>w_76888fa930968791</x:v>
      </x:c>
      <x:c r="B1243" s="11" t="n">
        <x:f>IF('제외 후보'!Q1243&lt;&gt;"",'선정 규칙'!$B$4,0)</x:f>
        <x:v>0</x:v>
      </x:c>
      <x:c r="C1243" s="11" t="n">
        <x:f>IF(ISNUMBER(SEARCH("jmdict_uncommon_or_irregular",'제외 후보'!P1243)),'선정 규칙'!$B$5,IF(ISNUMBER(SEARCH("jmdict_rare_or_dated",'제외 후보'!P1243)),'선정 규칙'!$B$6,0))</x:f>
        <x:v>0</x:v>
      </x:c>
      <x:c r="D1243" s="11" t="n">
        <x:f>IF(ISNUMBER(SEARCH("jmdict_exact_pair_not_found",'제외 후보'!P1243)),'선정 규칙'!$B$7,0)</x:f>
        <x:v>0</x:v>
      </x:c>
      <x:c r="E1243" s="11" t="n">
        <x:f>IF(OR('제외 후보'!L1243="",'제외 후보'!L1243&lt;=0),'선정 규칙'!$B$8,IF('제외 후보'!L1243&lt;=1.5,'선정 규칙'!$B$9,IF('제외 후보'!L1243&lt;=2,'선정 규칙'!$B$10,IF('제외 후보'!L1243&lt;=2.5,'선정 규칙'!$B$11,IF('제외 후보'!L1243&lt;=3,'선정 규칙'!$B$12,IF('제외 후보'!L1243&lt;=3.5,'선정 규칙'!$B$13,IF('제외 후보'!L1243&gt;=4.5,'선정 규칙'!$B$14,0)))))))</x:f>
        <x:v>12</x:v>
      </x:c>
      <x:c r="F1243" s="11" t="n">
        <x:f>IF('제외 후보'!Y1243=0,'선정 규칙'!$B$15,IF('제외 후보'!Y1243&gt;=100,'선정 규칙'!$B$16,'선정 규칙'!$B$17))</x:f>
        <x:v>-25</x:v>
      </x:c>
      <x:c r="G1243" s="11" t="n">
        <x:f>IF('제외 후보'!M1243="있음",'선정 규칙'!$B$18,'선정 규칙'!$B$19)</x:f>
        <x:v>6</x:v>
      </x:c>
      <x:c r="H1243" s="11" t="n">
        <x:f>IF(ISNUMBER(SEARCH("freq-core",'제외 후보'!AD1243)),'선정 규칙'!$B$20,0)</x:f>
        <x:v>0</x:v>
      </x:c>
      <x:c r="I1243" s="11" t="n">
        <x:f>IF(ISNUMBER(SEARCH("weak_legacy_content",'제외 후보'!P1243)),'선정 규칙'!$B$21,0)</x:f>
        <x:v>0</x:v>
      </x:c>
      <x:c r="J1243" s="11" t="n">
        <x:f>IF('제외 후보'!AC1243&lt;&gt;"",'선정 규칙'!$B$22,0)</x:f>
        <x:v>0</x:v>
      </x:c>
      <x:c r="K1243" s="11" t="n">
        <x:f>SUM(B1243:J1243)</x:f>
        <x:v>-7</x:v>
      </x:c>
      <x:c r="L1243" s="11" t="n">
        <x:f>'제외 후보'!N1243</x:f>
        <x:v>-7</x:v>
      </x:c>
      <x:c r="M1243" s="2" t="str">
        <x:f>IF(K1243=L1243,"OK","MISMATCH")</x:f>
        <x:v>OK</x:v>
      </x:c>
    </x:row>
    <x:row r="1244">
      <x:c r="A1244" s="2" t="str">
        <x:f>'제외 후보'!G1244</x:f>
        <x:v>w_85538e4f730b1fbb</x:v>
      </x:c>
      <x:c r="B1244" s="11" t="n">
        <x:f>IF('제외 후보'!Q1244&lt;&gt;"",'선정 규칙'!$B$4,0)</x:f>
        <x:v>0</x:v>
      </x:c>
      <x:c r="C1244" s="11" t="n">
        <x:f>IF(ISNUMBER(SEARCH("jmdict_uncommon_or_irregular",'제외 후보'!P1244)),'선정 규칙'!$B$5,IF(ISNUMBER(SEARCH("jmdict_rare_or_dated",'제외 후보'!P1244)),'선정 규칙'!$B$6,0))</x:f>
        <x:v>0</x:v>
      </x:c>
      <x:c r="D1244" s="11" t="n">
        <x:f>IF(ISNUMBER(SEARCH("jmdict_exact_pair_not_found",'제외 후보'!P1244)),'선정 규칙'!$B$7,0)</x:f>
        <x:v>0</x:v>
      </x:c>
      <x:c r="E1244" s="11" t="n">
        <x:f>IF(OR('제외 후보'!L1244="",'제외 후보'!L1244&lt;=0),'선정 규칙'!$B$8,IF('제외 후보'!L1244&lt;=1.5,'선정 규칙'!$B$9,IF('제외 후보'!L1244&lt;=2,'선정 규칙'!$B$10,IF('제외 후보'!L1244&lt;=2.5,'선정 규칙'!$B$11,IF('제외 후보'!L1244&lt;=3,'선정 규칙'!$B$12,IF('제외 후보'!L1244&lt;=3.5,'선정 규칙'!$B$13,IF('제외 후보'!L1244&gt;=4.5,'선정 규칙'!$B$14,0)))))))</x:f>
        <x:v>12</x:v>
      </x:c>
      <x:c r="F1244" s="11" t="n">
        <x:f>IF('제외 후보'!Y1244=0,'선정 규칙'!$B$15,IF('제외 후보'!Y1244&gt;=100,'선정 규칙'!$B$16,'선정 규칙'!$B$17))</x:f>
        <x:v>-25</x:v>
      </x:c>
      <x:c r="G1244" s="11" t="n">
        <x:f>IF('제외 후보'!M1244="있음",'선정 규칙'!$B$18,'선정 규칙'!$B$19)</x:f>
        <x:v>6</x:v>
      </x:c>
      <x:c r="H1244" s="11" t="n">
        <x:f>IF(ISNUMBER(SEARCH("freq-core",'제외 후보'!AD1244)),'선정 규칙'!$B$20,0)</x:f>
        <x:v>0</x:v>
      </x:c>
      <x:c r="I1244" s="11" t="n">
        <x:f>IF(ISNUMBER(SEARCH("weak_legacy_content",'제외 후보'!P1244)),'선정 규칙'!$B$21,0)</x:f>
        <x:v>0</x:v>
      </x:c>
      <x:c r="J1244" s="11" t="n">
        <x:f>IF('제외 후보'!AC1244&lt;&gt;"",'선정 규칙'!$B$22,0)</x:f>
        <x:v>0</x:v>
      </x:c>
      <x:c r="K1244" s="11" t="n">
        <x:f>SUM(B1244:J1244)</x:f>
        <x:v>-7</x:v>
      </x:c>
      <x:c r="L1244" s="11" t="n">
        <x:f>'제외 후보'!N1244</x:f>
        <x:v>-7</x:v>
      </x:c>
      <x:c r="M1244" s="2" t="str">
        <x:f>IF(K1244=L1244,"OK","MISMATCH")</x:f>
        <x:v>OK</x:v>
      </x:c>
    </x:row>
    <x:row r="1245">
      <x:c r="A1245" s="2" t="str">
        <x:f>'제외 후보'!G1245</x:f>
        <x:v>w_b6c7082ad8b7c751</x:v>
      </x:c>
      <x:c r="B1245" s="11" t="n">
        <x:f>IF('제외 후보'!Q1245&lt;&gt;"",'선정 규칙'!$B$4,0)</x:f>
        <x:v>0</x:v>
      </x:c>
      <x:c r="C1245" s="11" t="n">
        <x:f>IF(ISNUMBER(SEARCH("jmdict_uncommon_or_irregular",'제외 후보'!P1245)),'선정 규칙'!$B$5,IF(ISNUMBER(SEARCH("jmdict_rare_or_dated",'제외 후보'!P1245)),'선정 규칙'!$B$6,0))</x:f>
        <x:v>0</x:v>
      </x:c>
      <x:c r="D1245" s="11" t="n">
        <x:f>IF(ISNUMBER(SEARCH("jmdict_exact_pair_not_found",'제외 후보'!P1245)),'선정 규칙'!$B$7,0)</x:f>
        <x:v>0</x:v>
      </x:c>
      <x:c r="E1245" s="11" t="n">
        <x:f>IF(OR('제외 후보'!L1245="",'제외 후보'!L1245&lt;=0),'선정 규칙'!$B$8,IF('제외 후보'!L1245&lt;=1.5,'선정 규칙'!$B$9,IF('제외 후보'!L1245&lt;=2,'선정 규칙'!$B$10,IF('제외 후보'!L1245&lt;=2.5,'선정 규칙'!$B$11,IF('제외 후보'!L1245&lt;=3,'선정 규칙'!$B$12,IF('제외 후보'!L1245&lt;=3.5,'선정 규칙'!$B$13,IF('제외 후보'!L1245&gt;=4.5,'선정 규칙'!$B$14,0)))))))</x:f>
        <x:v>12</x:v>
      </x:c>
      <x:c r="F1245" s="11" t="n">
        <x:f>IF('제외 후보'!Y1245=0,'선정 규칙'!$B$15,IF('제외 후보'!Y1245&gt;=100,'선정 규칙'!$B$16,'선정 규칙'!$B$17))</x:f>
        <x:v>-25</x:v>
      </x:c>
      <x:c r="G1245" s="11" t="n">
        <x:f>IF('제외 후보'!M1245="있음",'선정 규칙'!$B$18,'선정 규칙'!$B$19)</x:f>
        <x:v>6</x:v>
      </x:c>
      <x:c r="H1245" s="11" t="n">
        <x:f>IF(ISNUMBER(SEARCH("freq-core",'제외 후보'!AD1245)),'선정 규칙'!$B$20,0)</x:f>
        <x:v>0</x:v>
      </x:c>
      <x:c r="I1245" s="11" t="n">
        <x:f>IF(ISNUMBER(SEARCH("weak_legacy_content",'제외 후보'!P1245)),'선정 규칙'!$B$21,0)</x:f>
        <x:v>0</x:v>
      </x:c>
      <x:c r="J1245" s="11" t="n">
        <x:f>IF('제외 후보'!AC1245&lt;&gt;"",'선정 규칙'!$B$22,0)</x:f>
        <x:v>0</x:v>
      </x:c>
      <x:c r="K1245" s="11" t="n">
        <x:f>SUM(B1245:J1245)</x:f>
        <x:v>-7</x:v>
      </x:c>
      <x:c r="L1245" s="11" t="n">
        <x:f>'제외 후보'!N1245</x:f>
        <x:v>-7</x:v>
      </x:c>
      <x:c r="M1245" s="2" t="str">
        <x:f>IF(K1245=L1245,"OK","MISMATCH")</x:f>
        <x:v>OK</x:v>
      </x:c>
    </x:row>
    <x:row r="1246">
      <x:c r="A1246" s="2" t="str">
        <x:f>'제외 후보'!G1246</x:f>
        <x:v>w_38d94ea01ef13ce1</x:v>
      </x:c>
      <x:c r="B1246" s="11" t="n">
        <x:f>IF('제외 후보'!Q1246&lt;&gt;"",'선정 규칙'!$B$4,0)</x:f>
        <x:v>0</x:v>
      </x:c>
      <x:c r="C1246" s="11" t="n">
        <x:f>IF(ISNUMBER(SEARCH("jmdict_uncommon_or_irregular",'제외 후보'!P1246)),'선정 규칙'!$B$5,IF(ISNUMBER(SEARCH("jmdict_rare_or_dated",'제외 후보'!P1246)),'선정 규칙'!$B$6,0))</x:f>
        <x:v>0</x:v>
      </x:c>
      <x:c r="D1246" s="11" t="n">
        <x:f>IF(ISNUMBER(SEARCH("jmdict_exact_pair_not_found",'제외 후보'!P1246)),'선정 규칙'!$B$7,0)</x:f>
        <x:v>0</x:v>
      </x:c>
      <x:c r="E1246" s="11" t="n">
        <x:f>IF(OR('제외 후보'!L1246="",'제외 후보'!L1246&lt;=0),'선정 규칙'!$B$8,IF('제외 후보'!L1246&lt;=1.5,'선정 규칙'!$B$9,IF('제외 후보'!L1246&lt;=2,'선정 규칙'!$B$10,IF('제외 후보'!L1246&lt;=2.5,'선정 규칙'!$B$11,IF('제외 후보'!L1246&lt;=3,'선정 규칙'!$B$12,IF('제외 후보'!L1246&lt;=3.5,'선정 규칙'!$B$13,IF('제외 후보'!L1246&gt;=4.5,'선정 규칙'!$B$14,0)))))))</x:f>
        <x:v>12</x:v>
      </x:c>
      <x:c r="F1246" s="11" t="n">
        <x:f>IF('제외 후보'!Y1246=0,'선정 규칙'!$B$15,IF('제외 후보'!Y1246&gt;=100,'선정 규칙'!$B$16,'선정 규칙'!$B$17))</x:f>
        <x:v>-25</x:v>
      </x:c>
      <x:c r="G1246" s="11" t="n">
        <x:f>IF('제외 후보'!M1246="있음",'선정 규칙'!$B$18,'선정 규칙'!$B$19)</x:f>
        <x:v>6</x:v>
      </x:c>
      <x:c r="H1246" s="11" t="n">
        <x:f>IF(ISNUMBER(SEARCH("freq-core",'제외 후보'!AD1246)),'선정 규칙'!$B$20,0)</x:f>
        <x:v>0</x:v>
      </x:c>
      <x:c r="I1246" s="11" t="n">
        <x:f>IF(ISNUMBER(SEARCH("weak_legacy_content",'제외 후보'!P1246)),'선정 규칙'!$B$21,0)</x:f>
        <x:v>0</x:v>
      </x:c>
      <x:c r="J1246" s="11" t="n">
        <x:f>IF('제외 후보'!AC1246&lt;&gt;"",'선정 규칙'!$B$22,0)</x:f>
        <x:v>0</x:v>
      </x:c>
      <x:c r="K1246" s="11" t="n">
        <x:f>SUM(B1246:J1246)</x:f>
        <x:v>-7</x:v>
      </x:c>
      <x:c r="L1246" s="11" t="n">
        <x:f>'제외 후보'!N1246</x:f>
        <x:v>-7</x:v>
      </x:c>
      <x:c r="M1246" s="2" t="str">
        <x:f>IF(K1246=L1246,"OK","MISMATCH")</x:f>
        <x:v>OK</x:v>
      </x:c>
    </x:row>
    <x:row r="1247">
      <x:c r="A1247" s="2" t="str">
        <x:f>'제외 후보'!G1247</x:f>
        <x:v>w_586fd739ed45378a</x:v>
      </x:c>
      <x:c r="B1247" s="11" t="n">
        <x:f>IF('제외 후보'!Q1247&lt;&gt;"",'선정 규칙'!$B$4,0)</x:f>
        <x:v>0</x:v>
      </x:c>
      <x:c r="C1247" s="11" t="n">
        <x:f>IF(ISNUMBER(SEARCH("jmdict_uncommon_or_irregular",'제외 후보'!P1247)),'선정 규칙'!$B$5,IF(ISNUMBER(SEARCH("jmdict_rare_or_dated",'제외 후보'!P1247)),'선정 규칙'!$B$6,0))</x:f>
        <x:v>0</x:v>
      </x:c>
      <x:c r="D1247" s="11" t="n">
        <x:f>IF(ISNUMBER(SEARCH("jmdict_exact_pair_not_found",'제외 후보'!P1247)),'선정 규칙'!$B$7,0)</x:f>
        <x:v>0</x:v>
      </x:c>
      <x:c r="E1247" s="11" t="n">
        <x:f>IF(OR('제외 후보'!L1247="",'제외 후보'!L1247&lt;=0),'선정 규칙'!$B$8,IF('제외 후보'!L1247&lt;=1.5,'선정 규칙'!$B$9,IF('제외 후보'!L1247&lt;=2,'선정 규칙'!$B$10,IF('제외 후보'!L1247&lt;=2.5,'선정 규칙'!$B$11,IF('제외 후보'!L1247&lt;=3,'선정 규칙'!$B$12,IF('제외 후보'!L1247&lt;=3.5,'선정 규칙'!$B$13,IF('제외 후보'!L1247&gt;=4.5,'선정 규칙'!$B$14,0)))))))</x:f>
        <x:v>12</x:v>
      </x:c>
      <x:c r="F1247" s="11" t="n">
        <x:f>IF('제외 후보'!Y1247=0,'선정 규칙'!$B$15,IF('제외 후보'!Y1247&gt;=100,'선정 규칙'!$B$16,'선정 규칙'!$B$17))</x:f>
        <x:v>-25</x:v>
      </x:c>
      <x:c r="G1247" s="11" t="n">
        <x:f>IF('제외 후보'!M1247="있음",'선정 규칙'!$B$18,'선정 규칙'!$B$19)</x:f>
        <x:v>6</x:v>
      </x:c>
      <x:c r="H1247" s="11" t="n">
        <x:f>IF(ISNUMBER(SEARCH("freq-core",'제외 후보'!AD1247)),'선정 규칙'!$B$20,0)</x:f>
        <x:v>0</x:v>
      </x:c>
      <x:c r="I1247" s="11" t="n">
        <x:f>IF(ISNUMBER(SEARCH("weak_legacy_content",'제외 후보'!P1247)),'선정 규칙'!$B$21,0)</x:f>
        <x:v>0</x:v>
      </x:c>
      <x:c r="J1247" s="11" t="n">
        <x:f>IF('제외 후보'!AC1247&lt;&gt;"",'선정 규칙'!$B$22,0)</x:f>
        <x:v>0</x:v>
      </x:c>
      <x:c r="K1247" s="11" t="n">
        <x:f>SUM(B1247:J1247)</x:f>
        <x:v>-7</x:v>
      </x:c>
      <x:c r="L1247" s="11" t="n">
        <x:f>'제외 후보'!N1247</x:f>
        <x:v>-7</x:v>
      </x:c>
      <x:c r="M1247" s="2" t="str">
        <x:f>IF(K1247=L1247,"OK","MISMATCH")</x:f>
        <x:v>OK</x:v>
      </x:c>
    </x:row>
    <x:row r="1248">
      <x:c r="A1248" s="2" t="str">
        <x:f>'제외 후보'!G1248</x:f>
        <x:v>w_74626cb2d678c7da</x:v>
      </x:c>
      <x:c r="B1248" s="11" t="n">
        <x:f>IF('제외 후보'!Q1248&lt;&gt;"",'선정 규칙'!$B$4,0)</x:f>
        <x:v>0</x:v>
      </x:c>
      <x:c r="C1248" s="11" t="n">
        <x:f>IF(ISNUMBER(SEARCH("jmdict_uncommon_or_irregular",'제외 후보'!P1248)),'선정 규칙'!$B$5,IF(ISNUMBER(SEARCH("jmdict_rare_or_dated",'제외 후보'!P1248)),'선정 규칙'!$B$6,0))</x:f>
        <x:v>0</x:v>
      </x:c>
      <x:c r="D1248" s="11" t="n">
        <x:f>IF(ISNUMBER(SEARCH("jmdict_exact_pair_not_found",'제외 후보'!P1248)),'선정 규칙'!$B$7,0)</x:f>
        <x:v>0</x:v>
      </x:c>
      <x:c r="E1248" s="11" t="n">
        <x:f>IF(OR('제외 후보'!L1248="",'제외 후보'!L1248&lt;=0),'선정 규칙'!$B$8,IF('제외 후보'!L1248&lt;=1.5,'선정 규칙'!$B$9,IF('제외 후보'!L1248&lt;=2,'선정 규칙'!$B$10,IF('제외 후보'!L1248&lt;=2.5,'선정 규칙'!$B$11,IF('제외 후보'!L1248&lt;=3,'선정 규칙'!$B$12,IF('제외 후보'!L1248&lt;=3.5,'선정 규칙'!$B$13,IF('제외 후보'!L1248&gt;=4.5,'선정 규칙'!$B$14,0)))))))</x:f>
        <x:v>12</x:v>
      </x:c>
      <x:c r="F1248" s="11" t="n">
        <x:f>IF('제외 후보'!Y1248=0,'선정 규칙'!$B$15,IF('제외 후보'!Y1248&gt;=100,'선정 규칙'!$B$16,'선정 규칙'!$B$17))</x:f>
        <x:v>-25</x:v>
      </x:c>
      <x:c r="G1248" s="11" t="n">
        <x:f>IF('제외 후보'!M1248="있음",'선정 규칙'!$B$18,'선정 규칙'!$B$19)</x:f>
        <x:v>6</x:v>
      </x:c>
      <x:c r="H1248" s="11" t="n">
        <x:f>IF(ISNUMBER(SEARCH("freq-core",'제외 후보'!AD1248)),'선정 규칙'!$B$20,0)</x:f>
        <x:v>0</x:v>
      </x:c>
      <x:c r="I1248" s="11" t="n">
        <x:f>IF(ISNUMBER(SEARCH("weak_legacy_content",'제외 후보'!P1248)),'선정 규칙'!$B$21,0)</x:f>
        <x:v>0</x:v>
      </x:c>
      <x:c r="J1248" s="11" t="n">
        <x:f>IF('제외 후보'!AC1248&lt;&gt;"",'선정 규칙'!$B$22,0)</x:f>
        <x:v>0</x:v>
      </x:c>
      <x:c r="K1248" s="11" t="n">
        <x:f>SUM(B1248:J1248)</x:f>
        <x:v>-7</x:v>
      </x:c>
      <x:c r="L1248" s="11" t="n">
        <x:f>'제외 후보'!N1248</x:f>
        <x:v>-7</x:v>
      </x:c>
      <x:c r="M1248" s="2" t="str">
        <x:f>IF(K1248=L1248,"OK","MISMATCH")</x:f>
        <x:v>OK</x:v>
      </x:c>
    </x:row>
    <x:row r="1249">
      <x:c r="A1249" s="2" t="str">
        <x:f>'제외 후보'!G1249</x:f>
        <x:v>w_868dd8f818c0b138</x:v>
      </x:c>
      <x:c r="B1249" s="11" t="n">
        <x:f>IF('제외 후보'!Q1249&lt;&gt;"",'선정 규칙'!$B$4,0)</x:f>
        <x:v>0</x:v>
      </x:c>
      <x:c r="C1249" s="11" t="n">
        <x:f>IF(ISNUMBER(SEARCH("jmdict_uncommon_or_irregular",'제외 후보'!P1249)),'선정 규칙'!$B$5,IF(ISNUMBER(SEARCH("jmdict_rare_or_dated",'제외 후보'!P1249)),'선정 규칙'!$B$6,0))</x:f>
        <x:v>0</x:v>
      </x:c>
      <x:c r="D1249" s="11" t="n">
        <x:f>IF(ISNUMBER(SEARCH("jmdict_exact_pair_not_found",'제외 후보'!P1249)),'선정 규칙'!$B$7,0)</x:f>
        <x:v>0</x:v>
      </x:c>
      <x:c r="E1249" s="11" t="n">
        <x:f>IF(OR('제외 후보'!L1249="",'제외 후보'!L1249&lt;=0),'선정 규칙'!$B$8,IF('제외 후보'!L1249&lt;=1.5,'선정 규칙'!$B$9,IF('제외 후보'!L1249&lt;=2,'선정 규칙'!$B$10,IF('제외 후보'!L1249&lt;=2.5,'선정 규칙'!$B$11,IF('제외 후보'!L1249&lt;=3,'선정 규칙'!$B$12,IF('제외 후보'!L1249&lt;=3.5,'선정 규칙'!$B$13,IF('제외 후보'!L1249&gt;=4.5,'선정 규칙'!$B$14,0)))))))</x:f>
        <x:v>12</x:v>
      </x:c>
      <x:c r="F1249" s="11" t="n">
        <x:f>IF('제외 후보'!Y1249=0,'선정 규칙'!$B$15,IF('제외 후보'!Y1249&gt;=100,'선정 규칙'!$B$16,'선정 규칙'!$B$17))</x:f>
        <x:v>-25</x:v>
      </x:c>
      <x:c r="G1249" s="11" t="n">
        <x:f>IF('제외 후보'!M1249="있음",'선정 규칙'!$B$18,'선정 규칙'!$B$19)</x:f>
        <x:v>6</x:v>
      </x:c>
      <x:c r="H1249" s="11" t="n">
        <x:f>IF(ISNUMBER(SEARCH("freq-core",'제외 후보'!AD1249)),'선정 규칙'!$B$20,0)</x:f>
        <x:v>0</x:v>
      </x:c>
      <x:c r="I1249" s="11" t="n">
        <x:f>IF(ISNUMBER(SEARCH("weak_legacy_content",'제외 후보'!P1249)),'선정 규칙'!$B$21,0)</x:f>
        <x:v>0</x:v>
      </x:c>
      <x:c r="J1249" s="11" t="n">
        <x:f>IF('제외 후보'!AC1249&lt;&gt;"",'선정 규칙'!$B$22,0)</x:f>
        <x:v>0</x:v>
      </x:c>
      <x:c r="K1249" s="11" t="n">
        <x:f>SUM(B1249:J1249)</x:f>
        <x:v>-7</x:v>
      </x:c>
      <x:c r="L1249" s="11" t="n">
        <x:f>'제외 후보'!N1249</x:f>
        <x:v>-7</x:v>
      </x:c>
      <x:c r="M1249" s="2" t="str">
        <x:f>IF(K1249=L1249,"OK","MISMATCH")</x:f>
        <x:v>OK</x:v>
      </x:c>
    </x:row>
    <x:row r="1250">
      <x:c r="A1250" s="2" t="str">
        <x:f>'제외 후보'!G1250</x:f>
        <x:v>w_b39e01ca61885092</x:v>
      </x:c>
      <x:c r="B1250" s="11" t="n">
        <x:f>IF('제외 후보'!Q1250&lt;&gt;"",'선정 규칙'!$B$4,0)</x:f>
        <x:v>0</x:v>
      </x:c>
      <x:c r="C1250" s="11" t="n">
        <x:f>IF(ISNUMBER(SEARCH("jmdict_uncommon_or_irregular",'제외 후보'!P1250)),'선정 규칙'!$B$5,IF(ISNUMBER(SEARCH("jmdict_rare_or_dated",'제외 후보'!P1250)),'선정 규칙'!$B$6,0))</x:f>
        <x:v>0</x:v>
      </x:c>
      <x:c r="D1250" s="11" t="n">
        <x:f>IF(ISNUMBER(SEARCH("jmdict_exact_pair_not_found",'제외 후보'!P1250)),'선정 규칙'!$B$7,0)</x:f>
        <x:v>0</x:v>
      </x:c>
      <x:c r="E1250" s="11" t="n">
        <x:f>IF(OR('제외 후보'!L1250="",'제외 후보'!L1250&lt;=0),'선정 규칙'!$B$8,IF('제외 후보'!L1250&lt;=1.5,'선정 규칙'!$B$9,IF('제외 후보'!L1250&lt;=2,'선정 규칙'!$B$10,IF('제외 후보'!L1250&lt;=2.5,'선정 규칙'!$B$11,IF('제외 후보'!L1250&lt;=3,'선정 규칙'!$B$12,IF('제외 후보'!L1250&lt;=3.5,'선정 규칙'!$B$13,IF('제외 후보'!L1250&gt;=4.5,'선정 규칙'!$B$14,0)))))))</x:f>
        <x:v>12</x:v>
      </x:c>
      <x:c r="F1250" s="11" t="n">
        <x:f>IF('제외 후보'!Y1250=0,'선정 규칙'!$B$15,IF('제외 후보'!Y1250&gt;=100,'선정 규칙'!$B$16,'선정 규칙'!$B$17))</x:f>
        <x:v>-25</x:v>
      </x:c>
      <x:c r="G1250" s="11" t="n">
        <x:f>IF('제외 후보'!M1250="있음",'선정 규칙'!$B$18,'선정 규칙'!$B$19)</x:f>
        <x:v>6</x:v>
      </x:c>
      <x:c r="H1250" s="11" t="n">
        <x:f>IF(ISNUMBER(SEARCH("freq-core",'제외 후보'!AD1250)),'선정 규칙'!$B$20,0)</x:f>
        <x:v>0</x:v>
      </x:c>
      <x:c r="I1250" s="11" t="n">
        <x:f>IF(ISNUMBER(SEARCH("weak_legacy_content",'제외 후보'!P1250)),'선정 규칙'!$B$21,0)</x:f>
        <x:v>0</x:v>
      </x:c>
      <x:c r="J1250" s="11" t="n">
        <x:f>IF('제외 후보'!AC1250&lt;&gt;"",'선정 규칙'!$B$22,0)</x:f>
        <x:v>0</x:v>
      </x:c>
      <x:c r="K1250" s="11" t="n">
        <x:f>SUM(B1250:J1250)</x:f>
        <x:v>-7</x:v>
      </x:c>
      <x:c r="L1250" s="11" t="n">
        <x:f>'제외 후보'!N1250</x:f>
        <x:v>-7</x:v>
      </x:c>
      <x:c r="M1250" s="2" t="str">
        <x:f>IF(K1250=L1250,"OK","MISMATCH")</x:f>
        <x:v>OK</x:v>
      </x:c>
    </x:row>
    <x:row r="1251">
      <x:c r="A1251" s="2" t="str">
        <x:f>'제외 후보'!G1251</x:f>
        <x:v>w_d7332e5b51597d3e</x:v>
      </x:c>
      <x:c r="B1251" s="11" t="n">
        <x:f>IF('제외 후보'!Q1251&lt;&gt;"",'선정 규칙'!$B$4,0)</x:f>
        <x:v>0</x:v>
      </x:c>
      <x:c r="C1251" s="11" t="n">
        <x:f>IF(ISNUMBER(SEARCH("jmdict_uncommon_or_irregular",'제외 후보'!P1251)),'선정 규칙'!$B$5,IF(ISNUMBER(SEARCH("jmdict_rare_or_dated",'제외 후보'!P1251)),'선정 규칙'!$B$6,0))</x:f>
        <x:v>0</x:v>
      </x:c>
      <x:c r="D1251" s="11" t="n">
        <x:f>IF(ISNUMBER(SEARCH("jmdict_exact_pair_not_found",'제외 후보'!P1251)),'선정 규칙'!$B$7,0)</x:f>
        <x:v>0</x:v>
      </x:c>
      <x:c r="E1251" s="11" t="n">
        <x:f>IF(OR('제외 후보'!L1251="",'제외 후보'!L1251&lt;=0),'선정 규칙'!$B$8,IF('제외 후보'!L1251&lt;=1.5,'선정 규칙'!$B$9,IF('제외 후보'!L1251&lt;=2,'선정 규칙'!$B$10,IF('제외 후보'!L1251&lt;=2.5,'선정 규칙'!$B$11,IF('제외 후보'!L1251&lt;=3,'선정 규칙'!$B$12,IF('제외 후보'!L1251&lt;=3.5,'선정 규칙'!$B$13,IF('제외 후보'!L1251&gt;=4.5,'선정 규칙'!$B$14,0)))))))</x:f>
        <x:v>12</x:v>
      </x:c>
      <x:c r="F1251" s="11" t="n">
        <x:f>IF('제외 후보'!Y1251=0,'선정 규칙'!$B$15,IF('제외 후보'!Y1251&gt;=100,'선정 규칙'!$B$16,'선정 규칙'!$B$17))</x:f>
        <x:v>-25</x:v>
      </x:c>
      <x:c r="G1251" s="11" t="n">
        <x:f>IF('제외 후보'!M1251="있음",'선정 규칙'!$B$18,'선정 규칙'!$B$19)</x:f>
        <x:v>6</x:v>
      </x:c>
      <x:c r="H1251" s="11" t="n">
        <x:f>IF(ISNUMBER(SEARCH("freq-core",'제외 후보'!AD1251)),'선정 규칙'!$B$20,0)</x:f>
        <x:v>0</x:v>
      </x:c>
      <x:c r="I1251" s="11" t="n">
        <x:f>IF(ISNUMBER(SEARCH("weak_legacy_content",'제외 후보'!P1251)),'선정 규칙'!$B$21,0)</x:f>
        <x:v>0</x:v>
      </x:c>
      <x:c r="J1251" s="11" t="n">
        <x:f>IF('제외 후보'!AC1251&lt;&gt;"",'선정 규칙'!$B$22,0)</x:f>
        <x:v>0</x:v>
      </x:c>
      <x:c r="K1251" s="11" t="n">
        <x:f>SUM(B1251:J1251)</x:f>
        <x:v>-7</x:v>
      </x:c>
      <x:c r="L1251" s="11" t="n">
        <x:f>'제외 후보'!N1251</x:f>
        <x:v>-7</x:v>
      </x:c>
      <x:c r="M1251" s="2" t="str">
        <x:f>IF(K1251=L1251,"OK","MISMATCH")</x:f>
        <x:v>OK</x:v>
      </x:c>
    </x:row>
    <x:row r="1252">
      <x:c r="A1252" s="2" t="str">
        <x:f>'제외 후보'!G1252</x:f>
        <x:v>w_302957a5eb4aa619</x:v>
      </x:c>
      <x:c r="B1252" s="11" t="n">
        <x:f>IF('제외 후보'!Q1252&lt;&gt;"",'선정 규칙'!$B$4,0)</x:f>
        <x:v>0</x:v>
      </x:c>
      <x:c r="C1252" s="11" t="n">
        <x:f>IF(ISNUMBER(SEARCH("jmdict_uncommon_or_irregular",'제외 후보'!P1252)),'선정 규칙'!$B$5,IF(ISNUMBER(SEARCH("jmdict_rare_or_dated",'제외 후보'!P1252)),'선정 규칙'!$B$6,0))</x:f>
        <x:v>0</x:v>
      </x:c>
      <x:c r="D1252" s="11" t="n">
        <x:f>IF(ISNUMBER(SEARCH("jmdict_exact_pair_not_found",'제외 후보'!P1252)),'선정 규칙'!$B$7,0)</x:f>
        <x:v>0</x:v>
      </x:c>
      <x:c r="E1252" s="11" t="n">
        <x:f>IF(OR('제외 후보'!L1252="",'제외 후보'!L1252&lt;=0),'선정 규칙'!$B$8,IF('제외 후보'!L1252&lt;=1.5,'선정 규칙'!$B$9,IF('제외 후보'!L1252&lt;=2,'선정 규칙'!$B$10,IF('제외 후보'!L1252&lt;=2.5,'선정 규칙'!$B$11,IF('제외 후보'!L1252&lt;=3,'선정 규칙'!$B$12,IF('제외 후보'!L1252&lt;=3.5,'선정 규칙'!$B$13,IF('제외 후보'!L1252&gt;=4.5,'선정 규칙'!$B$14,0)))))))</x:f>
        <x:v>12</x:v>
      </x:c>
      <x:c r="F1252" s="11" t="n">
        <x:f>IF('제외 후보'!Y1252=0,'선정 규칙'!$B$15,IF('제외 후보'!Y1252&gt;=100,'선정 규칙'!$B$16,'선정 규칙'!$B$17))</x:f>
        <x:v>-25</x:v>
      </x:c>
      <x:c r="G1252" s="11" t="n">
        <x:f>IF('제외 후보'!M1252="있음",'선정 규칙'!$B$18,'선정 규칙'!$B$19)</x:f>
        <x:v>6</x:v>
      </x:c>
      <x:c r="H1252" s="11" t="n">
        <x:f>IF(ISNUMBER(SEARCH("freq-core",'제외 후보'!AD1252)),'선정 규칙'!$B$20,0)</x:f>
        <x:v>0</x:v>
      </x:c>
      <x:c r="I1252" s="11" t="n">
        <x:f>IF(ISNUMBER(SEARCH("weak_legacy_content",'제외 후보'!P1252)),'선정 규칙'!$B$21,0)</x:f>
        <x:v>0</x:v>
      </x:c>
      <x:c r="J1252" s="11" t="n">
        <x:f>IF('제외 후보'!AC1252&lt;&gt;"",'선정 규칙'!$B$22,0)</x:f>
        <x:v>0</x:v>
      </x:c>
      <x:c r="K1252" s="11" t="n">
        <x:f>SUM(B1252:J1252)</x:f>
        <x:v>-7</x:v>
      </x:c>
      <x:c r="L1252" s="11" t="n">
        <x:f>'제외 후보'!N1252</x:f>
        <x:v>-7</x:v>
      </x:c>
      <x:c r="M1252" s="2" t="str">
        <x:f>IF(K1252=L1252,"OK","MISMATCH")</x:f>
        <x:v>OK</x:v>
      </x:c>
    </x:row>
    <x:row r="1253">
      <x:c r="A1253" s="2" t="str">
        <x:f>'제외 후보'!G1253</x:f>
        <x:v>w_60fdfd50b368a133</x:v>
      </x:c>
      <x:c r="B1253" s="11" t="n">
        <x:f>IF('제외 후보'!Q1253&lt;&gt;"",'선정 규칙'!$B$4,0)</x:f>
        <x:v>0</x:v>
      </x:c>
      <x:c r="C1253" s="11" t="n">
        <x:f>IF(ISNUMBER(SEARCH("jmdict_uncommon_or_irregular",'제외 후보'!P1253)),'선정 규칙'!$B$5,IF(ISNUMBER(SEARCH("jmdict_rare_or_dated",'제외 후보'!P1253)),'선정 규칙'!$B$6,0))</x:f>
        <x:v>0</x:v>
      </x:c>
      <x:c r="D1253" s="11" t="n">
        <x:f>IF(ISNUMBER(SEARCH("jmdict_exact_pair_not_found",'제외 후보'!P1253)),'선정 규칙'!$B$7,0)</x:f>
        <x:v>0</x:v>
      </x:c>
      <x:c r="E1253" s="11" t="n">
        <x:f>IF(OR('제외 후보'!L1253="",'제외 후보'!L1253&lt;=0),'선정 규칙'!$B$8,IF('제외 후보'!L1253&lt;=1.5,'선정 규칙'!$B$9,IF('제외 후보'!L1253&lt;=2,'선정 규칙'!$B$10,IF('제외 후보'!L1253&lt;=2.5,'선정 규칙'!$B$11,IF('제외 후보'!L1253&lt;=3,'선정 규칙'!$B$12,IF('제외 후보'!L1253&lt;=3.5,'선정 규칙'!$B$13,IF('제외 후보'!L1253&gt;=4.5,'선정 규칙'!$B$14,0)))))))</x:f>
        <x:v>12</x:v>
      </x:c>
      <x:c r="F1253" s="11" t="n">
        <x:f>IF('제외 후보'!Y1253=0,'선정 규칙'!$B$15,IF('제외 후보'!Y1253&gt;=100,'선정 규칙'!$B$16,'선정 규칙'!$B$17))</x:f>
        <x:v>-25</x:v>
      </x:c>
      <x:c r="G1253" s="11" t="n">
        <x:f>IF('제외 후보'!M1253="있음",'선정 규칙'!$B$18,'선정 규칙'!$B$19)</x:f>
        <x:v>6</x:v>
      </x:c>
      <x:c r="H1253" s="11" t="n">
        <x:f>IF(ISNUMBER(SEARCH("freq-core",'제외 후보'!AD1253)),'선정 규칙'!$B$20,0)</x:f>
        <x:v>0</x:v>
      </x:c>
      <x:c r="I1253" s="11" t="n">
        <x:f>IF(ISNUMBER(SEARCH("weak_legacy_content",'제외 후보'!P1253)),'선정 규칙'!$B$21,0)</x:f>
        <x:v>0</x:v>
      </x:c>
      <x:c r="J1253" s="11" t="n">
        <x:f>IF('제외 후보'!AC1253&lt;&gt;"",'선정 규칙'!$B$22,0)</x:f>
        <x:v>0</x:v>
      </x:c>
      <x:c r="K1253" s="11" t="n">
        <x:f>SUM(B1253:J1253)</x:f>
        <x:v>-7</x:v>
      </x:c>
      <x:c r="L1253" s="11" t="n">
        <x:f>'제외 후보'!N1253</x:f>
        <x:v>-7</x:v>
      </x:c>
      <x:c r="M1253" s="2" t="str">
        <x:f>IF(K1253=L1253,"OK","MISMATCH")</x:f>
        <x:v>OK</x:v>
      </x:c>
    </x:row>
    <x:row r="1254">
      <x:c r="A1254" s="2" t="str">
        <x:f>'제외 후보'!G1254</x:f>
        <x:v>w_e8d5d1492c47ef5f</x:v>
      </x:c>
      <x:c r="B1254" s="11" t="n">
        <x:f>IF('제외 후보'!Q1254&lt;&gt;"",'선정 규칙'!$B$4,0)</x:f>
        <x:v>0</x:v>
      </x:c>
      <x:c r="C1254" s="11" t="n">
        <x:f>IF(ISNUMBER(SEARCH("jmdict_uncommon_or_irregular",'제외 후보'!P1254)),'선정 규칙'!$B$5,IF(ISNUMBER(SEARCH("jmdict_rare_or_dated",'제외 후보'!P1254)),'선정 규칙'!$B$6,0))</x:f>
        <x:v>0</x:v>
      </x:c>
      <x:c r="D1254" s="11" t="n">
        <x:f>IF(ISNUMBER(SEARCH("jmdict_exact_pair_not_found",'제외 후보'!P1254)),'선정 규칙'!$B$7,0)</x:f>
        <x:v>0</x:v>
      </x:c>
      <x:c r="E1254" s="11" t="n">
        <x:f>IF(OR('제외 후보'!L1254="",'제외 후보'!L1254&lt;=0),'선정 규칙'!$B$8,IF('제외 후보'!L1254&lt;=1.5,'선정 규칙'!$B$9,IF('제외 후보'!L1254&lt;=2,'선정 규칙'!$B$10,IF('제외 후보'!L1254&lt;=2.5,'선정 규칙'!$B$11,IF('제외 후보'!L1254&lt;=3,'선정 규칙'!$B$12,IF('제외 후보'!L1254&lt;=3.5,'선정 규칙'!$B$13,IF('제외 후보'!L1254&gt;=4.5,'선정 규칙'!$B$14,0)))))))</x:f>
        <x:v>12</x:v>
      </x:c>
      <x:c r="F1254" s="11" t="n">
        <x:f>IF('제외 후보'!Y1254=0,'선정 규칙'!$B$15,IF('제외 후보'!Y1254&gt;=100,'선정 규칙'!$B$16,'선정 규칙'!$B$17))</x:f>
        <x:v>-25</x:v>
      </x:c>
      <x:c r="G1254" s="11" t="n">
        <x:f>IF('제외 후보'!M1254="있음",'선정 규칙'!$B$18,'선정 규칙'!$B$19)</x:f>
        <x:v>6</x:v>
      </x:c>
      <x:c r="H1254" s="11" t="n">
        <x:f>IF(ISNUMBER(SEARCH("freq-core",'제외 후보'!AD1254)),'선정 규칙'!$B$20,0)</x:f>
        <x:v>0</x:v>
      </x:c>
      <x:c r="I1254" s="11" t="n">
        <x:f>IF(ISNUMBER(SEARCH("weak_legacy_content",'제외 후보'!P1254)),'선정 규칙'!$B$21,0)</x:f>
        <x:v>0</x:v>
      </x:c>
      <x:c r="J1254" s="11" t="n">
        <x:f>IF('제외 후보'!AC1254&lt;&gt;"",'선정 규칙'!$B$22,0)</x:f>
        <x:v>0</x:v>
      </x:c>
      <x:c r="K1254" s="11" t="n">
        <x:f>SUM(B1254:J1254)</x:f>
        <x:v>-7</x:v>
      </x:c>
      <x:c r="L1254" s="11" t="n">
        <x:f>'제외 후보'!N1254</x:f>
        <x:v>-7</x:v>
      </x:c>
      <x:c r="M1254" s="2" t="str">
        <x:f>IF(K1254=L1254,"OK","MISMATCH")</x:f>
        <x:v>OK</x:v>
      </x:c>
    </x:row>
    <x:row r="1255">
      <x:c r="A1255" s="2" t="str">
        <x:f>'제외 후보'!G1255</x:f>
        <x:v>w_f5a20baa3b0a3ea7</x:v>
      </x:c>
      <x:c r="B1255" s="11" t="n">
        <x:f>IF('제외 후보'!Q1255&lt;&gt;"",'선정 규칙'!$B$4,0)</x:f>
        <x:v>0</x:v>
      </x:c>
      <x:c r="C1255" s="11" t="n">
        <x:f>IF(ISNUMBER(SEARCH("jmdict_uncommon_or_irregular",'제외 후보'!P1255)),'선정 규칙'!$B$5,IF(ISNUMBER(SEARCH("jmdict_rare_or_dated",'제외 후보'!P1255)),'선정 규칙'!$B$6,0))</x:f>
        <x:v>0</x:v>
      </x:c>
      <x:c r="D1255" s="11" t="n">
        <x:f>IF(ISNUMBER(SEARCH("jmdict_exact_pair_not_found",'제외 후보'!P1255)),'선정 규칙'!$B$7,0)</x:f>
        <x:v>0</x:v>
      </x:c>
      <x:c r="E1255" s="11" t="n">
        <x:f>IF(OR('제외 후보'!L1255="",'제외 후보'!L1255&lt;=0),'선정 규칙'!$B$8,IF('제외 후보'!L1255&lt;=1.5,'선정 규칙'!$B$9,IF('제외 후보'!L1255&lt;=2,'선정 규칙'!$B$10,IF('제외 후보'!L1255&lt;=2.5,'선정 규칙'!$B$11,IF('제외 후보'!L1255&lt;=3,'선정 규칙'!$B$12,IF('제외 후보'!L1255&lt;=3.5,'선정 규칙'!$B$13,IF('제외 후보'!L1255&gt;=4.5,'선정 규칙'!$B$14,0)))))))</x:f>
        <x:v>12</x:v>
      </x:c>
      <x:c r="F1255" s="11" t="n">
        <x:f>IF('제외 후보'!Y1255=0,'선정 규칙'!$B$15,IF('제외 후보'!Y1255&gt;=100,'선정 규칙'!$B$16,'선정 규칙'!$B$17))</x:f>
        <x:v>-25</x:v>
      </x:c>
      <x:c r="G1255" s="11" t="n">
        <x:f>IF('제외 후보'!M1255="있음",'선정 규칙'!$B$18,'선정 규칙'!$B$19)</x:f>
        <x:v>6</x:v>
      </x:c>
      <x:c r="H1255" s="11" t="n">
        <x:f>IF(ISNUMBER(SEARCH("freq-core",'제외 후보'!AD1255)),'선정 규칙'!$B$20,0)</x:f>
        <x:v>0</x:v>
      </x:c>
      <x:c r="I1255" s="11" t="n">
        <x:f>IF(ISNUMBER(SEARCH("weak_legacy_content",'제외 후보'!P1255)),'선정 규칙'!$B$21,0)</x:f>
        <x:v>0</x:v>
      </x:c>
      <x:c r="J1255" s="11" t="n">
        <x:f>IF('제외 후보'!AC1255&lt;&gt;"",'선정 규칙'!$B$22,0)</x:f>
        <x:v>0</x:v>
      </x:c>
      <x:c r="K1255" s="11" t="n">
        <x:f>SUM(B1255:J1255)</x:f>
        <x:v>-7</x:v>
      </x:c>
      <x:c r="L1255" s="11" t="n">
        <x:f>'제외 후보'!N1255</x:f>
        <x:v>-7</x:v>
      </x:c>
      <x:c r="M1255" s="2" t="str">
        <x:f>IF(K1255=L1255,"OK","MISMATCH")</x:f>
        <x:v>OK</x:v>
      </x:c>
    </x:row>
    <x:row r="1256">
      <x:c r="A1256" s="2" t="str">
        <x:f>'제외 후보'!G1256</x:f>
        <x:v>w_249123639c3e4839</x:v>
      </x:c>
      <x:c r="B1256" s="11" t="n">
        <x:f>IF('제외 후보'!Q1256&lt;&gt;"",'선정 규칙'!$B$4,0)</x:f>
        <x:v>0</x:v>
      </x:c>
      <x:c r="C1256" s="11" t="n">
        <x:f>IF(ISNUMBER(SEARCH("jmdict_uncommon_or_irregular",'제외 후보'!P1256)),'선정 규칙'!$B$5,IF(ISNUMBER(SEARCH("jmdict_rare_or_dated",'제외 후보'!P1256)),'선정 규칙'!$B$6,0))</x:f>
        <x:v>0</x:v>
      </x:c>
      <x:c r="D1256" s="11" t="n">
        <x:f>IF(ISNUMBER(SEARCH("jmdict_exact_pair_not_found",'제외 후보'!P1256)),'선정 규칙'!$B$7,0)</x:f>
        <x:v>0</x:v>
      </x:c>
      <x:c r="E1256" s="11" t="n">
        <x:f>IF(OR('제외 후보'!L1256="",'제외 후보'!L1256&lt;=0),'선정 규칙'!$B$8,IF('제외 후보'!L1256&lt;=1.5,'선정 규칙'!$B$9,IF('제외 후보'!L1256&lt;=2,'선정 규칙'!$B$10,IF('제외 후보'!L1256&lt;=2.5,'선정 규칙'!$B$11,IF('제외 후보'!L1256&lt;=3,'선정 규칙'!$B$12,IF('제외 후보'!L1256&lt;=3.5,'선정 규칙'!$B$13,IF('제외 후보'!L1256&gt;=4.5,'선정 규칙'!$B$14,0)))))))</x:f>
        <x:v>12</x:v>
      </x:c>
      <x:c r="F1256" s="11" t="n">
        <x:f>IF('제외 후보'!Y1256=0,'선정 규칙'!$B$15,IF('제외 후보'!Y1256&gt;=100,'선정 규칙'!$B$16,'선정 규칙'!$B$17))</x:f>
        <x:v>-25</x:v>
      </x:c>
      <x:c r="G1256" s="11" t="n">
        <x:f>IF('제외 후보'!M1256="있음",'선정 규칙'!$B$18,'선정 규칙'!$B$19)</x:f>
        <x:v>6</x:v>
      </x:c>
      <x:c r="H1256" s="11" t="n">
        <x:f>IF(ISNUMBER(SEARCH("freq-core",'제외 후보'!AD1256)),'선정 규칙'!$B$20,0)</x:f>
        <x:v>0</x:v>
      </x:c>
      <x:c r="I1256" s="11" t="n">
        <x:f>IF(ISNUMBER(SEARCH("weak_legacy_content",'제외 후보'!P1256)),'선정 규칙'!$B$21,0)</x:f>
        <x:v>0</x:v>
      </x:c>
      <x:c r="J1256" s="11" t="n">
        <x:f>IF('제외 후보'!AC1256&lt;&gt;"",'선정 규칙'!$B$22,0)</x:f>
        <x:v>0</x:v>
      </x:c>
      <x:c r="K1256" s="11" t="n">
        <x:f>SUM(B1256:J1256)</x:f>
        <x:v>-7</x:v>
      </x:c>
      <x:c r="L1256" s="11" t="n">
        <x:f>'제외 후보'!N1256</x:f>
        <x:v>-7</x:v>
      </x:c>
      <x:c r="M1256" s="2" t="str">
        <x:f>IF(K1256=L1256,"OK","MISMATCH")</x:f>
        <x:v>OK</x:v>
      </x:c>
    </x:row>
    <x:row r="1257">
      <x:c r="A1257" s="2" t="str">
        <x:f>'제외 후보'!G1257</x:f>
        <x:v>w_45ad1afbb9ff44ff</x:v>
      </x:c>
      <x:c r="B1257" s="11" t="n">
        <x:f>IF('제외 후보'!Q1257&lt;&gt;"",'선정 규칙'!$B$4,0)</x:f>
        <x:v>0</x:v>
      </x:c>
      <x:c r="C1257" s="11" t="n">
        <x:f>IF(ISNUMBER(SEARCH("jmdict_uncommon_or_irregular",'제외 후보'!P1257)),'선정 규칙'!$B$5,IF(ISNUMBER(SEARCH("jmdict_rare_or_dated",'제외 후보'!P1257)),'선정 규칙'!$B$6,0))</x:f>
        <x:v>0</x:v>
      </x:c>
      <x:c r="D1257" s="11" t="n">
        <x:f>IF(ISNUMBER(SEARCH("jmdict_exact_pair_not_found",'제외 후보'!P1257)),'선정 규칙'!$B$7,0)</x:f>
        <x:v>0</x:v>
      </x:c>
      <x:c r="E1257" s="11" t="n">
        <x:f>IF(OR('제외 후보'!L1257="",'제외 후보'!L1257&lt;=0),'선정 규칙'!$B$8,IF('제외 후보'!L1257&lt;=1.5,'선정 규칙'!$B$9,IF('제외 후보'!L1257&lt;=2,'선정 규칙'!$B$10,IF('제외 후보'!L1257&lt;=2.5,'선정 규칙'!$B$11,IF('제외 후보'!L1257&lt;=3,'선정 규칙'!$B$12,IF('제외 후보'!L1257&lt;=3.5,'선정 규칙'!$B$13,IF('제외 후보'!L1257&gt;=4.5,'선정 규칙'!$B$14,0)))))))</x:f>
        <x:v>12</x:v>
      </x:c>
      <x:c r="F1257" s="11" t="n">
        <x:f>IF('제외 후보'!Y1257=0,'선정 규칙'!$B$15,IF('제외 후보'!Y1257&gt;=100,'선정 규칙'!$B$16,'선정 규칙'!$B$17))</x:f>
        <x:v>-25</x:v>
      </x:c>
      <x:c r="G1257" s="11" t="n">
        <x:f>IF('제외 후보'!M1257="있음",'선정 규칙'!$B$18,'선정 규칙'!$B$19)</x:f>
        <x:v>6</x:v>
      </x:c>
      <x:c r="H1257" s="11" t="n">
        <x:f>IF(ISNUMBER(SEARCH("freq-core",'제외 후보'!AD1257)),'선정 규칙'!$B$20,0)</x:f>
        <x:v>0</x:v>
      </x:c>
      <x:c r="I1257" s="11" t="n">
        <x:f>IF(ISNUMBER(SEARCH("weak_legacy_content",'제외 후보'!P1257)),'선정 규칙'!$B$21,0)</x:f>
        <x:v>0</x:v>
      </x:c>
      <x:c r="J1257" s="11" t="n">
        <x:f>IF('제외 후보'!AC1257&lt;&gt;"",'선정 규칙'!$B$22,0)</x:f>
        <x:v>0</x:v>
      </x:c>
      <x:c r="K1257" s="11" t="n">
        <x:f>SUM(B1257:J1257)</x:f>
        <x:v>-7</x:v>
      </x:c>
      <x:c r="L1257" s="11" t="n">
        <x:f>'제외 후보'!N1257</x:f>
        <x:v>-7</x:v>
      </x:c>
      <x:c r="M1257" s="2" t="str">
        <x:f>IF(K1257=L1257,"OK","MISMATCH")</x:f>
        <x:v>OK</x:v>
      </x:c>
    </x:row>
    <x:row r="1258">
      <x:c r="A1258" s="2" t="str">
        <x:f>'제외 후보'!G1258</x:f>
        <x:v>w_6761fa3eddc06dd6</x:v>
      </x:c>
      <x:c r="B1258" s="11" t="n">
        <x:f>IF('제외 후보'!Q1258&lt;&gt;"",'선정 규칙'!$B$4,0)</x:f>
        <x:v>0</x:v>
      </x:c>
      <x:c r="C1258" s="11" t="n">
        <x:f>IF(ISNUMBER(SEARCH("jmdict_uncommon_or_irregular",'제외 후보'!P1258)),'선정 규칙'!$B$5,IF(ISNUMBER(SEARCH("jmdict_rare_or_dated",'제외 후보'!P1258)),'선정 규칙'!$B$6,0))</x:f>
        <x:v>0</x:v>
      </x:c>
      <x:c r="D1258" s="11" t="n">
        <x:f>IF(ISNUMBER(SEARCH("jmdict_exact_pair_not_found",'제외 후보'!P1258)),'선정 규칙'!$B$7,0)</x:f>
        <x:v>0</x:v>
      </x:c>
      <x:c r="E1258" s="11" t="n">
        <x:f>IF(OR('제외 후보'!L1258="",'제외 후보'!L1258&lt;=0),'선정 규칙'!$B$8,IF('제외 후보'!L1258&lt;=1.5,'선정 규칙'!$B$9,IF('제외 후보'!L1258&lt;=2,'선정 규칙'!$B$10,IF('제외 후보'!L1258&lt;=2.5,'선정 규칙'!$B$11,IF('제외 후보'!L1258&lt;=3,'선정 규칙'!$B$12,IF('제외 후보'!L1258&lt;=3.5,'선정 규칙'!$B$13,IF('제외 후보'!L1258&gt;=4.5,'선정 규칙'!$B$14,0)))))))</x:f>
        <x:v>12</x:v>
      </x:c>
      <x:c r="F1258" s="11" t="n">
        <x:f>IF('제외 후보'!Y1258=0,'선정 규칙'!$B$15,IF('제외 후보'!Y1258&gt;=100,'선정 규칙'!$B$16,'선정 규칙'!$B$17))</x:f>
        <x:v>-25</x:v>
      </x:c>
      <x:c r="G1258" s="11" t="n">
        <x:f>IF('제외 후보'!M1258="있음",'선정 규칙'!$B$18,'선정 규칙'!$B$19)</x:f>
        <x:v>6</x:v>
      </x:c>
      <x:c r="H1258" s="11" t="n">
        <x:f>IF(ISNUMBER(SEARCH("freq-core",'제외 후보'!AD1258)),'선정 규칙'!$B$20,0)</x:f>
        <x:v>0</x:v>
      </x:c>
      <x:c r="I1258" s="11" t="n">
        <x:f>IF(ISNUMBER(SEARCH("weak_legacy_content",'제외 후보'!P1258)),'선정 규칙'!$B$21,0)</x:f>
        <x:v>0</x:v>
      </x:c>
      <x:c r="J1258" s="11" t="n">
        <x:f>IF('제외 후보'!AC1258&lt;&gt;"",'선정 규칙'!$B$22,0)</x:f>
        <x:v>0</x:v>
      </x:c>
      <x:c r="K1258" s="11" t="n">
        <x:f>SUM(B1258:J1258)</x:f>
        <x:v>-7</x:v>
      </x:c>
      <x:c r="L1258" s="11" t="n">
        <x:f>'제외 후보'!N1258</x:f>
        <x:v>-7</x:v>
      </x:c>
      <x:c r="M1258" s="2" t="str">
        <x:f>IF(K1258=L1258,"OK","MISMATCH")</x:f>
        <x:v>OK</x:v>
      </x:c>
    </x:row>
    <x:row r="1259">
      <x:c r="A1259" s="2" t="str">
        <x:f>'제외 후보'!G1259</x:f>
        <x:v>w_ace40be2c5387210</x:v>
      </x:c>
      <x:c r="B1259" s="11" t="n">
        <x:f>IF('제외 후보'!Q1259&lt;&gt;"",'선정 규칙'!$B$4,0)</x:f>
        <x:v>0</x:v>
      </x:c>
      <x:c r="C1259" s="11" t="n">
        <x:f>IF(ISNUMBER(SEARCH("jmdict_uncommon_or_irregular",'제외 후보'!P1259)),'선정 규칙'!$B$5,IF(ISNUMBER(SEARCH("jmdict_rare_or_dated",'제외 후보'!P1259)),'선정 규칙'!$B$6,0))</x:f>
        <x:v>0</x:v>
      </x:c>
      <x:c r="D1259" s="11" t="n">
        <x:f>IF(ISNUMBER(SEARCH("jmdict_exact_pair_not_found",'제외 후보'!P1259)),'선정 규칙'!$B$7,0)</x:f>
        <x:v>0</x:v>
      </x:c>
      <x:c r="E1259" s="11" t="n">
        <x:f>IF(OR('제외 후보'!L1259="",'제외 후보'!L1259&lt;=0),'선정 규칙'!$B$8,IF('제외 후보'!L1259&lt;=1.5,'선정 규칙'!$B$9,IF('제외 후보'!L1259&lt;=2,'선정 규칙'!$B$10,IF('제외 후보'!L1259&lt;=2.5,'선정 규칙'!$B$11,IF('제외 후보'!L1259&lt;=3,'선정 규칙'!$B$12,IF('제외 후보'!L1259&lt;=3.5,'선정 규칙'!$B$13,IF('제외 후보'!L1259&gt;=4.5,'선정 규칙'!$B$14,0)))))))</x:f>
        <x:v>12</x:v>
      </x:c>
      <x:c r="F1259" s="11" t="n">
        <x:f>IF('제외 후보'!Y1259=0,'선정 규칙'!$B$15,IF('제외 후보'!Y1259&gt;=100,'선정 규칙'!$B$16,'선정 규칙'!$B$17))</x:f>
        <x:v>-25</x:v>
      </x:c>
      <x:c r="G1259" s="11" t="n">
        <x:f>IF('제외 후보'!M1259="있음",'선정 규칙'!$B$18,'선정 규칙'!$B$19)</x:f>
        <x:v>6</x:v>
      </x:c>
      <x:c r="H1259" s="11" t="n">
        <x:f>IF(ISNUMBER(SEARCH("freq-core",'제외 후보'!AD1259)),'선정 규칙'!$B$20,0)</x:f>
        <x:v>0</x:v>
      </x:c>
      <x:c r="I1259" s="11" t="n">
        <x:f>IF(ISNUMBER(SEARCH("weak_legacy_content",'제외 후보'!P1259)),'선정 규칙'!$B$21,0)</x:f>
        <x:v>0</x:v>
      </x:c>
      <x:c r="J1259" s="11" t="n">
        <x:f>IF('제외 후보'!AC1259&lt;&gt;"",'선정 규칙'!$B$22,0)</x:f>
        <x:v>0</x:v>
      </x:c>
      <x:c r="K1259" s="11" t="n">
        <x:f>SUM(B1259:J1259)</x:f>
        <x:v>-7</x:v>
      </x:c>
      <x:c r="L1259" s="11" t="n">
        <x:f>'제외 후보'!N1259</x:f>
        <x:v>-7</x:v>
      </x:c>
      <x:c r="M1259" s="2" t="str">
        <x:f>IF(K1259=L1259,"OK","MISMATCH")</x:f>
        <x:v>OK</x:v>
      </x:c>
    </x:row>
    <x:row r="1260">
      <x:c r="A1260" s="2" t="str">
        <x:f>'제외 후보'!G1260</x:f>
        <x:v>w_e99d7474b979eb53</x:v>
      </x:c>
      <x:c r="B1260" s="11" t="n">
        <x:f>IF('제외 후보'!Q1260&lt;&gt;"",'선정 규칙'!$B$4,0)</x:f>
        <x:v>0</x:v>
      </x:c>
      <x:c r="C1260" s="11" t="n">
        <x:f>IF(ISNUMBER(SEARCH("jmdict_uncommon_or_irregular",'제외 후보'!P1260)),'선정 규칙'!$B$5,IF(ISNUMBER(SEARCH("jmdict_rare_or_dated",'제외 후보'!P1260)),'선정 규칙'!$B$6,0))</x:f>
        <x:v>0</x:v>
      </x:c>
      <x:c r="D1260" s="11" t="n">
        <x:f>IF(ISNUMBER(SEARCH("jmdict_exact_pair_not_found",'제외 후보'!P1260)),'선정 규칙'!$B$7,0)</x:f>
        <x:v>0</x:v>
      </x:c>
      <x:c r="E1260" s="11" t="n">
        <x:f>IF(OR('제외 후보'!L1260="",'제외 후보'!L1260&lt;=0),'선정 규칙'!$B$8,IF('제외 후보'!L1260&lt;=1.5,'선정 규칙'!$B$9,IF('제외 후보'!L1260&lt;=2,'선정 규칙'!$B$10,IF('제외 후보'!L1260&lt;=2.5,'선정 규칙'!$B$11,IF('제외 후보'!L1260&lt;=3,'선정 규칙'!$B$12,IF('제외 후보'!L1260&lt;=3.5,'선정 규칙'!$B$13,IF('제외 후보'!L1260&gt;=4.5,'선정 규칙'!$B$14,0)))))))</x:f>
        <x:v>12</x:v>
      </x:c>
      <x:c r="F1260" s="11" t="n">
        <x:f>IF('제외 후보'!Y1260=0,'선정 규칙'!$B$15,IF('제외 후보'!Y1260&gt;=100,'선정 규칙'!$B$16,'선정 규칙'!$B$17))</x:f>
        <x:v>-25</x:v>
      </x:c>
      <x:c r="G1260" s="11" t="n">
        <x:f>IF('제외 후보'!M1260="있음",'선정 규칙'!$B$18,'선정 규칙'!$B$19)</x:f>
        <x:v>6</x:v>
      </x:c>
      <x:c r="H1260" s="11" t="n">
        <x:f>IF(ISNUMBER(SEARCH("freq-core",'제외 후보'!AD1260)),'선정 규칙'!$B$20,0)</x:f>
        <x:v>0</x:v>
      </x:c>
      <x:c r="I1260" s="11" t="n">
        <x:f>IF(ISNUMBER(SEARCH("weak_legacy_content",'제외 후보'!P1260)),'선정 규칙'!$B$21,0)</x:f>
        <x:v>0</x:v>
      </x:c>
      <x:c r="J1260" s="11" t="n">
        <x:f>IF('제외 후보'!AC1260&lt;&gt;"",'선정 규칙'!$B$22,0)</x:f>
        <x:v>0</x:v>
      </x:c>
      <x:c r="K1260" s="11" t="n">
        <x:f>SUM(B1260:J1260)</x:f>
        <x:v>-7</x:v>
      </x:c>
      <x:c r="L1260" s="11" t="n">
        <x:f>'제외 후보'!N1260</x:f>
        <x:v>-7</x:v>
      </x:c>
      <x:c r="M1260" s="2" t="str">
        <x:f>IF(K1260=L1260,"OK","MISMATCH")</x:f>
        <x:v>OK</x:v>
      </x:c>
    </x:row>
    <x:row r="1261">
      <x:c r="A1261" s="2" t="str">
        <x:f>'제외 후보'!G1261</x:f>
        <x:v>w_4ffb857bc8cff280</x:v>
      </x:c>
      <x:c r="B1261" s="11" t="n">
        <x:f>IF('제외 후보'!Q1261&lt;&gt;"",'선정 규칙'!$B$4,0)</x:f>
        <x:v>0</x:v>
      </x:c>
      <x:c r="C1261" s="11" t="n">
        <x:f>IF(ISNUMBER(SEARCH("jmdict_uncommon_or_irregular",'제외 후보'!P1261)),'선정 규칙'!$B$5,IF(ISNUMBER(SEARCH("jmdict_rare_or_dated",'제외 후보'!P1261)),'선정 규칙'!$B$6,0))</x:f>
        <x:v>0</x:v>
      </x:c>
      <x:c r="D1261" s="11" t="n">
        <x:f>IF(ISNUMBER(SEARCH("jmdict_exact_pair_not_found",'제외 후보'!P1261)),'선정 규칙'!$B$7,0)</x:f>
        <x:v>0</x:v>
      </x:c>
      <x:c r="E1261" s="11" t="n">
        <x:f>IF(OR('제외 후보'!L1261="",'제외 후보'!L1261&lt;=0),'선정 규칙'!$B$8,IF('제외 후보'!L1261&lt;=1.5,'선정 규칙'!$B$9,IF('제외 후보'!L1261&lt;=2,'선정 규칙'!$B$10,IF('제외 후보'!L1261&lt;=2.5,'선정 규칙'!$B$11,IF('제외 후보'!L1261&lt;=3,'선정 규칙'!$B$12,IF('제외 후보'!L1261&lt;=3.5,'선정 규칙'!$B$13,IF('제외 후보'!L1261&gt;=4.5,'선정 규칙'!$B$14,0)))))))</x:f>
        <x:v>12</x:v>
      </x:c>
      <x:c r="F1261" s="11" t="n">
        <x:f>IF('제외 후보'!Y1261=0,'선정 규칙'!$B$15,IF('제외 후보'!Y1261&gt;=100,'선정 규칙'!$B$16,'선정 규칙'!$B$17))</x:f>
        <x:v>-25</x:v>
      </x:c>
      <x:c r="G1261" s="11" t="n">
        <x:f>IF('제외 후보'!M1261="있음",'선정 규칙'!$B$18,'선정 규칙'!$B$19)</x:f>
        <x:v>6</x:v>
      </x:c>
      <x:c r="H1261" s="11" t="n">
        <x:f>IF(ISNUMBER(SEARCH("freq-core",'제외 후보'!AD1261)),'선정 규칙'!$B$20,0)</x:f>
        <x:v>0</x:v>
      </x:c>
      <x:c r="I1261" s="11" t="n">
        <x:f>IF(ISNUMBER(SEARCH("weak_legacy_content",'제외 후보'!P1261)),'선정 규칙'!$B$21,0)</x:f>
        <x:v>0</x:v>
      </x:c>
      <x:c r="J1261" s="11" t="n">
        <x:f>IF('제외 후보'!AC1261&lt;&gt;"",'선정 규칙'!$B$22,0)</x:f>
        <x:v>0</x:v>
      </x:c>
      <x:c r="K1261" s="11" t="n">
        <x:f>SUM(B1261:J1261)</x:f>
        <x:v>-7</x:v>
      </x:c>
      <x:c r="L1261" s="11" t="n">
        <x:f>'제외 후보'!N1261</x:f>
        <x:v>-7</x:v>
      </x:c>
      <x:c r="M1261" s="2" t="str">
        <x:f>IF(K1261=L1261,"OK","MISMATCH")</x:f>
        <x:v>OK</x:v>
      </x:c>
    </x:row>
    <x:row r="1262">
      <x:c r="A1262" s="2" t="str">
        <x:f>'제외 후보'!G1262</x:f>
        <x:v>w_3129de0be21afd27</x:v>
      </x:c>
      <x:c r="B1262" s="11" t="n">
        <x:f>IF('제외 후보'!Q1262&lt;&gt;"",'선정 규칙'!$B$4,0)</x:f>
        <x:v>0</x:v>
      </x:c>
      <x:c r="C1262" s="11" t="n">
        <x:f>IF(ISNUMBER(SEARCH("jmdict_uncommon_or_irregular",'제외 후보'!P1262)),'선정 규칙'!$B$5,IF(ISNUMBER(SEARCH("jmdict_rare_or_dated",'제외 후보'!P1262)),'선정 규칙'!$B$6,0))</x:f>
        <x:v>0</x:v>
      </x:c>
      <x:c r="D1262" s="11" t="n">
        <x:f>IF(ISNUMBER(SEARCH("jmdict_exact_pair_not_found",'제외 후보'!P1262)),'선정 규칙'!$B$7,0)</x:f>
        <x:v>0</x:v>
      </x:c>
      <x:c r="E1262" s="11" t="n">
        <x:f>IF(OR('제외 후보'!L1262="",'제외 후보'!L1262&lt;=0),'선정 규칙'!$B$8,IF('제외 후보'!L1262&lt;=1.5,'선정 규칙'!$B$9,IF('제외 후보'!L1262&lt;=2,'선정 규칙'!$B$10,IF('제외 후보'!L1262&lt;=2.5,'선정 규칙'!$B$11,IF('제외 후보'!L1262&lt;=3,'선정 규칙'!$B$12,IF('제외 후보'!L1262&lt;=3.5,'선정 규칙'!$B$13,IF('제외 후보'!L1262&gt;=4.5,'선정 규칙'!$B$14,0)))))))</x:f>
        <x:v>6</x:v>
      </x:c>
      <x:c r="F1262" s="11" t="n">
        <x:f>IF('제외 후보'!Y1262=0,'선정 규칙'!$B$15,IF('제외 후보'!Y1262&gt;=100,'선정 규칙'!$B$16,'선정 규칙'!$B$17))</x:f>
        <x:v>12</x:v>
      </x:c>
      <x:c r="G1262" s="11" t="n">
        <x:f>IF('제외 후보'!M1262="있음",'선정 규칙'!$B$18,'선정 규칙'!$B$19)</x:f>
        <x:v>-25</x:v>
      </x:c>
      <x:c r="H1262" s="11" t="n">
        <x:f>IF(ISNUMBER(SEARCH("freq-core",'제외 후보'!AD1262)),'선정 규칙'!$B$20,0)</x:f>
        <x:v>0</x:v>
      </x:c>
      <x:c r="I1262" s="11" t="n">
        <x:f>IF(ISNUMBER(SEARCH("weak_legacy_content",'제외 후보'!P1262)),'선정 규칙'!$B$21,0)</x:f>
        <x:v>0</x:v>
      </x:c>
      <x:c r="J1262" s="11" t="n">
        <x:f>IF('제외 후보'!AC1262&lt;&gt;"",'선정 규칙'!$B$22,0)</x:f>
        <x:v>0</x:v>
      </x:c>
      <x:c r="K1262" s="11" t="n">
        <x:f>SUM(B1262:J1262)</x:f>
        <x:v>-7</x:v>
      </x:c>
      <x:c r="L1262" s="11" t="n">
        <x:f>'제외 후보'!N1262</x:f>
        <x:v>-7</x:v>
      </x:c>
      <x:c r="M1262" s="2" t="str">
        <x:f>IF(K1262=L1262,"OK","MISMATCH")</x:f>
        <x:v>OK</x:v>
      </x:c>
    </x:row>
    <x:row r="1263">
      <x:c r="A1263" s="2" t="str">
        <x:f>'제외 후보'!G1263</x:f>
        <x:v>w_83d7e9a89b603bbb</x:v>
      </x:c>
      <x:c r="B1263" s="11" t="n">
        <x:f>IF('제외 후보'!Q1263&lt;&gt;"",'선정 규칙'!$B$4,0)</x:f>
        <x:v>0</x:v>
      </x:c>
      <x:c r="C1263" s="11" t="n">
        <x:f>IF(ISNUMBER(SEARCH("jmdict_uncommon_or_irregular",'제외 후보'!P1263)),'선정 규칙'!$B$5,IF(ISNUMBER(SEARCH("jmdict_rare_or_dated",'제외 후보'!P1263)),'선정 규칙'!$B$6,0))</x:f>
        <x:v>0</x:v>
      </x:c>
      <x:c r="D1263" s="11" t="n">
        <x:f>IF(ISNUMBER(SEARCH("jmdict_exact_pair_not_found",'제외 후보'!P1263)),'선정 규칙'!$B$7,0)</x:f>
        <x:v>0</x:v>
      </x:c>
      <x:c r="E1263" s="11" t="n">
        <x:f>IF(OR('제외 후보'!L1263="",'제외 후보'!L1263&lt;=0),'선정 규칙'!$B$8,IF('제외 후보'!L1263&lt;=1.5,'선정 규칙'!$B$9,IF('제외 후보'!L1263&lt;=2,'선정 규칙'!$B$10,IF('제외 후보'!L1263&lt;=2.5,'선정 규칙'!$B$11,IF('제외 후보'!L1263&lt;=3,'선정 규칙'!$B$12,IF('제외 후보'!L1263&lt;=3.5,'선정 규칙'!$B$13,IF('제외 후보'!L1263&gt;=4.5,'선정 규칙'!$B$14,0)))))))</x:f>
        <x:v>6</x:v>
      </x:c>
      <x:c r="F1263" s="11" t="n">
        <x:f>IF('제외 후보'!Y1263=0,'선정 규칙'!$B$15,IF('제외 후보'!Y1263&gt;=100,'선정 규칙'!$B$16,'선정 규칙'!$B$17))</x:f>
        <x:v>12</x:v>
      </x:c>
      <x:c r="G1263" s="11" t="n">
        <x:f>IF('제외 후보'!M1263="있음",'선정 규칙'!$B$18,'선정 규칙'!$B$19)</x:f>
        <x:v>-25</x:v>
      </x:c>
      <x:c r="H1263" s="11" t="n">
        <x:f>IF(ISNUMBER(SEARCH("freq-core",'제외 후보'!AD1263)),'선정 규칙'!$B$20,0)</x:f>
        <x:v>0</x:v>
      </x:c>
      <x:c r="I1263" s="11" t="n">
        <x:f>IF(ISNUMBER(SEARCH("weak_legacy_content",'제외 후보'!P1263)),'선정 규칙'!$B$21,0)</x:f>
        <x:v>0</x:v>
      </x:c>
      <x:c r="J1263" s="11" t="n">
        <x:f>IF('제외 후보'!AC1263&lt;&gt;"",'선정 규칙'!$B$22,0)</x:f>
        <x:v>0</x:v>
      </x:c>
      <x:c r="K1263" s="11" t="n">
        <x:f>SUM(B1263:J1263)</x:f>
        <x:v>-7</x:v>
      </x:c>
      <x:c r="L1263" s="11" t="n">
        <x:f>'제외 후보'!N1263</x:f>
        <x:v>-7</x:v>
      </x:c>
      <x:c r="M1263" s="2" t="str">
        <x:f>IF(K1263=L1263,"OK","MISMATCH")</x:f>
        <x:v>OK</x:v>
      </x:c>
    </x:row>
    <x:row r="1264">
      <x:c r="A1264" s="2" t="str">
        <x:f>'제외 후보'!G1264</x:f>
        <x:v>w_0694273a3d520ccc</x:v>
      </x:c>
      <x:c r="B1264" s="11" t="n">
        <x:f>IF('제외 후보'!Q1264&lt;&gt;"",'선정 규칙'!$B$4,0)</x:f>
        <x:v>0</x:v>
      </x:c>
      <x:c r="C1264" s="11" t="n">
        <x:f>IF(ISNUMBER(SEARCH("jmdict_uncommon_or_irregular",'제외 후보'!P1264)),'선정 규칙'!$B$5,IF(ISNUMBER(SEARCH("jmdict_rare_or_dated",'제외 후보'!P1264)),'선정 규칙'!$B$6,0))</x:f>
        <x:v>0</x:v>
      </x:c>
      <x:c r="D1264" s="11" t="n">
        <x:f>IF(ISNUMBER(SEARCH("jmdict_exact_pair_not_found",'제외 후보'!P1264)),'선정 규칙'!$B$7,0)</x:f>
        <x:v>0</x:v>
      </x:c>
      <x:c r="E1264" s="11" t="n">
        <x:f>IF(OR('제외 후보'!L1264="",'제외 후보'!L1264&lt;=0),'선정 규칙'!$B$8,IF('제외 후보'!L1264&lt;=1.5,'선정 규칙'!$B$9,IF('제외 후보'!L1264&lt;=2,'선정 규칙'!$B$10,IF('제외 후보'!L1264&lt;=2.5,'선정 규칙'!$B$11,IF('제외 후보'!L1264&lt;=3,'선정 규칙'!$B$12,IF('제외 후보'!L1264&lt;=3.5,'선정 규칙'!$B$13,IF('제외 후보'!L1264&gt;=4.5,'선정 규칙'!$B$14,0)))))))</x:f>
        <x:v>6</x:v>
      </x:c>
      <x:c r="F1264" s="11" t="n">
        <x:f>IF('제외 후보'!Y1264=0,'선정 규칙'!$B$15,IF('제외 후보'!Y1264&gt;=100,'선정 규칙'!$B$16,'선정 규칙'!$B$17))</x:f>
        <x:v>12</x:v>
      </x:c>
      <x:c r="G1264" s="11" t="n">
        <x:f>IF('제외 후보'!M1264="있음",'선정 규칙'!$B$18,'선정 규칙'!$B$19)</x:f>
        <x:v>-25</x:v>
      </x:c>
      <x:c r="H1264" s="11" t="n">
        <x:f>IF(ISNUMBER(SEARCH("freq-core",'제외 후보'!AD1264)),'선정 규칙'!$B$20,0)</x:f>
        <x:v>0</x:v>
      </x:c>
      <x:c r="I1264" s="11" t="n">
        <x:f>IF(ISNUMBER(SEARCH("weak_legacy_content",'제외 후보'!P1264)),'선정 규칙'!$B$21,0)</x:f>
        <x:v>0</x:v>
      </x:c>
      <x:c r="J1264" s="11" t="n">
        <x:f>IF('제외 후보'!AC1264&lt;&gt;"",'선정 규칙'!$B$22,0)</x:f>
        <x:v>0</x:v>
      </x:c>
      <x:c r="K1264" s="11" t="n">
        <x:f>SUM(B1264:J1264)</x:f>
        <x:v>-7</x:v>
      </x:c>
      <x:c r="L1264" s="11" t="n">
        <x:f>'제외 후보'!N1264</x:f>
        <x:v>-7</x:v>
      </x:c>
      <x:c r="M1264" s="2" t="str">
        <x:f>IF(K1264=L1264,"OK","MISMATCH")</x:f>
        <x:v>OK</x:v>
      </x:c>
    </x:row>
    <x:row r="1265">
      <x:c r="A1265" s="2" t="str">
        <x:f>'제외 후보'!G1265</x:f>
        <x:v>w_e4ee164283413155</x:v>
      </x:c>
      <x:c r="B1265" s="11" t="n">
        <x:f>IF('제외 후보'!Q1265&lt;&gt;"",'선정 규칙'!$B$4,0)</x:f>
        <x:v>0</x:v>
      </x:c>
      <x:c r="C1265" s="11" t="n">
        <x:f>IF(ISNUMBER(SEARCH("jmdict_uncommon_or_irregular",'제외 후보'!P1265)),'선정 규칙'!$B$5,IF(ISNUMBER(SEARCH("jmdict_rare_or_dated",'제외 후보'!P1265)),'선정 규칙'!$B$6,0))</x:f>
        <x:v>0</x:v>
      </x:c>
      <x:c r="D1265" s="11" t="n">
        <x:f>IF(ISNUMBER(SEARCH("jmdict_exact_pair_not_found",'제외 후보'!P1265)),'선정 규칙'!$B$7,0)</x:f>
        <x:v>0</x:v>
      </x:c>
      <x:c r="E1265" s="11" t="n">
        <x:f>IF(OR('제외 후보'!L1265="",'제외 후보'!L1265&lt;=0),'선정 규칙'!$B$8,IF('제외 후보'!L1265&lt;=1.5,'선정 규칙'!$B$9,IF('제외 후보'!L1265&lt;=2,'선정 규칙'!$B$10,IF('제외 후보'!L1265&lt;=2.5,'선정 규칙'!$B$11,IF('제외 후보'!L1265&lt;=3,'선정 규칙'!$B$12,IF('제외 후보'!L1265&lt;=3.5,'선정 규칙'!$B$13,IF('제외 후보'!L1265&gt;=4.5,'선정 규칙'!$B$14,0)))))))</x:f>
        <x:v>6</x:v>
      </x:c>
      <x:c r="F1265" s="11" t="n">
        <x:f>IF('제외 후보'!Y1265=0,'선정 규칙'!$B$15,IF('제외 후보'!Y1265&gt;=100,'선정 규칙'!$B$16,'선정 규칙'!$B$17))</x:f>
        <x:v>12</x:v>
      </x:c>
      <x:c r="G1265" s="11" t="n">
        <x:f>IF('제외 후보'!M1265="있음",'선정 규칙'!$B$18,'선정 규칙'!$B$19)</x:f>
        <x:v>-25</x:v>
      </x:c>
      <x:c r="H1265" s="11" t="n">
        <x:f>IF(ISNUMBER(SEARCH("freq-core",'제외 후보'!AD1265)),'선정 규칙'!$B$20,0)</x:f>
        <x:v>0</x:v>
      </x:c>
      <x:c r="I1265" s="11" t="n">
        <x:f>IF(ISNUMBER(SEARCH("weak_legacy_content",'제외 후보'!P1265)),'선정 규칙'!$B$21,0)</x:f>
        <x:v>0</x:v>
      </x:c>
      <x:c r="J1265" s="11" t="n">
        <x:f>IF('제외 후보'!AC1265&lt;&gt;"",'선정 규칙'!$B$22,0)</x:f>
        <x:v>0</x:v>
      </x:c>
      <x:c r="K1265" s="11" t="n">
        <x:f>SUM(B1265:J1265)</x:f>
        <x:v>-7</x:v>
      </x:c>
      <x:c r="L1265" s="11" t="n">
        <x:f>'제외 후보'!N1265</x:f>
        <x:v>-7</x:v>
      </x:c>
      <x:c r="M1265" s="2" t="str">
        <x:f>IF(K1265=L1265,"OK","MISMATCH")</x:f>
        <x:v>OK</x:v>
      </x:c>
    </x:row>
    <x:row r="1266">
      <x:c r="A1266" s="2" t="str">
        <x:f>'제외 후보'!G1266</x:f>
        <x:v>w_329523c22c66774b</x:v>
      </x:c>
      <x:c r="B1266" s="11" t="n">
        <x:f>IF('제외 후보'!Q1266&lt;&gt;"",'선정 규칙'!$B$4,0)</x:f>
        <x:v>0</x:v>
      </x:c>
      <x:c r="C1266" s="11" t="n">
        <x:f>IF(ISNUMBER(SEARCH("jmdict_uncommon_or_irregular",'제외 후보'!P1266)),'선정 규칙'!$B$5,IF(ISNUMBER(SEARCH("jmdict_rare_or_dated",'제외 후보'!P1266)),'선정 규칙'!$B$6,0))</x:f>
        <x:v>0</x:v>
      </x:c>
      <x:c r="D1266" s="11" t="n">
        <x:f>IF(ISNUMBER(SEARCH("jmdict_exact_pair_not_found",'제외 후보'!P1266)),'선정 규칙'!$B$7,0)</x:f>
        <x:v>0</x:v>
      </x:c>
      <x:c r="E1266" s="11" t="n">
        <x:f>IF(OR('제외 후보'!L1266="",'제외 후보'!L1266&lt;=0),'선정 규칙'!$B$8,IF('제외 후보'!L1266&lt;=1.5,'선정 규칙'!$B$9,IF('제외 후보'!L1266&lt;=2,'선정 규칙'!$B$10,IF('제외 후보'!L1266&lt;=2.5,'선정 규칙'!$B$11,IF('제외 후보'!L1266&lt;=3,'선정 규칙'!$B$12,IF('제외 후보'!L1266&lt;=3.5,'선정 규칙'!$B$13,IF('제외 후보'!L1266&gt;=4.5,'선정 규칙'!$B$14,0)))))))</x:f>
        <x:v>6</x:v>
      </x:c>
      <x:c r="F1266" s="11" t="n">
        <x:f>IF('제외 후보'!Y1266=0,'선정 규칙'!$B$15,IF('제외 후보'!Y1266&gt;=100,'선정 규칙'!$B$16,'선정 규칙'!$B$17))</x:f>
        <x:v>12</x:v>
      </x:c>
      <x:c r="G1266" s="11" t="n">
        <x:f>IF('제외 후보'!M1266="있음",'선정 규칙'!$B$18,'선정 규칙'!$B$19)</x:f>
        <x:v>-25</x:v>
      </x:c>
      <x:c r="H1266" s="11" t="n">
        <x:f>IF(ISNUMBER(SEARCH("freq-core",'제외 후보'!AD1266)),'선정 규칙'!$B$20,0)</x:f>
        <x:v>0</x:v>
      </x:c>
      <x:c r="I1266" s="11" t="n">
        <x:f>IF(ISNUMBER(SEARCH("weak_legacy_content",'제외 후보'!P1266)),'선정 규칙'!$B$21,0)</x:f>
        <x:v>0</x:v>
      </x:c>
      <x:c r="J1266" s="11" t="n">
        <x:f>IF('제외 후보'!AC1266&lt;&gt;"",'선정 규칙'!$B$22,0)</x:f>
        <x:v>0</x:v>
      </x:c>
      <x:c r="K1266" s="11" t="n">
        <x:f>SUM(B1266:J1266)</x:f>
        <x:v>-7</x:v>
      </x:c>
      <x:c r="L1266" s="11" t="n">
        <x:f>'제외 후보'!N1266</x:f>
        <x:v>-7</x:v>
      </x:c>
      <x:c r="M1266" s="2" t="str">
        <x:f>IF(K1266=L1266,"OK","MISMATCH")</x:f>
        <x:v>OK</x:v>
      </x:c>
    </x:row>
    <x:row r="1267">
      <x:c r="A1267" s="2" t="str">
        <x:f>'제외 후보'!G1267</x:f>
        <x:v>w_2b26724b2b319010</x:v>
      </x:c>
      <x:c r="B1267" s="11" t="n">
        <x:f>IF('제외 후보'!Q1267&lt;&gt;"",'선정 규칙'!$B$4,0)</x:f>
        <x:v>0</x:v>
      </x:c>
      <x:c r="C1267" s="11" t="n">
        <x:f>IF(ISNUMBER(SEARCH("jmdict_uncommon_or_irregular",'제외 후보'!P1267)),'선정 규칙'!$B$5,IF(ISNUMBER(SEARCH("jmdict_rare_or_dated",'제외 후보'!P1267)),'선정 규칙'!$B$6,0))</x:f>
        <x:v>0</x:v>
      </x:c>
      <x:c r="D1267" s="11" t="n">
        <x:f>IF(ISNUMBER(SEARCH("jmdict_exact_pair_not_found",'제외 후보'!P1267)),'선정 규칙'!$B$7,0)</x:f>
        <x:v>0</x:v>
      </x:c>
      <x:c r="E1267" s="11" t="n">
        <x:f>IF(OR('제외 후보'!L1267="",'제외 후보'!L1267&lt;=0),'선정 규칙'!$B$8,IF('제외 후보'!L1267&lt;=1.5,'선정 규칙'!$B$9,IF('제외 후보'!L1267&lt;=2,'선정 규칙'!$B$10,IF('제외 후보'!L1267&lt;=2.5,'선정 규칙'!$B$11,IF('제외 후보'!L1267&lt;=3,'선정 규칙'!$B$12,IF('제외 후보'!L1267&lt;=3.5,'선정 규칙'!$B$13,IF('제외 후보'!L1267&gt;=4.5,'선정 규칙'!$B$14,0)))))))</x:f>
        <x:v>6</x:v>
      </x:c>
      <x:c r="F1267" s="11" t="n">
        <x:f>IF('제외 후보'!Y1267=0,'선정 규칙'!$B$15,IF('제외 후보'!Y1267&gt;=100,'선정 규칙'!$B$16,'선정 규칙'!$B$17))</x:f>
        <x:v>12</x:v>
      </x:c>
      <x:c r="G1267" s="11" t="n">
        <x:f>IF('제외 후보'!M1267="있음",'선정 규칙'!$B$18,'선정 규칙'!$B$19)</x:f>
        <x:v>-25</x:v>
      </x:c>
      <x:c r="H1267" s="11" t="n">
        <x:f>IF(ISNUMBER(SEARCH("freq-core",'제외 후보'!AD1267)),'선정 규칙'!$B$20,0)</x:f>
        <x:v>0</x:v>
      </x:c>
      <x:c r="I1267" s="11" t="n">
        <x:f>IF(ISNUMBER(SEARCH("weak_legacy_content",'제외 후보'!P1267)),'선정 규칙'!$B$21,0)</x:f>
        <x:v>0</x:v>
      </x:c>
      <x:c r="J1267" s="11" t="n">
        <x:f>IF('제외 후보'!AC1267&lt;&gt;"",'선정 규칙'!$B$22,0)</x:f>
        <x:v>0</x:v>
      </x:c>
      <x:c r="K1267" s="11" t="n">
        <x:f>SUM(B1267:J1267)</x:f>
        <x:v>-7</x:v>
      </x:c>
      <x:c r="L1267" s="11" t="n">
        <x:f>'제외 후보'!N1267</x:f>
        <x:v>-7</x:v>
      </x:c>
      <x:c r="M1267" s="2" t="str">
        <x:f>IF(K1267=L1267,"OK","MISMATCH")</x:f>
        <x:v>OK</x:v>
      </x:c>
    </x:row>
    <x:row r="1268">
      <x:c r="A1268" s="2" t="str">
        <x:f>'제외 후보'!G1268</x:f>
        <x:v>w_b2f224e6ebd0cbdf</x:v>
      </x:c>
      <x:c r="B1268" s="11" t="n">
        <x:f>IF('제외 후보'!Q1268&lt;&gt;"",'선정 규칙'!$B$4,0)</x:f>
        <x:v>0</x:v>
      </x:c>
      <x:c r="C1268" s="11" t="n">
        <x:f>IF(ISNUMBER(SEARCH("jmdict_uncommon_or_irregular",'제외 후보'!P1268)),'선정 규칙'!$B$5,IF(ISNUMBER(SEARCH("jmdict_rare_or_dated",'제외 후보'!P1268)),'선정 규칙'!$B$6,0))</x:f>
        <x:v>0</x:v>
      </x:c>
      <x:c r="D1268" s="11" t="n">
        <x:f>IF(ISNUMBER(SEARCH("jmdict_exact_pair_not_found",'제외 후보'!P1268)),'선정 규칙'!$B$7,0)</x:f>
        <x:v>0</x:v>
      </x:c>
      <x:c r="E1268" s="11" t="n">
        <x:f>IF(OR('제외 후보'!L1268="",'제외 후보'!L1268&lt;=0),'선정 규칙'!$B$8,IF('제외 후보'!L1268&lt;=1.5,'선정 규칙'!$B$9,IF('제외 후보'!L1268&lt;=2,'선정 규칙'!$B$10,IF('제외 후보'!L1268&lt;=2.5,'선정 규칙'!$B$11,IF('제외 후보'!L1268&lt;=3,'선정 규칙'!$B$12,IF('제외 후보'!L1268&lt;=3.5,'선정 규칙'!$B$13,IF('제외 후보'!L1268&gt;=4.5,'선정 규칙'!$B$14,0)))))))</x:f>
        <x:v>6</x:v>
      </x:c>
      <x:c r="F1268" s="11" t="n">
        <x:f>IF('제외 후보'!Y1268=0,'선정 규칙'!$B$15,IF('제외 후보'!Y1268&gt;=100,'선정 규칙'!$B$16,'선정 규칙'!$B$17))</x:f>
        <x:v>12</x:v>
      </x:c>
      <x:c r="G1268" s="11" t="n">
        <x:f>IF('제외 후보'!M1268="있음",'선정 규칙'!$B$18,'선정 규칙'!$B$19)</x:f>
        <x:v>-25</x:v>
      </x:c>
      <x:c r="H1268" s="11" t="n">
        <x:f>IF(ISNUMBER(SEARCH("freq-core",'제외 후보'!AD1268)),'선정 규칙'!$B$20,0)</x:f>
        <x:v>0</x:v>
      </x:c>
      <x:c r="I1268" s="11" t="n">
        <x:f>IF(ISNUMBER(SEARCH("weak_legacy_content",'제외 후보'!P1268)),'선정 규칙'!$B$21,0)</x:f>
        <x:v>0</x:v>
      </x:c>
      <x:c r="J1268" s="11" t="n">
        <x:f>IF('제외 후보'!AC1268&lt;&gt;"",'선정 규칙'!$B$22,0)</x:f>
        <x:v>0</x:v>
      </x:c>
      <x:c r="K1268" s="11" t="n">
        <x:f>SUM(B1268:J1268)</x:f>
        <x:v>-7</x:v>
      </x:c>
      <x:c r="L1268" s="11" t="n">
        <x:f>'제외 후보'!N1268</x:f>
        <x:v>-7</x:v>
      </x:c>
      <x:c r="M1268" s="2" t="str">
        <x:f>IF(K1268=L1268,"OK","MISMATCH")</x:f>
        <x:v>OK</x:v>
      </x:c>
    </x:row>
    <x:row r="1269">
      <x:c r="A1269" s="2" t="str">
        <x:f>'제외 후보'!G1269</x:f>
        <x:v>w_727f7cb99378848b</x:v>
      </x:c>
      <x:c r="B1269" s="11" t="n">
        <x:f>IF('제외 후보'!Q1269&lt;&gt;"",'선정 규칙'!$B$4,0)</x:f>
        <x:v>0</x:v>
      </x:c>
      <x:c r="C1269" s="11" t="n">
        <x:f>IF(ISNUMBER(SEARCH("jmdict_uncommon_or_irregular",'제외 후보'!P1269)),'선정 규칙'!$B$5,IF(ISNUMBER(SEARCH("jmdict_rare_or_dated",'제외 후보'!P1269)),'선정 규칙'!$B$6,0))</x:f>
        <x:v>0</x:v>
      </x:c>
      <x:c r="D1269" s="11" t="n">
        <x:f>IF(ISNUMBER(SEARCH("jmdict_exact_pair_not_found",'제외 후보'!P1269)),'선정 규칙'!$B$7,0)</x:f>
        <x:v>0</x:v>
      </x:c>
      <x:c r="E1269" s="11" t="n">
        <x:f>IF(OR('제외 후보'!L1269="",'제외 후보'!L1269&lt;=0),'선정 규칙'!$B$8,IF('제외 후보'!L1269&lt;=1.5,'선정 규칙'!$B$9,IF('제외 후보'!L1269&lt;=2,'선정 규칙'!$B$10,IF('제외 후보'!L1269&lt;=2.5,'선정 규칙'!$B$11,IF('제외 후보'!L1269&lt;=3,'선정 규칙'!$B$12,IF('제외 후보'!L1269&lt;=3.5,'선정 규칙'!$B$13,IF('제외 후보'!L1269&gt;=4.5,'선정 규칙'!$B$14,0)))))))</x:f>
        <x:v>6</x:v>
      </x:c>
      <x:c r="F1269" s="11" t="n">
        <x:f>IF('제외 후보'!Y1269=0,'선정 규칙'!$B$15,IF('제외 후보'!Y1269&gt;=100,'선정 규칙'!$B$16,'선정 규칙'!$B$17))</x:f>
        <x:v>12</x:v>
      </x:c>
      <x:c r="G1269" s="11" t="n">
        <x:f>IF('제외 후보'!M1269="있음",'선정 규칙'!$B$18,'선정 규칙'!$B$19)</x:f>
        <x:v>-25</x:v>
      </x:c>
      <x:c r="H1269" s="11" t="n">
        <x:f>IF(ISNUMBER(SEARCH("freq-core",'제외 후보'!AD1269)),'선정 규칙'!$B$20,0)</x:f>
        <x:v>0</x:v>
      </x:c>
      <x:c r="I1269" s="11" t="n">
        <x:f>IF(ISNUMBER(SEARCH("weak_legacy_content",'제외 후보'!P1269)),'선정 규칙'!$B$21,0)</x:f>
        <x:v>0</x:v>
      </x:c>
      <x:c r="J1269" s="11" t="n">
        <x:f>IF('제외 후보'!AC1269&lt;&gt;"",'선정 규칙'!$B$22,0)</x:f>
        <x:v>0</x:v>
      </x:c>
      <x:c r="K1269" s="11" t="n">
        <x:f>SUM(B1269:J1269)</x:f>
        <x:v>-7</x:v>
      </x:c>
      <x:c r="L1269" s="11" t="n">
        <x:f>'제외 후보'!N1269</x:f>
        <x:v>-7</x:v>
      </x:c>
      <x:c r="M1269" s="2" t="str">
        <x:f>IF(K1269=L1269,"OK","MISMATCH")</x:f>
        <x:v>OK</x:v>
      </x:c>
    </x:row>
    <x:row r="1270">
      <x:c r="A1270" s="2" t="str">
        <x:f>'제외 후보'!G1270</x:f>
        <x:v>w_49720ac3dabf490f</x:v>
      </x:c>
      <x:c r="B1270" s="11" t="n">
        <x:f>IF('제외 후보'!Q1270&lt;&gt;"",'선정 규칙'!$B$4,0)</x:f>
        <x:v>0</x:v>
      </x:c>
      <x:c r="C1270" s="11" t="n">
        <x:f>IF(ISNUMBER(SEARCH("jmdict_uncommon_or_irregular",'제외 후보'!P1270)),'선정 규칙'!$B$5,IF(ISNUMBER(SEARCH("jmdict_rare_or_dated",'제외 후보'!P1270)),'선정 규칙'!$B$6,0))</x:f>
        <x:v>0</x:v>
      </x:c>
      <x:c r="D1270" s="11" t="n">
        <x:f>IF(ISNUMBER(SEARCH("jmdict_exact_pair_not_found",'제외 후보'!P1270)),'선정 규칙'!$B$7,0)</x:f>
        <x:v>0</x:v>
      </x:c>
      <x:c r="E1270" s="11" t="n">
        <x:f>IF(OR('제외 후보'!L1270="",'제외 후보'!L1270&lt;=0),'선정 규칙'!$B$8,IF('제외 후보'!L1270&lt;=1.5,'선정 규칙'!$B$9,IF('제외 후보'!L1270&lt;=2,'선정 규칙'!$B$10,IF('제외 후보'!L1270&lt;=2.5,'선정 규칙'!$B$11,IF('제외 후보'!L1270&lt;=3,'선정 규칙'!$B$12,IF('제외 후보'!L1270&lt;=3.5,'선정 규칙'!$B$13,IF('제외 후보'!L1270&gt;=4.5,'선정 규칙'!$B$14,0)))))))</x:f>
        <x:v>6</x:v>
      </x:c>
      <x:c r="F1270" s="11" t="n">
        <x:f>IF('제외 후보'!Y1270=0,'선정 규칙'!$B$15,IF('제외 후보'!Y1270&gt;=100,'선정 규칙'!$B$16,'선정 규칙'!$B$17))</x:f>
        <x:v>-25</x:v>
      </x:c>
      <x:c r="G1270" s="11" t="n">
        <x:f>IF('제외 후보'!M1270="있음",'선정 규칙'!$B$18,'선정 규칙'!$B$19)</x:f>
        <x:v>6</x:v>
      </x:c>
      <x:c r="H1270" s="11" t="n">
        <x:f>IF(ISNUMBER(SEARCH("freq-core",'제외 후보'!AD1270)),'선정 규칙'!$B$20,0)</x:f>
        <x:v>0</x:v>
      </x:c>
      <x:c r="I1270" s="11" t="n">
        <x:f>IF(ISNUMBER(SEARCH("weak_legacy_content",'제외 후보'!P1270)),'선정 규칙'!$B$21,0)</x:f>
        <x:v>5</x:v>
      </x:c>
      <x:c r="J1270" s="11" t="n">
        <x:f>IF('제외 후보'!AC1270&lt;&gt;"",'선정 규칙'!$B$22,0)</x:f>
        <x:v>0</x:v>
      </x:c>
      <x:c r="K1270" s="11" t="n">
        <x:f>SUM(B1270:J1270)</x:f>
        <x:v>-8</x:v>
      </x:c>
      <x:c r="L1270" s="11" t="n">
        <x:f>'제외 후보'!N1270</x:f>
        <x:v>-8</x:v>
      </x:c>
      <x:c r="M1270" s="2" t="str">
        <x:f>IF(K1270=L1270,"OK","MISMATCH")</x:f>
        <x:v>OK</x:v>
      </x:c>
    </x:row>
    <x:row r="1271">
      <x:c r="A1271" s="2" t="str">
        <x:f>'제외 후보'!G1271</x:f>
        <x:v>w_3198be3ccbf277f9</x:v>
      </x:c>
      <x:c r="B1271" s="11" t="n">
        <x:f>IF('제외 후보'!Q1271&lt;&gt;"",'선정 규칙'!$B$4,0)</x:f>
        <x:v>0</x:v>
      </x:c>
      <x:c r="C1271" s="11" t="n">
        <x:f>IF(ISNUMBER(SEARCH("jmdict_uncommon_or_irregular",'제외 후보'!P1271)),'선정 규칙'!$B$5,IF(ISNUMBER(SEARCH("jmdict_rare_or_dated",'제외 후보'!P1271)),'선정 규칙'!$B$6,0))</x:f>
        <x:v>0</x:v>
      </x:c>
      <x:c r="D1271" s="11" t="n">
        <x:f>IF(ISNUMBER(SEARCH("jmdict_exact_pair_not_found",'제외 후보'!P1271)),'선정 규칙'!$B$7,0)</x:f>
        <x:v>0</x:v>
      </x:c>
      <x:c r="E1271" s="11" t="n">
        <x:f>IF(OR('제외 후보'!L1271="",'제외 후보'!L1271&lt;=0),'선정 규칙'!$B$8,IF('제외 후보'!L1271&lt;=1.5,'선정 규칙'!$B$9,IF('제외 후보'!L1271&lt;=2,'선정 규칙'!$B$10,IF('제외 후보'!L1271&lt;=2.5,'선정 규칙'!$B$11,IF('제외 후보'!L1271&lt;=3,'선정 규칙'!$B$12,IF('제외 후보'!L1271&lt;=3.5,'선정 규칙'!$B$13,IF('제외 후보'!L1271&gt;=4.5,'선정 규칙'!$B$14,0)))))))</x:f>
        <x:v>6</x:v>
      </x:c>
      <x:c r="F1271" s="11" t="n">
        <x:f>IF('제외 후보'!Y1271=0,'선정 규칙'!$B$15,IF('제외 후보'!Y1271&gt;=100,'선정 규칙'!$B$16,'선정 규칙'!$B$17))</x:f>
        <x:v>-25</x:v>
      </x:c>
      <x:c r="G1271" s="11" t="n">
        <x:f>IF('제외 후보'!M1271="있음",'선정 규칙'!$B$18,'선정 규칙'!$B$19)</x:f>
        <x:v>6</x:v>
      </x:c>
      <x:c r="H1271" s="11" t="n">
        <x:f>IF(ISNUMBER(SEARCH("freq-core",'제외 후보'!AD1271)),'선정 규칙'!$B$20,0)</x:f>
        <x:v>0</x:v>
      </x:c>
      <x:c r="I1271" s="11" t="n">
        <x:f>IF(ISNUMBER(SEARCH("weak_legacy_content",'제외 후보'!P1271)),'선정 규칙'!$B$21,0)</x:f>
        <x:v>5</x:v>
      </x:c>
      <x:c r="J1271" s="11" t="n">
        <x:f>IF('제외 후보'!AC1271&lt;&gt;"",'선정 규칙'!$B$22,0)</x:f>
        <x:v>0</x:v>
      </x:c>
      <x:c r="K1271" s="11" t="n">
        <x:f>SUM(B1271:J1271)</x:f>
        <x:v>-8</x:v>
      </x:c>
      <x:c r="L1271" s="11" t="n">
        <x:f>'제외 후보'!N1271</x:f>
        <x:v>-8</x:v>
      </x:c>
      <x:c r="M1271" s="2" t="str">
        <x:f>IF(K1271=L1271,"OK","MISMATCH")</x:f>
        <x:v>OK</x:v>
      </x:c>
    </x:row>
    <x:row r="1272">
      <x:c r="A1272" s="2" t="str">
        <x:f>'제외 후보'!G1272</x:f>
        <x:v>w_77841c7250d79151</x:v>
      </x:c>
      <x:c r="B1272" s="11" t="n">
        <x:f>IF('제외 후보'!Q1272&lt;&gt;"",'선정 규칙'!$B$4,0)</x:f>
        <x:v>0</x:v>
      </x:c>
      <x:c r="C1272" s="11" t="n">
        <x:f>IF(ISNUMBER(SEARCH("jmdict_uncommon_or_irregular",'제외 후보'!P1272)),'선정 규칙'!$B$5,IF(ISNUMBER(SEARCH("jmdict_rare_or_dated",'제외 후보'!P1272)),'선정 규칙'!$B$6,0))</x:f>
        <x:v>0</x:v>
      </x:c>
      <x:c r="D1272" s="11" t="n">
        <x:f>IF(ISNUMBER(SEARCH("jmdict_exact_pair_not_found",'제외 후보'!P1272)),'선정 규칙'!$B$7,0)</x:f>
        <x:v>0</x:v>
      </x:c>
      <x:c r="E1272" s="11" t="n">
        <x:f>IF(OR('제외 후보'!L1272="",'제외 후보'!L1272&lt;=0),'선정 규칙'!$B$8,IF('제외 후보'!L1272&lt;=1.5,'선정 규칙'!$B$9,IF('제외 후보'!L1272&lt;=2,'선정 규칙'!$B$10,IF('제외 후보'!L1272&lt;=2.5,'선정 규칙'!$B$11,IF('제외 후보'!L1272&lt;=3,'선정 규칙'!$B$12,IF('제외 후보'!L1272&lt;=3.5,'선정 규칙'!$B$13,IF('제외 후보'!L1272&gt;=4.5,'선정 규칙'!$B$14,0)))))))</x:f>
        <x:v>6</x:v>
      </x:c>
      <x:c r="F1272" s="11" t="n">
        <x:f>IF('제외 후보'!Y1272=0,'선정 규칙'!$B$15,IF('제외 후보'!Y1272&gt;=100,'선정 규칙'!$B$16,'선정 규칙'!$B$17))</x:f>
        <x:v>-25</x:v>
      </x:c>
      <x:c r="G1272" s="11" t="n">
        <x:f>IF('제외 후보'!M1272="있음",'선정 규칙'!$B$18,'선정 규칙'!$B$19)</x:f>
        <x:v>6</x:v>
      </x:c>
      <x:c r="H1272" s="11" t="n">
        <x:f>IF(ISNUMBER(SEARCH("freq-core",'제외 후보'!AD1272)),'선정 규칙'!$B$20,0)</x:f>
        <x:v>0</x:v>
      </x:c>
      <x:c r="I1272" s="11" t="n">
        <x:f>IF(ISNUMBER(SEARCH("weak_legacy_content",'제외 후보'!P1272)),'선정 규칙'!$B$21,0)</x:f>
        <x:v>5</x:v>
      </x:c>
      <x:c r="J1272" s="11" t="n">
        <x:f>IF('제외 후보'!AC1272&lt;&gt;"",'선정 규칙'!$B$22,0)</x:f>
        <x:v>0</x:v>
      </x:c>
      <x:c r="K1272" s="11" t="n">
        <x:f>SUM(B1272:J1272)</x:f>
        <x:v>-8</x:v>
      </x:c>
      <x:c r="L1272" s="11" t="n">
        <x:f>'제외 후보'!N1272</x:f>
        <x:v>-8</x:v>
      </x:c>
      <x:c r="M1272" s="2" t="str">
        <x:f>IF(K1272=L1272,"OK","MISMATCH")</x:f>
        <x:v>OK</x:v>
      </x:c>
    </x:row>
    <x:row r="1273">
      <x:c r="A1273" s="2" t="str">
        <x:f>'제외 후보'!G1273</x:f>
        <x:v>w_862729309324e64d</x:v>
      </x:c>
      <x:c r="B1273" s="11" t="n">
        <x:f>IF('제외 후보'!Q1273&lt;&gt;"",'선정 규칙'!$B$4,0)</x:f>
        <x:v>0</x:v>
      </x:c>
      <x:c r="C1273" s="11" t="n">
        <x:f>IF(ISNUMBER(SEARCH("jmdict_uncommon_or_irregular",'제외 후보'!P1273)),'선정 규칙'!$B$5,IF(ISNUMBER(SEARCH("jmdict_rare_or_dated",'제외 후보'!P1273)),'선정 규칙'!$B$6,0))</x:f>
        <x:v>0</x:v>
      </x:c>
      <x:c r="D1273" s="11" t="n">
        <x:f>IF(ISNUMBER(SEARCH("jmdict_exact_pair_not_found",'제외 후보'!P1273)),'선정 규칙'!$B$7,0)</x:f>
        <x:v>0</x:v>
      </x:c>
      <x:c r="E1273" s="11" t="n">
        <x:f>IF(OR('제외 후보'!L1273="",'제외 후보'!L1273&lt;=0),'선정 규칙'!$B$8,IF('제외 후보'!L1273&lt;=1.5,'선정 규칙'!$B$9,IF('제외 후보'!L1273&lt;=2,'선정 규칙'!$B$10,IF('제외 후보'!L1273&lt;=2.5,'선정 규칙'!$B$11,IF('제외 후보'!L1273&lt;=3,'선정 규칙'!$B$12,IF('제외 후보'!L1273&lt;=3.5,'선정 규칙'!$B$13,IF('제외 후보'!L1273&gt;=4.5,'선정 규칙'!$B$14,0)))))))</x:f>
        <x:v>6</x:v>
      </x:c>
      <x:c r="F1273" s="11" t="n">
        <x:f>IF('제외 후보'!Y1273=0,'선정 규칙'!$B$15,IF('제외 후보'!Y1273&gt;=100,'선정 규칙'!$B$16,'선정 규칙'!$B$17))</x:f>
        <x:v>-25</x:v>
      </x:c>
      <x:c r="G1273" s="11" t="n">
        <x:f>IF('제외 후보'!M1273="있음",'선정 규칙'!$B$18,'선정 규칙'!$B$19)</x:f>
        <x:v>6</x:v>
      </x:c>
      <x:c r="H1273" s="11" t="n">
        <x:f>IF(ISNUMBER(SEARCH("freq-core",'제외 후보'!AD1273)),'선정 규칙'!$B$20,0)</x:f>
        <x:v>0</x:v>
      </x:c>
      <x:c r="I1273" s="11" t="n">
        <x:f>IF(ISNUMBER(SEARCH("weak_legacy_content",'제외 후보'!P1273)),'선정 규칙'!$B$21,0)</x:f>
        <x:v>5</x:v>
      </x:c>
      <x:c r="J1273" s="11" t="n">
        <x:f>IF('제외 후보'!AC1273&lt;&gt;"",'선정 규칙'!$B$22,0)</x:f>
        <x:v>0</x:v>
      </x:c>
      <x:c r="K1273" s="11" t="n">
        <x:f>SUM(B1273:J1273)</x:f>
        <x:v>-8</x:v>
      </x:c>
      <x:c r="L1273" s="11" t="n">
        <x:f>'제외 후보'!N1273</x:f>
        <x:v>-8</x:v>
      </x:c>
      <x:c r="M1273" s="2" t="str">
        <x:f>IF(K1273=L1273,"OK","MISMATCH")</x:f>
        <x:v>OK</x:v>
      </x:c>
    </x:row>
    <x:row r="1274">
      <x:c r="A1274" s="2" t="str">
        <x:f>'제외 후보'!G1274</x:f>
        <x:v>w_9453ee8c4d367c4e</x:v>
      </x:c>
      <x:c r="B1274" s="11" t="n">
        <x:f>IF('제외 후보'!Q1274&lt;&gt;"",'선정 규칙'!$B$4,0)</x:f>
        <x:v>0</x:v>
      </x:c>
      <x:c r="C1274" s="11" t="n">
        <x:f>IF(ISNUMBER(SEARCH("jmdict_uncommon_or_irregular",'제외 후보'!P1274)),'선정 규칙'!$B$5,IF(ISNUMBER(SEARCH("jmdict_rare_or_dated",'제외 후보'!P1274)),'선정 규칙'!$B$6,0))</x:f>
        <x:v>0</x:v>
      </x:c>
      <x:c r="D1274" s="11" t="n">
        <x:f>IF(ISNUMBER(SEARCH("jmdict_exact_pair_not_found",'제외 후보'!P1274)),'선정 규칙'!$B$7,0)</x:f>
        <x:v>0</x:v>
      </x:c>
      <x:c r="E1274" s="11" t="n">
        <x:f>IF(OR('제외 후보'!L1274="",'제외 후보'!L1274&lt;=0),'선정 규칙'!$B$8,IF('제외 후보'!L1274&lt;=1.5,'선정 규칙'!$B$9,IF('제외 후보'!L1274&lt;=2,'선정 규칙'!$B$10,IF('제외 후보'!L1274&lt;=2.5,'선정 규칙'!$B$11,IF('제외 후보'!L1274&lt;=3,'선정 규칙'!$B$12,IF('제외 후보'!L1274&lt;=3.5,'선정 규칙'!$B$13,IF('제외 후보'!L1274&gt;=4.5,'선정 규칙'!$B$14,0)))))))</x:f>
        <x:v>6</x:v>
      </x:c>
      <x:c r="F1274" s="11" t="n">
        <x:f>IF('제외 후보'!Y1274=0,'선정 규칙'!$B$15,IF('제외 후보'!Y1274&gt;=100,'선정 규칙'!$B$16,'선정 규칙'!$B$17))</x:f>
        <x:v>-25</x:v>
      </x:c>
      <x:c r="G1274" s="11" t="n">
        <x:f>IF('제외 후보'!M1274="있음",'선정 규칙'!$B$18,'선정 규칙'!$B$19)</x:f>
        <x:v>6</x:v>
      </x:c>
      <x:c r="H1274" s="11" t="n">
        <x:f>IF(ISNUMBER(SEARCH("freq-core",'제외 후보'!AD1274)),'선정 규칙'!$B$20,0)</x:f>
        <x:v>0</x:v>
      </x:c>
      <x:c r="I1274" s="11" t="n">
        <x:f>IF(ISNUMBER(SEARCH("weak_legacy_content",'제외 후보'!P1274)),'선정 규칙'!$B$21,0)</x:f>
        <x:v>5</x:v>
      </x:c>
      <x:c r="J1274" s="11" t="n">
        <x:f>IF('제외 후보'!AC1274&lt;&gt;"",'선정 규칙'!$B$22,0)</x:f>
        <x:v>0</x:v>
      </x:c>
      <x:c r="K1274" s="11" t="n">
        <x:f>SUM(B1274:J1274)</x:f>
        <x:v>-8</x:v>
      </x:c>
      <x:c r="L1274" s="11" t="n">
        <x:f>'제외 후보'!N1274</x:f>
        <x:v>-8</x:v>
      </x:c>
      <x:c r="M1274" s="2" t="str">
        <x:f>IF(K1274=L1274,"OK","MISMATCH")</x:f>
        <x:v>OK</x:v>
      </x:c>
    </x:row>
    <x:row r="1275">
      <x:c r="A1275" s="2" t="str">
        <x:f>'제외 후보'!G1275</x:f>
        <x:v>w_a46f2c3f0d8fbd8b</x:v>
      </x:c>
      <x:c r="B1275" s="11" t="n">
        <x:f>IF('제외 후보'!Q1275&lt;&gt;"",'선정 규칙'!$B$4,0)</x:f>
        <x:v>0</x:v>
      </x:c>
      <x:c r="C1275" s="11" t="n">
        <x:f>IF(ISNUMBER(SEARCH("jmdict_uncommon_or_irregular",'제외 후보'!P1275)),'선정 규칙'!$B$5,IF(ISNUMBER(SEARCH("jmdict_rare_or_dated",'제외 후보'!P1275)),'선정 규칙'!$B$6,0))</x:f>
        <x:v>0</x:v>
      </x:c>
      <x:c r="D1275" s="11" t="n">
        <x:f>IF(ISNUMBER(SEARCH("jmdict_exact_pair_not_found",'제외 후보'!P1275)),'선정 규칙'!$B$7,0)</x:f>
        <x:v>0</x:v>
      </x:c>
      <x:c r="E1275" s="11" t="n">
        <x:f>IF(OR('제외 후보'!L1275="",'제외 후보'!L1275&lt;=0),'선정 규칙'!$B$8,IF('제외 후보'!L1275&lt;=1.5,'선정 규칙'!$B$9,IF('제외 후보'!L1275&lt;=2,'선정 규칙'!$B$10,IF('제외 후보'!L1275&lt;=2.5,'선정 규칙'!$B$11,IF('제외 후보'!L1275&lt;=3,'선정 규칙'!$B$12,IF('제외 후보'!L1275&lt;=3.5,'선정 규칙'!$B$13,IF('제외 후보'!L1275&gt;=4.5,'선정 규칙'!$B$14,0)))))))</x:f>
        <x:v>6</x:v>
      </x:c>
      <x:c r="F1275" s="11" t="n">
        <x:f>IF('제외 후보'!Y1275=0,'선정 규칙'!$B$15,IF('제외 후보'!Y1275&gt;=100,'선정 규칙'!$B$16,'선정 규칙'!$B$17))</x:f>
        <x:v>-25</x:v>
      </x:c>
      <x:c r="G1275" s="11" t="n">
        <x:f>IF('제외 후보'!M1275="있음",'선정 규칙'!$B$18,'선정 규칙'!$B$19)</x:f>
        <x:v>6</x:v>
      </x:c>
      <x:c r="H1275" s="11" t="n">
        <x:f>IF(ISNUMBER(SEARCH("freq-core",'제외 후보'!AD1275)),'선정 규칙'!$B$20,0)</x:f>
        <x:v>0</x:v>
      </x:c>
      <x:c r="I1275" s="11" t="n">
        <x:f>IF(ISNUMBER(SEARCH("weak_legacy_content",'제외 후보'!P1275)),'선정 규칙'!$B$21,0)</x:f>
        <x:v>5</x:v>
      </x:c>
      <x:c r="J1275" s="11" t="n">
        <x:f>IF('제외 후보'!AC1275&lt;&gt;"",'선정 규칙'!$B$22,0)</x:f>
        <x:v>0</x:v>
      </x:c>
      <x:c r="K1275" s="11" t="n">
        <x:f>SUM(B1275:J1275)</x:f>
        <x:v>-8</x:v>
      </x:c>
      <x:c r="L1275" s="11" t="n">
        <x:f>'제외 후보'!N1275</x:f>
        <x:v>-8</x:v>
      </x:c>
      <x:c r="M1275" s="2" t="str">
        <x:f>IF(K1275=L1275,"OK","MISMATCH")</x:f>
        <x:v>OK</x:v>
      </x:c>
    </x:row>
    <x:row r="1276">
      <x:c r="A1276" s="2" t="str">
        <x:f>'제외 후보'!G1276</x:f>
        <x:v>w_b383a013718c8d23</x:v>
      </x:c>
      <x:c r="B1276" s="11" t="n">
        <x:f>IF('제외 후보'!Q1276&lt;&gt;"",'선정 규칙'!$B$4,0)</x:f>
        <x:v>0</x:v>
      </x:c>
      <x:c r="C1276" s="11" t="n">
        <x:f>IF(ISNUMBER(SEARCH("jmdict_uncommon_or_irregular",'제외 후보'!P1276)),'선정 규칙'!$B$5,IF(ISNUMBER(SEARCH("jmdict_rare_or_dated",'제외 후보'!P1276)),'선정 규칙'!$B$6,0))</x:f>
        <x:v>0</x:v>
      </x:c>
      <x:c r="D1276" s="11" t="n">
        <x:f>IF(ISNUMBER(SEARCH("jmdict_exact_pair_not_found",'제외 후보'!P1276)),'선정 규칙'!$B$7,0)</x:f>
        <x:v>0</x:v>
      </x:c>
      <x:c r="E1276" s="11" t="n">
        <x:f>IF(OR('제외 후보'!L1276="",'제외 후보'!L1276&lt;=0),'선정 규칙'!$B$8,IF('제외 후보'!L1276&lt;=1.5,'선정 규칙'!$B$9,IF('제외 후보'!L1276&lt;=2,'선정 규칙'!$B$10,IF('제외 후보'!L1276&lt;=2.5,'선정 규칙'!$B$11,IF('제외 후보'!L1276&lt;=3,'선정 규칙'!$B$12,IF('제외 후보'!L1276&lt;=3.5,'선정 규칙'!$B$13,IF('제외 후보'!L1276&gt;=4.5,'선정 규칙'!$B$14,0)))))))</x:f>
        <x:v>6</x:v>
      </x:c>
      <x:c r="F1276" s="11" t="n">
        <x:f>IF('제외 후보'!Y1276=0,'선정 규칙'!$B$15,IF('제외 후보'!Y1276&gt;=100,'선정 규칙'!$B$16,'선정 규칙'!$B$17))</x:f>
        <x:v>-25</x:v>
      </x:c>
      <x:c r="G1276" s="11" t="n">
        <x:f>IF('제외 후보'!M1276="있음",'선정 규칙'!$B$18,'선정 규칙'!$B$19)</x:f>
        <x:v>6</x:v>
      </x:c>
      <x:c r="H1276" s="11" t="n">
        <x:f>IF(ISNUMBER(SEARCH("freq-core",'제외 후보'!AD1276)),'선정 규칙'!$B$20,0)</x:f>
        <x:v>0</x:v>
      </x:c>
      <x:c r="I1276" s="11" t="n">
        <x:f>IF(ISNUMBER(SEARCH("weak_legacy_content",'제외 후보'!P1276)),'선정 규칙'!$B$21,0)</x:f>
        <x:v>5</x:v>
      </x:c>
      <x:c r="J1276" s="11" t="n">
        <x:f>IF('제외 후보'!AC1276&lt;&gt;"",'선정 규칙'!$B$22,0)</x:f>
        <x:v>0</x:v>
      </x:c>
      <x:c r="K1276" s="11" t="n">
        <x:f>SUM(B1276:J1276)</x:f>
        <x:v>-8</x:v>
      </x:c>
      <x:c r="L1276" s="11" t="n">
        <x:f>'제외 후보'!N1276</x:f>
        <x:v>-8</x:v>
      </x:c>
      <x:c r="M1276" s="2" t="str">
        <x:f>IF(K1276=L1276,"OK","MISMATCH")</x:f>
        <x:v>OK</x:v>
      </x:c>
    </x:row>
    <x:row r="1277">
      <x:c r="A1277" s="2" t="str">
        <x:f>'제외 후보'!G1277</x:f>
        <x:v>w_bc2091722952b98d</x:v>
      </x:c>
      <x:c r="B1277" s="11" t="n">
        <x:f>IF('제외 후보'!Q1277&lt;&gt;"",'선정 규칙'!$B$4,0)</x:f>
        <x:v>0</x:v>
      </x:c>
      <x:c r="C1277" s="11" t="n">
        <x:f>IF(ISNUMBER(SEARCH("jmdict_uncommon_or_irregular",'제외 후보'!P1277)),'선정 규칙'!$B$5,IF(ISNUMBER(SEARCH("jmdict_rare_or_dated",'제외 후보'!P1277)),'선정 규칙'!$B$6,0))</x:f>
        <x:v>0</x:v>
      </x:c>
      <x:c r="D1277" s="11" t="n">
        <x:f>IF(ISNUMBER(SEARCH("jmdict_exact_pair_not_found",'제외 후보'!P1277)),'선정 규칙'!$B$7,0)</x:f>
        <x:v>0</x:v>
      </x:c>
      <x:c r="E1277" s="11" t="n">
        <x:f>IF(OR('제외 후보'!L1277="",'제외 후보'!L1277&lt;=0),'선정 규칙'!$B$8,IF('제외 후보'!L1277&lt;=1.5,'선정 규칙'!$B$9,IF('제외 후보'!L1277&lt;=2,'선정 규칙'!$B$10,IF('제외 후보'!L1277&lt;=2.5,'선정 규칙'!$B$11,IF('제외 후보'!L1277&lt;=3,'선정 규칙'!$B$12,IF('제외 후보'!L1277&lt;=3.5,'선정 규칙'!$B$13,IF('제외 후보'!L1277&gt;=4.5,'선정 규칙'!$B$14,0)))))))</x:f>
        <x:v>6</x:v>
      </x:c>
      <x:c r="F1277" s="11" t="n">
        <x:f>IF('제외 후보'!Y1277=0,'선정 규칙'!$B$15,IF('제외 후보'!Y1277&gt;=100,'선정 규칙'!$B$16,'선정 규칙'!$B$17))</x:f>
        <x:v>-25</x:v>
      </x:c>
      <x:c r="G1277" s="11" t="n">
        <x:f>IF('제외 후보'!M1277="있음",'선정 규칙'!$B$18,'선정 규칙'!$B$19)</x:f>
        <x:v>6</x:v>
      </x:c>
      <x:c r="H1277" s="11" t="n">
        <x:f>IF(ISNUMBER(SEARCH("freq-core",'제외 후보'!AD1277)),'선정 규칙'!$B$20,0)</x:f>
        <x:v>0</x:v>
      </x:c>
      <x:c r="I1277" s="11" t="n">
        <x:f>IF(ISNUMBER(SEARCH("weak_legacy_content",'제외 후보'!P1277)),'선정 규칙'!$B$21,0)</x:f>
        <x:v>5</x:v>
      </x:c>
      <x:c r="J1277" s="11" t="n">
        <x:f>IF('제외 후보'!AC1277&lt;&gt;"",'선정 규칙'!$B$22,0)</x:f>
        <x:v>0</x:v>
      </x:c>
      <x:c r="K1277" s="11" t="n">
        <x:f>SUM(B1277:J1277)</x:f>
        <x:v>-8</x:v>
      </x:c>
      <x:c r="L1277" s="11" t="n">
        <x:f>'제외 후보'!N1277</x:f>
        <x:v>-8</x:v>
      </x:c>
      <x:c r="M1277" s="2" t="str">
        <x:f>IF(K1277=L1277,"OK","MISMATCH")</x:f>
        <x:v>OK</x:v>
      </x:c>
    </x:row>
    <x:row r="1278">
      <x:c r="A1278" s="2" t="str">
        <x:f>'제외 후보'!G1278</x:f>
        <x:v>w_671b868a471a9e6f</x:v>
      </x:c>
      <x:c r="B1278" s="11" t="n">
        <x:f>IF('제외 후보'!Q1278&lt;&gt;"",'선정 규칙'!$B$4,0)</x:f>
        <x:v>0</x:v>
      </x:c>
      <x:c r="C1278" s="11" t="n">
        <x:f>IF(ISNUMBER(SEARCH("jmdict_uncommon_or_irregular",'제외 후보'!P1278)),'선정 규칙'!$B$5,IF(ISNUMBER(SEARCH("jmdict_rare_or_dated",'제외 후보'!P1278)),'선정 규칙'!$B$6,0))</x:f>
        <x:v>0</x:v>
      </x:c>
      <x:c r="D1278" s="11" t="n">
        <x:f>IF(ISNUMBER(SEARCH("jmdict_exact_pair_not_found",'제외 후보'!P1278)),'선정 규칙'!$B$7,0)</x:f>
        <x:v>0</x:v>
      </x:c>
      <x:c r="E1278" s="11" t="n">
        <x:f>IF(OR('제외 후보'!L1278="",'제외 후보'!L1278&lt;=0),'선정 규칙'!$B$8,IF('제외 후보'!L1278&lt;=1.5,'선정 규칙'!$B$9,IF('제외 후보'!L1278&lt;=2,'선정 규칙'!$B$10,IF('제외 후보'!L1278&lt;=2.5,'선정 규칙'!$B$11,IF('제외 후보'!L1278&lt;=3,'선정 규칙'!$B$12,IF('제외 후보'!L1278&lt;=3.5,'선정 규칙'!$B$13,IF('제외 후보'!L1278&gt;=4.5,'선정 규칙'!$B$14,0)))))))</x:f>
        <x:v>6</x:v>
      </x:c>
      <x:c r="F1278" s="11" t="n">
        <x:f>IF('제외 후보'!Y1278=0,'선정 규칙'!$B$15,IF('제외 후보'!Y1278&gt;=100,'선정 규칙'!$B$16,'선정 규칙'!$B$17))</x:f>
        <x:v>-25</x:v>
      </x:c>
      <x:c r="G1278" s="11" t="n">
        <x:f>IF('제외 후보'!M1278="있음",'선정 규칙'!$B$18,'선정 규칙'!$B$19)</x:f>
        <x:v>6</x:v>
      </x:c>
      <x:c r="H1278" s="11" t="n">
        <x:f>IF(ISNUMBER(SEARCH("freq-core",'제외 후보'!AD1278)),'선정 규칙'!$B$20,0)</x:f>
        <x:v>0</x:v>
      </x:c>
      <x:c r="I1278" s="11" t="n">
        <x:f>IF(ISNUMBER(SEARCH("weak_legacy_content",'제외 후보'!P1278)),'선정 규칙'!$B$21,0)</x:f>
        <x:v>5</x:v>
      </x:c>
      <x:c r="J1278" s="11" t="n">
        <x:f>IF('제외 후보'!AC1278&lt;&gt;"",'선정 규칙'!$B$22,0)</x:f>
        <x:v>0</x:v>
      </x:c>
      <x:c r="K1278" s="11" t="n">
        <x:f>SUM(B1278:J1278)</x:f>
        <x:v>-8</x:v>
      </x:c>
      <x:c r="L1278" s="11" t="n">
        <x:f>'제외 후보'!N1278</x:f>
        <x:v>-8</x:v>
      </x:c>
      <x:c r="M1278" s="2" t="str">
        <x:f>IF(K1278=L1278,"OK","MISMATCH")</x:f>
        <x:v>OK</x:v>
      </x:c>
    </x:row>
    <x:row r="1279">
      <x:c r="A1279" s="2" t="str">
        <x:f>'제외 후보'!G1279</x:f>
        <x:v>w_12fc9d92085fbfa0</x:v>
      </x:c>
      <x:c r="B1279" s="11" t="n">
        <x:f>IF('제외 후보'!Q1279&lt;&gt;"",'선정 규칙'!$B$4,0)</x:f>
        <x:v>0</x:v>
      </x:c>
      <x:c r="C1279" s="11" t="n">
        <x:f>IF(ISNUMBER(SEARCH("jmdict_uncommon_or_irregular",'제외 후보'!P1279)),'선정 규칙'!$B$5,IF(ISNUMBER(SEARCH("jmdict_rare_or_dated",'제외 후보'!P1279)),'선정 규칙'!$B$6,0))</x:f>
        <x:v>0</x:v>
      </x:c>
      <x:c r="D1279" s="11" t="n">
        <x:f>IF(ISNUMBER(SEARCH("jmdict_exact_pair_not_found",'제외 후보'!P1279)),'선정 규칙'!$B$7,0)</x:f>
        <x:v>0</x:v>
      </x:c>
      <x:c r="E1279" s="11" t="n">
        <x:f>IF(OR('제외 후보'!L1279="",'제외 후보'!L1279&lt;=0),'선정 규칙'!$B$8,IF('제외 후보'!L1279&lt;=1.5,'선정 규칙'!$B$9,IF('제외 후보'!L1279&lt;=2,'선정 규칙'!$B$10,IF('제외 후보'!L1279&lt;=2.5,'선정 규칙'!$B$11,IF('제외 후보'!L1279&lt;=3,'선정 규칙'!$B$12,IF('제외 후보'!L1279&lt;=3.5,'선정 규칙'!$B$13,IF('제외 후보'!L1279&gt;=4.5,'선정 규칙'!$B$14,0)))))))</x:f>
        <x:v>6</x:v>
      </x:c>
      <x:c r="F1279" s="11" t="n">
        <x:f>IF('제외 후보'!Y1279=0,'선정 규칙'!$B$15,IF('제외 후보'!Y1279&gt;=100,'선정 규칙'!$B$16,'선정 규칙'!$B$17))</x:f>
        <x:v>-25</x:v>
      </x:c>
      <x:c r="G1279" s="11" t="n">
        <x:f>IF('제외 후보'!M1279="있음",'선정 규칙'!$B$18,'선정 규칙'!$B$19)</x:f>
        <x:v>6</x:v>
      </x:c>
      <x:c r="H1279" s="11" t="n">
        <x:f>IF(ISNUMBER(SEARCH("freq-core",'제외 후보'!AD1279)),'선정 규칙'!$B$20,0)</x:f>
        <x:v>0</x:v>
      </x:c>
      <x:c r="I1279" s="11" t="n">
        <x:f>IF(ISNUMBER(SEARCH("weak_legacy_content",'제외 후보'!P1279)),'선정 규칙'!$B$21,0)</x:f>
        <x:v>5</x:v>
      </x:c>
      <x:c r="J1279" s="11" t="n">
        <x:f>IF('제외 후보'!AC1279&lt;&gt;"",'선정 규칙'!$B$22,0)</x:f>
        <x:v>0</x:v>
      </x:c>
      <x:c r="K1279" s="11" t="n">
        <x:f>SUM(B1279:J1279)</x:f>
        <x:v>-8</x:v>
      </x:c>
      <x:c r="L1279" s="11" t="n">
        <x:f>'제외 후보'!N1279</x:f>
        <x:v>-8</x:v>
      </x:c>
      <x:c r="M1279" s="2" t="str">
        <x:f>IF(K1279=L1279,"OK","MISMATCH")</x:f>
        <x:v>OK</x:v>
      </x:c>
    </x:row>
    <x:row r="1280">
      <x:c r="A1280" s="2" t="str">
        <x:f>'제외 후보'!G1280</x:f>
        <x:v>w_4c8070831d17211e</x:v>
      </x:c>
      <x:c r="B1280" s="11" t="n">
        <x:f>IF('제외 후보'!Q1280&lt;&gt;"",'선정 규칙'!$B$4,0)</x:f>
        <x:v>0</x:v>
      </x:c>
      <x:c r="C1280" s="11" t="n">
        <x:f>IF(ISNUMBER(SEARCH("jmdict_uncommon_or_irregular",'제외 후보'!P1280)),'선정 규칙'!$B$5,IF(ISNUMBER(SEARCH("jmdict_rare_or_dated",'제외 후보'!P1280)),'선정 규칙'!$B$6,0))</x:f>
        <x:v>0</x:v>
      </x:c>
      <x:c r="D1280" s="11" t="n">
        <x:f>IF(ISNUMBER(SEARCH("jmdict_exact_pair_not_found",'제외 후보'!P1280)),'선정 규칙'!$B$7,0)</x:f>
        <x:v>0</x:v>
      </x:c>
      <x:c r="E1280" s="11" t="n">
        <x:f>IF(OR('제외 후보'!L1280="",'제외 후보'!L1280&lt;=0),'선정 규칙'!$B$8,IF('제외 후보'!L1280&lt;=1.5,'선정 규칙'!$B$9,IF('제외 후보'!L1280&lt;=2,'선정 규칙'!$B$10,IF('제외 후보'!L1280&lt;=2.5,'선정 규칙'!$B$11,IF('제외 후보'!L1280&lt;=3,'선정 규칙'!$B$12,IF('제외 후보'!L1280&lt;=3.5,'선정 규칙'!$B$13,IF('제외 후보'!L1280&gt;=4.5,'선정 규칙'!$B$14,0)))))))</x:f>
        <x:v>6</x:v>
      </x:c>
      <x:c r="F1280" s="11" t="n">
        <x:f>IF('제외 후보'!Y1280=0,'선정 규칙'!$B$15,IF('제외 후보'!Y1280&gt;=100,'선정 규칙'!$B$16,'선정 규칙'!$B$17))</x:f>
        <x:v>-25</x:v>
      </x:c>
      <x:c r="G1280" s="11" t="n">
        <x:f>IF('제외 후보'!M1280="있음",'선정 규칙'!$B$18,'선정 규칙'!$B$19)</x:f>
        <x:v>6</x:v>
      </x:c>
      <x:c r="H1280" s="11" t="n">
        <x:f>IF(ISNUMBER(SEARCH("freq-core",'제외 후보'!AD1280)),'선정 규칙'!$B$20,0)</x:f>
        <x:v>0</x:v>
      </x:c>
      <x:c r="I1280" s="11" t="n">
        <x:f>IF(ISNUMBER(SEARCH("weak_legacy_content",'제외 후보'!P1280)),'선정 규칙'!$B$21,0)</x:f>
        <x:v>5</x:v>
      </x:c>
      <x:c r="J1280" s="11" t="n">
        <x:f>IF('제외 후보'!AC1280&lt;&gt;"",'선정 규칙'!$B$22,0)</x:f>
        <x:v>0</x:v>
      </x:c>
      <x:c r="K1280" s="11" t="n">
        <x:f>SUM(B1280:J1280)</x:f>
        <x:v>-8</x:v>
      </x:c>
      <x:c r="L1280" s="11" t="n">
        <x:f>'제외 후보'!N1280</x:f>
        <x:v>-8</x:v>
      </x:c>
      <x:c r="M1280" s="2" t="str">
        <x:f>IF(K1280=L1280,"OK","MISMATCH")</x:f>
        <x:v>OK</x:v>
      </x:c>
    </x:row>
    <x:row r="1281">
      <x:c r="A1281" s="2" t="str">
        <x:f>'제외 후보'!G1281</x:f>
        <x:v>w_744570ba02723c96</x:v>
      </x:c>
      <x:c r="B1281" s="11" t="n">
        <x:f>IF('제외 후보'!Q1281&lt;&gt;"",'선정 규칙'!$B$4,0)</x:f>
        <x:v>0</x:v>
      </x:c>
      <x:c r="C1281" s="11" t="n">
        <x:f>IF(ISNUMBER(SEARCH("jmdict_uncommon_or_irregular",'제외 후보'!P1281)),'선정 규칙'!$B$5,IF(ISNUMBER(SEARCH("jmdict_rare_or_dated",'제외 후보'!P1281)),'선정 규칙'!$B$6,0))</x:f>
        <x:v>0</x:v>
      </x:c>
      <x:c r="D1281" s="11" t="n">
        <x:f>IF(ISNUMBER(SEARCH("jmdict_exact_pair_not_found",'제외 후보'!P1281)),'선정 규칙'!$B$7,0)</x:f>
        <x:v>0</x:v>
      </x:c>
      <x:c r="E1281" s="11" t="n">
        <x:f>IF(OR('제외 후보'!L1281="",'제외 후보'!L1281&lt;=0),'선정 규칙'!$B$8,IF('제외 후보'!L1281&lt;=1.5,'선정 규칙'!$B$9,IF('제외 후보'!L1281&lt;=2,'선정 규칙'!$B$10,IF('제외 후보'!L1281&lt;=2.5,'선정 규칙'!$B$11,IF('제외 후보'!L1281&lt;=3,'선정 규칙'!$B$12,IF('제외 후보'!L1281&lt;=3.5,'선정 규칙'!$B$13,IF('제외 후보'!L1281&gt;=4.5,'선정 규칙'!$B$14,0)))))))</x:f>
        <x:v>6</x:v>
      </x:c>
      <x:c r="F1281" s="11" t="n">
        <x:f>IF('제외 후보'!Y1281=0,'선정 규칙'!$B$15,IF('제외 후보'!Y1281&gt;=100,'선정 규칙'!$B$16,'선정 규칙'!$B$17))</x:f>
        <x:v>-25</x:v>
      </x:c>
      <x:c r="G1281" s="11" t="n">
        <x:f>IF('제외 후보'!M1281="있음",'선정 규칙'!$B$18,'선정 규칙'!$B$19)</x:f>
        <x:v>6</x:v>
      </x:c>
      <x:c r="H1281" s="11" t="n">
        <x:f>IF(ISNUMBER(SEARCH("freq-core",'제외 후보'!AD1281)),'선정 규칙'!$B$20,0)</x:f>
        <x:v>0</x:v>
      </x:c>
      <x:c r="I1281" s="11" t="n">
        <x:f>IF(ISNUMBER(SEARCH("weak_legacy_content",'제외 후보'!P1281)),'선정 규칙'!$B$21,0)</x:f>
        <x:v>5</x:v>
      </x:c>
      <x:c r="J1281" s="11" t="n">
        <x:f>IF('제외 후보'!AC1281&lt;&gt;"",'선정 규칙'!$B$22,0)</x:f>
        <x:v>0</x:v>
      </x:c>
      <x:c r="K1281" s="11" t="n">
        <x:f>SUM(B1281:J1281)</x:f>
        <x:v>-8</x:v>
      </x:c>
      <x:c r="L1281" s="11" t="n">
        <x:f>'제외 후보'!N1281</x:f>
        <x:v>-8</x:v>
      </x:c>
      <x:c r="M1281" s="2" t="str">
        <x:f>IF(K1281=L1281,"OK","MISMATCH")</x:f>
        <x:v>OK</x:v>
      </x:c>
    </x:row>
    <x:row r="1282">
      <x:c r="A1282" s="2" t="str">
        <x:f>'제외 후보'!G1282</x:f>
        <x:v>w_f85345aac7591859</x:v>
      </x:c>
      <x:c r="B1282" s="11" t="n">
        <x:f>IF('제외 후보'!Q1282&lt;&gt;"",'선정 규칙'!$B$4,0)</x:f>
        <x:v>0</x:v>
      </x:c>
      <x:c r="C1282" s="11" t="n">
        <x:f>IF(ISNUMBER(SEARCH("jmdict_uncommon_or_irregular",'제외 후보'!P1282)),'선정 규칙'!$B$5,IF(ISNUMBER(SEARCH("jmdict_rare_or_dated",'제외 후보'!P1282)),'선정 규칙'!$B$6,0))</x:f>
        <x:v>0</x:v>
      </x:c>
      <x:c r="D1282" s="11" t="n">
        <x:f>IF(ISNUMBER(SEARCH("jmdict_exact_pair_not_found",'제외 후보'!P1282)),'선정 규칙'!$B$7,0)</x:f>
        <x:v>0</x:v>
      </x:c>
      <x:c r="E1282" s="11" t="n">
        <x:f>IF(OR('제외 후보'!L1282="",'제외 후보'!L1282&lt;=0),'선정 규칙'!$B$8,IF('제외 후보'!L1282&lt;=1.5,'선정 규칙'!$B$9,IF('제외 후보'!L1282&lt;=2,'선정 규칙'!$B$10,IF('제외 후보'!L1282&lt;=2.5,'선정 규칙'!$B$11,IF('제외 후보'!L1282&lt;=3,'선정 규칙'!$B$12,IF('제외 후보'!L1282&lt;=3.5,'선정 규칙'!$B$13,IF('제외 후보'!L1282&gt;=4.5,'선정 규칙'!$B$14,0)))))))</x:f>
        <x:v>6</x:v>
      </x:c>
      <x:c r="F1282" s="11" t="n">
        <x:f>IF('제외 후보'!Y1282=0,'선정 규칙'!$B$15,IF('제외 후보'!Y1282&gt;=100,'선정 규칙'!$B$16,'선정 규칙'!$B$17))</x:f>
        <x:v>-25</x:v>
      </x:c>
      <x:c r="G1282" s="11" t="n">
        <x:f>IF('제외 후보'!M1282="있음",'선정 규칙'!$B$18,'선정 규칙'!$B$19)</x:f>
        <x:v>6</x:v>
      </x:c>
      <x:c r="H1282" s="11" t="n">
        <x:f>IF(ISNUMBER(SEARCH("freq-core",'제외 후보'!AD1282)),'선정 규칙'!$B$20,0)</x:f>
        <x:v>0</x:v>
      </x:c>
      <x:c r="I1282" s="11" t="n">
        <x:f>IF(ISNUMBER(SEARCH("weak_legacy_content",'제외 후보'!P1282)),'선정 규칙'!$B$21,0)</x:f>
        <x:v>5</x:v>
      </x:c>
      <x:c r="J1282" s="11" t="n">
        <x:f>IF('제외 후보'!AC1282&lt;&gt;"",'선정 규칙'!$B$22,0)</x:f>
        <x:v>0</x:v>
      </x:c>
      <x:c r="K1282" s="11" t="n">
        <x:f>SUM(B1282:J1282)</x:f>
        <x:v>-8</x:v>
      </x:c>
      <x:c r="L1282" s="11" t="n">
        <x:f>'제외 후보'!N1282</x:f>
        <x:v>-8</x:v>
      </x:c>
      <x:c r="M1282" s="2" t="str">
        <x:f>IF(K1282=L1282,"OK","MISMATCH")</x:f>
        <x:v>OK</x:v>
      </x:c>
    </x:row>
    <x:row r="1283">
      <x:c r="A1283" s="2" t="str">
        <x:f>'제외 후보'!G1283</x:f>
        <x:v>w_4d4d3e4270ca9679</x:v>
      </x:c>
      <x:c r="B1283" s="11" t="n">
        <x:f>IF('제외 후보'!Q1283&lt;&gt;"",'선정 규칙'!$B$4,0)</x:f>
        <x:v>0</x:v>
      </x:c>
      <x:c r="C1283" s="11" t="n">
        <x:f>IF(ISNUMBER(SEARCH("jmdict_uncommon_or_irregular",'제외 후보'!P1283)),'선정 규칙'!$B$5,IF(ISNUMBER(SEARCH("jmdict_rare_or_dated",'제외 후보'!P1283)),'선정 규칙'!$B$6,0))</x:f>
        <x:v>0</x:v>
      </x:c>
      <x:c r="D1283" s="11" t="n">
        <x:f>IF(ISNUMBER(SEARCH("jmdict_exact_pair_not_found",'제외 후보'!P1283)),'선정 규칙'!$B$7,0)</x:f>
        <x:v>0</x:v>
      </x:c>
      <x:c r="E1283" s="11" t="n">
        <x:f>IF(OR('제외 후보'!L1283="",'제외 후보'!L1283&lt;=0),'선정 규칙'!$B$8,IF('제외 후보'!L1283&lt;=1.5,'선정 규칙'!$B$9,IF('제외 후보'!L1283&lt;=2,'선정 규칙'!$B$10,IF('제외 후보'!L1283&lt;=2.5,'선정 규칙'!$B$11,IF('제외 후보'!L1283&lt;=3,'선정 규칙'!$B$12,IF('제외 후보'!L1283&lt;=3.5,'선정 규칙'!$B$13,IF('제외 후보'!L1283&gt;=4.5,'선정 규칙'!$B$14,0)))))))</x:f>
        <x:v>6</x:v>
      </x:c>
      <x:c r="F1283" s="11" t="n">
        <x:f>IF('제외 후보'!Y1283=0,'선정 규칙'!$B$15,IF('제외 후보'!Y1283&gt;=100,'선정 규칙'!$B$16,'선정 규칙'!$B$17))</x:f>
        <x:v>-25</x:v>
      </x:c>
      <x:c r="G1283" s="11" t="n">
        <x:f>IF('제외 후보'!M1283="있음",'선정 규칙'!$B$18,'선정 규칙'!$B$19)</x:f>
        <x:v>6</x:v>
      </x:c>
      <x:c r="H1283" s="11" t="n">
        <x:f>IF(ISNUMBER(SEARCH("freq-core",'제외 후보'!AD1283)),'선정 규칙'!$B$20,0)</x:f>
        <x:v>0</x:v>
      </x:c>
      <x:c r="I1283" s="11" t="n">
        <x:f>IF(ISNUMBER(SEARCH("weak_legacy_content",'제외 후보'!P1283)),'선정 규칙'!$B$21,0)</x:f>
        <x:v>5</x:v>
      </x:c>
      <x:c r="J1283" s="11" t="n">
        <x:f>IF('제외 후보'!AC1283&lt;&gt;"",'선정 규칙'!$B$22,0)</x:f>
        <x:v>0</x:v>
      </x:c>
      <x:c r="K1283" s="11" t="n">
        <x:f>SUM(B1283:J1283)</x:f>
        <x:v>-8</x:v>
      </x:c>
      <x:c r="L1283" s="11" t="n">
        <x:f>'제외 후보'!N1283</x:f>
        <x:v>-8</x:v>
      </x:c>
      <x:c r="M1283" s="2" t="str">
        <x:f>IF(K1283=L1283,"OK","MISMATCH")</x:f>
        <x:v>OK</x:v>
      </x:c>
    </x:row>
    <x:row r="1284">
      <x:c r="A1284" s="2" t="str">
        <x:f>'제외 후보'!G1284</x:f>
        <x:v>w_3fb0a2ae1a74d3cc</x:v>
      </x:c>
      <x:c r="B1284" s="11" t="n">
        <x:f>IF('제외 후보'!Q1284&lt;&gt;"",'선정 규칙'!$B$4,0)</x:f>
        <x:v>0</x:v>
      </x:c>
      <x:c r="C1284" s="11" t="n">
        <x:f>IF(ISNUMBER(SEARCH("jmdict_uncommon_or_irregular",'제외 후보'!P1284)),'선정 규칙'!$B$5,IF(ISNUMBER(SEARCH("jmdict_rare_or_dated",'제외 후보'!P1284)),'선정 규칙'!$B$6,0))</x:f>
        <x:v>0</x:v>
      </x:c>
      <x:c r="D1284" s="11" t="n">
        <x:f>IF(ISNUMBER(SEARCH("jmdict_exact_pair_not_found",'제외 후보'!P1284)),'선정 규칙'!$B$7,0)</x:f>
        <x:v>0</x:v>
      </x:c>
      <x:c r="E1284" s="11" t="n">
        <x:f>IF(OR('제외 후보'!L1284="",'제외 후보'!L1284&lt;=0),'선정 규칙'!$B$8,IF('제외 후보'!L1284&lt;=1.5,'선정 규칙'!$B$9,IF('제외 후보'!L1284&lt;=2,'선정 규칙'!$B$10,IF('제외 후보'!L1284&lt;=2.5,'선정 규칙'!$B$11,IF('제외 후보'!L1284&lt;=3,'선정 규칙'!$B$12,IF('제외 후보'!L1284&lt;=3.5,'선정 규칙'!$B$13,IF('제외 후보'!L1284&gt;=4.5,'선정 규칙'!$B$14,0)))))))</x:f>
        <x:v>6</x:v>
      </x:c>
      <x:c r="F1284" s="11" t="n">
        <x:f>IF('제외 후보'!Y1284=0,'선정 규칙'!$B$15,IF('제외 후보'!Y1284&gt;=100,'선정 규칙'!$B$16,'선정 규칙'!$B$17))</x:f>
        <x:v>-25</x:v>
      </x:c>
      <x:c r="G1284" s="11" t="n">
        <x:f>IF('제외 후보'!M1284="있음",'선정 규칙'!$B$18,'선정 규칙'!$B$19)</x:f>
        <x:v>6</x:v>
      </x:c>
      <x:c r="H1284" s="11" t="n">
        <x:f>IF(ISNUMBER(SEARCH("freq-core",'제외 후보'!AD1284)),'선정 규칙'!$B$20,0)</x:f>
        <x:v>0</x:v>
      </x:c>
      <x:c r="I1284" s="11" t="n">
        <x:f>IF(ISNUMBER(SEARCH("weak_legacy_content",'제외 후보'!P1284)),'선정 규칙'!$B$21,0)</x:f>
        <x:v>5</x:v>
      </x:c>
      <x:c r="J1284" s="11" t="n">
        <x:f>IF('제외 후보'!AC1284&lt;&gt;"",'선정 규칙'!$B$22,0)</x:f>
        <x:v>0</x:v>
      </x:c>
      <x:c r="K1284" s="11" t="n">
        <x:f>SUM(B1284:J1284)</x:f>
        <x:v>-8</x:v>
      </x:c>
      <x:c r="L1284" s="11" t="n">
        <x:f>'제외 후보'!N1284</x:f>
        <x:v>-8</x:v>
      </x:c>
      <x:c r="M1284" s="2" t="str">
        <x:f>IF(K1284=L1284,"OK","MISMATCH")</x:f>
        <x:v>OK</x:v>
      </x:c>
    </x:row>
    <x:row r="1285">
      <x:c r="A1285" s="2" t="str">
        <x:f>'제외 후보'!G1285</x:f>
        <x:v>w_0f632adc35d978b1</x:v>
      </x:c>
      <x:c r="B1285" s="11" t="n">
        <x:f>IF('제외 후보'!Q1285&lt;&gt;"",'선정 규칙'!$B$4,0)</x:f>
        <x:v>0</x:v>
      </x:c>
      <x:c r="C1285" s="11" t="n">
        <x:f>IF(ISNUMBER(SEARCH("jmdict_uncommon_or_irregular",'제외 후보'!P1285)),'선정 규칙'!$B$5,IF(ISNUMBER(SEARCH("jmdict_rare_or_dated",'제외 후보'!P1285)),'선정 규칙'!$B$6,0))</x:f>
        <x:v>0</x:v>
      </x:c>
      <x:c r="D1285" s="11" t="n">
        <x:f>IF(ISNUMBER(SEARCH("jmdict_exact_pair_not_found",'제외 후보'!P1285)),'선정 규칙'!$B$7,0)</x:f>
        <x:v>0</x:v>
      </x:c>
      <x:c r="E1285" s="11" t="n">
        <x:f>IF(OR('제외 후보'!L1285="",'제외 후보'!L1285&lt;=0),'선정 규칙'!$B$8,IF('제외 후보'!L1285&lt;=1.5,'선정 규칙'!$B$9,IF('제외 후보'!L1285&lt;=2,'선정 규칙'!$B$10,IF('제외 후보'!L1285&lt;=2.5,'선정 규칙'!$B$11,IF('제외 후보'!L1285&lt;=3,'선정 규칙'!$B$12,IF('제외 후보'!L1285&lt;=3.5,'선정 규칙'!$B$13,IF('제외 후보'!L1285&gt;=4.5,'선정 규칙'!$B$14,0)))))))</x:f>
        <x:v>6</x:v>
      </x:c>
      <x:c r="F1285" s="11" t="n">
        <x:f>IF('제외 후보'!Y1285=0,'선정 규칙'!$B$15,IF('제외 후보'!Y1285&gt;=100,'선정 규칙'!$B$16,'선정 규칙'!$B$17))</x:f>
        <x:v>-25</x:v>
      </x:c>
      <x:c r="G1285" s="11" t="n">
        <x:f>IF('제외 후보'!M1285="있음",'선정 규칙'!$B$18,'선정 규칙'!$B$19)</x:f>
        <x:v>6</x:v>
      </x:c>
      <x:c r="H1285" s="11" t="n">
        <x:f>IF(ISNUMBER(SEARCH("freq-core",'제외 후보'!AD1285)),'선정 규칙'!$B$20,0)</x:f>
        <x:v>0</x:v>
      </x:c>
      <x:c r="I1285" s="11" t="n">
        <x:f>IF(ISNUMBER(SEARCH("weak_legacy_content",'제외 후보'!P1285)),'선정 규칙'!$B$21,0)</x:f>
        <x:v>5</x:v>
      </x:c>
      <x:c r="J1285" s="11" t="n">
        <x:f>IF('제외 후보'!AC1285&lt;&gt;"",'선정 규칙'!$B$22,0)</x:f>
        <x:v>0</x:v>
      </x:c>
      <x:c r="K1285" s="11" t="n">
        <x:f>SUM(B1285:J1285)</x:f>
        <x:v>-8</x:v>
      </x:c>
      <x:c r="L1285" s="11" t="n">
        <x:f>'제외 후보'!N1285</x:f>
        <x:v>-8</x:v>
      </x:c>
      <x:c r="M1285" s="2" t="str">
        <x:f>IF(K1285=L1285,"OK","MISMATCH")</x:f>
        <x:v>OK</x:v>
      </x:c>
    </x:row>
    <x:row r="1286">
      <x:c r="A1286" s="2" t="str">
        <x:f>'제외 후보'!G1286</x:f>
        <x:v>w_bafabc8fcb443840</x:v>
      </x:c>
      <x:c r="B1286" s="11" t="n">
        <x:f>IF('제외 후보'!Q1286&lt;&gt;"",'선정 규칙'!$B$4,0)</x:f>
        <x:v>0</x:v>
      </x:c>
      <x:c r="C1286" s="11" t="n">
        <x:f>IF(ISNUMBER(SEARCH("jmdict_uncommon_or_irregular",'제외 후보'!P1286)),'선정 규칙'!$B$5,IF(ISNUMBER(SEARCH("jmdict_rare_or_dated",'제외 후보'!P1286)),'선정 규칙'!$B$6,0))</x:f>
        <x:v>0</x:v>
      </x:c>
      <x:c r="D1286" s="11" t="n">
        <x:f>IF(ISNUMBER(SEARCH("jmdict_exact_pair_not_found",'제외 후보'!P1286)),'선정 규칙'!$B$7,0)</x:f>
        <x:v>0</x:v>
      </x:c>
      <x:c r="E1286" s="11" t="n">
        <x:f>IF(OR('제외 후보'!L1286="",'제외 후보'!L1286&lt;=0),'선정 규칙'!$B$8,IF('제외 후보'!L1286&lt;=1.5,'선정 규칙'!$B$9,IF('제외 후보'!L1286&lt;=2,'선정 규칙'!$B$10,IF('제외 후보'!L1286&lt;=2.5,'선정 규칙'!$B$11,IF('제외 후보'!L1286&lt;=3,'선정 규칙'!$B$12,IF('제외 후보'!L1286&lt;=3.5,'선정 규칙'!$B$13,IF('제외 후보'!L1286&gt;=4.5,'선정 규칙'!$B$14,0)))))))</x:f>
        <x:v>6</x:v>
      </x:c>
      <x:c r="F1286" s="11" t="n">
        <x:f>IF('제외 후보'!Y1286=0,'선정 규칙'!$B$15,IF('제외 후보'!Y1286&gt;=100,'선정 규칙'!$B$16,'선정 규칙'!$B$17))</x:f>
        <x:v>-25</x:v>
      </x:c>
      <x:c r="G1286" s="11" t="n">
        <x:f>IF('제외 후보'!M1286="있음",'선정 규칙'!$B$18,'선정 규칙'!$B$19)</x:f>
        <x:v>6</x:v>
      </x:c>
      <x:c r="H1286" s="11" t="n">
        <x:f>IF(ISNUMBER(SEARCH("freq-core",'제외 후보'!AD1286)),'선정 규칙'!$B$20,0)</x:f>
        <x:v>0</x:v>
      </x:c>
      <x:c r="I1286" s="11" t="n">
        <x:f>IF(ISNUMBER(SEARCH("weak_legacy_content",'제외 후보'!P1286)),'선정 규칙'!$B$21,0)</x:f>
        <x:v>5</x:v>
      </x:c>
      <x:c r="J1286" s="11" t="n">
        <x:f>IF('제외 후보'!AC1286&lt;&gt;"",'선정 규칙'!$B$22,0)</x:f>
        <x:v>0</x:v>
      </x:c>
      <x:c r="K1286" s="11" t="n">
        <x:f>SUM(B1286:J1286)</x:f>
        <x:v>-8</x:v>
      </x:c>
      <x:c r="L1286" s="11" t="n">
        <x:f>'제외 후보'!N1286</x:f>
        <x:v>-8</x:v>
      </x:c>
      <x:c r="M1286" s="2" t="str">
        <x:f>IF(K1286=L1286,"OK","MISMATCH")</x:f>
        <x:v>OK</x:v>
      </x:c>
    </x:row>
    <x:row r="1287">
      <x:c r="A1287" s="2" t="str">
        <x:f>'제외 후보'!G1287</x:f>
        <x:v>w_edbd1d27cab0cd0f</x:v>
      </x:c>
      <x:c r="B1287" s="11" t="n">
        <x:f>IF('제외 후보'!Q1287&lt;&gt;"",'선정 규칙'!$B$4,0)</x:f>
        <x:v>0</x:v>
      </x:c>
      <x:c r="C1287" s="11" t="n">
        <x:f>IF(ISNUMBER(SEARCH("jmdict_uncommon_or_irregular",'제외 후보'!P1287)),'선정 규칙'!$B$5,IF(ISNUMBER(SEARCH("jmdict_rare_or_dated",'제외 후보'!P1287)),'선정 규칙'!$B$6,0))</x:f>
        <x:v>0</x:v>
      </x:c>
      <x:c r="D1287" s="11" t="n">
        <x:f>IF(ISNUMBER(SEARCH("jmdict_exact_pair_not_found",'제외 후보'!P1287)),'선정 규칙'!$B$7,0)</x:f>
        <x:v>0</x:v>
      </x:c>
      <x:c r="E1287" s="11" t="n">
        <x:f>IF(OR('제외 후보'!L1287="",'제외 후보'!L1287&lt;=0),'선정 규칙'!$B$8,IF('제외 후보'!L1287&lt;=1.5,'선정 규칙'!$B$9,IF('제외 후보'!L1287&lt;=2,'선정 규칙'!$B$10,IF('제외 후보'!L1287&lt;=2.5,'선정 규칙'!$B$11,IF('제외 후보'!L1287&lt;=3,'선정 규칙'!$B$12,IF('제외 후보'!L1287&lt;=3.5,'선정 규칙'!$B$13,IF('제외 후보'!L1287&gt;=4.5,'선정 규칙'!$B$14,0)))))))</x:f>
        <x:v>6</x:v>
      </x:c>
      <x:c r="F1287" s="11" t="n">
        <x:f>IF('제외 후보'!Y1287=0,'선정 규칙'!$B$15,IF('제외 후보'!Y1287&gt;=100,'선정 규칙'!$B$16,'선정 규칙'!$B$17))</x:f>
        <x:v>-25</x:v>
      </x:c>
      <x:c r="G1287" s="11" t="n">
        <x:f>IF('제외 후보'!M1287="있음",'선정 규칙'!$B$18,'선정 규칙'!$B$19)</x:f>
        <x:v>6</x:v>
      </x:c>
      <x:c r="H1287" s="11" t="n">
        <x:f>IF(ISNUMBER(SEARCH("freq-core",'제외 후보'!AD1287)),'선정 규칙'!$B$20,0)</x:f>
        <x:v>0</x:v>
      </x:c>
      <x:c r="I1287" s="11" t="n">
        <x:f>IF(ISNUMBER(SEARCH("weak_legacy_content",'제외 후보'!P1287)),'선정 규칙'!$B$21,0)</x:f>
        <x:v>5</x:v>
      </x:c>
      <x:c r="J1287" s="11" t="n">
        <x:f>IF('제외 후보'!AC1287&lt;&gt;"",'선정 규칙'!$B$22,0)</x:f>
        <x:v>0</x:v>
      </x:c>
      <x:c r="K1287" s="11" t="n">
        <x:f>SUM(B1287:J1287)</x:f>
        <x:v>-8</x:v>
      </x:c>
      <x:c r="L1287" s="11" t="n">
        <x:f>'제외 후보'!N1287</x:f>
        <x:v>-8</x:v>
      </x:c>
      <x:c r="M1287" s="2" t="str">
        <x:f>IF(K1287=L1287,"OK","MISMATCH")</x:f>
        <x:v>OK</x:v>
      </x:c>
    </x:row>
    <x:row r="1288">
      <x:c r="A1288" s="2" t="str">
        <x:f>'제외 후보'!G1288</x:f>
        <x:v>w_0b28b6215f18ebd1</x:v>
      </x:c>
      <x:c r="B1288" s="11" t="n">
        <x:f>IF('제외 후보'!Q1288&lt;&gt;"",'선정 규칙'!$B$4,0)</x:f>
        <x:v>0</x:v>
      </x:c>
      <x:c r="C1288" s="11" t="n">
        <x:f>IF(ISNUMBER(SEARCH("jmdict_uncommon_or_irregular",'제외 후보'!P1288)),'선정 규칙'!$B$5,IF(ISNUMBER(SEARCH("jmdict_rare_or_dated",'제외 후보'!P1288)),'선정 규칙'!$B$6,0))</x:f>
        <x:v>0</x:v>
      </x:c>
      <x:c r="D1288" s="11" t="n">
        <x:f>IF(ISNUMBER(SEARCH("jmdict_exact_pair_not_found",'제외 후보'!P1288)),'선정 규칙'!$B$7,0)</x:f>
        <x:v>0</x:v>
      </x:c>
      <x:c r="E1288" s="11" t="n">
        <x:f>IF(OR('제외 후보'!L1288="",'제외 후보'!L1288&lt;=0),'선정 규칙'!$B$8,IF('제외 후보'!L1288&lt;=1.5,'선정 규칙'!$B$9,IF('제외 후보'!L1288&lt;=2,'선정 규칙'!$B$10,IF('제외 후보'!L1288&lt;=2.5,'선정 규칙'!$B$11,IF('제외 후보'!L1288&lt;=3,'선정 규칙'!$B$12,IF('제외 후보'!L1288&lt;=3.5,'선정 규칙'!$B$13,IF('제외 후보'!L1288&gt;=4.5,'선정 규칙'!$B$14,0)))))))</x:f>
        <x:v>6</x:v>
      </x:c>
      <x:c r="F1288" s="11" t="n">
        <x:f>IF('제외 후보'!Y1288=0,'선정 규칙'!$B$15,IF('제외 후보'!Y1288&gt;=100,'선정 규칙'!$B$16,'선정 규칙'!$B$17))</x:f>
        <x:v>-25</x:v>
      </x:c>
      <x:c r="G1288" s="11" t="n">
        <x:f>IF('제외 후보'!M1288="있음",'선정 규칙'!$B$18,'선정 규칙'!$B$19)</x:f>
        <x:v>6</x:v>
      </x:c>
      <x:c r="H1288" s="11" t="n">
        <x:f>IF(ISNUMBER(SEARCH("freq-core",'제외 후보'!AD1288)),'선정 규칙'!$B$20,0)</x:f>
        <x:v>0</x:v>
      </x:c>
      <x:c r="I1288" s="11" t="n">
        <x:f>IF(ISNUMBER(SEARCH("weak_legacy_content",'제외 후보'!P1288)),'선정 규칙'!$B$21,0)</x:f>
        <x:v>5</x:v>
      </x:c>
      <x:c r="J1288" s="11" t="n">
        <x:f>IF('제외 후보'!AC1288&lt;&gt;"",'선정 규칙'!$B$22,0)</x:f>
        <x:v>0</x:v>
      </x:c>
      <x:c r="K1288" s="11" t="n">
        <x:f>SUM(B1288:J1288)</x:f>
        <x:v>-8</x:v>
      </x:c>
      <x:c r="L1288" s="11" t="n">
        <x:f>'제외 후보'!N1288</x:f>
        <x:v>-8</x:v>
      </x:c>
      <x:c r="M1288" s="2" t="str">
        <x:f>IF(K1288=L1288,"OK","MISMATCH")</x:f>
        <x:v>OK</x:v>
      </x:c>
    </x:row>
    <x:row r="1289">
      <x:c r="A1289" s="2" t="str">
        <x:f>'제외 후보'!G1289</x:f>
        <x:v>w_4de61628162f676c</x:v>
      </x:c>
      <x:c r="B1289" s="11" t="n">
        <x:f>IF('제외 후보'!Q1289&lt;&gt;"",'선정 규칙'!$B$4,0)</x:f>
        <x:v>0</x:v>
      </x:c>
      <x:c r="C1289" s="11" t="n">
        <x:f>IF(ISNUMBER(SEARCH("jmdict_uncommon_or_irregular",'제외 후보'!P1289)),'선정 규칙'!$B$5,IF(ISNUMBER(SEARCH("jmdict_rare_or_dated",'제외 후보'!P1289)),'선정 규칙'!$B$6,0))</x:f>
        <x:v>0</x:v>
      </x:c>
      <x:c r="D1289" s="11" t="n">
        <x:f>IF(ISNUMBER(SEARCH("jmdict_exact_pair_not_found",'제외 후보'!P1289)),'선정 규칙'!$B$7,0)</x:f>
        <x:v>0</x:v>
      </x:c>
      <x:c r="E1289" s="11" t="n">
        <x:f>IF(OR('제외 후보'!L1289="",'제외 후보'!L1289&lt;=0),'선정 규칙'!$B$8,IF('제외 후보'!L1289&lt;=1.5,'선정 규칙'!$B$9,IF('제외 후보'!L1289&lt;=2,'선정 규칙'!$B$10,IF('제외 후보'!L1289&lt;=2.5,'선정 규칙'!$B$11,IF('제외 후보'!L1289&lt;=3,'선정 규칙'!$B$12,IF('제외 후보'!L1289&lt;=3.5,'선정 규칙'!$B$13,IF('제외 후보'!L1289&gt;=4.5,'선정 규칙'!$B$14,0)))))))</x:f>
        <x:v>6</x:v>
      </x:c>
      <x:c r="F1289" s="11" t="n">
        <x:f>IF('제외 후보'!Y1289=0,'선정 규칙'!$B$15,IF('제외 후보'!Y1289&gt;=100,'선정 규칙'!$B$16,'선정 규칙'!$B$17))</x:f>
        <x:v>-25</x:v>
      </x:c>
      <x:c r="G1289" s="11" t="n">
        <x:f>IF('제외 후보'!M1289="있음",'선정 규칙'!$B$18,'선정 규칙'!$B$19)</x:f>
        <x:v>6</x:v>
      </x:c>
      <x:c r="H1289" s="11" t="n">
        <x:f>IF(ISNUMBER(SEARCH("freq-core",'제외 후보'!AD1289)),'선정 규칙'!$B$20,0)</x:f>
        <x:v>0</x:v>
      </x:c>
      <x:c r="I1289" s="11" t="n">
        <x:f>IF(ISNUMBER(SEARCH("weak_legacy_content",'제외 후보'!P1289)),'선정 규칙'!$B$21,0)</x:f>
        <x:v>5</x:v>
      </x:c>
      <x:c r="J1289" s="11" t="n">
        <x:f>IF('제외 후보'!AC1289&lt;&gt;"",'선정 규칙'!$B$22,0)</x:f>
        <x:v>0</x:v>
      </x:c>
      <x:c r="K1289" s="11" t="n">
        <x:f>SUM(B1289:J1289)</x:f>
        <x:v>-8</x:v>
      </x:c>
      <x:c r="L1289" s="11" t="n">
        <x:f>'제외 후보'!N1289</x:f>
        <x:v>-8</x:v>
      </x:c>
      <x:c r="M1289" s="2" t="str">
        <x:f>IF(K1289=L1289,"OK","MISMATCH")</x:f>
        <x:v>OK</x:v>
      </x:c>
    </x:row>
    <x:row r="1290">
      <x:c r="A1290" s="2" t="str">
        <x:f>'제외 후보'!G1290</x:f>
        <x:v>w_ede8eb789a9b5611</x:v>
      </x:c>
      <x:c r="B1290" s="11" t="n">
        <x:f>IF('제외 후보'!Q1290&lt;&gt;"",'선정 규칙'!$B$4,0)</x:f>
        <x:v>0</x:v>
      </x:c>
      <x:c r="C1290" s="11" t="n">
        <x:f>IF(ISNUMBER(SEARCH("jmdict_uncommon_or_irregular",'제외 후보'!P1290)),'선정 규칙'!$B$5,IF(ISNUMBER(SEARCH("jmdict_rare_or_dated",'제외 후보'!P1290)),'선정 규칙'!$B$6,0))</x:f>
        <x:v>0</x:v>
      </x:c>
      <x:c r="D1290" s="11" t="n">
        <x:f>IF(ISNUMBER(SEARCH("jmdict_exact_pair_not_found",'제외 후보'!P1290)),'선정 규칙'!$B$7,0)</x:f>
        <x:v>0</x:v>
      </x:c>
      <x:c r="E1290" s="11" t="n">
        <x:f>IF(OR('제외 후보'!L1290="",'제외 후보'!L1290&lt;=0),'선정 규칙'!$B$8,IF('제외 후보'!L1290&lt;=1.5,'선정 규칙'!$B$9,IF('제외 후보'!L1290&lt;=2,'선정 규칙'!$B$10,IF('제외 후보'!L1290&lt;=2.5,'선정 규칙'!$B$11,IF('제외 후보'!L1290&lt;=3,'선정 규칙'!$B$12,IF('제외 후보'!L1290&lt;=3.5,'선정 규칙'!$B$13,IF('제외 후보'!L1290&gt;=4.5,'선정 규칙'!$B$14,0)))))))</x:f>
        <x:v>6</x:v>
      </x:c>
      <x:c r="F1290" s="11" t="n">
        <x:f>IF('제외 후보'!Y1290=0,'선정 규칙'!$B$15,IF('제외 후보'!Y1290&gt;=100,'선정 규칙'!$B$16,'선정 규칙'!$B$17))</x:f>
        <x:v>-25</x:v>
      </x:c>
      <x:c r="G1290" s="11" t="n">
        <x:f>IF('제외 후보'!M1290="있음",'선정 규칙'!$B$18,'선정 규칙'!$B$19)</x:f>
        <x:v>6</x:v>
      </x:c>
      <x:c r="H1290" s="11" t="n">
        <x:f>IF(ISNUMBER(SEARCH("freq-core",'제외 후보'!AD1290)),'선정 규칙'!$B$20,0)</x:f>
        <x:v>0</x:v>
      </x:c>
      <x:c r="I1290" s="11" t="n">
        <x:f>IF(ISNUMBER(SEARCH("weak_legacy_content",'제외 후보'!P1290)),'선정 규칙'!$B$21,0)</x:f>
        <x:v>5</x:v>
      </x:c>
      <x:c r="J1290" s="11" t="n">
        <x:f>IF('제외 후보'!AC1290&lt;&gt;"",'선정 규칙'!$B$22,0)</x:f>
        <x:v>0</x:v>
      </x:c>
      <x:c r="K1290" s="11" t="n">
        <x:f>SUM(B1290:J1290)</x:f>
        <x:v>-8</x:v>
      </x:c>
      <x:c r="L1290" s="11" t="n">
        <x:f>'제외 후보'!N1290</x:f>
        <x:v>-8</x:v>
      </x:c>
      <x:c r="M1290" s="2" t="str">
        <x:f>IF(K1290=L1290,"OK","MISMATCH")</x:f>
        <x:v>OK</x:v>
      </x:c>
    </x:row>
    <x:row r="1291">
      <x:c r="A1291" s="2" t="str">
        <x:f>'제외 후보'!G1291</x:f>
        <x:v>w_682fc0b629e59c27</x:v>
      </x:c>
      <x:c r="B1291" s="11" t="n">
        <x:f>IF('제외 후보'!Q1291&lt;&gt;"",'선정 규칙'!$B$4,0)</x:f>
        <x:v>0</x:v>
      </x:c>
      <x:c r="C1291" s="11" t="n">
        <x:f>IF(ISNUMBER(SEARCH("jmdict_uncommon_or_irregular",'제외 후보'!P1291)),'선정 규칙'!$B$5,IF(ISNUMBER(SEARCH("jmdict_rare_or_dated",'제외 후보'!P1291)),'선정 규칙'!$B$6,0))</x:f>
        <x:v>0</x:v>
      </x:c>
      <x:c r="D1291" s="11" t="n">
        <x:f>IF(ISNUMBER(SEARCH("jmdict_exact_pair_not_found",'제외 후보'!P1291)),'선정 규칙'!$B$7,0)</x:f>
        <x:v>0</x:v>
      </x:c>
      <x:c r="E1291" s="11" t="n">
        <x:f>IF(OR('제외 후보'!L1291="",'제외 후보'!L1291&lt;=0),'선정 규칙'!$B$8,IF('제외 후보'!L1291&lt;=1.5,'선정 규칙'!$B$9,IF('제외 후보'!L1291&lt;=2,'선정 규칙'!$B$10,IF('제외 후보'!L1291&lt;=2.5,'선정 규칙'!$B$11,IF('제외 후보'!L1291&lt;=3,'선정 규칙'!$B$12,IF('제외 후보'!L1291&lt;=3.5,'선정 규칙'!$B$13,IF('제외 후보'!L1291&gt;=4.5,'선정 규칙'!$B$14,0)))))))</x:f>
        <x:v>6</x:v>
      </x:c>
      <x:c r="F1291" s="11" t="n">
        <x:f>IF('제외 후보'!Y1291=0,'선정 규칙'!$B$15,IF('제외 후보'!Y1291&gt;=100,'선정 규칙'!$B$16,'선정 규칙'!$B$17))</x:f>
        <x:v>-25</x:v>
      </x:c>
      <x:c r="G1291" s="11" t="n">
        <x:f>IF('제외 후보'!M1291="있음",'선정 규칙'!$B$18,'선정 규칙'!$B$19)</x:f>
        <x:v>6</x:v>
      </x:c>
      <x:c r="H1291" s="11" t="n">
        <x:f>IF(ISNUMBER(SEARCH("freq-core",'제외 후보'!AD1291)),'선정 규칙'!$B$20,0)</x:f>
        <x:v>0</x:v>
      </x:c>
      <x:c r="I1291" s="11" t="n">
        <x:f>IF(ISNUMBER(SEARCH("weak_legacy_content",'제외 후보'!P1291)),'선정 규칙'!$B$21,0)</x:f>
        <x:v>5</x:v>
      </x:c>
      <x:c r="J1291" s="11" t="n">
        <x:f>IF('제외 후보'!AC1291&lt;&gt;"",'선정 규칙'!$B$22,0)</x:f>
        <x:v>0</x:v>
      </x:c>
      <x:c r="K1291" s="11" t="n">
        <x:f>SUM(B1291:J1291)</x:f>
        <x:v>-8</x:v>
      </x:c>
      <x:c r="L1291" s="11" t="n">
        <x:f>'제외 후보'!N1291</x:f>
        <x:v>-8</x:v>
      </x:c>
      <x:c r="M1291" s="2" t="str">
        <x:f>IF(K1291=L1291,"OK","MISMATCH")</x:f>
        <x:v>OK</x:v>
      </x:c>
    </x:row>
    <x:row r="1292">
      <x:c r="A1292" s="2" t="str">
        <x:f>'제외 후보'!G1292</x:f>
        <x:v>w_39b26f179dfbec94</x:v>
      </x:c>
      <x:c r="B1292" s="11" t="n">
        <x:f>IF('제외 후보'!Q1292&lt;&gt;"",'선정 규칙'!$B$4,0)</x:f>
        <x:v>0</x:v>
      </x:c>
      <x:c r="C1292" s="11" t="n">
        <x:f>IF(ISNUMBER(SEARCH("jmdict_uncommon_or_irregular",'제외 후보'!P1292)),'선정 규칙'!$B$5,IF(ISNUMBER(SEARCH("jmdict_rare_or_dated",'제외 후보'!P1292)),'선정 규칙'!$B$6,0))</x:f>
        <x:v>0</x:v>
      </x:c>
      <x:c r="D1292" s="11" t="n">
        <x:f>IF(ISNUMBER(SEARCH("jmdict_exact_pair_not_found",'제외 후보'!P1292)),'선정 규칙'!$B$7,0)</x:f>
        <x:v>0</x:v>
      </x:c>
      <x:c r="E1292" s="11" t="n">
        <x:f>IF(OR('제외 후보'!L1292="",'제외 후보'!L1292&lt;=0),'선정 규칙'!$B$8,IF('제외 후보'!L1292&lt;=1.5,'선정 규칙'!$B$9,IF('제외 후보'!L1292&lt;=2,'선정 규칙'!$B$10,IF('제외 후보'!L1292&lt;=2.5,'선정 규칙'!$B$11,IF('제외 후보'!L1292&lt;=3,'선정 규칙'!$B$12,IF('제외 후보'!L1292&lt;=3.5,'선정 규칙'!$B$13,IF('제외 후보'!L1292&gt;=4.5,'선정 규칙'!$B$14,0)))))))</x:f>
        <x:v>6</x:v>
      </x:c>
      <x:c r="F1292" s="11" t="n">
        <x:f>IF('제외 후보'!Y1292=0,'선정 규칙'!$B$15,IF('제외 후보'!Y1292&gt;=100,'선정 규칙'!$B$16,'선정 규칙'!$B$17))</x:f>
        <x:v>-25</x:v>
      </x:c>
      <x:c r="G1292" s="11" t="n">
        <x:f>IF('제외 후보'!M1292="있음",'선정 규칙'!$B$18,'선정 규칙'!$B$19)</x:f>
        <x:v>6</x:v>
      </x:c>
      <x:c r="H1292" s="11" t="n">
        <x:f>IF(ISNUMBER(SEARCH("freq-core",'제외 후보'!AD1292)),'선정 규칙'!$B$20,0)</x:f>
        <x:v>0</x:v>
      </x:c>
      <x:c r="I1292" s="11" t="n">
        <x:f>IF(ISNUMBER(SEARCH("weak_legacy_content",'제외 후보'!P1292)),'선정 규칙'!$B$21,0)</x:f>
        <x:v>5</x:v>
      </x:c>
      <x:c r="J1292" s="11" t="n">
        <x:f>IF('제외 후보'!AC1292&lt;&gt;"",'선정 규칙'!$B$22,0)</x:f>
        <x:v>0</x:v>
      </x:c>
      <x:c r="K1292" s="11" t="n">
        <x:f>SUM(B1292:J1292)</x:f>
        <x:v>-8</x:v>
      </x:c>
      <x:c r="L1292" s="11" t="n">
        <x:f>'제외 후보'!N1292</x:f>
        <x:v>-8</x:v>
      </x:c>
      <x:c r="M1292" s="2" t="str">
        <x:f>IF(K1292=L1292,"OK","MISMATCH")</x:f>
        <x:v>OK</x:v>
      </x:c>
    </x:row>
    <x:row r="1293">
      <x:c r="A1293" s="2" t="str">
        <x:f>'제외 후보'!G1293</x:f>
        <x:v>w_85903e115c9a3f55</x:v>
      </x:c>
      <x:c r="B1293" s="11" t="n">
        <x:f>IF('제외 후보'!Q1293&lt;&gt;"",'선정 규칙'!$B$4,0)</x:f>
        <x:v>0</x:v>
      </x:c>
      <x:c r="C1293" s="11" t="n">
        <x:f>IF(ISNUMBER(SEARCH("jmdict_uncommon_or_irregular",'제외 후보'!P1293)),'선정 규칙'!$B$5,IF(ISNUMBER(SEARCH("jmdict_rare_or_dated",'제외 후보'!P1293)),'선정 규칙'!$B$6,0))</x:f>
        <x:v>0</x:v>
      </x:c>
      <x:c r="D1293" s="11" t="n">
        <x:f>IF(ISNUMBER(SEARCH("jmdict_exact_pair_not_found",'제외 후보'!P1293)),'선정 규칙'!$B$7,0)</x:f>
        <x:v>0</x:v>
      </x:c>
      <x:c r="E1293" s="11" t="n">
        <x:f>IF(OR('제외 후보'!L1293="",'제외 후보'!L1293&lt;=0),'선정 규칙'!$B$8,IF('제외 후보'!L1293&lt;=1.5,'선정 규칙'!$B$9,IF('제외 후보'!L1293&lt;=2,'선정 규칙'!$B$10,IF('제외 후보'!L1293&lt;=2.5,'선정 규칙'!$B$11,IF('제외 후보'!L1293&lt;=3,'선정 규칙'!$B$12,IF('제외 후보'!L1293&lt;=3.5,'선정 규칙'!$B$13,IF('제외 후보'!L1293&gt;=4.5,'선정 규칙'!$B$14,0)))))))</x:f>
        <x:v>6</x:v>
      </x:c>
      <x:c r="F1293" s="11" t="n">
        <x:f>IF('제외 후보'!Y1293=0,'선정 규칙'!$B$15,IF('제외 후보'!Y1293&gt;=100,'선정 규칙'!$B$16,'선정 규칙'!$B$17))</x:f>
        <x:v>-25</x:v>
      </x:c>
      <x:c r="G1293" s="11" t="n">
        <x:f>IF('제외 후보'!M1293="있음",'선정 규칙'!$B$18,'선정 규칙'!$B$19)</x:f>
        <x:v>6</x:v>
      </x:c>
      <x:c r="H1293" s="11" t="n">
        <x:f>IF(ISNUMBER(SEARCH("freq-core",'제외 후보'!AD1293)),'선정 규칙'!$B$20,0)</x:f>
        <x:v>0</x:v>
      </x:c>
      <x:c r="I1293" s="11" t="n">
        <x:f>IF(ISNUMBER(SEARCH("weak_legacy_content",'제외 후보'!P1293)),'선정 규칙'!$B$21,0)</x:f>
        <x:v>5</x:v>
      </x:c>
      <x:c r="J1293" s="11" t="n">
        <x:f>IF('제외 후보'!AC1293&lt;&gt;"",'선정 규칙'!$B$22,0)</x:f>
        <x:v>0</x:v>
      </x:c>
      <x:c r="K1293" s="11" t="n">
        <x:f>SUM(B1293:J1293)</x:f>
        <x:v>-8</x:v>
      </x:c>
      <x:c r="L1293" s="11" t="n">
        <x:f>'제외 후보'!N1293</x:f>
        <x:v>-8</x:v>
      </x:c>
      <x:c r="M1293" s="2" t="str">
        <x:f>IF(K1293=L1293,"OK","MISMATCH")</x:f>
        <x:v>OK</x:v>
      </x:c>
    </x:row>
    <x:row r="1294">
      <x:c r="A1294" s="2" t="str">
        <x:f>'제외 후보'!G1294</x:f>
        <x:v>w_278434588a1720b2</x:v>
      </x:c>
      <x:c r="B1294" s="11" t="n">
        <x:f>IF('제외 후보'!Q1294&lt;&gt;"",'선정 규칙'!$B$4,0)</x:f>
        <x:v>0</x:v>
      </x:c>
      <x:c r="C1294" s="11" t="n">
        <x:f>IF(ISNUMBER(SEARCH("jmdict_uncommon_or_irregular",'제외 후보'!P1294)),'선정 규칙'!$B$5,IF(ISNUMBER(SEARCH("jmdict_rare_or_dated",'제외 후보'!P1294)),'선정 규칙'!$B$6,0))</x:f>
        <x:v>0</x:v>
      </x:c>
      <x:c r="D1294" s="11" t="n">
        <x:f>IF(ISNUMBER(SEARCH("jmdict_exact_pair_not_found",'제외 후보'!P1294)),'선정 규칙'!$B$7,0)</x:f>
        <x:v>0</x:v>
      </x:c>
      <x:c r="E1294" s="11" t="n">
        <x:f>IF(OR('제외 후보'!L1294="",'제외 후보'!L1294&lt;=0),'선정 규칙'!$B$8,IF('제외 후보'!L1294&lt;=1.5,'선정 규칙'!$B$9,IF('제외 후보'!L1294&lt;=2,'선정 규칙'!$B$10,IF('제외 후보'!L1294&lt;=2.5,'선정 규칙'!$B$11,IF('제외 후보'!L1294&lt;=3,'선정 규칙'!$B$12,IF('제외 후보'!L1294&lt;=3.5,'선정 규칙'!$B$13,IF('제외 후보'!L1294&gt;=4.5,'선정 규칙'!$B$14,0)))))))</x:f>
        <x:v>6</x:v>
      </x:c>
      <x:c r="F1294" s="11" t="n">
        <x:f>IF('제외 후보'!Y1294=0,'선정 규칙'!$B$15,IF('제외 후보'!Y1294&gt;=100,'선정 규칙'!$B$16,'선정 규칙'!$B$17))</x:f>
        <x:v>-25</x:v>
      </x:c>
      <x:c r="G1294" s="11" t="n">
        <x:f>IF('제외 후보'!M1294="있음",'선정 규칙'!$B$18,'선정 규칙'!$B$19)</x:f>
        <x:v>6</x:v>
      </x:c>
      <x:c r="H1294" s="11" t="n">
        <x:f>IF(ISNUMBER(SEARCH("freq-core",'제외 후보'!AD1294)),'선정 규칙'!$B$20,0)</x:f>
        <x:v>0</x:v>
      </x:c>
      <x:c r="I1294" s="11" t="n">
        <x:f>IF(ISNUMBER(SEARCH("weak_legacy_content",'제외 후보'!P1294)),'선정 규칙'!$B$21,0)</x:f>
        <x:v>5</x:v>
      </x:c>
      <x:c r="J1294" s="11" t="n">
        <x:f>IF('제외 후보'!AC1294&lt;&gt;"",'선정 규칙'!$B$22,0)</x:f>
        <x:v>0</x:v>
      </x:c>
      <x:c r="K1294" s="11" t="n">
        <x:f>SUM(B1294:J1294)</x:f>
        <x:v>-8</x:v>
      </x:c>
      <x:c r="L1294" s="11" t="n">
        <x:f>'제외 후보'!N1294</x:f>
        <x:v>-8</x:v>
      </x:c>
      <x:c r="M1294" s="2" t="str">
        <x:f>IF(K1294=L1294,"OK","MISMATCH")</x:f>
        <x:v>OK</x:v>
      </x:c>
    </x:row>
    <x:row r="1295">
      <x:c r="A1295" s="2" t="str">
        <x:f>'제외 후보'!G1295</x:f>
        <x:v>w_e18f80d50d96027c</x:v>
      </x:c>
      <x:c r="B1295" s="11" t="n">
        <x:f>IF('제외 후보'!Q1295&lt;&gt;"",'선정 규칙'!$B$4,0)</x:f>
        <x:v>0</x:v>
      </x:c>
      <x:c r="C1295" s="11" t="n">
        <x:f>IF(ISNUMBER(SEARCH("jmdict_uncommon_or_irregular",'제외 후보'!P1295)),'선정 규칙'!$B$5,IF(ISNUMBER(SEARCH("jmdict_rare_or_dated",'제외 후보'!P1295)),'선정 규칙'!$B$6,0))</x:f>
        <x:v>0</x:v>
      </x:c>
      <x:c r="D1295" s="11" t="n">
        <x:f>IF(ISNUMBER(SEARCH("jmdict_exact_pair_not_found",'제외 후보'!P1295)),'선정 규칙'!$B$7,0)</x:f>
        <x:v>0</x:v>
      </x:c>
      <x:c r="E1295" s="11" t="n">
        <x:f>IF(OR('제외 후보'!L1295="",'제외 후보'!L1295&lt;=0),'선정 규칙'!$B$8,IF('제외 후보'!L1295&lt;=1.5,'선정 규칙'!$B$9,IF('제외 후보'!L1295&lt;=2,'선정 규칙'!$B$10,IF('제외 후보'!L1295&lt;=2.5,'선정 규칙'!$B$11,IF('제외 후보'!L1295&lt;=3,'선정 규칙'!$B$12,IF('제외 후보'!L1295&lt;=3.5,'선정 규칙'!$B$13,IF('제외 후보'!L1295&gt;=4.5,'선정 규칙'!$B$14,0)))))))</x:f>
        <x:v>6</x:v>
      </x:c>
      <x:c r="F1295" s="11" t="n">
        <x:f>IF('제외 후보'!Y1295=0,'선정 규칙'!$B$15,IF('제외 후보'!Y1295&gt;=100,'선정 규칙'!$B$16,'선정 규칙'!$B$17))</x:f>
        <x:v>-25</x:v>
      </x:c>
      <x:c r="G1295" s="11" t="n">
        <x:f>IF('제외 후보'!M1295="있음",'선정 규칙'!$B$18,'선정 규칙'!$B$19)</x:f>
        <x:v>6</x:v>
      </x:c>
      <x:c r="H1295" s="11" t="n">
        <x:f>IF(ISNUMBER(SEARCH("freq-core",'제외 후보'!AD1295)),'선정 규칙'!$B$20,0)</x:f>
        <x:v>0</x:v>
      </x:c>
      <x:c r="I1295" s="11" t="n">
        <x:f>IF(ISNUMBER(SEARCH("weak_legacy_content",'제외 후보'!P1295)),'선정 규칙'!$B$21,0)</x:f>
        <x:v>5</x:v>
      </x:c>
      <x:c r="J1295" s="11" t="n">
        <x:f>IF('제외 후보'!AC1295&lt;&gt;"",'선정 규칙'!$B$22,0)</x:f>
        <x:v>0</x:v>
      </x:c>
      <x:c r="K1295" s="11" t="n">
        <x:f>SUM(B1295:J1295)</x:f>
        <x:v>-8</x:v>
      </x:c>
      <x:c r="L1295" s="11" t="n">
        <x:f>'제외 후보'!N1295</x:f>
        <x:v>-8</x:v>
      </x:c>
      <x:c r="M1295" s="2" t="str">
        <x:f>IF(K1295=L1295,"OK","MISMATCH")</x:f>
        <x:v>OK</x:v>
      </x:c>
    </x:row>
    <x:row r="1296">
      <x:c r="A1296" s="2" t="str">
        <x:f>'제외 후보'!G1296</x:f>
        <x:v>w_27f918b6c1f30a9b</x:v>
      </x:c>
      <x:c r="B1296" s="11" t="n">
        <x:f>IF('제외 후보'!Q1296&lt;&gt;"",'선정 규칙'!$B$4,0)</x:f>
        <x:v>0</x:v>
      </x:c>
      <x:c r="C1296" s="11" t="n">
        <x:f>IF(ISNUMBER(SEARCH("jmdict_uncommon_or_irregular",'제외 후보'!P1296)),'선정 규칙'!$B$5,IF(ISNUMBER(SEARCH("jmdict_rare_or_dated",'제외 후보'!P1296)),'선정 규칙'!$B$6,0))</x:f>
        <x:v>0</x:v>
      </x:c>
      <x:c r="D1296" s="11" t="n">
        <x:f>IF(ISNUMBER(SEARCH("jmdict_exact_pair_not_found",'제외 후보'!P1296)),'선정 규칙'!$B$7,0)</x:f>
        <x:v>0</x:v>
      </x:c>
      <x:c r="E1296" s="11" t="n">
        <x:f>IF(OR('제외 후보'!L1296="",'제외 후보'!L1296&lt;=0),'선정 규칙'!$B$8,IF('제외 후보'!L1296&lt;=1.5,'선정 규칙'!$B$9,IF('제외 후보'!L1296&lt;=2,'선정 규칙'!$B$10,IF('제외 후보'!L1296&lt;=2.5,'선정 규칙'!$B$11,IF('제외 후보'!L1296&lt;=3,'선정 규칙'!$B$12,IF('제외 후보'!L1296&lt;=3.5,'선정 규칙'!$B$13,IF('제외 후보'!L1296&gt;=4.5,'선정 규칙'!$B$14,0)))))))</x:f>
        <x:v>6</x:v>
      </x:c>
      <x:c r="F1296" s="11" t="n">
        <x:f>IF('제외 후보'!Y1296=0,'선정 규칙'!$B$15,IF('제외 후보'!Y1296&gt;=100,'선정 규칙'!$B$16,'선정 규칙'!$B$17))</x:f>
        <x:v>-25</x:v>
      </x:c>
      <x:c r="G1296" s="11" t="n">
        <x:f>IF('제외 후보'!M1296="있음",'선정 규칙'!$B$18,'선정 규칙'!$B$19)</x:f>
        <x:v>6</x:v>
      </x:c>
      <x:c r="H1296" s="11" t="n">
        <x:f>IF(ISNUMBER(SEARCH("freq-core",'제외 후보'!AD1296)),'선정 규칙'!$B$20,0)</x:f>
        <x:v>0</x:v>
      </x:c>
      <x:c r="I1296" s="11" t="n">
        <x:f>IF(ISNUMBER(SEARCH("weak_legacy_content",'제외 후보'!P1296)),'선정 규칙'!$B$21,0)</x:f>
        <x:v>5</x:v>
      </x:c>
      <x:c r="J1296" s="11" t="n">
        <x:f>IF('제외 후보'!AC1296&lt;&gt;"",'선정 규칙'!$B$22,0)</x:f>
        <x:v>0</x:v>
      </x:c>
      <x:c r="K1296" s="11" t="n">
        <x:f>SUM(B1296:J1296)</x:f>
        <x:v>-8</x:v>
      </x:c>
      <x:c r="L1296" s="11" t="n">
        <x:f>'제외 후보'!N1296</x:f>
        <x:v>-8</x:v>
      </x:c>
      <x:c r="M1296" s="2" t="str">
        <x:f>IF(K1296=L1296,"OK","MISMATCH")</x:f>
        <x:v>OK</x:v>
      </x:c>
    </x:row>
    <x:row r="1297">
      <x:c r="A1297" s="2" t="str">
        <x:f>'제외 후보'!G1297</x:f>
        <x:v>w_3b4756b9ec416347</x:v>
      </x:c>
      <x:c r="B1297" s="11" t="n">
        <x:f>IF('제외 후보'!Q1297&lt;&gt;"",'선정 규칙'!$B$4,0)</x:f>
        <x:v>0</x:v>
      </x:c>
      <x:c r="C1297" s="11" t="n">
        <x:f>IF(ISNUMBER(SEARCH("jmdict_uncommon_or_irregular",'제외 후보'!P1297)),'선정 규칙'!$B$5,IF(ISNUMBER(SEARCH("jmdict_rare_or_dated",'제외 후보'!P1297)),'선정 규칙'!$B$6,0))</x:f>
        <x:v>0</x:v>
      </x:c>
      <x:c r="D1297" s="11" t="n">
        <x:f>IF(ISNUMBER(SEARCH("jmdict_exact_pair_not_found",'제외 후보'!P1297)),'선정 규칙'!$B$7,0)</x:f>
        <x:v>0</x:v>
      </x:c>
      <x:c r="E1297" s="11" t="n">
        <x:f>IF(OR('제외 후보'!L1297="",'제외 후보'!L1297&lt;=0),'선정 규칙'!$B$8,IF('제외 후보'!L1297&lt;=1.5,'선정 규칙'!$B$9,IF('제외 후보'!L1297&lt;=2,'선정 규칙'!$B$10,IF('제외 후보'!L1297&lt;=2.5,'선정 규칙'!$B$11,IF('제외 후보'!L1297&lt;=3,'선정 규칙'!$B$12,IF('제외 후보'!L1297&lt;=3.5,'선정 규칙'!$B$13,IF('제외 후보'!L1297&gt;=4.5,'선정 규칙'!$B$14,0)))))))</x:f>
        <x:v>6</x:v>
      </x:c>
      <x:c r="F1297" s="11" t="n">
        <x:f>IF('제외 후보'!Y1297=0,'선정 규칙'!$B$15,IF('제외 후보'!Y1297&gt;=100,'선정 규칙'!$B$16,'선정 규칙'!$B$17))</x:f>
        <x:v>-25</x:v>
      </x:c>
      <x:c r="G1297" s="11" t="n">
        <x:f>IF('제외 후보'!M1297="있음",'선정 규칙'!$B$18,'선정 규칙'!$B$19)</x:f>
        <x:v>6</x:v>
      </x:c>
      <x:c r="H1297" s="11" t="n">
        <x:f>IF(ISNUMBER(SEARCH("freq-core",'제외 후보'!AD1297)),'선정 규칙'!$B$20,0)</x:f>
        <x:v>0</x:v>
      </x:c>
      <x:c r="I1297" s="11" t="n">
        <x:f>IF(ISNUMBER(SEARCH("weak_legacy_content",'제외 후보'!P1297)),'선정 규칙'!$B$21,0)</x:f>
        <x:v>5</x:v>
      </x:c>
      <x:c r="J1297" s="11" t="n">
        <x:f>IF('제외 후보'!AC1297&lt;&gt;"",'선정 규칙'!$B$22,0)</x:f>
        <x:v>0</x:v>
      </x:c>
      <x:c r="K1297" s="11" t="n">
        <x:f>SUM(B1297:J1297)</x:f>
        <x:v>-8</x:v>
      </x:c>
      <x:c r="L1297" s="11" t="n">
        <x:f>'제외 후보'!N1297</x:f>
        <x:v>-8</x:v>
      </x:c>
      <x:c r="M1297" s="2" t="str">
        <x:f>IF(K1297=L1297,"OK","MISMATCH")</x:f>
        <x:v>OK</x:v>
      </x:c>
    </x:row>
    <x:row r="1298">
      <x:c r="A1298" s="2" t="str">
        <x:f>'제외 후보'!G1298</x:f>
        <x:v>w_468a91e7e038d348</x:v>
      </x:c>
      <x:c r="B1298" s="11" t="n">
        <x:f>IF('제외 후보'!Q1298&lt;&gt;"",'선정 규칙'!$B$4,0)</x:f>
        <x:v>0</x:v>
      </x:c>
      <x:c r="C1298" s="11" t="n">
        <x:f>IF(ISNUMBER(SEARCH("jmdict_uncommon_or_irregular",'제외 후보'!P1298)),'선정 규칙'!$B$5,IF(ISNUMBER(SEARCH("jmdict_rare_or_dated",'제외 후보'!P1298)),'선정 규칙'!$B$6,0))</x:f>
        <x:v>0</x:v>
      </x:c>
      <x:c r="D1298" s="11" t="n">
        <x:f>IF(ISNUMBER(SEARCH("jmdict_exact_pair_not_found",'제외 후보'!P1298)),'선정 규칙'!$B$7,0)</x:f>
        <x:v>0</x:v>
      </x:c>
      <x:c r="E1298" s="11" t="n">
        <x:f>IF(OR('제외 후보'!L1298="",'제외 후보'!L1298&lt;=0),'선정 규칙'!$B$8,IF('제외 후보'!L1298&lt;=1.5,'선정 규칙'!$B$9,IF('제외 후보'!L1298&lt;=2,'선정 규칙'!$B$10,IF('제외 후보'!L1298&lt;=2.5,'선정 규칙'!$B$11,IF('제외 후보'!L1298&lt;=3,'선정 규칙'!$B$12,IF('제외 후보'!L1298&lt;=3.5,'선정 규칙'!$B$13,IF('제외 후보'!L1298&gt;=4.5,'선정 규칙'!$B$14,0)))))))</x:f>
        <x:v>6</x:v>
      </x:c>
      <x:c r="F1298" s="11" t="n">
        <x:f>IF('제외 후보'!Y1298=0,'선정 규칙'!$B$15,IF('제외 후보'!Y1298&gt;=100,'선정 규칙'!$B$16,'선정 규칙'!$B$17))</x:f>
        <x:v>-25</x:v>
      </x:c>
      <x:c r="G1298" s="11" t="n">
        <x:f>IF('제외 후보'!M1298="있음",'선정 규칙'!$B$18,'선정 규칙'!$B$19)</x:f>
        <x:v>6</x:v>
      </x:c>
      <x:c r="H1298" s="11" t="n">
        <x:f>IF(ISNUMBER(SEARCH("freq-core",'제외 후보'!AD1298)),'선정 규칙'!$B$20,0)</x:f>
        <x:v>0</x:v>
      </x:c>
      <x:c r="I1298" s="11" t="n">
        <x:f>IF(ISNUMBER(SEARCH("weak_legacy_content",'제외 후보'!P1298)),'선정 규칙'!$B$21,0)</x:f>
        <x:v>5</x:v>
      </x:c>
      <x:c r="J1298" s="11" t="n">
        <x:f>IF('제외 후보'!AC1298&lt;&gt;"",'선정 규칙'!$B$22,0)</x:f>
        <x:v>0</x:v>
      </x:c>
      <x:c r="K1298" s="11" t="n">
        <x:f>SUM(B1298:J1298)</x:f>
        <x:v>-8</x:v>
      </x:c>
      <x:c r="L1298" s="11" t="n">
        <x:f>'제외 후보'!N1298</x:f>
        <x:v>-8</x:v>
      </x:c>
      <x:c r="M1298" s="2" t="str">
        <x:f>IF(K1298=L1298,"OK","MISMATCH")</x:f>
        <x:v>OK</x:v>
      </x:c>
    </x:row>
    <x:row r="1299">
      <x:c r="A1299" s="2" t="str">
        <x:f>'제외 후보'!G1299</x:f>
        <x:v>w_5d3188766451e65a</x:v>
      </x:c>
      <x:c r="B1299" s="11" t="n">
        <x:f>IF('제외 후보'!Q1299&lt;&gt;"",'선정 규칙'!$B$4,0)</x:f>
        <x:v>0</x:v>
      </x:c>
      <x:c r="C1299" s="11" t="n">
        <x:f>IF(ISNUMBER(SEARCH("jmdict_uncommon_or_irregular",'제외 후보'!P1299)),'선정 규칙'!$B$5,IF(ISNUMBER(SEARCH("jmdict_rare_or_dated",'제외 후보'!P1299)),'선정 규칙'!$B$6,0))</x:f>
        <x:v>0</x:v>
      </x:c>
      <x:c r="D1299" s="11" t="n">
        <x:f>IF(ISNUMBER(SEARCH("jmdict_exact_pair_not_found",'제외 후보'!P1299)),'선정 규칙'!$B$7,0)</x:f>
        <x:v>0</x:v>
      </x:c>
      <x:c r="E1299" s="11" t="n">
        <x:f>IF(OR('제외 후보'!L1299="",'제외 후보'!L1299&lt;=0),'선정 규칙'!$B$8,IF('제외 후보'!L1299&lt;=1.5,'선정 규칙'!$B$9,IF('제외 후보'!L1299&lt;=2,'선정 규칙'!$B$10,IF('제외 후보'!L1299&lt;=2.5,'선정 규칙'!$B$11,IF('제외 후보'!L1299&lt;=3,'선정 규칙'!$B$12,IF('제외 후보'!L1299&lt;=3.5,'선정 규칙'!$B$13,IF('제외 후보'!L1299&gt;=4.5,'선정 규칙'!$B$14,0)))))))</x:f>
        <x:v>6</x:v>
      </x:c>
      <x:c r="F1299" s="11" t="n">
        <x:f>IF('제외 후보'!Y1299=0,'선정 규칙'!$B$15,IF('제외 후보'!Y1299&gt;=100,'선정 규칙'!$B$16,'선정 규칙'!$B$17))</x:f>
        <x:v>-25</x:v>
      </x:c>
      <x:c r="G1299" s="11" t="n">
        <x:f>IF('제외 후보'!M1299="있음",'선정 규칙'!$B$18,'선정 규칙'!$B$19)</x:f>
        <x:v>6</x:v>
      </x:c>
      <x:c r="H1299" s="11" t="n">
        <x:f>IF(ISNUMBER(SEARCH("freq-core",'제외 후보'!AD1299)),'선정 규칙'!$B$20,0)</x:f>
        <x:v>0</x:v>
      </x:c>
      <x:c r="I1299" s="11" t="n">
        <x:f>IF(ISNUMBER(SEARCH("weak_legacy_content",'제외 후보'!P1299)),'선정 규칙'!$B$21,0)</x:f>
        <x:v>5</x:v>
      </x:c>
      <x:c r="J1299" s="11" t="n">
        <x:f>IF('제외 후보'!AC1299&lt;&gt;"",'선정 규칙'!$B$22,0)</x:f>
        <x:v>0</x:v>
      </x:c>
      <x:c r="K1299" s="11" t="n">
        <x:f>SUM(B1299:J1299)</x:f>
        <x:v>-8</x:v>
      </x:c>
      <x:c r="L1299" s="11" t="n">
        <x:f>'제외 후보'!N1299</x:f>
        <x:v>-8</x:v>
      </x:c>
      <x:c r="M1299" s="2" t="str">
        <x:f>IF(K1299=L1299,"OK","MISMATCH")</x:f>
        <x:v>OK</x:v>
      </x:c>
    </x:row>
    <x:row r="1300">
      <x:c r="A1300" s="2" t="str">
        <x:f>'제외 후보'!G1300</x:f>
        <x:v>w_572477d855e723cb</x:v>
      </x:c>
      <x:c r="B1300" s="11" t="n">
        <x:f>IF('제외 후보'!Q1300&lt;&gt;"",'선정 규칙'!$B$4,0)</x:f>
        <x:v>0</x:v>
      </x:c>
      <x:c r="C1300" s="11" t="n">
        <x:f>IF(ISNUMBER(SEARCH("jmdict_uncommon_or_irregular",'제외 후보'!P1300)),'선정 규칙'!$B$5,IF(ISNUMBER(SEARCH("jmdict_rare_or_dated",'제외 후보'!P1300)),'선정 규칙'!$B$6,0))</x:f>
        <x:v>0</x:v>
      </x:c>
      <x:c r="D1300" s="11" t="n">
        <x:f>IF(ISNUMBER(SEARCH("jmdict_exact_pair_not_found",'제외 후보'!P1300)),'선정 규칙'!$B$7,0)</x:f>
        <x:v>0</x:v>
      </x:c>
      <x:c r="E1300" s="11" t="n">
        <x:f>IF(OR('제외 후보'!L1300="",'제외 후보'!L1300&lt;=0),'선정 규칙'!$B$8,IF('제외 후보'!L1300&lt;=1.5,'선정 규칙'!$B$9,IF('제외 후보'!L1300&lt;=2,'선정 규칙'!$B$10,IF('제외 후보'!L1300&lt;=2.5,'선정 규칙'!$B$11,IF('제외 후보'!L1300&lt;=3,'선정 규칙'!$B$12,IF('제외 후보'!L1300&lt;=3.5,'선정 규칙'!$B$13,IF('제외 후보'!L1300&gt;=4.5,'선정 규칙'!$B$14,0)))))))</x:f>
        <x:v>6</x:v>
      </x:c>
      <x:c r="F1300" s="11" t="n">
        <x:f>IF('제외 후보'!Y1300=0,'선정 규칙'!$B$15,IF('제외 후보'!Y1300&gt;=100,'선정 규칙'!$B$16,'선정 규칙'!$B$17))</x:f>
        <x:v>-25</x:v>
      </x:c>
      <x:c r="G1300" s="11" t="n">
        <x:f>IF('제외 후보'!M1300="있음",'선정 규칙'!$B$18,'선정 규칙'!$B$19)</x:f>
        <x:v>6</x:v>
      </x:c>
      <x:c r="H1300" s="11" t="n">
        <x:f>IF(ISNUMBER(SEARCH("freq-core",'제외 후보'!AD1300)),'선정 규칙'!$B$20,0)</x:f>
        <x:v>0</x:v>
      </x:c>
      <x:c r="I1300" s="11" t="n">
        <x:f>IF(ISNUMBER(SEARCH("weak_legacy_content",'제외 후보'!P1300)),'선정 규칙'!$B$21,0)</x:f>
        <x:v>5</x:v>
      </x:c>
      <x:c r="J1300" s="11" t="n">
        <x:f>IF('제외 후보'!AC1300&lt;&gt;"",'선정 규칙'!$B$22,0)</x:f>
        <x:v>0</x:v>
      </x:c>
      <x:c r="K1300" s="11" t="n">
        <x:f>SUM(B1300:J1300)</x:f>
        <x:v>-8</x:v>
      </x:c>
      <x:c r="L1300" s="11" t="n">
        <x:f>'제외 후보'!N1300</x:f>
        <x:v>-8</x:v>
      </x:c>
      <x:c r="M1300" s="2" t="str">
        <x:f>IF(K1300=L1300,"OK","MISMATCH")</x:f>
        <x:v>OK</x:v>
      </x:c>
    </x:row>
    <x:row r="1301">
      <x:c r="A1301" s="2" t="str">
        <x:f>'제외 후보'!G1301</x:f>
        <x:v>w_781b744ff9b2998d</x:v>
      </x:c>
      <x:c r="B1301" s="11" t="n">
        <x:f>IF('제외 후보'!Q1301&lt;&gt;"",'선정 규칙'!$B$4,0)</x:f>
        <x:v>0</x:v>
      </x:c>
      <x:c r="C1301" s="11" t="n">
        <x:f>IF(ISNUMBER(SEARCH("jmdict_uncommon_or_irregular",'제외 후보'!P1301)),'선정 규칙'!$B$5,IF(ISNUMBER(SEARCH("jmdict_rare_or_dated",'제외 후보'!P1301)),'선정 규칙'!$B$6,0))</x:f>
        <x:v>0</x:v>
      </x:c>
      <x:c r="D1301" s="11" t="n">
        <x:f>IF(ISNUMBER(SEARCH("jmdict_exact_pair_not_found",'제외 후보'!P1301)),'선정 규칙'!$B$7,0)</x:f>
        <x:v>0</x:v>
      </x:c>
      <x:c r="E1301" s="11" t="n">
        <x:f>IF(OR('제외 후보'!L1301="",'제외 후보'!L1301&lt;=0),'선정 규칙'!$B$8,IF('제외 후보'!L1301&lt;=1.5,'선정 규칙'!$B$9,IF('제외 후보'!L1301&lt;=2,'선정 규칙'!$B$10,IF('제외 후보'!L1301&lt;=2.5,'선정 규칙'!$B$11,IF('제외 후보'!L1301&lt;=3,'선정 규칙'!$B$12,IF('제외 후보'!L1301&lt;=3.5,'선정 규칙'!$B$13,IF('제외 후보'!L1301&gt;=4.5,'선정 규칙'!$B$14,0)))))))</x:f>
        <x:v>6</x:v>
      </x:c>
      <x:c r="F1301" s="11" t="n">
        <x:f>IF('제외 후보'!Y1301=0,'선정 규칙'!$B$15,IF('제외 후보'!Y1301&gt;=100,'선정 규칙'!$B$16,'선정 규칙'!$B$17))</x:f>
        <x:v>-25</x:v>
      </x:c>
      <x:c r="G1301" s="11" t="n">
        <x:f>IF('제외 후보'!M1301="있음",'선정 규칙'!$B$18,'선정 규칙'!$B$19)</x:f>
        <x:v>6</x:v>
      </x:c>
      <x:c r="H1301" s="11" t="n">
        <x:f>IF(ISNUMBER(SEARCH("freq-core",'제외 후보'!AD1301)),'선정 규칙'!$B$20,0)</x:f>
        <x:v>0</x:v>
      </x:c>
      <x:c r="I1301" s="11" t="n">
        <x:f>IF(ISNUMBER(SEARCH("weak_legacy_content",'제외 후보'!P1301)),'선정 규칙'!$B$21,0)</x:f>
        <x:v>5</x:v>
      </x:c>
      <x:c r="J1301" s="11" t="n">
        <x:f>IF('제외 후보'!AC1301&lt;&gt;"",'선정 규칙'!$B$22,0)</x:f>
        <x:v>0</x:v>
      </x:c>
      <x:c r="K1301" s="11" t="n">
        <x:f>SUM(B1301:J1301)</x:f>
        <x:v>-8</x:v>
      </x:c>
      <x:c r="L1301" s="11" t="n">
        <x:f>'제외 후보'!N1301</x:f>
        <x:v>-8</x:v>
      </x:c>
      <x:c r="M1301" s="2" t="str">
        <x:f>IF(K1301=L1301,"OK","MISMATCH")</x:f>
        <x:v>OK</x:v>
      </x:c>
    </x:row>
    <x:row r="1302">
      <x:c r="A1302" s="2" t="str">
        <x:f>'제외 후보'!G1302</x:f>
        <x:v>w_cfc4cfdcf88782cb</x:v>
      </x:c>
      <x:c r="B1302" s="11" t="n">
        <x:f>IF('제외 후보'!Q1302&lt;&gt;"",'선정 규칙'!$B$4,0)</x:f>
        <x:v>0</x:v>
      </x:c>
      <x:c r="C1302" s="11" t="n">
        <x:f>IF(ISNUMBER(SEARCH("jmdict_uncommon_or_irregular",'제외 후보'!P1302)),'선정 규칙'!$B$5,IF(ISNUMBER(SEARCH("jmdict_rare_or_dated",'제외 후보'!P1302)),'선정 규칙'!$B$6,0))</x:f>
        <x:v>0</x:v>
      </x:c>
      <x:c r="D1302" s="11" t="n">
        <x:f>IF(ISNUMBER(SEARCH("jmdict_exact_pair_not_found",'제외 후보'!P1302)),'선정 규칙'!$B$7,0)</x:f>
        <x:v>0</x:v>
      </x:c>
      <x:c r="E1302" s="11" t="n">
        <x:f>IF(OR('제외 후보'!L1302="",'제외 후보'!L1302&lt;=0),'선정 규칙'!$B$8,IF('제외 후보'!L1302&lt;=1.5,'선정 규칙'!$B$9,IF('제외 후보'!L1302&lt;=2,'선정 규칙'!$B$10,IF('제외 후보'!L1302&lt;=2.5,'선정 규칙'!$B$11,IF('제외 후보'!L1302&lt;=3,'선정 규칙'!$B$12,IF('제외 후보'!L1302&lt;=3.5,'선정 규칙'!$B$13,IF('제외 후보'!L1302&gt;=4.5,'선정 규칙'!$B$14,0)))))))</x:f>
        <x:v>6</x:v>
      </x:c>
      <x:c r="F1302" s="11" t="n">
        <x:f>IF('제외 후보'!Y1302=0,'선정 규칙'!$B$15,IF('제외 후보'!Y1302&gt;=100,'선정 규칙'!$B$16,'선정 규칙'!$B$17))</x:f>
        <x:v>-25</x:v>
      </x:c>
      <x:c r="G1302" s="11" t="n">
        <x:f>IF('제외 후보'!M1302="있음",'선정 규칙'!$B$18,'선정 규칙'!$B$19)</x:f>
        <x:v>6</x:v>
      </x:c>
      <x:c r="H1302" s="11" t="n">
        <x:f>IF(ISNUMBER(SEARCH("freq-core",'제외 후보'!AD1302)),'선정 규칙'!$B$20,0)</x:f>
        <x:v>0</x:v>
      </x:c>
      <x:c r="I1302" s="11" t="n">
        <x:f>IF(ISNUMBER(SEARCH("weak_legacy_content",'제외 후보'!P1302)),'선정 규칙'!$B$21,0)</x:f>
        <x:v>5</x:v>
      </x:c>
      <x:c r="J1302" s="11" t="n">
        <x:f>IF('제외 후보'!AC1302&lt;&gt;"",'선정 규칙'!$B$22,0)</x:f>
        <x:v>0</x:v>
      </x:c>
      <x:c r="K1302" s="11" t="n">
        <x:f>SUM(B1302:J1302)</x:f>
        <x:v>-8</x:v>
      </x:c>
      <x:c r="L1302" s="11" t="n">
        <x:f>'제외 후보'!N1302</x:f>
        <x:v>-8</x:v>
      </x:c>
      <x:c r="M1302" s="2" t="str">
        <x:f>IF(K1302=L1302,"OK","MISMATCH")</x:f>
        <x:v>OK</x:v>
      </x:c>
    </x:row>
    <x:row r="1303">
      <x:c r="A1303" s="2" t="str">
        <x:f>'제외 후보'!G1303</x:f>
        <x:v>w_d2eb49bdaa446761</x:v>
      </x:c>
      <x:c r="B1303" s="11" t="n">
        <x:f>IF('제외 후보'!Q1303&lt;&gt;"",'선정 규칙'!$B$4,0)</x:f>
        <x:v>0</x:v>
      </x:c>
      <x:c r="C1303" s="11" t="n">
        <x:f>IF(ISNUMBER(SEARCH("jmdict_uncommon_or_irregular",'제외 후보'!P1303)),'선정 규칙'!$B$5,IF(ISNUMBER(SEARCH("jmdict_rare_or_dated",'제외 후보'!P1303)),'선정 규칙'!$B$6,0))</x:f>
        <x:v>0</x:v>
      </x:c>
      <x:c r="D1303" s="11" t="n">
        <x:f>IF(ISNUMBER(SEARCH("jmdict_exact_pair_not_found",'제외 후보'!P1303)),'선정 규칙'!$B$7,0)</x:f>
        <x:v>0</x:v>
      </x:c>
      <x:c r="E1303" s="11" t="n">
        <x:f>IF(OR('제외 후보'!L1303="",'제외 후보'!L1303&lt;=0),'선정 규칙'!$B$8,IF('제외 후보'!L1303&lt;=1.5,'선정 규칙'!$B$9,IF('제외 후보'!L1303&lt;=2,'선정 규칙'!$B$10,IF('제외 후보'!L1303&lt;=2.5,'선정 규칙'!$B$11,IF('제외 후보'!L1303&lt;=3,'선정 규칙'!$B$12,IF('제외 후보'!L1303&lt;=3.5,'선정 규칙'!$B$13,IF('제외 후보'!L1303&gt;=4.5,'선정 규칙'!$B$14,0)))))))</x:f>
        <x:v>6</x:v>
      </x:c>
      <x:c r="F1303" s="11" t="n">
        <x:f>IF('제외 후보'!Y1303=0,'선정 규칙'!$B$15,IF('제외 후보'!Y1303&gt;=100,'선정 규칙'!$B$16,'선정 규칙'!$B$17))</x:f>
        <x:v>-25</x:v>
      </x:c>
      <x:c r="G1303" s="11" t="n">
        <x:f>IF('제외 후보'!M1303="있음",'선정 규칙'!$B$18,'선정 규칙'!$B$19)</x:f>
        <x:v>6</x:v>
      </x:c>
      <x:c r="H1303" s="11" t="n">
        <x:f>IF(ISNUMBER(SEARCH("freq-core",'제외 후보'!AD1303)),'선정 규칙'!$B$20,0)</x:f>
        <x:v>0</x:v>
      </x:c>
      <x:c r="I1303" s="11" t="n">
        <x:f>IF(ISNUMBER(SEARCH("weak_legacy_content",'제외 후보'!P1303)),'선정 규칙'!$B$21,0)</x:f>
        <x:v>5</x:v>
      </x:c>
      <x:c r="J1303" s="11" t="n">
        <x:f>IF('제외 후보'!AC1303&lt;&gt;"",'선정 규칙'!$B$22,0)</x:f>
        <x:v>0</x:v>
      </x:c>
      <x:c r="K1303" s="11" t="n">
        <x:f>SUM(B1303:J1303)</x:f>
        <x:v>-8</x:v>
      </x:c>
      <x:c r="L1303" s="11" t="n">
        <x:f>'제외 후보'!N1303</x:f>
        <x:v>-8</x:v>
      </x:c>
      <x:c r="M1303" s="2" t="str">
        <x:f>IF(K1303=L1303,"OK","MISMATCH")</x:f>
        <x:v>OK</x:v>
      </x:c>
    </x:row>
    <x:row r="1304">
      <x:c r="A1304" s="2" t="str">
        <x:f>'제외 후보'!G1304</x:f>
        <x:v>w_f601b9dac75e255b</x:v>
      </x:c>
      <x:c r="B1304" s="11" t="n">
        <x:f>IF('제외 후보'!Q1304&lt;&gt;"",'선정 규칙'!$B$4,0)</x:f>
        <x:v>0</x:v>
      </x:c>
      <x:c r="C1304" s="11" t="n">
        <x:f>IF(ISNUMBER(SEARCH("jmdict_uncommon_or_irregular",'제외 후보'!P1304)),'선정 규칙'!$B$5,IF(ISNUMBER(SEARCH("jmdict_rare_or_dated",'제외 후보'!P1304)),'선정 규칙'!$B$6,0))</x:f>
        <x:v>0</x:v>
      </x:c>
      <x:c r="D1304" s="11" t="n">
        <x:f>IF(ISNUMBER(SEARCH("jmdict_exact_pair_not_found",'제외 후보'!P1304)),'선정 규칙'!$B$7,0)</x:f>
        <x:v>0</x:v>
      </x:c>
      <x:c r="E1304" s="11" t="n">
        <x:f>IF(OR('제외 후보'!L1304="",'제외 후보'!L1304&lt;=0),'선정 규칙'!$B$8,IF('제외 후보'!L1304&lt;=1.5,'선정 규칙'!$B$9,IF('제외 후보'!L1304&lt;=2,'선정 규칙'!$B$10,IF('제외 후보'!L1304&lt;=2.5,'선정 규칙'!$B$11,IF('제외 후보'!L1304&lt;=3,'선정 규칙'!$B$12,IF('제외 후보'!L1304&lt;=3.5,'선정 규칙'!$B$13,IF('제외 후보'!L1304&gt;=4.5,'선정 규칙'!$B$14,0)))))))</x:f>
        <x:v>6</x:v>
      </x:c>
      <x:c r="F1304" s="11" t="n">
        <x:f>IF('제외 후보'!Y1304=0,'선정 규칙'!$B$15,IF('제외 후보'!Y1304&gt;=100,'선정 규칙'!$B$16,'선정 규칙'!$B$17))</x:f>
        <x:v>-25</x:v>
      </x:c>
      <x:c r="G1304" s="11" t="n">
        <x:f>IF('제외 후보'!M1304="있음",'선정 규칙'!$B$18,'선정 규칙'!$B$19)</x:f>
        <x:v>6</x:v>
      </x:c>
      <x:c r="H1304" s="11" t="n">
        <x:f>IF(ISNUMBER(SEARCH("freq-core",'제외 후보'!AD1304)),'선정 규칙'!$B$20,0)</x:f>
        <x:v>0</x:v>
      </x:c>
      <x:c r="I1304" s="11" t="n">
        <x:f>IF(ISNUMBER(SEARCH("weak_legacy_content",'제외 후보'!P1304)),'선정 규칙'!$B$21,0)</x:f>
        <x:v>5</x:v>
      </x:c>
      <x:c r="J1304" s="11" t="n">
        <x:f>IF('제외 후보'!AC1304&lt;&gt;"",'선정 규칙'!$B$22,0)</x:f>
        <x:v>0</x:v>
      </x:c>
      <x:c r="K1304" s="11" t="n">
        <x:f>SUM(B1304:J1304)</x:f>
        <x:v>-8</x:v>
      </x:c>
      <x:c r="L1304" s="11" t="n">
        <x:f>'제외 후보'!N1304</x:f>
        <x:v>-8</x:v>
      </x:c>
      <x:c r="M1304" s="2" t="str">
        <x:f>IF(K1304=L1304,"OK","MISMATCH")</x:f>
        <x:v>OK</x:v>
      </x:c>
    </x:row>
    <x:row r="1305">
      <x:c r="A1305" s="2" t="str">
        <x:f>'제외 후보'!G1305</x:f>
        <x:v>w_1ef4f939d961be2f</x:v>
      </x:c>
      <x:c r="B1305" s="11" t="n">
        <x:f>IF('제외 후보'!Q1305&lt;&gt;"",'선정 규칙'!$B$4,0)</x:f>
        <x:v>0</x:v>
      </x:c>
      <x:c r="C1305" s="11" t="n">
        <x:f>IF(ISNUMBER(SEARCH("jmdict_uncommon_or_irregular",'제외 후보'!P1305)),'선정 규칙'!$B$5,IF(ISNUMBER(SEARCH("jmdict_rare_or_dated",'제외 후보'!P1305)),'선정 규칙'!$B$6,0))</x:f>
        <x:v>0</x:v>
      </x:c>
      <x:c r="D1305" s="11" t="n">
        <x:f>IF(ISNUMBER(SEARCH("jmdict_exact_pair_not_found",'제외 후보'!P1305)),'선정 규칙'!$B$7,0)</x:f>
        <x:v>0</x:v>
      </x:c>
      <x:c r="E1305" s="11" t="n">
        <x:f>IF(OR('제외 후보'!L1305="",'제외 후보'!L1305&lt;=0),'선정 규칙'!$B$8,IF('제외 후보'!L1305&lt;=1.5,'선정 규칙'!$B$9,IF('제외 후보'!L1305&lt;=2,'선정 규칙'!$B$10,IF('제외 후보'!L1305&lt;=2.5,'선정 규칙'!$B$11,IF('제외 후보'!L1305&lt;=3,'선정 규칙'!$B$12,IF('제외 후보'!L1305&lt;=3.5,'선정 규칙'!$B$13,IF('제외 후보'!L1305&gt;=4.5,'선정 규칙'!$B$14,0)))))))</x:f>
        <x:v>6</x:v>
      </x:c>
      <x:c r="F1305" s="11" t="n">
        <x:f>IF('제외 후보'!Y1305=0,'선정 규칙'!$B$15,IF('제외 후보'!Y1305&gt;=100,'선정 규칙'!$B$16,'선정 규칙'!$B$17))</x:f>
        <x:v>-25</x:v>
      </x:c>
      <x:c r="G1305" s="11" t="n">
        <x:f>IF('제외 후보'!M1305="있음",'선정 규칙'!$B$18,'선정 규칙'!$B$19)</x:f>
        <x:v>6</x:v>
      </x:c>
      <x:c r="H1305" s="11" t="n">
        <x:f>IF(ISNUMBER(SEARCH("freq-core",'제외 후보'!AD1305)),'선정 규칙'!$B$20,0)</x:f>
        <x:v>0</x:v>
      </x:c>
      <x:c r="I1305" s="11" t="n">
        <x:f>IF(ISNUMBER(SEARCH("weak_legacy_content",'제외 후보'!P1305)),'선정 규칙'!$B$21,0)</x:f>
        <x:v>5</x:v>
      </x:c>
      <x:c r="J1305" s="11" t="n">
        <x:f>IF('제외 후보'!AC1305&lt;&gt;"",'선정 규칙'!$B$22,0)</x:f>
        <x:v>0</x:v>
      </x:c>
      <x:c r="K1305" s="11" t="n">
        <x:f>SUM(B1305:J1305)</x:f>
        <x:v>-8</x:v>
      </x:c>
      <x:c r="L1305" s="11" t="n">
        <x:f>'제외 후보'!N1305</x:f>
        <x:v>-8</x:v>
      </x:c>
      <x:c r="M1305" s="2" t="str">
        <x:f>IF(K1305=L1305,"OK","MISMATCH")</x:f>
        <x:v>OK</x:v>
      </x:c>
    </x:row>
    <x:row r="1306">
      <x:c r="A1306" s="2" t="str">
        <x:f>'제외 후보'!G1306</x:f>
        <x:v>w_62880e562f646e13</x:v>
      </x:c>
      <x:c r="B1306" s="11" t="n">
        <x:f>IF('제외 후보'!Q1306&lt;&gt;"",'선정 규칙'!$B$4,0)</x:f>
        <x:v>0</x:v>
      </x:c>
      <x:c r="C1306" s="11" t="n">
        <x:f>IF(ISNUMBER(SEARCH("jmdict_uncommon_or_irregular",'제외 후보'!P1306)),'선정 규칙'!$B$5,IF(ISNUMBER(SEARCH("jmdict_rare_or_dated",'제외 후보'!P1306)),'선정 규칙'!$B$6,0))</x:f>
        <x:v>0</x:v>
      </x:c>
      <x:c r="D1306" s="11" t="n">
        <x:f>IF(ISNUMBER(SEARCH("jmdict_exact_pair_not_found",'제외 후보'!P1306)),'선정 규칙'!$B$7,0)</x:f>
        <x:v>0</x:v>
      </x:c>
      <x:c r="E1306" s="11" t="n">
        <x:f>IF(OR('제외 후보'!L1306="",'제외 후보'!L1306&lt;=0),'선정 규칙'!$B$8,IF('제외 후보'!L1306&lt;=1.5,'선정 규칙'!$B$9,IF('제외 후보'!L1306&lt;=2,'선정 규칙'!$B$10,IF('제외 후보'!L1306&lt;=2.5,'선정 규칙'!$B$11,IF('제외 후보'!L1306&lt;=3,'선정 규칙'!$B$12,IF('제외 후보'!L1306&lt;=3.5,'선정 규칙'!$B$13,IF('제외 후보'!L1306&gt;=4.5,'선정 규칙'!$B$14,0)))))))</x:f>
        <x:v>6</x:v>
      </x:c>
      <x:c r="F1306" s="11" t="n">
        <x:f>IF('제외 후보'!Y1306=0,'선정 규칙'!$B$15,IF('제외 후보'!Y1306&gt;=100,'선정 규칙'!$B$16,'선정 규칙'!$B$17))</x:f>
        <x:v>-25</x:v>
      </x:c>
      <x:c r="G1306" s="11" t="n">
        <x:f>IF('제외 후보'!M1306="있음",'선정 규칙'!$B$18,'선정 규칙'!$B$19)</x:f>
        <x:v>6</x:v>
      </x:c>
      <x:c r="H1306" s="11" t="n">
        <x:f>IF(ISNUMBER(SEARCH("freq-core",'제외 후보'!AD1306)),'선정 규칙'!$B$20,0)</x:f>
        <x:v>0</x:v>
      </x:c>
      <x:c r="I1306" s="11" t="n">
        <x:f>IF(ISNUMBER(SEARCH("weak_legacy_content",'제외 후보'!P1306)),'선정 규칙'!$B$21,0)</x:f>
        <x:v>5</x:v>
      </x:c>
      <x:c r="J1306" s="11" t="n">
        <x:f>IF('제외 후보'!AC1306&lt;&gt;"",'선정 규칙'!$B$22,0)</x:f>
        <x:v>0</x:v>
      </x:c>
      <x:c r="K1306" s="11" t="n">
        <x:f>SUM(B1306:J1306)</x:f>
        <x:v>-8</x:v>
      </x:c>
      <x:c r="L1306" s="11" t="n">
        <x:f>'제외 후보'!N1306</x:f>
        <x:v>-8</x:v>
      </x:c>
      <x:c r="M1306" s="2" t="str">
        <x:f>IF(K1306=L1306,"OK","MISMATCH")</x:f>
        <x:v>OK</x:v>
      </x:c>
    </x:row>
    <x:row r="1307">
      <x:c r="A1307" s="2" t="str">
        <x:f>'제외 후보'!G1307</x:f>
        <x:v>w_e8d74934be15106c</x:v>
      </x:c>
      <x:c r="B1307" s="11" t="n">
        <x:f>IF('제외 후보'!Q1307&lt;&gt;"",'선정 규칙'!$B$4,0)</x:f>
        <x:v>0</x:v>
      </x:c>
      <x:c r="C1307" s="11" t="n">
        <x:f>IF(ISNUMBER(SEARCH("jmdict_uncommon_or_irregular",'제외 후보'!P1307)),'선정 규칙'!$B$5,IF(ISNUMBER(SEARCH("jmdict_rare_or_dated",'제외 후보'!P1307)),'선정 규칙'!$B$6,0))</x:f>
        <x:v>0</x:v>
      </x:c>
      <x:c r="D1307" s="11" t="n">
        <x:f>IF(ISNUMBER(SEARCH("jmdict_exact_pair_not_found",'제외 후보'!P1307)),'선정 규칙'!$B$7,0)</x:f>
        <x:v>0</x:v>
      </x:c>
      <x:c r="E1307" s="11" t="n">
        <x:f>IF(OR('제외 후보'!L1307="",'제외 후보'!L1307&lt;=0),'선정 규칙'!$B$8,IF('제외 후보'!L1307&lt;=1.5,'선정 규칙'!$B$9,IF('제외 후보'!L1307&lt;=2,'선정 규칙'!$B$10,IF('제외 후보'!L1307&lt;=2.5,'선정 규칙'!$B$11,IF('제외 후보'!L1307&lt;=3,'선정 규칙'!$B$12,IF('제외 후보'!L1307&lt;=3.5,'선정 규칙'!$B$13,IF('제외 후보'!L1307&gt;=4.5,'선정 규칙'!$B$14,0)))))))</x:f>
        <x:v>6</x:v>
      </x:c>
      <x:c r="F1307" s="11" t="n">
        <x:f>IF('제외 후보'!Y1307=0,'선정 규칙'!$B$15,IF('제외 후보'!Y1307&gt;=100,'선정 규칙'!$B$16,'선정 규칙'!$B$17))</x:f>
        <x:v>-25</x:v>
      </x:c>
      <x:c r="G1307" s="11" t="n">
        <x:f>IF('제외 후보'!M1307="있음",'선정 규칙'!$B$18,'선정 규칙'!$B$19)</x:f>
        <x:v>6</x:v>
      </x:c>
      <x:c r="H1307" s="11" t="n">
        <x:f>IF(ISNUMBER(SEARCH("freq-core",'제외 후보'!AD1307)),'선정 규칙'!$B$20,0)</x:f>
        <x:v>0</x:v>
      </x:c>
      <x:c r="I1307" s="11" t="n">
        <x:f>IF(ISNUMBER(SEARCH("weak_legacy_content",'제외 후보'!P1307)),'선정 규칙'!$B$21,0)</x:f>
        <x:v>5</x:v>
      </x:c>
      <x:c r="J1307" s="11" t="n">
        <x:f>IF('제외 후보'!AC1307&lt;&gt;"",'선정 규칙'!$B$22,0)</x:f>
        <x:v>0</x:v>
      </x:c>
      <x:c r="K1307" s="11" t="n">
        <x:f>SUM(B1307:J1307)</x:f>
        <x:v>-8</x:v>
      </x:c>
      <x:c r="L1307" s="11" t="n">
        <x:f>'제외 후보'!N1307</x:f>
        <x:v>-8</x:v>
      </x:c>
      <x:c r="M1307" s="2" t="str">
        <x:f>IF(K1307=L1307,"OK","MISMATCH")</x:f>
        <x:v>OK</x:v>
      </x:c>
    </x:row>
    <x:row r="1308">
      <x:c r="A1308" s="2" t="str">
        <x:f>'제외 후보'!G1308</x:f>
        <x:v>w_45c1cfd938a86ae0</x:v>
      </x:c>
      <x:c r="B1308" s="11" t="n">
        <x:f>IF('제외 후보'!Q1308&lt;&gt;"",'선정 규칙'!$B$4,0)</x:f>
        <x:v>0</x:v>
      </x:c>
      <x:c r="C1308" s="11" t="n">
        <x:f>IF(ISNUMBER(SEARCH("jmdict_uncommon_or_irregular",'제외 후보'!P1308)),'선정 규칙'!$B$5,IF(ISNUMBER(SEARCH("jmdict_rare_or_dated",'제외 후보'!P1308)),'선정 규칙'!$B$6,0))</x:f>
        <x:v>0</x:v>
      </x:c>
      <x:c r="D1308" s="11" t="n">
        <x:f>IF(ISNUMBER(SEARCH("jmdict_exact_pair_not_found",'제외 후보'!P1308)),'선정 규칙'!$B$7,0)</x:f>
        <x:v>0</x:v>
      </x:c>
      <x:c r="E1308" s="11" t="n">
        <x:f>IF(OR('제외 후보'!L1308="",'제외 후보'!L1308&lt;=0),'선정 규칙'!$B$8,IF('제외 후보'!L1308&lt;=1.5,'선정 규칙'!$B$9,IF('제외 후보'!L1308&lt;=2,'선정 규칙'!$B$10,IF('제외 후보'!L1308&lt;=2.5,'선정 규칙'!$B$11,IF('제외 후보'!L1308&lt;=3,'선정 규칙'!$B$12,IF('제외 후보'!L1308&lt;=3.5,'선정 규칙'!$B$13,IF('제외 후보'!L1308&gt;=4.5,'선정 규칙'!$B$14,0)))))))</x:f>
        <x:v>6</x:v>
      </x:c>
      <x:c r="F1308" s="11" t="n">
        <x:f>IF('제외 후보'!Y1308=0,'선정 규칙'!$B$15,IF('제외 후보'!Y1308&gt;=100,'선정 규칙'!$B$16,'선정 규칙'!$B$17))</x:f>
        <x:v>-25</x:v>
      </x:c>
      <x:c r="G1308" s="11" t="n">
        <x:f>IF('제외 후보'!M1308="있음",'선정 규칙'!$B$18,'선정 규칙'!$B$19)</x:f>
        <x:v>6</x:v>
      </x:c>
      <x:c r="H1308" s="11" t="n">
        <x:f>IF(ISNUMBER(SEARCH("freq-core",'제외 후보'!AD1308)),'선정 규칙'!$B$20,0)</x:f>
        <x:v>0</x:v>
      </x:c>
      <x:c r="I1308" s="11" t="n">
        <x:f>IF(ISNUMBER(SEARCH("weak_legacy_content",'제외 후보'!P1308)),'선정 규칙'!$B$21,0)</x:f>
        <x:v>5</x:v>
      </x:c>
      <x:c r="J1308" s="11" t="n">
        <x:f>IF('제외 후보'!AC1308&lt;&gt;"",'선정 규칙'!$B$22,0)</x:f>
        <x:v>0</x:v>
      </x:c>
      <x:c r="K1308" s="11" t="n">
        <x:f>SUM(B1308:J1308)</x:f>
        <x:v>-8</x:v>
      </x:c>
      <x:c r="L1308" s="11" t="n">
        <x:f>'제외 후보'!N1308</x:f>
        <x:v>-8</x:v>
      </x:c>
      <x:c r="M1308" s="2" t="str">
        <x:f>IF(K1308=L1308,"OK","MISMATCH")</x:f>
        <x:v>OK</x:v>
      </x:c>
    </x:row>
    <x:row r="1309">
      <x:c r="A1309" s="2" t="str">
        <x:f>'제외 후보'!G1309</x:f>
        <x:v>w_7314e7fd53838b7a</x:v>
      </x:c>
      <x:c r="B1309" s="11" t="n">
        <x:f>IF('제외 후보'!Q1309&lt;&gt;"",'선정 규칙'!$B$4,0)</x:f>
        <x:v>0</x:v>
      </x:c>
      <x:c r="C1309" s="11" t="n">
        <x:f>IF(ISNUMBER(SEARCH("jmdict_uncommon_or_irregular",'제외 후보'!P1309)),'선정 규칙'!$B$5,IF(ISNUMBER(SEARCH("jmdict_rare_or_dated",'제외 후보'!P1309)),'선정 규칙'!$B$6,0))</x:f>
        <x:v>0</x:v>
      </x:c>
      <x:c r="D1309" s="11" t="n">
        <x:f>IF(ISNUMBER(SEARCH("jmdict_exact_pair_not_found",'제외 후보'!P1309)),'선정 규칙'!$B$7,0)</x:f>
        <x:v>0</x:v>
      </x:c>
      <x:c r="E1309" s="11" t="n">
        <x:f>IF(OR('제외 후보'!L1309="",'제외 후보'!L1309&lt;=0),'선정 규칙'!$B$8,IF('제외 후보'!L1309&lt;=1.5,'선정 규칙'!$B$9,IF('제외 후보'!L1309&lt;=2,'선정 규칙'!$B$10,IF('제외 후보'!L1309&lt;=2.5,'선정 규칙'!$B$11,IF('제외 후보'!L1309&lt;=3,'선정 규칙'!$B$12,IF('제외 후보'!L1309&lt;=3.5,'선정 규칙'!$B$13,IF('제외 후보'!L1309&gt;=4.5,'선정 규칙'!$B$14,0)))))))</x:f>
        <x:v>6</x:v>
      </x:c>
      <x:c r="F1309" s="11" t="n">
        <x:f>IF('제외 후보'!Y1309=0,'선정 규칙'!$B$15,IF('제외 후보'!Y1309&gt;=100,'선정 규칙'!$B$16,'선정 규칙'!$B$17))</x:f>
        <x:v>-25</x:v>
      </x:c>
      <x:c r="G1309" s="11" t="n">
        <x:f>IF('제외 후보'!M1309="있음",'선정 규칙'!$B$18,'선정 규칙'!$B$19)</x:f>
        <x:v>6</x:v>
      </x:c>
      <x:c r="H1309" s="11" t="n">
        <x:f>IF(ISNUMBER(SEARCH("freq-core",'제외 후보'!AD1309)),'선정 규칙'!$B$20,0)</x:f>
        <x:v>0</x:v>
      </x:c>
      <x:c r="I1309" s="11" t="n">
        <x:f>IF(ISNUMBER(SEARCH("weak_legacy_content",'제외 후보'!P1309)),'선정 규칙'!$B$21,0)</x:f>
        <x:v>5</x:v>
      </x:c>
      <x:c r="J1309" s="11" t="n">
        <x:f>IF('제외 후보'!AC1309&lt;&gt;"",'선정 규칙'!$B$22,0)</x:f>
        <x:v>0</x:v>
      </x:c>
      <x:c r="K1309" s="11" t="n">
        <x:f>SUM(B1309:J1309)</x:f>
        <x:v>-8</x:v>
      </x:c>
      <x:c r="L1309" s="11" t="n">
        <x:f>'제외 후보'!N1309</x:f>
        <x:v>-8</x:v>
      </x:c>
      <x:c r="M1309" s="2" t="str">
        <x:f>IF(K1309=L1309,"OK","MISMATCH")</x:f>
        <x:v>OK</x:v>
      </x:c>
    </x:row>
    <x:row r="1310">
      <x:c r="A1310" s="2" t="str">
        <x:f>'제외 후보'!G1310</x:f>
        <x:v>w_b550b37b661afe05</x:v>
      </x:c>
      <x:c r="B1310" s="11" t="n">
        <x:f>IF('제외 후보'!Q1310&lt;&gt;"",'선정 규칙'!$B$4,0)</x:f>
        <x:v>0</x:v>
      </x:c>
      <x:c r="C1310" s="11" t="n">
        <x:f>IF(ISNUMBER(SEARCH("jmdict_uncommon_or_irregular",'제외 후보'!P1310)),'선정 규칙'!$B$5,IF(ISNUMBER(SEARCH("jmdict_rare_or_dated",'제외 후보'!P1310)),'선정 규칙'!$B$6,0))</x:f>
        <x:v>0</x:v>
      </x:c>
      <x:c r="D1310" s="11" t="n">
        <x:f>IF(ISNUMBER(SEARCH("jmdict_exact_pair_not_found",'제외 후보'!P1310)),'선정 규칙'!$B$7,0)</x:f>
        <x:v>0</x:v>
      </x:c>
      <x:c r="E1310" s="11" t="n">
        <x:f>IF(OR('제외 후보'!L1310="",'제외 후보'!L1310&lt;=0),'선정 규칙'!$B$8,IF('제외 후보'!L1310&lt;=1.5,'선정 규칙'!$B$9,IF('제외 후보'!L1310&lt;=2,'선정 규칙'!$B$10,IF('제외 후보'!L1310&lt;=2.5,'선정 규칙'!$B$11,IF('제외 후보'!L1310&lt;=3,'선정 규칙'!$B$12,IF('제외 후보'!L1310&lt;=3.5,'선정 규칙'!$B$13,IF('제외 후보'!L1310&gt;=4.5,'선정 규칙'!$B$14,0)))))))</x:f>
        <x:v>6</x:v>
      </x:c>
      <x:c r="F1310" s="11" t="n">
        <x:f>IF('제외 후보'!Y1310=0,'선정 규칙'!$B$15,IF('제외 후보'!Y1310&gt;=100,'선정 규칙'!$B$16,'선정 규칙'!$B$17))</x:f>
        <x:v>-25</x:v>
      </x:c>
      <x:c r="G1310" s="11" t="n">
        <x:f>IF('제외 후보'!M1310="있음",'선정 규칙'!$B$18,'선정 규칙'!$B$19)</x:f>
        <x:v>6</x:v>
      </x:c>
      <x:c r="H1310" s="11" t="n">
        <x:f>IF(ISNUMBER(SEARCH("freq-core",'제외 후보'!AD1310)),'선정 규칙'!$B$20,0)</x:f>
        <x:v>0</x:v>
      </x:c>
      <x:c r="I1310" s="11" t="n">
        <x:f>IF(ISNUMBER(SEARCH("weak_legacy_content",'제외 후보'!P1310)),'선정 규칙'!$B$21,0)</x:f>
        <x:v>5</x:v>
      </x:c>
      <x:c r="J1310" s="11" t="n">
        <x:f>IF('제외 후보'!AC1310&lt;&gt;"",'선정 규칙'!$B$22,0)</x:f>
        <x:v>0</x:v>
      </x:c>
      <x:c r="K1310" s="11" t="n">
        <x:f>SUM(B1310:J1310)</x:f>
        <x:v>-8</x:v>
      </x:c>
      <x:c r="L1310" s="11" t="n">
        <x:f>'제외 후보'!N1310</x:f>
        <x:v>-8</x:v>
      </x:c>
      <x:c r="M1310" s="2" t="str">
        <x:f>IF(K1310=L1310,"OK","MISMATCH")</x:f>
        <x:v>OK</x:v>
      </x:c>
    </x:row>
    <x:row r="1311">
      <x:c r="A1311" s="2" t="str">
        <x:f>'제외 후보'!G1311</x:f>
        <x:v>w_2b64b6f56ca5eeeb</x:v>
      </x:c>
      <x:c r="B1311" s="11" t="n">
        <x:f>IF('제외 후보'!Q1311&lt;&gt;"",'선정 규칙'!$B$4,0)</x:f>
        <x:v>0</x:v>
      </x:c>
      <x:c r="C1311" s="11" t="n">
        <x:f>IF(ISNUMBER(SEARCH("jmdict_uncommon_or_irregular",'제외 후보'!P1311)),'선정 규칙'!$B$5,IF(ISNUMBER(SEARCH("jmdict_rare_or_dated",'제외 후보'!P1311)),'선정 규칙'!$B$6,0))</x:f>
        <x:v>0</x:v>
      </x:c>
      <x:c r="D1311" s="11" t="n">
        <x:f>IF(ISNUMBER(SEARCH("jmdict_exact_pair_not_found",'제외 후보'!P1311)),'선정 규칙'!$B$7,0)</x:f>
        <x:v>0</x:v>
      </x:c>
      <x:c r="E1311" s="11" t="n">
        <x:f>IF(OR('제외 후보'!L1311="",'제외 후보'!L1311&lt;=0),'선정 규칙'!$B$8,IF('제외 후보'!L1311&lt;=1.5,'선정 규칙'!$B$9,IF('제외 후보'!L1311&lt;=2,'선정 규칙'!$B$10,IF('제외 후보'!L1311&lt;=2.5,'선정 규칙'!$B$11,IF('제외 후보'!L1311&lt;=3,'선정 규칙'!$B$12,IF('제외 후보'!L1311&lt;=3.5,'선정 규칙'!$B$13,IF('제외 후보'!L1311&gt;=4.5,'선정 규칙'!$B$14,0)))))))</x:f>
        <x:v>6</x:v>
      </x:c>
      <x:c r="F1311" s="11" t="n">
        <x:f>IF('제외 후보'!Y1311=0,'선정 규칙'!$B$15,IF('제외 후보'!Y1311&gt;=100,'선정 규칙'!$B$16,'선정 규칙'!$B$17))</x:f>
        <x:v>-25</x:v>
      </x:c>
      <x:c r="G1311" s="11" t="n">
        <x:f>IF('제외 후보'!M1311="있음",'선정 규칙'!$B$18,'선정 규칙'!$B$19)</x:f>
        <x:v>6</x:v>
      </x:c>
      <x:c r="H1311" s="11" t="n">
        <x:f>IF(ISNUMBER(SEARCH("freq-core",'제외 후보'!AD1311)),'선정 규칙'!$B$20,0)</x:f>
        <x:v>0</x:v>
      </x:c>
      <x:c r="I1311" s="11" t="n">
        <x:f>IF(ISNUMBER(SEARCH("weak_legacy_content",'제외 후보'!P1311)),'선정 규칙'!$B$21,0)</x:f>
        <x:v>5</x:v>
      </x:c>
      <x:c r="J1311" s="11" t="n">
        <x:f>IF('제외 후보'!AC1311&lt;&gt;"",'선정 규칙'!$B$22,0)</x:f>
        <x:v>0</x:v>
      </x:c>
      <x:c r="K1311" s="11" t="n">
        <x:f>SUM(B1311:J1311)</x:f>
        <x:v>-8</x:v>
      </x:c>
      <x:c r="L1311" s="11" t="n">
        <x:f>'제외 후보'!N1311</x:f>
        <x:v>-8</x:v>
      </x:c>
      <x:c r="M1311" s="2" t="str">
        <x:f>IF(K1311=L1311,"OK","MISMATCH")</x:f>
        <x:v>OK</x:v>
      </x:c>
    </x:row>
    <x:row r="1312">
      <x:c r="A1312" s="2" t="str">
        <x:f>'제외 후보'!G1312</x:f>
        <x:v>w_30ece7df38908e34</x:v>
      </x:c>
      <x:c r="B1312" s="11" t="n">
        <x:f>IF('제외 후보'!Q1312&lt;&gt;"",'선정 규칙'!$B$4,0)</x:f>
        <x:v>0</x:v>
      </x:c>
      <x:c r="C1312" s="11" t="n">
        <x:f>IF(ISNUMBER(SEARCH("jmdict_uncommon_or_irregular",'제외 후보'!P1312)),'선정 규칙'!$B$5,IF(ISNUMBER(SEARCH("jmdict_rare_or_dated",'제외 후보'!P1312)),'선정 규칙'!$B$6,0))</x:f>
        <x:v>0</x:v>
      </x:c>
      <x:c r="D1312" s="11" t="n">
        <x:f>IF(ISNUMBER(SEARCH("jmdict_exact_pair_not_found",'제외 후보'!P1312)),'선정 규칙'!$B$7,0)</x:f>
        <x:v>0</x:v>
      </x:c>
      <x:c r="E1312" s="11" t="n">
        <x:f>IF(OR('제외 후보'!L1312="",'제외 후보'!L1312&lt;=0),'선정 규칙'!$B$8,IF('제외 후보'!L1312&lt;=1.5,'선정 규칙'!$B$9,IF('제외 후보'!L1312&lt;=2,'선정 규칙'!$B$10,IF('제외 후보'!L1312&lt;=2.5,'선정 규칙'!$B$11,IF('제외 후보'!L1312&lt;=3,'선정 규칙'!$B$12,IF('제외 후보'!L1312&lt;=3.5,'선정 규칙'!$B$13,IF('제외 후보'!L1312&gt;=4.5,'선정 규칙'!$B$14,0)))))))</x:f>
        <x:v>6</x:v>
      </x:c>
      <x:c r="F1312" s="11" t="n">
        <x:f>IF('제외 후보'!Y1312=0,'선정 규칙'!$B$15,IF('제외 후보'!Y1312&gt;=100,'선정 규칙'!$B$16,'선정 규칙'!$B$17))</x:f>
        <x:v>-25</x:v>
      </x:c>
      <x:c r="G1312" s="11" t="n">
        <x:f>IF('제외 후보'!M1312="있음",'선정 규칙'!$B$18,'선정 규칙'!$B$19)</x:f>
        <x:v>6</x:v>
      </x:c>
      <x:c r="H1312" s="11" t="n">
        <x:f>IF(ISNUMBER(SEARCH("freq-core",'제외 후보'!AD1312)),'선정 규칙'!$B$20,0)</x:f>
        <x:v>0</x:v>
      </x:c>
      <x:c r="I1312" s="11" t="n">
        <x:f>IF(ISNUMBER(SEARCH("weak_legacy_content",'제외 후보'!P1312)),'선정 규칙'!$B$21,0)</x:f>
        <x:v>5</x:v>
      </x:c>
      <x:c r="J1312" s="11" t="n">
        <x:f>IF('제외 후보'!AC1312&lt;&gt;"",'선정 규칙'!$B$22,0)</x:f>
        <x:v>0</x:v>
      </x:c>
      <x:c r="K1312" s="11" t="n">
        <x:f>SUM(B1312:J1312)</x:f>
        <x:v>-8</x:v>
      </x:c>
      <x:c r="L1312" s="11" t="n">
        <x:f>'제외 후보'!N1312</x:f>
        <x:v>-8</x:v>
      </x:c>
      <x:c r="M1312" s="2" t="str">
        <x:f>IF(K1312=L1312,"OK","MISMATCH")</x:f>
        <x:v>OK</x:v>
      </x:c>
    </x:row>
    <x:row r="1313">
      <x:c r="A1313" s="2" t="str">
        <x:f>'제외 후보'!G1313</x:f>
        <x:v>w_9b57387ea967d6eb</x:v>
      </x:c>
      <x:c r="B1313" s="11" t="n">
        <x:f>IF('제외 후보'!Q1313&lt;&gt;"",'선정 규칙'!$B$4,0)</x:f>
        <x:v>0</x:v>
      </x:c>
      <x:c r="C1313" s="11" t="n">
        <x:f>IF(ISNUMBER(SEARCH("jmdict_uncommon_or_irregular",'제외 후보'!P1313)),'선정 규칙'!$B$5,IF(ISNUMBER(SEARCH("jmdict_rare_or_dated",'제외 후보'!P1313)),'선정 규칙'!$B$6,0))</x:f>
        <x:v>0</x:v>
      </x:c>
      <x:c r="D1313" s="11" t="n">
        <x:f>IF(ISNUMBER(SEARCH("jmdict_exact_pair_not_found",'제외 후보'!P1313)),'선정 규칙'!$B$7,0)</x:f>
        <x:v>0</x:v>
      </x:c>
      <x:c r="E1313" s="11" t="n">
        <x:f>IF(OR('제외 후보'!L1313="",'제외 후보'!L1313&lt;=0),'선정 규칙'!$B$8,IF('제외 후보'!L1313&lt;=1.5,'선정 규칙'!$B$9,IF('제외 후보'!L1313&lt;=2,'선정 규칙'!$B$10,IF('제외 후보'!L1313&lt;=2.5,'선정 규칙'!$B$11,IF('제외 후보'!L1313&lt;=3,'선정 규칙'!$B$12,IF('제외 후보'!L1313&lt;=3.5,'선정 규칙'!$B$13,IF('제외 후보'!L1313&gt;=4.5,'선정 규칙'!$B$14,0)))))))</x:f>
        <x:v>6</x:v>
      </x:c>
      <x:c r="F1313" s="11" t="n">
        <x:f>IF('제외 후보'!Y1313=0,'선정 규칙'!$B$15,IF('제외 후보'!Y1313&gt;=100,'선정 규칙'!$B$16,'선정 규칙'!$B$17))</x:f>
        <x:v>-25</x:v>
      </x:c>
      <x:c r="G1313" s="11" t="n">
        <x:f>IF('제외 후보'!M1313="있음",'선정 규칙'!$B$18,'선정 규칙'!$B$19)</x:f>
        <x:v>6</x:v>
      </x:c>
      <x:c r="H1313" s="11" t="n">
        <x:f>IF(ISNUMBER(SEARCH("freq-core",'제외 후보'!AD1313)),'선정 규칙'!$B$20,0)</x:f>
        <x:v>0</x:v>
      </x:c>
      <x:c r="I1313" s="11" t="n">
        <x:f>IF(ISNUMBER(SEARCH("weak_legacy_content",'제외 후보'!P1313)),'선정 규칙'!$B$21,0)</x:f>
        <x:v>5</x:v>
      </x:c>
      <x:c r="J1313" s="11" t="n">
        <x:f>IF('제외 후보'!AC1313&lt;&gt;"",'선정 규칙'!$B$22,0)</x:f>
        <x:v>0</x:v>
      </x:c>
      <x:c r="K1313" s="11" t="n">
        <x:f>SUM(B1313:J1313)</x:f>
        <x:v>-8</x:v>
      </x:c>
      <x:c r="L1313" s="11" t="n">
        <x:f>'제외 후보'!N1313</x:f>
        <x:v>-8</x:v>
      </x:c>
      <x:c r="M1313" s="2" t="str">
        <x:f>IF(K1313=L1313,"OK","MISMATCH")</x:f>
        <x:v>OK</x:v>
      </x:c>
    </x:row>
    <x:row r="1314">
      <x:c r="A1314" s="2" t="str">
        <x:f>'제외 후보'!G1314</x:f>
        <x:v>w_b7be01d14b992429</x:v>
      </x:c>
      <x:c r="B1314" s="11" t="n">
        <x:f>IF('제외 후보'!Q1314&lt;&gt;"",'선정 규칙'!$B$4,0)</x:f>
        <x:v>0</x:v>
      </x:c>
      <x:c r="C1314" s="11" t="n">
        <x:f>IF(ISNUMBER(SEARCH("jmdict_uncommon_or_irregular",'제외 후보'!P1314)),'선정 규칙'!$B$5,IF(ISNUMBER(SEARCH("jmdict_rare_or_dated",'제외 후보'!P1314)),'선정 규칙'!$B$6,0))</x:f>
        <x:v>0</x:v>
      </x:c>
      <x:c r="D1314" s="11" t="n">
        <x:f>IF(ISNUMBER(SEARCH("jmdict_exact_pair_not_found",'제외 후보'!P1314)),'선정 규칙'!$B$7,0)</x:f>
        <x:v>0</x:v>
      </x:c>
      <x:c r="E1314" s="11" t="n">
        <x:f>IF(OR('제외 후보'!L1314="",'제외 후보'!L1314&lt;=0),'선정 규칙'!$B$8,IF('제외 후보'!L1314&lt;=1.5,'선정 규칙'!$B$9,IF('제외 후보'!L1314&lt;=2,'선정 규칙'!$B$10,IF('제외 후보'!L1314&lt;=2.5,'선정 규칙'!$B$11,IF('제외 후보'!L1314&lt;=3,'선정 규칙'!$B$12,IF('제외 후보'!L1314&lt;=3.5,'선정 규칙'!$B$13,IF('제외 후보'!L1314&gt;=4.5,'선정 규칙'!$B$14,0)))))))</x:f>
        <x:v>6</x:v>
      </x:c>
      <x:c r="F1314" s="11" t="n">
        <x:f>IF('제외 후보'!Y1314=0,'선정 규칙'!$B$15,IF('제외 후보'!Y1314&gt;=100,'선정 규칙'!$B$16,'선정 규칙'!$B$17))</x:f>
        <x:v>-25</x:v>
      </x:c>
      <x:c r="G1314" s="11" t="n">
        <x:f>IF('제외 후보'!M1314="있음",'선정 규칙'!$B$18,'선정 규칙'!$B$19)</x:f>
        <x:v>6</x:v>
      </x:c>
      <x:c r="H1314" s="11" t="n">
        <x:f>IF(ISNUMBER(SEARCH("freq-core",'제외 후보'!AD1314)),'선정 규칙'!$B$20,0)</x:f>
        <x:v>0</x:v>
      </x:c>
      <x:c r="I1314" s="11" t="n">
        <x:f>IF(ISNUMBER(SEARCH("weak_legacy_content",'제외 후보'!P1314)),'선정 규칙'!$B$21,0)</x:f>
        <x:v>5</x:v>
      </x:c>
      <x:c r="J1314" s="11" t="n">
        <x:f>IF('제외 후보'!AC1314&lt;&gt;"",'선정 규칙'!$B$22,0)</x:f>
        <x:v>0</x:v>
      </x:c>
      <x:c r="K1314" s="11" t="n">
        <x:f>SUM(B1314:J1314)</x:f>
        <x:v>-8</x:v>
      </x:c>
      <x:c r="L1314" s="11" t="n">
        <x:f>'제외 후보'!N1314</x:f>
        <x:v>-8</x:v>
      </x:c>
      <x:c r="M1314" s="2" t="str">
        <x:f>IF(K1314=L1314,"OK","MISMATCH")</x:f>
        <x:v>OK</x:v>
      </x:c>
    </x:row>
    <x:row r="1315">
      <x:c r="A1315" s="2" t="str">
        <x:f>'제외 후보'!G1315</x:f>
        <x:v>w_a8d08694ca074c0d</x:v>
      </x:c>
      <x:c r="B1315" s="11" t="n">
        <x:f>IF('제외 후보'!Q1315&lt;&gt;"",'선정 규칙'!$B$4,0)</x:f>
        <x:v>0</x:v>
      </x:c>
      <x:c r="C1315" s="11" t="n">
        <x:f>IF(ISNUMBER(SEARCH("jmdict_uncommon_or_irregular",'제외 후보'!P1315)),'선정 규칙'!$B$5,IF(ISNUMBER(SEARCH("jmdict_rare_or_dated",'제외 후보'!P1315)),'선정 규칙'!$B$6,0))</x:f>
        <x:v>0</x:v>
      </x:c>
      <x:c r="D1315" s="11" t="n">
        <x:f>IF(ISNUMBER(SEARCH("jmdict_exact_pair_not_found",'제외 후보'!P1315)),'선정 규칙'!$B$7,0)</x:f>
        <x:v>0</x:v>
      </x:c>
      <x:c r="E1315" s="11" t="n">
        <x:f>IF(OR('제외 후보'!L1315="",'제외 후보'!L1315&lt;=0),'선정 규칙'!$B$8,IF('제외 후보'!L1315&lt;=1.5,'선정 규칙'!$B$9,IF('제외 후보'!L1315&lt;=2,'선정 규칙'!$B$10,IF('제외 후보'!L1315&lt;=2.5,'선정 규칙'!$B$11,IF('제외 후보'!L1315&lt;=3,'선정 규칙'!$B$12,IF('제외 후보'!L1315&lt;=3.5,'선정 규칙'!$B$13,IF('제외 후보'!L1315&gt;=4.5,'선정 규칙'!$B$14,0)))))))</x:f>
        <x:v>6</x:v>
      </x:c>
      <x:c r="F1315" s="11" t="n">
        <x:f>IF('제외 후보'!Y1315=0,'선정 규칙'!$B$15,IF('제외 후보'!Y1315&gt;=100,'선정 규칙'!$B$16,'선정 규칙'!$B$17))</x:f>
        <x:v>-25</x:v>
      </x:c>
      <x:c r="G1315" s="11" t="n">
        <x:f>IF('제외 후보'!M1315="있음",'선정 규칙'!$B$18,'선정 규칙'!$B$19)</x:f>
        <x:v>6</x:v>
      </x:c>
      <x:c r="H1315" s="11" t="n">
        <x:f>IF(ISNUMBER(SEARCH("freq-core",'제외 후보'!AD1315)),'선정 규칙'!$B$20,0)</x:f>
        <x:v>0</x:v>
      </x:c>
      <x:c r="I1315" s="11" t="n">
        <x:f>IF(ISNUMBER(SEARCH("weak_legacy_content",'제외 후보'!P1315)),'선정 규칙'!$B$21,0)</x:f>
        <x:v>5</x:v>
      </x:c>
      <x:c r="J1315" s="11" t="n">
        <x:f>IF('제외 후보'!AC1315&lt;&gt;"",'선정 규칙'!$B$22,0)</x:f>
        <x:v>0</x:v>
      </x:c>
      <x:c r="K1315" s="11" t="n">
        <x:f>SUM(B1315:J1315)</x:f>
        <x:v>-8</x:v>
      </x:c>
      <x:c r="L1315" s="11" t="n">
        <x:f>'제외 후보'!N1315</x:f>
        <x:v>-8</x:v>
      </x:c>
      <x:c r="M1315" s="2" t="str">
        <x:f>IF(K1315=L1315,"OK","MISMATCH")</x:f>
        <x:v>OK</x:v>
      </x:c>
    </x:row>
    <x:row r="1316">
      <x:c r="A1316" s="2" t="str">
        <x:f>'제외 후보'!G1316</x:f>
        <x:v>w_ae251e0ce07fb16a</x:v>
      </x:c>
      <x:c r="B1316" s="11" t="n">
        <x:f>IF('제외 후보'!Q1316&lt;&gt;"",'선정 규칙'!$B$4,0)</x:f>
        <x:v>0</x:v>
      </x:c>
      <x:c r="C1316" s="11" t="n">
        <x:f>IF(ISNUMBER(SEARCH("jmdict_uncommon_or_irregular",'제외 후보'!P1316)),'선정 규칙'!$B$5,IF(ISNUMBER(SEARCH("jmdict_rare_or_dated",'제외 후보'!P1316)),'선정 규칙'!$B$6,0))</x:f>
        <x:v>0</x:v>
      </x:c>
      <x:c r="D1316" s="11" t="n">
        <x:f>IF(ISNUMBER(SEARCH("jmdict_exact_pair_not_found",'제외 후보'!P1316)),'선정 규칙'!$B$7,0)</x:f>
        <x:v>0</x:v>
      </x:c>
      <x:c r="E1316" s="11" t="n">
        <x:f>IF(OR('제외 후보'!L1316="",'제외 후보'!L1316&lt;=0),'선정 규칙'!$B$8,IF('제외 후보'!L1316&lt;=1.5,'선정 규칙'!$B$9,IF('제외 후보'!L1316&lt;=2,'선정 규칙'!$B$10,IF('제외 후보'!L1316&lt;=2.5,'선정 규칙'!$B$11,IF('제외 후보'!L1316&lt;=3,'선정 규칙'!$B$12,IF('제외 후보'!L1316&lt;=3.5,'선정 규칙'!$B$13,IF('제외 후보'!L1316&gt;=4.5,'선정 규칙'!$B$14,0)))))))</x:f>
        <x:v>6</x:v>
      </x:c>
      <x:c r="F1316" s="11" t="n">
        <x:f>IF('제외 후보'!Y1316=0,'선정 규칙'!$B$15,IF('제외 후보'!Y1316&gt;=100,'선정 규칙'!$B$16,'선정 규칙'!$B$17))</x:f>
        <x:v>-25</x:v>
      </x:c>
      <x:c r="G1316" s="11" t="n">
        <x:f>IF('제외 후보'!M1316="있음",'선정 규칙'!$B$18,'선정 규칙'!$B$19)</x:f>
        <x:v>6</x:v>
      </x:c>
      <x:c r="H1316" s="11" t="n">
        <x:f>IF(ISNUMBER(SEARCH("freq-core",'제외 후보'!AD1316)),'선정 규칙'!$B$20,0)</x:f>
        <x:v>0</x:v>
      </x:c>
      <x:c r="I1316" s="11" t="n">
        <x:f>IF(ISNUMBER(SEARCH("weak_legacy_content",'제외 후보'!P1316)),'선정 규칙'!$B$21,0)</x:f>
        <x:v>5</x:v>
      </x:c>
      <x:c r="J1316" s="11" t="n">
        <x:f>IF('제외 후보'!AC1316&lt;&gt;"",'선정 규칙'!$B$22,0)</x:f>
        <x:v>0</x:v>
      </x:c>
      <x:c r="K1316" s="11" t="n">
        <x:f>SUM(B1316:J1316)</x:f>
        <x:v>-8</x:v>
      </x:c>
      <x:c r="L1316" s="11" t="n">
        <x:f>'제외 후보'!N1316</x:f>
        <x:v>-8</x:v>
      </x:c>
      <x:c r="M1316" s="2" t="str">
        <x:f>IF(K1316=L1316,"OK","MISMATCH")</x:f>
        <x:v>OK</x:v>
      </x:c>
    </x:row>
    <x:row r="1317">
      <x:c r="A1317" s="2" t="str">
        <x:f>'제외 후보'!G1317</x:f>
        <x:v>w_37a277ede744797e</x:v>
      </x:c>
      <x:c r="B1317" s="11" t="n">
        <x:f>IF('제외 후보'!Q1317&lt;&gt;"",'선정 규칙'!$B$4,0)</x:f>
        <x:v>0</x:v>
      </x:c>
      <x:c r="C1317" s="11" t="n">
        <x:f>IF(ISNUMBER(SEARCH("jmdict_uncommon_or_irregular",'제외 후보'!P1317)),'선정 규칙'!$B$5,IF(ISNUMBER(SEARCH("jmdict_rare_or_dated",'제외 후보'!P1317)),'선정 규칙'!$B$6,0))</x:f>
        <x:v>0</x:v>
      </x:c>
      <x:c r="D1317" s="11" t="n">
        <x:f>IF(ISNUMBER(SEARCH("jmdict_exact_pair_not_found",'제외 후보'!P1317)),'선정 규칙'!$B$7,0)</x:f>
        <x:v>0</x:v>
      </x:c>
      <x:c r="E1317" s="11" t="n">
        <x:f>IF(OR('제외 후보'!L1317="",'제외 후보'!L1317&lt;=0),'선정 규칙'!$B$8,IF('제외 후보'!L1317&lt;=1.5,'선정 규칙'!$B$9,IF('제외 후보'!L1317&lt;=2,'선정 규칙'!$B$10,IF('제외 후보'!L1317&lt;=2.5,'선정 규칙'!$B$11,IF('제외 후보'!L1317&lt;=3,'선정 규칙'!$B$12,IF('제외 후보'!L1317&lt;=3.5,'선정 규칙'!$B$13,IF('제외 후보'!L1317&gt;=4.5,'선정 규칙'!$B$14,0)))))))</x:f>
        <x:v>6</x:v>
      </x:c>
      <x:c r="F1317" s="11" t="n">
        <x:f>IF('제외 후보'!Y1317=0,'선정 규칙'!$B$15,IF('제외 후보'!Y1317&gt;=100,'선정 규칙'!$B$16,'선정 규칙'!$B$17))</x:f>
        <x:v>-25</x:v>
      </x:c>
      <x:c r="G1317" s="11" t="n">
        <x:f>IF('제외 후보'!M1317="있음",'선정 규칙'!$B$18,'선정 규칙'!$B$19)</x:f>
        <x:v>6</x:v>
      </x:c>
      <x:c r="H1317" s="11" t="n">
        <x:f>IF(ISNUMBER(SEARCH("freq-core",'제외 후보'!AD1317)),'선정 규칙'!$B$20,0)</x:f>
        <x:v>0</x:v>
      </x:c>
      <x:c r="I1317" s="11" t="n">
        <x:f>IF(ISNUMBER(SEARCH("weak_legacy_content",'제외 후보'!P1317)),'선정 규칙'!$B$21,0)</x:f>
        <x:v>5</x:v>
      </x:c>
      <x:c r="J1317" s="11" t="n">
        <x:f>IF('제외 후보'!AC1317&lt;&gt;"",'선정 규칙'!$B$22,0)</x:f>
        <x:v>0</x:v>
      </x:c>
      <x:c r="K1317" s="11" t="n">
        <x:f>SUM(B1317:J1317)</x:f>
        <x:v>-8</x:v>
      </x:c>
      <x:c r="L1317" s="11" t="n">
        <x:f>'제외 후보'!N1317</x:f>
        <x:v>-8</x:v>
      </x:c>
      <x:c r="M1317" s="2" t="str">
        <x:f>IF(K1317=L1317,"OK","MISMATCH")</x:f>
        <x:v>OK</x:v>
      </x:c>
    </x:row>
    <x:row r="1318">
      <x:c r="A1318" s="2" t="str">
        <x:f>'제외 후보'!G1318</x:f>
        <x:v>w_4d987d72e7db4e37</x:v>
      </x:c>
      <x:c r="B1318" s="11" t="n">
        <x:f>IF('제외 후보'!Q1318&lt;&gt;"",'선정 규칙'!$B$4,0)</x:f>
        <x:v>0</x:v>
      </x:c>
      <x:c r="C1318" s="11" t="n">
        <x:f>IF(ISNUMBER(SEARCH("jmdict_uncommon_or_irregular",'제외 후보'!P1318)),'선정 규칙'!$B$5,IF(ISNUMBER(SEARCH("jmdict_rare_or_dated",'제외 후보'!P1318)),'선정 규칙'!$B$6,0))</x:f>
        <x:v>0</x:v>
      </x:c>
      <x:c r="D1318" s="11" t="n">
        <x:f>IF(ISNUMBER(SEARCH("jmdict_exact_pair_not_found",'제외 후보'!P1318)),'선정 규칙'!$B$7,0)</x:f>
        <x:v>0</x:v>
      </x:c>
      <x:c r="E1318" s="11" t="n">
        <x:f>IF(OR('제외 후보'!L1318="",'제외 후보'!L1318&lt;=0),'선정 규칙'!$B$8,IF('제외 후보'!L1318&lt;=1.5,'선정 규칙'!$B$9,IF('제외 후보'!L1318&lt;=2,'선정 규칙'!$B$10,IF('제외 후보'!L1318&lt;=2.5,'선정 규칙'!$B$11,IF('제외 후보'!L1318&lt;=3,'선정 규칙'!$B$12,IF('제외 후보'!L1318&lt;=3.5,'선정 규칙'!$B$13,IF('제외 후보'!L1318&gt;=4.5,'선정 규칙'!$B$14,0)))))))</x:f>
        <x:v>6</x:v>
      </x:c>
      <x:c r="F1318" s="11" t="n">
        <x:f>IF('제외 후보'!Y1318=0,'선정 규칙'!$B$15,IF('제외 후보'!Y1318&gt;=100,'선정 규칙'!$B$16,'선정 규칙'!$B$17))</x:f>
        <x:v>-25</x:v>
      </x:c>
      <x:c r="G1318" s="11" t="n">
        <x:f>IF('제외 후보'!M1318="있음",'선정 규칙'!$B$18,'선정 규칙'!$B$19)</x:f>
        <x:v>6</x:v>
      </x:c>
      <x:c r="H1318" s="11" t="n">
        <x:f>IF(ISNUMBER(SEARCH("freq-core",'제외 후보'!AD1318)),'선정 규칙'!$B$20,0)</x:f>
        <x:v>0</x:v>
      </x:c>
      <x:c r="I1318" s="11" t="n">
        <x:f>IF(ISNUMBER(SEARCH("weak_legacy_content",'제외 후보'!P1318)),'선정 규칙'!$B$21,0)</x:f>
        <x:v>5</x:v>
      </x:c>
      <x:c r="J1318" s="11" t="n">
        <x:f>IF('제외 후보'!AC1318&lt;&gt;"",'선정 규칙'!$B$22,0)</x:f>
        <x:v>0</x:v>
      </x:c>
      <x:c r="K1318" s="11" t="n">
        <x:f>SUM(B1318:J1318)</x:f>
        <x:v>-8</x:v>
      </x:c>
      <x:c r="L1318" s="11" t="n">
        <x:f>'제외 후보'!N1318</x:f>
        <x:v>-8</x:v>
      </x:c>
      <x:c r="M1318" s="2" t="str">
        <x:f>IF(K1318=L1318,"OK","MISMATCH")</x:f>
        <x:v>OK</x:v>
      </x:c>
    </x:row>
    <x:row r="1319">
      <x:c r="A1319" s="2" t="str">
        <x:f>'제외 후보'!G1319</x:f>
        <x:v>w_f1b7469967784a8e</x:v>
      </x:c>
      <x:c r="B1319" s="11" t="n">
        <x:f>IF('제외 후보'!Q1319&lt;&gt;"",'선정 규칙'!$B$4,0)</x:f>
        <x:v>0</x:v>
      </x:c>
      <x:c r="C1319" s="11" t="n">
        <x:f>IF(ISNUMBER(SEARCH("jmdict_uncommon_or_irregular",'제외 후보'!P1319)),'선정 규칙'!$B$5,IF(ISNUMBER(SEARCH("jmdict_rare_or_dated",'제외 후보'!P1319)),'선정 규칙'!$B$6,0))</x:f>
        <x:v>0</x:v>
      </x:c>
      <x:c r="D1319" s="11" t="n">
        <x:f>IF(ISNUMBER(SEARCH("jmdict_exact_pair_not_found",'제외 후보'!P1319)),'선정 규칙'!$B$7,0)</x:f>
        <x:v>0</x:v>
      </x:c>
      <x:c r="E1319" s="11" t="n">
        <x:f>IF(OR('제외 후보'!L1319="",'제외 후보'!L1319&lt;=0),'선정 규칙'!$B$8,IF('제외 후보'!L1319&lt;=1.5,'선정 규칙'!$B$9,IF('제외 후보'!L1319&lt;=2,'선정 규칙'!$B$10,IF('제외 후보'!L1319&lt;=2.5,'선정 규칙'!$B$11,IF('제외 후보'!L1319&lt;=3,'선정 규칙'!$B$12,IF('제외 후보'!L1319&lt;=3.5,'선정 규칙'!$B$13,IF('제외 후보'!L1319&gt;=4.5,'선정 규칙'!$B$14,0)))))))</x:f>
        <x:v>6</x:v>
      </x:c>
      <x:c r="F1319" s="11" t="n">
        <x:f>IF('제외 후보'!Y1319=0,'선정 규칙'!$B$15,IF('제외 후보'!Y1319&gt;=100,'선정 규칙'!$B$16,'선정 규칙'!$B$17))</x:f>
        <x:v>-25</x:v>
      </x:c>
      <x:c r="G1319" s="11" t="n">
        <x:f>IF('제외 후보'!M1319="있음",'선정 규칙'!$B$18,'선정 규칙'!$B$19)</x:f>
        <x:v>6</x:v>
      </x:c>
      <x:c r="H1319" s="11" t="n">
        <x:f>IF(ISNUMBER(SEARCH("freq-core",'제외 후보'!AD1319)),'선정 규칙'!$B$20,0)</x:f>
        <x:v>0</x:v>
      </x:c>
      <x:c r="I1319" s="11" t="n">
        <x:f>IF(ISNUMBER(SEARCH("weak_legacy_content",'제외 후보'!P1319)),'선정 규칙'!$B$21,0)</x:f>
        <x:v>5</x:v>
      </x:c>
      <x:c r="J1319" s="11" t="n">
        <x:f>IF('제외 후보'!AC1319&lt;&gt;"",'선정 규칙'!$B$22,0)</x:f>
        <x:v>0</x:v>
      </x:c>
      <x:c r="K1319" s="11" t="n">
        <x:f>SUM(B1319:J1319)</x:f>
        <x:v>-8</x:v>
      </x:c>
      <x:c r="L1319" s="11" t="n">
        <x:f>'제외 후보'!N1319</x:f>
        <x:v>-8</x:v>
      </x:c>
      <x:c r="M1319" s="2" t="str">
        <x:f>IF(K1319=L1319,"OK","MISMATCH")</x:f>
        <x:v>OK</x:v>
      </x:c>
    </x:row>
    <x:row r="1320">
      <x:c r="A1320" s="2" t="str">
        <x:f>'제외 후보'!G1320</x:f>
        <x:v>w_bc2133c59cd9c05d</x:v>
      </x:c>
      <x:c r="B1320" s="11" t="n">
        <x:f>IF('제외 후보'!Q1320&lt;&gt;"",'선정 규칙'!$B$4,0)</x:f>
        <x:v>0</x:v>
      </x:c>
      <x:c r="C1320" s="11" t="n">
        <x:f>IF(ISNUMBER(SEARCH("jmdict_uncommon_or_irregular",'제외 후보'!P1320)),'선정 규칙'!$B$5,IF(ISNUMBER(SEARCH("jmdict_rare_or_dated",'제외 후보'!P1320)),'선정 규칙'!$B$6,0))</x:f>
        <x:v>0</x:v>
      </x:c>
      <x:c r="D1320" s="11" t="n">
        <x:f>IF(ISNUMBER(SEARCH("jmdict_exact_pair_not_found",'제외 후보'!P1320)),'선정 규칙'!$B$7,0)</x:f>
        <x:v>0</x:v>
      </x:c>
      <x:c r="E1320" s="11" t="n">
        <x:f>IF(OR('제외 후보'!L1320="",'제외 후보'!L1320&lt;=0),'선정 규칙'!$B$8,IF('제외 후보'!L1320&lt;=1.5,'선정 규칙'!$B$9,IF('제외 후보'!L1320&lt;=2,'선정 규칙'!$B$10,IF('제외 후보'!L1320&lt;=2.5,'선정 규칙'!$B$11,IF('제외 후보'!L1320&lt;=3,'선정 규칙'!$B$12,IF('제외 후보'!L1320&lt;=3.5,'선정 규칙'!$B$13,IF('제외 후보'!L1320&gt;=4.5,'선정 규칙'!$B$14,0)))))))</x:f>
        <x:v>6</x:v>
      </x:c>
      <x:c r="F1320" s="11" t="n">
        <x:f>IF('제외 후보'!Y1320=0,'선정 규칙'!$B$15,IF('제외 후보'!Y1320&gt;=100,'선정 규칙'!$B$16,'선정 규칙'!$B$17))</x:f>
        <x:v>-25</x:v>
      </x:c>
      <x:c r="G1320" s="11" t="n">
        <x:f>IF('제외 후보'!M1320="있음",'선정 규칙'!$B$18,'선정 규칙'!$B$19)</x:f>
        <x:v>6</x:v>
      </x:c>
      <x:c r="H1320" s="11" t="n">
        <x:f>IF(ISNUMBER(SEARCH("freq-core",'제외 후보'!AD1320)),'선정 규칙'!$B$20,0)</x:f>
        <x:v>0</x:v>
      </x:c>
      <x:c r="I1320" s="11" t="n">
        <x:f>IF(ISNUMBER(SEARCH("weak_legacy_content",'제외 후보'!P1320)),'선정 규칙'!$B$21,0)</x:f>
        <x:v>5</x:v>
      </x:c>
      <x:c r="J1320" s="11" t="n">
        <x:f>IF('제외 후보'!AC1320&lt;&gt;"",'선정 규칙'!$B$22,0)</x:f>
        <x:v>0</x:v>
      </x:c>
      <x:c r="K1320" s="11" t="n">
        <x:f>SUM(B1320:J1320)</x:f>
        <x:v>-8</x:v>
      </x:c>
      <x:c r="L1320" s="11" t="n">
        <x:f>'제외 후보'!N1320</x:f>
        <x:v>-8</x:v>
      </x:c>
      <x:c r="M1320" s="2" t="str">
        <x:f>IF(K1320=L1320,"OK","MISMATCH")</x:f>
        <x:v>OK</x:v>
      </x:c>
    </x:row>
    <x:row r="1321">
      <x:c r="A1321" s="2" t="str">
        <x:f>'제외 후보'!G1321</x:f>
        <x:v>w_f9324df0df5b99e7</x:v>
      </x:c>
      <x:c r="B1321" s="11" t="n">
        <x:f>IF('제외 후보'!Q1321&lt;&gt;"",'선정 규칙'!$B$4,0)</x:f>
        <x:v>0</x:v>
      </x:c>
      <x:c r="C1321" s="11" t="n">
        <x:f>IF(ISNUMBER(SEARCH("jmdict_uncommon_or_irregular",'제외 후보'!P1321)),'선정 규칙'!$B$5,IF(ISNUMBER(SEARCH("jmdict_rare_or_dated",'제외 후보'!P1321)),'선정 규칙'!$B$6,0))</x:f>
        <x:v>0</x:v>
      </x:c>
      <x:c r="D1321" s="11" t="n">
        <x:f>IF(ISNUMBER(SEARCH("jmdict_exact_pair_not_found",'제외 후보'!P1321)),'선정 규칙'!$B$7,0)</x:f>
        <x:v>0</x:v>
      </x:c>
      <x:c r="E1321" s="11" t="n">
        <x:f>IF(OR('제외 후보'!L1321="",'제외 후보'!L1321&lt;=0),'선정 규칙'!$B$8,IF('제외 후보'!L1321&lt;=1.5,'선정 규칙'!$B$9,IF('제외 후보'!L1321&lt;=2,'선정 규칙'!$B$10,IF('제외 후보'!L1321&lt;=2.5,'선정 규칙'!$B$11,IF('제외 후보'!L1321&lt;=3,'선정 규칙'!$B$12,IF('제외 후보'!L1321&lt;=3.5,'선정 규칙'!$B$13,IF('제외 후보'!L1321&gt;=4.5,'선정 규칙'!$B$14,0)))))))</x:f>
        <x:v>6</x:v>
      </x:c>
      <x:c r="F1321" s="11" t="n">
        <x:f>IF('제외 후보'!Y1321=0,'선정 규칙'!$B$15,IF('제외 후보'!Y1321&gt;=100,'선정 규칙'!$B$16,'선정 규칙'!$B$17))</x:f>
        <x:v>-25</x:v>
      </x:c>
      <x:c r="G1321" s="11" t="n">
        <x:f>IF('제외 후보'!M1321="있음",'선정 규칙'!$B$18,'선정 규칙'!$B$19)</x:f>
        <x:v>6</x:v>
      </x:c>
      <x:c r="H1321" s="11" t="n">
        <x:f>IF(ISNUMBER(SEARCH("freq-core",'제외 후보'!AD1321)),'선정 규칙'!$B$20,0)</x:f>
        <x:v>0</x:v>
      </x:c>
      <x:c r="I1321" s="11" t="n">
        <x:f>IF(ISNUMBER(SEARCH("weak_legacy_content",'제외 후보'!P1321)),'선정 규칙'!$B$21,0)</x:f>
        <x:v>5</x:v>
      </x:c>
      <x:c r="J1321" s="11" t="n">
        <x:f>IF('제외 후보'!AC1321&lt;&gt;"",'선정 규칙'!$B$22,0)</x:f>
        <x:v>0</x:v>
      </x:c>
      <x:c r="K1321" s="11" t="n">
        <x:f>SUM(B1321:J1321)</x:f>
        <x:v>-8</x:v>
      </x:c>
      <x:c r="L1321" s="11" t="n">
        <x:f>'제외 후보'!N1321</x:f>
        <x:v>-8</x:v>
      </x:c>
      <x:c r="M1321" s="2" t="str">
        <x:f>IF(K1321=L1321,"OK","MISMATCH")</x:f>
        <x:v>OK</x:v>
      </x:c>
    </x:row>
    <x:row r="1322">
      <x:c r="A1322" s="2" t="str">
        <x:f>'제외 후보'!G1322</x:f>
        <x:v>w_6ea2a595d3f1d3a7</x:v>
      </x:c>
      <x:c r="B1322" s="11" t="n">
        <x:f>IF('제외 후보'!Q1322&lt;&gt;"",'선정 규칙'!$B$4,0)</x:f>
        <x:v>0</x:v>
      </x:c>
      <x:c r="C1322" s="11" t="n">
        <x:f>IF(ISNUMBER(SEARCH("jmdict_uncommon_or_irregular",'제외 후보'!P1322)),'선정 규칙'!$B$5,IF(ISNUMBER(SEARCH("jmdict_rare_or_dated",'제외 후보'!P1322)),'선정 규칙'!$B$6,0))</x:f>
        <x:v>0</x:v>
      </x:c>
      <x:c r="D1322" s="11" t="n">
        <x:f>IF(ISNUMBER(SEARCH("jmdict_exact_pair_not_found",'제외 후보'!P1322)),'선정 규칙'!$B$7,0)</x:f>
        <x:v>0</x:v>
      </x:c>
      <x:c r="E1322" s="11" t="n">
        <x:f>IF(OR('제외 후보'!L1322="",'제외 후보'!L1322&lt;=0),'선정 규칙'!$B$8,IF('제외 후보'!L1322&lt;=1.5,'선정 규칙'!$B$9,IF('제외 후보'!L1322&lt;=2,'선정 규칙'!$B$10,IF('제외 후보'!L1322&lt;=2.5,'선정 규칙'!$B$11,IF('제외 후보'!L1322&lt;=3,'선정 규칙'!$B$12,IF('제외 후보'!L1322&lt;=3.5,'선정 규칙'!$B$13,IF('제외 후보'!L1322&gt;=4.5,'선정 규칙'!$B$14,0)))))))</x:f>
        <x:v>6</x:v>
      </x:c>
      <x:c r="F1322" s="11" t="n">
        <x:f>IF('제외 후보'!Y1322=0,'선정 규칙'!$B$15,IF('제외 후보'!Y1322&gt;=100,'선정 규칙'!$B$16,'선정 규칙'!$B$17))</x:f>
        <x:v>-25</x:v>
      </x:c>
      <x:c r="G1322" s="11" t="n">
        <x:f>IF('제외 후보'!M1322="있음",'선정 규칙'!$B$18,'선정 규칙'!$B$19)</x:f>
        <x:v>6</x:v>
      </x:c>
      <x:c r="H1322" s="11" t="n">
        <x:f>IF(ISNUMBER(SEARCH("freq-core",'제외 후보'!AD1322)),'선정 규칙'!$B$20,0)</x:f>
        <x:v>0</x:v>
      </x:c>
      <x:c r="I1322" s="11" t="n">
        <x:f>IF(ISNUMBER(SEARCH("weak_legacy_content",'제외 후보'!P1322)),'선정 규칙'!$B$21,0)</x:f>
        <x:v>5</x:v>
      </x:c>
      <x:c r="J1322" s="11" t="n">
        <x:f>IF('제외 후보'!AC1322&lt;&gt;"",'선정 규칙'!$B$22,0)</x:f>
        <x:v>0</x:v>
      </x:c>
      <x:c r="K1322" s="11" t="n">
        <x:f>SUM(B1322:J1322)</x:f>
        <x:v>-8</x:v>
      </x:c>
      <x:c r="L1322" s="11" t="n">
        <x:f>'제외 후보'!N1322</x:f>
        <x:v>-8</x:v>
      </x:c>
      <x:c r="M1322" s="2" t="str">
        <x:f>IF(K1322=L1322,"OK","MISMATCH")</x:f>
        <x:v>OK</x:v>
      </x:c>
    </x:row>
    <x:row r="1323">
      <x:c r="A1323" s="2" t="str">
        <x:f>'제외 후보'!G1323</x:f>
        <x:v>w_a94f4515dcfa42bb</x:v>
      </x:c>
      <x:c r="B1323" s="11" t="n">
        <x:f>IF('제외 후보'!Q1323&lt;&gt;"",'선정 규칙'!$B$4,0)</x:f>
        <x:v>0</x:v>
      </x:c>
      <x:c r="C1323" s="11" t="n">
        <x:f>IF(ISNUMBER(SEARCH("jmdict_uncommon_or_irregular",'제외 후보'!P1323)),'선정 규칙'!$B$5,IF(ISNUMBER(SEARCH("jmdict_rare_or_dated",'제외 후보'!P1323)),'선정 규칙'!$B$6,0))</x:f>
        <x:v>0</x:v>
      </x:c>
      <x:c r="D1323" s="11" t="n">
        <x:f>IF(ISNUMBER(SEARCH("jmdict_exact_pair_not_found",'제외 후보'!P1323)),'선정 규칙'!$B$7,0)</x:f>
        <x:v>0</x:v>
      </x:c>
      <x:c r="E1323" s="11" t="n">
        <x:f>IF(OR('제외 후보'!L1323="",'제외 후보'!L1323&lt;=0),'선정 규칙'!$B$8,IF('제외 후보'!L1323&lt;=1.5,'선정 규칙'!$B$9,IF('제외 후보'!L1323&lt;=2,'선정 규칙'!$B$10,IF('제외 후보'!L1323&lt;=2.5,'선정 규칙'!$B$11,IF('제외 후보'!L1323&lt;=3,'선정 규칙'!$B$12,IF('제외 후보'!L1323&lt;=3.5,'선정 규칙'!$B$13,IF('제외 후보'!L1323&gt;=4.5,'선정 규칙'!$B$14,0)))))))</x:f>
        <x:v>6</x:v>
      </x:c>
      <x:c r="F1323" s="11" t="n">
        <x:f>IF('제외 후보'!Y1323=0,'선정 규칙'!$B$15,IF('제외 후보'!Y1323&gt;=100,'선정 규칙'!$B$16,'선정 규칙'!$B$17))</x:f>
        <x:v>-25</x:v>
      </x:c>
      <x:c r="G1323" s="11" t="n">
        <x:f>IF('제외 후보'!M1323="있음",'선정 규칙'!$B$18,'선정 규칙'!$B$19)</x:f>
        <x:v>6</x:v>
      </x:c>
      <x:c r="H1323" s="11" t="n">
        <x:f>IF(ISNUMBER(SEARCH("freq-core",'제외 후보'!AD1323)),'선정 규칙'!$B$20,0)</x:f>
        <x:v>0</x:v>
      </x:c>
      <x:c r="I1323" s="11" t="n">
        <x:f>IF(ISNUMBER(SEARCH("weak_legacy_content",'제외 후보'!P1323)),'선정 규칙'!$B$21,0)</x:f>
        <x:v>5</x:v>
      </x:c>
      <x:c r="J1323" s="11" t="n">
        <x:f>IF('제외 후보'!AC1323&lt;&gt;"",'선정 규칙'!$B$22,0)</x:f>
        <x:v>0</x:v>
      </x:c>
      <x:c r="K1323" s="11" t="n">
        <x:f>SUM(B1323:J1323)</x:f>
        <x:v>-8</x:v>
      </x:c>
      <x:c r="L1323" s="11" t="n">
        <x:f>'제외 후보'!N1323</x:f>
        <x:v>-8</x:v>
      </x:c>
      <x:c r="M1323" s="2" t="str">
        <x:f>IF(K1323=L1323,"OK","MISMATCH")</x:f>
        <x:v>OK</x:v>
      </x:c>
    </x:row>
    <x:row r="1324">
      <x:c r="A1324" s="2" t="str">
        <x:f>'제외 후보'!G1324</x:f>
        <x:v>w_e9b7122319d3941e</x:v>
      </x:c>
      <x:c r="B1324" s="11" t="n">
        <x:f>IF('제외 후보'!Q1324&lt;&gt;"",'선정 규칙'!$B$4,0)</x:f>
        <x:v>0</x:v>
      </x:c>
      <x:c r="C1324" s="11" t="n">
        <x:f>IF(ISNUMBER(SEARCH("jmdict_uncommon_or_irregular",'제외 후보'!P1324)),'선정 규칙'!$B$5,IF(ISNUMBER(SEARCH("jmdict_rare_or_dated",'제외 후보'!P1324)),'선정 규칙'!$B$6,0))</x:f>
        <x:v>0</x:v>
      </x:c>
      <x:c r="D1324" s="11" t="n">
        <x:f>IF(ISNUMBER(SEARCH("jmdict_exact_pair_not_found",'제외 후보'!P1324)),'선정 규칙'!$B$7,0)</x:f>
        <x:v>0</x:v>
      </x:c>
      <x:c r="E1324" s="11" t="n">
        <x:f>IF(OR('제외 후보'!L1324="",'제외 후보'!L1324&lt;=0),'선정 규칙'!$B$8,IF('제외 후보'!L1324&lt;=1.5,'선정 규칙'!$B$9,IF('제외 후보'!L1324&lt;=2,'선정 규칙'!$B$10,IF('제외 후보'!L1324&lt;=2.5,'선정 규칙'!$B$11,IF('제외 후보'!L1324&lt;=3,'선정 규칙'!$B$12,IF('제외 후보'!L1324&lt;=3.5,'선정 규칙'!$B$13,IF('제외 후보'!L1324&gt;=4.5,'선정 규칙'!$B$14,0)))))))</x:f>
        <x:v>6</x:v>
      </x:c>
      <x:c r="F1324" s="11" t="n">
        <x:f>IF('제외 후보'!Y1324=0,'선정 규칙'!$B$15,IF('제외 후보'!Y1324&gt;=100,'선정 규칙'!$B$16,'선정 규칙'!$B$17))</x:f>
        <x:v>-25</x:v>
      </x:c>
      <x:c r="G1324" s="11" t="n">
        <x:f>IF('제외 후보'!M1324="있음",'선정 규칙'!$B$18,'선정 규칙'!$B$19)</x:f>
        <x:v>6</x:v>
      </x:c>
      <x:c r="H1324" s="11" t="n">
        <x:f>IF(ISNUMBER(SEARCH("freq-core",'제외 후보'!AD1324)),'선정 규칙'!$B$20,0)</x:f>
        <x:v>0</x:v>
      </x:c>
      <x:c r="I1324" s="11" t="n">
        <x:f>IF(ISNUMBER(SEARCH("weak_legacy_content",'제외 후보'!P1324)),'선정 규칙'!$B$21,0)</x:f>
        <x:v>5</x:v>
      </x:c>
      <x:c r="J1324" s="11" t="n">
        <x:f>IF('제외 후보'!AC1324&lt;&gt;"",'선정 규칙'!$B$22,0)</x:f>
        <x:v>0</x:v>
      </x:c>
      <x:c r="K1324" s="11" t="n">
        <x:f>SUM(B1324:J1324)</x:f>
        <x:v>-8</x:v>
      </x:c>
      <x:c r="L1324" s="11" t="n">
        <x:f>'제외 후보'!N1324</x:f>
        <x:v>-8</x:v>
      </x:c>
      <x:c r="M1324" s="2" t="str">
        <x:f>IF(K1324=L1324,"OK","MISMATCH")</x:f>
        <x:v>OK</x:v>
      </x:c>
    </x:row>
    <x:row r="1325">
      <x:c r="A1325" s="2" t="str">
        <x:f>'제외 후보'!G1325</x:f>
        <x:v>w_4192f1cb87255be7</x:v>
      </x:c>
      <x:c r="B1325" s="11" t="n">
        <x:f>IF('제외 후보'!Q1325&lt;&gt;"",'선정 규칙'!$B$4,0)</x:f>
        <x:v>0</x:v>
      </x:c>
      <x:c r="C1325" s="11" t="n">
        <x:f>IF(ISNUMBER(SEARCH("jmdict_uncommon_or_irregular",'제외 후보'!P1325)),'선정 규칙'!$B$5,IF(ISNUMBER(SEARCH("jmdict_rare_or_dated",'제외 후보'!P1325)),'선정 규칙'!$B$6,0))</x:f>
        <x:v>0</x:v>
      </x:c>
      <x:c r="D1325" s="11" t="n">
        <x:f>IF(ISNUMBER(SEARCH("jmdict_exact_pair_not_found",'제외 후보'!P1325)),'선정 규칙'!$B$7,0)</x:f>
        <x:v>0</x:v>
      </x:c>
      <x:c r="E1325" s="11" t="n">
        <x:f>IF(OR('제외 후보'!L1325="",'제외 후보'!L1325&lt;=0),'선정 규칙'!$B$8,IF('제외 후보'!L1325&lt;=1.5,'선정 규칙'!$B$9,IF('제외 후보'!L1325&lt;=2,'선정 규칙'!$B$10,IF('제외 후보'!L1325&lt;=2.5,'선정 규칙'!$B$11,IF('제외 후보'!L1325&lt;=3,'선정 규칙'!$B$12,IF('제외 후보'!L1325&lt;=3.5,'선정 규칙'!$B$13,IF('제외 후보'!L1325&gt;=4.5,'선정 규칙'!$B$14,0)))))))</x:f>
        <x:v>6</x:v>
      </x:c>
      <x:c r="F1325" s="11" t="n">
        <x:f>IF('제외 후보'!Y1325=0,'선정 규칙'!$B$15,IF('제외 후보'!Y1325&gt;=100,'선정 규칙'!$B$16,'선정 규칙'!$B$17))</x:f>
        <x:v>-25</x:v>
      </x:c>
      <x:c r="G1325" s="11" t="n">
        <x:f>IF('제외 후보'!M1325="있음",'선정 규칙'!$B$18,'선정 규칙'!$B$19)</x:f>
        <x:v>6</x:v>
      </x:c>
      <x:c r="H1325" s="11" t="n">
        <x:f>IF(ISNUMBER(SEARCH("freq-core",'제외 후보'!AD1325)),'선정 규칙'!$B$20,0)</x:f>
        <x:v>0</x:v>
      </x:c>
      <x:c r="I1325" s="11" t="n">
        <x:f>IF(ISNUMBER(SEARCH("weak_legacy_content",'제외 후보'!P1325)),'선정 규칙'!$B$21,0)</x:f>
        <x:v>5</x:v>
      </x:c>
      <x:c r="J1325" s="11" t="n">
        <x:f>IF('제외 후보'!AC1325&lt;&gt;"",'선정 규칙'!$B$22,0)</x:f>
        <x:v>0</x:v>
      </x:c>
      <x:c r="K1325" s="11" t="n">
        <x:f>SUM(B1325:J1325)</x:f>
        <x:v>-8</x:v>
      </x:c>
      <x:c r="L1325" s="11" t="n">
        <x:f>'제외 후보'!N1325</x:f>
        <x:v>-8</x:v>
      </x:c>
      <x:c r="M1325" s="2" t="str">
        <x:f>IF(K1325=L1325,"OK","MISMATCH")</x:f>
        <x:v>OK</x:v>
      </x:c>
    </x:row>
    <x:row r="1326">
      <x:c r="A1326" s="2" t="str">
        <x:f>'제외 후보'!G1326</x:f>
        <x:v>w_b962c9958ca025b2</x:v>
      </x:c>
      <x:c r="B1326" s="11" t="n">
        <x:f>IF('제외 후보'!Q1326&lt;&gt;"",'선정 규칙'!$B$4,0)</x:f>
        <x:v>0</x:v>
      </x:c>
      <x:c r="C1326" s="11" t="n">
        <x:f>IF(ISNUMBER(SEARCH("jmdict_uncommon_or_irregular",'제외 후보'!P1326)),'선정 규칙'!$B$5,IF(ISNUMBER(SEARCH("jmdict_rare_or_dated",'제외 후보'!P1326)),'선정 규칙'!$B$6,0))</x:f>
        <x:v>0</x:v>
      </x:c>
      <x:c r="D1326" s="11" t="n">
        <x:f>IF(ISNUMBER(SEARCH("jmdict_exact_pair_not_found",'제외 후보'!P1326)),'선정 규칙'!$B$7,0)</x:f>
        <x:v>0</x:v>
      </x:c>
      <x:c r="E1326" s="11" t="n">
        <x:f>IF(OR('제외 후보'!L1326="",'제외 후보'!L1326&lt;=0),'선정 규칙'!$B$8,IF('제외 후보'!L1326&lt;=1.5,'선정 규칙'!$B$9,IF('제외 후보'!L1326&lt;=2,'선정 규칙'!$B$10,IF('제외 후보'!L1326&lt;=2.5,'선정 규칙'!$B$11,IF('제외 후보'!L1326&lt;=3,'선정 규칙'!$B$12,IF('제외 후보'!L1326&lt;=3.5,'선정 규칙'!$B$13,IF('제외 후보'!L1326&gt;=4.5,'선정 규칙'!$B$14,0)))))))</x:f>
        <x:v>6</x:v>
      </x:c>
      <x:c r="F1326" s="11" t="n">
        <x:f>IF('제외 후보'!Y1326=0,'선정 규칙'!$B$15,IF('제외 후보'!Y1326&gt;=100,'선정 규칙'!$B$16,'선정 규칙'!$B$17))</x:f>
        <x:v>-25</x:v>
      </x:c>
      <x:c r="G1326" s="11" t="n">
        <x:f>IF('제외 후보'!M1326="있음",'선정 규칙'!$B$18,'선정 규칙'!$B$19)</x:f>
        <x:v>6</x:v>
      </x:c>
      <x:c r="H1326" s="11" t="n">
        <x:f>IF(ISNUMBER(SEARCH("freq-core",'제외 후보'!AD1326)),'선정 규칙'!$B$20,0)</x:f>
        <x:v>0</x:v>
      </x:c>
      <x:c r="I1326" s="11" t="n">
        <x:f>IF(ISNUMBER(SEARCH("weak_legacy_content",'제외 후보'!P1326)),'선정 규칙'!$B$21,0)</x:f>
        <x:v>5</x:v>
      </x:c>
      <x:c r="J1326" s="11" t="n">
        <x:f>IF('제외 후보'!AC1326&lt;&gt;"",'선정 규칙'!$B$22,0)</x:f>
        <x:v>0</x:v>
      </x:c>
      <x:c r="K1326" s="11" t="n">
        <x:f>SUM(B1326:J1326)</x:f>
        <x:v>-8</x:v>
      </x:c>
      <x:c r="L1326" s="11" t="n">
        <x:f>'제외 후보'!N1326</x:f>
        <x:v>-8</x:v>
      </x:c>
      <x:c r="M1326" s="2" t="str">
        <x:f>IF(K1326=L1326,"OK","MISMATCH")</x:f>
        <x:v>OK</x:v>
      </x:c>
    </x:row>
    <x:row r="1327">
      <x:c r="A1327" s="2" t="str">
        <x:f>'제외 후보'!G1327</x:f>
        <x:v>w_269635c455451fc3</x:v>
      </x:c>
      <x:c r="B1327" s="11" t="n">
        <x:f>IF('제외 후보'!Q1327&lt;&gt;"",'선정 규칙'!$B$4,0)</x:f>
        <x:v>0</x:v>
      </x:c>
      <x:c r="C1327" s="11" t="n">
        <x:f>IF(ISNUMBER(SEARCH("jmdict_uncommon_or_irregular",'제외 후보'!P1327)),'선정 규칙'!$B$5,IF(ISNUMBER(SEARCH("jmdict_rare_or_dated",'제외 후보'!P1327)),'선정 규칙'!$B$6,0))</x:f>
        <x:v>0</x:v>
      </x:c>
      <x:c r="D1327" s="11" t="n">
        <x:f>IF(ISNUMBER(SEARCH("jmdict_exact_pair_not_found",'제외 후보'!P1327)),'선정 규칙'!$B$7,0)</x:f>
        <x:v>0</x:v>
      </x:c>
      <x:c r="E1327" s="11" t="n">
        <x:f>IF(OR('제외 후보'!L1327="",'제외 후보'!L1327&lt;=0),'선정 규칙'!$B$8,IF('제외 후보'!L1327&lt;=1.5,'선정 규칙'!$B$9,IF('제외 후보'!L1327&lt;=2,'선정 규칙'!$B$10,IF('제외 후보'!L1327&lt;=2.5,'선정 규칙'!$B$11,IF('제외 후보'!L1327&lt;=3,'선정 규칙'!$B$12,IF('제외 후보'!L1327&lt;=3.5,'선정 규칙'!$B$13,IF('제외 후보'!L1327&gt;=4.5,'선정 규칙'!$B$14,0)))))))</x:f>
        <x:v>6</x:v>
      </x:c>
      <x:c r="F1327" s="11" t="n">
        <x:f>IF('제외 후보'!Y1327=0,'선정 규칙'!$B$15,IF('제외 후보'!Y1327&gt;=100,'선정 규칙'!$B$16,'선정 규칙'!$B$17))</x:f>
        <x:v>-25</x:v>
      </x:c>
      <x:c r="G1327" s="11" t="n">
        <x:f>IF('제외 후보'!M1327="있음",'선정 규칙'!$B$18,'선정 규칙'!$B$19)</x:f>
        <x:v>6</x:v>
      </x:c>
      <x:c r="H1327" s="11" t="n">
        <x:f>IF(ISNUMBER(SEARCH("freq-core",'제외 후보'!AD1327)),'선정 규칙'!$B$20,0)</x:f>
        <x:v>0</x:v>
      </x:c>
      <x:c r="I1327" s="11" t="n">
        <x:f>IF(ISNUMBER(SEARCH("weak_legacy_content",'제외 후보'!P1327)),'선정 규칙'!$B$21,0)</x:f>
        <x:v>5</x:v>
      </x:c>
      <x:c r="J1327" s="11" t="n">
        <x:f>IF('제외 후보'!AC1327&lt;&gt;"",'선정 규칙'!$B$22,0)</x:f>
        <x:v>0</x:v>
      </x:c>
      <x:c r="K1327" s="11" t="n">
        <x:f>SUM(B1327:J1327)</x:f>
        <x:v>-8</x:v>
      </x:c>
      <x:c r="L1327" s="11" t="n">
        <x:f>'제외 후보'!N1327</x:f>
        <x:v>-8</x:v>
      </x:c>
      <x:c r="M1327" s="2" t="str">
        <x:f>IF(K1327=L1327,"OK","MISMATCH")</x:f>
        <x:v>OK</x:v>
      </x:c>
    </x:row>
    <x:row r="1328">
      <x:c r="A1328" s="2" t="str">
        <x:f>'제외 후보'!G1328</x:f>
        <x:v>w_d6ae36e458dcdd71</x:v>
      </x:c>
      <x:c r="B1328" s="11" t="n">
        <x:f>IF('제외 후보'!Q1328&lt;&gt;"",'선정 규칙'!$B$4,0)</x:f>
        <x:v>0</x:v>
      </x:c>
      <x:c r="C1328" s="11" t="n">
        <x:f>IF(ISNUMBER(SEARCH("jmdict_uncommon_or_irregular",'제외 후보'!P1328)),'선정 규칙'!$B$5,IF(ISNUMBER(SEARCH("jmdict_rare_or_dated",'제외 후보'!P1328)),'선정 규칙'!$B$6,0))</x:f>
        <x:v>0</x:v>
      </x:c>
      <x:c r="D1328" s="11" t="n">
        <x:f>IF(ISNUMBER(SEARCH("jmdict_exact_pair_not_found",'제외 후보'!P1328)),'선정 규칙'!$B$7,0)</x:f>
        <x:v>0</x:v>
      </x:c>
      <x:c r="E1328" s="11" t="n">
        <x:f>IF(OR('제외 후보'!L1328="",'제외 후보'!L1328&lt;=0),'선정 규칙'!$B$8,IF('제외 후보'!L1328&lt;=1.5,'선정 규칙'!$B$9,IF('제외 후보'!L1328&lt;=2,'선정 규칙'!$B$10,IF('제외 후보'!L1328&lt;=2.5,'선정 규칙'!$B$11,IF('제외 후보'!L1328&lt;=3,'선정 규칙'!$B$12,IF('제외 후보'!L1328&lt;=3.5,'선정 규칙'!$B$13,IF('제외 후보'!L1328&gt;=4.5,'선정 규칙'!$B$14,0)))))))</x:f>
        <x:v>6</x:v>
      </x:c>
      <x:c r="F1328" s="11" t="n">
        <x:f>IF('제외 후보'!Y1328=0,'선정 규칙'!$B$15,IF('제외 후보'!Y1328&gt;=100,'선정 규칙'!$B$16,'선정 규칙'!$B$17))</x:f>
        <x:v>-25</x:v>
      </x:c>
      <x:c r="G1328" s="11" t="n">
        <x:f>IF('제외 후보'!M1328="있음",'선정 규칙'!$B$18,'선정 규칙'!$B$19)</x:f>
        <x:v>6</x:v>
      </x:c>
      <x:c r="H1328" s="11" t="n">
        <x:f>IF(ISNUMBER(SEARCH("freq-core",'제외 후보'!AD1328)),'선정 규칙'!$B$20,0)</x:f>
        <x:v>0</x:v>
      </x:c>
      <x:c r="I1328" s="11" t="n">
        <x:f>IF(ISNUMBER(SEARCH("weak_legacy_content",'제외 후보'!P1328)),'선정 규칙'!$B$21,0)</x:f>
        <x:v>5</x:v>
      </x:c>
      <x:c r="J1328" s="11" t="n">
        <x:f>IF('제외 후보'!AC1328&lt;&gt;"",'선정 규칙'!$B$22,0)</x:f>
        <x:v>0</x:v>
      </x:c>
      <x:c r="K1328" s="11" t="n">
        <x:f>SUM(B1328:J1328)</x:f>
        <x:v>-8</x:v>
      </x:c>
      <x:c r="L1328" s="11" t="n">
        <x:f>'제외 후보'!N1328</x:f>
        <x:v>-8</x:v>
      </x:c>
      <x:c r="M1328" s="2" t="str">
        <x:f>IF(K1328=L1328,"OK","MISMATCH")</x:f>
        <x:v>OK</x:v>
      </x:c>
    </x:row>
    <x:row r="1329">
      <x:c r="A1329" s="2" t="str">
        <x:f>'제외 후보'!G1329</x:f>
        <x:v>w_eb362f6be10b400b</x:v>
      </x:c>
      <x:c r="B1329" s="11" t="n">
        <x:f>IF('제외 후보'!Q1329&lt;&gt;"",'선정 규칙'!$B$4,0)</x:f>
        <x:v>0</x:v>
      </x:c>
      <x:c r="C1329" s="11" t="n">
        <x:f>IF(ISNUMBER(SEARCH("jmdict_uncommon_or_irregular",'제외 후보'!P1329)),'선정 규칙'!$B$5,IF(ISNUMBER(SEARCH("jmdict_rare_or_dated",'제외 후보'!P1329)),'선정 규칙'!$B$6,0))</x:f>
        <x:v>0</x:v>
      </x:c>
      <x:c r="D1329" s="11" t="n">
        <x:f>IF(ISNUMBER(SEARCH("jmdict_exact_pair_not_found",'제외 후보'!P1329)),'선정 규칙'!$B$7,0)</x:f>
        <x:v>0</x:v>
      </x:c>
      <x:c r="E1329" s="11" t="n">
        <x:f>IF(OR('제외 후보'!L1329="",'제외 후보'!L1329&lt;=0),'선정 규칙'!$B$8,IF('제외 후보'!L1329&lt;=1.5,'선정 규칙'!$B$9,IF('제외 후보'!L1329&lt;=2,'선정 규칙'!$B$10,IF('제외 후보'!L1329&lt;=2.5,'선정 규칙'!$B$11,IF('제외 후보'!L1329&lt;=3,'선정 규칙'!$B$12,IF('제외 후보'!L1329&lt;=3.5,'선정 규칙'!$B$13,IF('제외 후보'!L1329&gt;=4.5,'선정 규칙'!$B$14,0)))))))</x:f>
        <x:v>6</x:v>
      </x:c>
      <x:c r="F1329" s="11" t="n">
        <x:f>IF('제외 후보'!Y1329=0,'선정 규칙'!$B$15,IF('제외 후보'!Y1329&gt;=100,'선정 규칙'!$B$16,'선정 규칙'!$B$17))</x:f>
        <x:v>-25</x:v>
      </x:c>
      <x:c r="G1329" s="11" t="n">
        <x:f>IF('제외 후보'!M1329="있음",'선정 규칙'!$B$18,'선정 규칙'!$B$19)</x:f>
        <x:v>6</x:v>
      </x:c>
      <x:c r="H1329" s="11" t="n">
        <x:f>IF(ISNUMBER(SEARCH("freq-core",'제외 후보'!AD1329)),'선정 규칙'!$B$20,0)</x:f>
        <x:v>0</x:v>
      </x:c>
      <x:c r="I1329" s="11" t="n">
        <x:f>IF(ISNUMBER(SEARCH("weak_legacy_content",'제외 후보'!P1329)),'선정 규칙'!$B$21,0)</x:f>
        <x:v>5</x:v>
      </x:c>
      <x:c r="J1329" s="11" t="n">
        <x:f>IF('제외 후보'!AC1329&lt;&gt;"",'선정 규칙'!$B$22,0)</x:f>
        <x:v>0</x:v>
      </x:c>
      <x:c r="K1329" s="11" t="n">
        <x:f>SUM(B1329:J1329)</x:f>
        <x:v>-8</x:v>
      </x:c>
      <x:c r="L1329" s="11" t="n">
        <x:f>'제외 후보'!N1329</x:f>
        <x:v>-8</x:v>
      </x:c>
      <x:c r="M1329" s="2" t="str">
        <x:f>IF(K1329=L1329,"OK","MISMATCH")</x:f>
        <x:v>OK</x:v>
      </x:c>
    </x:row>
    <x:row r="1330">
      <x:c r="A1330" s="2" t="str">
        <x:f>'제외 후보'!G1330</x:f>
        <x:v>w_78513d875daf64fb</x:v>
      </x:c>
      <x:c r="B1330" s="11" t="n">
        <x:f>IF('제외 후보'!Q1330&lt;&gt;"",'선정 규칙'!$B$4,0)</x:f>
        <x:v>0</x:v>
      </x:c>
      <x:c r="C1330" s="11" t="n">
        <x:f>IF(ISNUMBER(SEARCH("jmdict_uncommon_or_irregular",'제외 후보'!P1330)),'선정 규칙'!$B$5,IF(ISNUMBER(SEARCH("jmdict_rare_or_dated",'제외 후보'!P1330)),'선정 규칙'!$B$6,0))</x:f>
        <x:v>0</x:v>
      </x:c>
      <x:c r="D1330" s="11" t="n">
        <x:f>IF(ISNUMBER(SEARCH("jmdict_exact_pair_not_found",'제외 후보'!P1330)),'선정 규칙'!$B$7,0)</x:f>
        <x:v>0</x:v>
      </x:c>
      <x:c r="E1330" s="11" t="n">
        <x:f>IF(OR('제외 후보'!L1330="",'제외 후보'!L1330&lt;=0),'선정 규칙'!$B$8,IF('제외 후보'!L1330&lt;=1.5,'선정 규칙'!$B$9,IF('제외 후보'!L1330&lt;=2,'선정 규칙'!$B$10,IF('제외 후보'!L1330&lt;=2.5,'선정 규칙'!$B$11,IF('제외 후보'!L1330&lt;=3,'선정 규칙'!$B$12,IF('제외 후보'!L1330&lt;=3.5,'선정 규칙'!$B$13,IF('제외 후보'!L1330&gt;=4.5,'선정 규칙'!$B$14,0)))))))</x:f>
        <x:v>6</x:v>
      </x:c>
      <x:c r="F1330" s="11" t="n">
        <x:f>IF('제외 후보'!Y1330=0,'선정 규칙'!$B$15,IF('제외 후보'!Y1330&gt;=100,'선정 규칙'!$B$16,'선정 규칙'!$B$17))</x:f>
        <x:v>-25</x:v>
      </x:c>
      <x:c r="G1330" s="11" t="n">
        <x:f>IF('제외 후보'!M1330="있음",'선정 규칙'!$B$18,'선정 규칙'!$B$19)</x:f>
        <x:v>6</x:v>
      </x:c>
      <x:c r="H1330" s="11" t="n">
        <x:f>IF(ISNUMBER(SEARCH("freq-core",'제외 후보'!AD1330)),'선정 규칙'!$B$20,0)</x:f>
        <x:v>0</x:v>
      </x:c>
      <x:c r="I1330" s="11" t="n">
        <x:f>IF(ISNUMBER(SEARCH("weak_legacy_content",'제외 후보'!P1330)),'선정 규칙'!$B$21,0)</x:f>
        <x:v>5</x:v>
      </x:c>
      <x:c r="J1330" s="11" t="n">
        <x:f>IF('제외 후보'!AC1330&lt;&gt;"",'선정 규칙'!$B$22,0)</x:f>
        <x:v>0</x:v>
      </x:c>
      <x:c r="K1330" s="11" t="n">
        <x:f>SUM(B1330:J1330)</x:f>
        <x:v>-8</x:v>
      </x:c>
      <x:c r="L1330" s="11" t="n">
        <x:f>'제외 후보'!N1330</x:f>
        <x:v>-8</x:v>
      </x:c>
      <x:c r="M1330" s="2" t="str">
        <x:f>IF(K1330=L1330,"OK","MISMATCH")</x:f>
        <x:v>OK</x:v>
      </x:c>
    </x:row>
    <x:row r="1331">
      <x:c r="A1331" s="2" t="str">
        <x:f>'제외 후보'!G1331</x:f>
        <x:v>w_224db8310d5dc1d7</x:v>
      </x:c>
      <x:c r="B1331" s="11" t="n">
        <x:f>IF('제외 후보'!Q1331&lt;&gt;"",'선정 규칙'!$B$4,0)</x:f>
        <x:v>0</x:v>
      </x:c>
      <x:c r="C1331" s="11" t="n">
        <x:f>IF(ISNUMBER(SEARCH("jmdict_uncommon_or_irregular",'제외 후보'!P1331)),'선정 규칙'!$B$5,IF(ISNUMBER(SEARCH("jmdict_rare_or_dated",'제외 후보'!P1331)),'선정 규칙'!$B$6,0))</x:f>
        <x:v>0</x:v>
      </x:c>
      <x:c r="D1331" s="11" t="n">
        <x:f>IF(ISNUMBER(SEARCH("jmdict_exact_pair_not_found",'제외 후보'!P1331)),'선정 규칙'!$B$7,0)</x:f>
        <x:v>0</x:v>
      </x:c>
      <x:c r="E1331" s="11" t="n">
        <x:f>IF(OR('제외 후보'!L1331="",'제외 후보'!L1331&lt;=0),'선정 규칙'!$B$8,IF('제외 후보'!L1331&lt;=1.5,'선정 규칙'!$B$9,IF('제외 후보'!L1331&lt;=2,'선정 규칙'!$B$10,IF('제외 후보'!L1331&lt;=2.5,'선정 규칙'!$B$11,IF('제외 후보'!L1331&lt;=3,'선정 규칙'!$B$12,IF('제외 후보'!L1331&lt;=3.5,'선정 규칙'!$B$13,IF('제외 후보'!L1331&gt;=4.5,'선정 규칙'!$B$14,0)))))))</x:f>
        <x:v>6</x:v>
      </x:c>
      <x:c r="F1331" s="11" t="n">
        <x:f>IF('제외 후보'!Y1331=0,'선정 규칙'!$B$15,IF('제외 후보'!Y1331&gt;=100,'선정 규칙'!$B$16,'선정 규칙'!$B$17))</x:f>
        <x:v>-25</x:v>
      </x:c>
      <x:c r="G1331" s="11" t="n">
        <x:f>IF('제외 후보'!M1331="있음",'선정 규칙'!$B$18,'선정 규칙'!$B$19)</x:f>
        <x:v>6</x:v>
      </x:c>
      <x:c r="H1331" s="11" t="n">
        <x:f>IF(ISNUMBER(SEARCH("freq-core",'제외 후보'!AD1331)),'선정 규칙'!$B$20,0)</x:f>
        <x:v>0</x:v>
      </x:c>
      <x:c r="I1331" s="11" t="n">
        <x:f>IF(ISNUMBER(SEARCH("weak_legacy_content",'제외 후보'!P1331)),'선정 규칙'!$B$21,0)</x:f>
        <x:v>5</x:v>
      </x:c>
      <x:c r="J1331" s="11" t="n">
        <x:f>IF('제외 후보'!AC1331&lt;&gt;"",'선정 규칙'!$B$22,0)</x:f>
        <x:v>0</x:v>
      </x:c>
      <x:c r="K1331" s="11" t="n">
        <x:f>SUM(B1331:J1331)</x:f>
        <x:v>-8</x:v>
      </x:c>
      <x:c r="L1331" s="11" t="n">
        <x:f>'제외 후보'!N1331</x:f>
        <x:v>-8</x:v>
      </x:c>
      <x:c r="M1331" s="2" t="str">
        <x:f>IF(K1331=L1331,"OK","MISMATCH")</x:f>
        <x:v>OK</x:v>
      </x:c>
    </x:row>
    <x:row r="1332">
      <x:c r="A1332" s="2" t="str">
        <x:f>'제외 후보'!G1332</x:f>
        <x:v>w_6dafd4f1d41998c0</x:v>
      </x:c>
      <x:c r="B1332" s="11" t="n">
        <x:f>IF('제외 후보'!Q1332&lt;&gt;"",'선정 규칙'!$B$4,0)</x:f>
        <x:v>0</x:v>
      </x:c>
      <x:c r="C1332" s="11" t="n">
        <x:f>IF(ISNUMBER(SEARCH("jmdict_uncommon_or_irregular",'제외 후보'!P1332)),'선정 규칙'!$B$5,IF(ISNUMBER(SEARCH("jmdict_rare_or_dated",'제외 후보'!P1332)),'선정 규칙'!$B$6,0))</x:f>
        <x:v>0</x:v>
      </x:c>
      <x:c r="D1332" s="11" t="n">
        <x:f>IF(ISNUMBER(SEARCH("jmdict_exact_pair_not_found",'제외 후보'!P1332)),'선정 규칙'!$B$7,0)</x:f>
        <x:v>0</x:v>
      </x:c>
      <x:c r="E1332" s="11" t="n">
        <x:f>IF(OR('제외 후보'!L1332="",'제외 후보'!L1332&lt;=0),'선정 규칙'!$B$8,IF('제외 후보'!L1332&lt;=1.5,'선정 규칙'!$B$9,IF('제외 후보'!L1332&lt;=2,'선정 규칙'!$B$10,IF('제외 후보'!L1332&lt;=2.5,'선정 규칙'!$B$11,IF('제외 후보'!L1332&lt;=3,'선정 규칙'!$B$12,IF('제외 후보'!L1332&lt;=3.5,'선정 규칙'!$B$13,IF('제외 후보'!L1332&gt;=4.5,'선정 규칙'!$B$14,0)))))))</x:f>
        <x:v>6</x:v>
      </x:c>
      <x:c r="F1332" s="11" t="n">
        <x:f>IF('제외 후보'!Y1332=0,'선정 규칙'!$B$15,IF('제외 후보'!Y1332&gt;=100,'선정 규칙'!$B$16,'선정 규칙'!$B$17))</x:f>
        <x:v>-25</x:v>
      </x:c>
      <x:c r="G1332" s="11" t="n">
        <x:f>IF('제외 후보'!M1332="있음",'선정 규칙'!$B$18,'선정 규칙'!$B$19)</x:f>
        <x:v>6</x:v>
      </x:c>
      <x:c r="H1332" s="11" t="n">
        <x:f>IF(ISNUMBER(SEARCH("freq-core",'제외 후보'!AD1332)),'선정 규칙'!$B$20,0)</x:f>
        <x:v>0</x:v>
      </x:c>
      <x:c r="I1332" s="11" t="n">
        <x:f>IF(ISNUMBER(SEARCH("weak_legacy_content",'제외 후보'!P1332)),'선정 규칙'!$B$21,0)</x:f>
        <x:v>5</x:v>
      </x:c>
      <x:c r="J1332" s="11" t="n">
        <x:f>IF('제외 후보'!AC1332&lt;&gt;"",'선정 규칙'!$B$22,0)</x:f>
        <x:v>0</x:v>
      </x:c>
      <x:c r="K1332" s="11" t="n">
        <x:f>SUM(B1332:J1332)</x:f>
        <x:v>-8</x:v>
      </x:c>
      <x:c r="L1332" s="11" t="n">
        <x:f>'제외 후보'!N1332</x:f>
        <x:v>-8</x:v>
      </x:c>
      <x:c r="M1332" s="2" t="str">
        <x:f>IF(K1332=L1332,"OK","MISMATCH")</x:f>
        <x:v>OK</x:v>
      </x:c>
    </x:row>
    <x:row r="1333">
      <x:c r="A1333" s="2" t="str">
        <x:f>'제외 후보'!G1333</x:f>
        <x:v>w_918768274d6ec6c9</x:v>
      </x:c>
      <x:c r="B1333" s="11" t="n">
        <x:f>IF('제외 후보'!Q1333&lt;&gt;"",'선정 규칙'!$B$4,0)</x:f>
        <x:v>0</x:v>
      </x:c>
      <x:c r="C1333" s="11" t="n">
        <x:f>IF(ISNUMBER(SEARCH("jmdict_uncommon_or_irregular",'제외 후보'!P1333)),'선정 규칙'!$B$5,IF(ISNUMBER(SEARCH("jmdict_rare_or_dated",'제외 후보'!P1333)),'선정 규칙'!$B$6,0))</x:f>
        <x:v>0</x:v>
      </x:c>
      <x:c r="D1333" s="11" t="n">
        <x:f>IF(ISNUMBER(SEARCH("jmdict_exact_pair_not_found",'제외 후보'!P1333)),'선정 규칙'!$B$7,0)</x:f>
        <x:v>0</x:v>
      </x:c>
      <x:c r="E1333" s="11" t="n">
        <x:f>IF(OR('제외 후보'!L1333="",'제외 후보'!L1333&lt;=0),'선정 규칙'!$B$8,IF('제외 후보'!L1333&lt;=1.5,'선정 규칙'!$B$9,IF('제외 후보'!L1333&lt;=2,'선정 규칙'!$B$10,IF('제외 후보'!L1333&lt;=2.5,'선정 규칙'!$B$11,IF('제외 후보'!L1333&lt;=3,'선정 규칙'!$B$12,IF('제외 후보'!L1333&lt;=3.5,'선정 규칙'!$B$13,IF('제외 후보'!L1333&gt;=4.5,'선정 규칙'!$B$14,0)))))))</x:f>
        <x:v>6</x:v>
      </x:c>
      <x:c r="F1333" s="11" t="n">
        <x:f>IF('제외 후보'!Y1333=0,'선정 규칙'!$B$15,IF('제외 후보'!Y1333&gt;=100,'선정 규칙'!$B$16,'선정 규칙'!$B$17))</x:f>
        <x:v>-25</x:v>
      </x:c>
      <x:c r="G1333" s="11" t="n">
        <x:f>IF('제외 후보'!M1333="있음",'선정 규칙'!$B$18,'선정 규칙'!$B$19)</x:f>
        <x:v>6</x:v>
      </x:c>
      <x:c r="H1333" s="11" t="n">
        <x:f>IF(ISNUMBER(SEARCH("freq-core",'제외 후보'!AD1333)),'선정 규칙'!$B$20,0)</x:f>
        <x:v>0</x:v>
      </x:c>
      <x:c r="I1333" s="11" t="n">
        <x:f>IF(ISNUMBER(SEARCH("weak_legacy_content",'제외 후보'!P1333)),'선정 규칙'!$B$21,0)</x:f>
        <x:v>5</x:v>
      </x:c>
      <x:c r="J1333" s="11" t="n">
        <x:f>IF('제외 후보'!AC1333&lt;&gt;"",'선정 규칙'!$B$22,0)</x:f>
        <x:v>0</x:v>
      </x:c>
      <x:c r="K1333" s="11" t="n">
        <x:f>SUM(B1333:J1333)</x:f>
        <x:v>-8</x:v>
      </x:c>
      <x:c r="L1333" s="11" t="n">
        <x:f>'제외 후보'!N1333</x:f>
        <x:v>-8</x:v>
      </x:c>
      <x:c r="M1333" s="2" t="str">
        <x:f>IF(K1333=L1333,"OK","MISMATCH")</x:f>
        <x:v>OK</x:v>
      </x:c>
    </x:row>
    <x:row r="1334">
      <x:c r="A1334" s="2" t="str">
        <x:f>'제외 후보'!G1334</x:f>
        <x:v>w_1d8c58529f6a2cf3</x:v>
      </x:c>
      <x:c r="B1334" s="11" t="n">
        <x:f>IF('제외 후보'!Q1334&lt;&gt;"",'선정 규칙'!$B$4,0)</x:f>
        <x:v>0</x:v>
      </x:c>
      <x:c r="C1334" s="11" t="n">
        <x:f>IF(ISNUMBER(SEARCH("jmdict_uncommon_or_irregular",'제외 후보'!P1334)),'선정 규칙'!$B$5,IF(ISNUMBER(SEARCH("jmdict_rare_or_dated",'제외 후보'!P1334)),'선정 규칙'!$B$6,0))</x:f>
        <x:v>0</x:v>
      </x:c>
      <x:c r="D1334" s="11" t="n">
        <x:f>IF(ISNUMBER(SEARCH("jmdict_exact_pair_not_found",'제외 후보'!P1334)),'선정 규칙'!$B$7,0)</x:f>
        <x:v>0</x:v>
      </x:c>
      <x:c r="E1334" s="11" t="n">
        <x:f>IF(OR('제외 후보'!L1334="",'제외 후보'!L1334&lt;=0),'선정 규칙'!$B$8,IF('제외 후보'!L1334&lt;=1.5,'선정 규칙'!$B$9,IF('제외 후보'!L1334&lt;=2,'선정 규칙'!$B$10,IF('제외 후보'!L1334&lt;=2.5,'선정 규칙'!$B$11,IF('제외 후보'!L1334&lt;=3,'선정 규칙'!$B$12,IF('제외 후보'!L1334&lt;=3.5,'선정 규칙'!$B$13,IF('제외 후보'!L1334&gt;=4.5,'선정 규칙'!$B$14,0)))))))</x:f>
        <x:v>6</x:v>
      </x:c>
      <x:c r="F1334" s="11" t="n">
        <x:f>IF('제외 후보'!Y1334=0,'선정 규칙'!$B$15,IF('제외 후보'!Y1334&gt;=100,'선정 규칙'!$B$16,'선정 규칙'!$B$17))</x:f>
        <x:v>-25</x:v>
      </x:c>
      <x:c r="G1334" s="11" t="n">
        <x:f>IF('제외 후보'!M1334="있음",'선정 규칙'!$B$18,'선정 규칙'!$B$19)</x:f>
        <x:v>6</x:v>
      </x:c>
      <x:c r="H1334" s="11" t="n">
        <x:f>IF(ISNUMBER(SEARCH("freq-core",'제외 후보'!AD1334)),'선정 규칙'!$B$20,0)</x:f>
        <x:v>0</x:v>
      </x:c>
      <x:c r="I1334" s="11" t="n">
        <x:f>IF(ISNUMBER(SEARCH("weak_legacy_content",'제외 후보'!P1334)),'선정 규칙'!$B$21,0)</x:f>
        <x:v>5</x:v>
      </x:c>
      <x:c r="J1334" s="11" t="n">
        <x:f>IF('제외 후보'!AC1334&lt;&gt;"",'선정 규칙'!$B$22,0)</x:f>
        <x:v>0</x:v>
      </x:c>
      <x:c r="K1334" s="11" t="n">
        <x:f>SUM(B1334:J1334)</x:f>
        <x:v>-8</x:v>
      </x:c>
      <x:c r="L1334" s="11" t="n">
        <x:f>'제외 후보'!N1334</x:f>
        <x:v>-8</x:v>
      </x:c>
      <x:c r="M1334" s="2" t="str">
        <x:f>IF(K1334=L1334,"OK","MISMATCH")</x:f>
        <x:v>OK</x:v>
      </x:c>
    </x:row>
    <x:row r="1335">
      <x:c r="A1335" s="2" t="str">
        <x:f>'제외 후보'!G1335</x:f>
        <x:v>w_33a01c59dfc2f370</x:v>
      </x:c>
      <x:c r="B1335" s="11" t="n">
        <x:f>IF('제외 후보'!Q1335&lt;&gt;"",'선정 규칙'!$B$4,0)</x:f>
        <x:v>0</x:v>
      </x:c>
      <x:c r="C1335" s="11" t="n">
        <x:f>IF(ISNUMBER(SEARCH("jmdict_uncommon_or_irregular",'제외 후보'!P1335)),'선정 규칙'!$B$5,IF(ISNUMBER(SEARCH("jmdict_rare_or_dated",'제외 후보'!P1335)),'선정 규칙'!$B$6,0))</x:f>
        <x:v>0</x:v>
      </x:c>
      <x:c r="D1335" s="11" t="n">
        <x:f>IF(ISNUMBER(SEARCH("jmdict_exact_pair_not_found",'제외 후보'!P1335)),'선정 규칙'!$B$7,0)</x:f>
        <x:v>0</x:v>
      </x:c>
      <x:c r="E1335" s="11" t="n">
        <x:f>IF(OR('제외 후보'!L1335="",'제외 후보'!L1335&lt;=0),'선정 규칙'!$B$8,IF('제외 후보'!L1335&lt;=1.5,'선정 규칙'!$B$9,IF('제외 후보'!L1335&lt;=2,'선정 규칙'!$B$10,IF('제외 후보'!L1335&lt;=2.5,'선정 규칙'!$B$11,IF('제외 후보'!L1335&lt;=3,'선정 규칙'!$B$12,IF('제외 후보'!L1335&lt;=3.5,'선정 규칙'!$B$13,IF('제외 후보'!L1335&gt;=4.5,'선정 규칙'!$B$14,0)))))))</x:f>
        <x:v>6</x:v>
      </x:c>
      <x:c r="F1335" s="11" t="n">
        <x:f>IF('제외 후보'!Y1335=0,'선정 규칙'!$B$15,IF('제외 후보'!Y1335&gt;=100,'선정 규칙'!$B$16,'선정 규칙'!$B$17))</x:f>
        <x:v>-25</x:v>
      </x:c>
      <x:c r="G1335" s="11" t="n">
        <x:f>IF('제외 후보'!M1335="있음",'선정 규칙'!$B$18,'선정 규칙'!$B$19)</x:f>
        <x:v>6</x:v>
      </x:c>
      <x:c r="H1335" s="11" t="n">
        <x:f>IF(ISNUMBER(SEARCH("freq-core",'제외 후보'!AD1335)),'선정 규칙'!$B$20,0)</x:f>
        <x:v>0</x:v>
      </x:c>
      <x:c r="I1335" s="11" t="n">
        <x:f>IF(ISNUMBER(SEARCH("weak_legacy_content",'제외 후보'!P1335)),'선정 규칙'!$B$21,0)</x:f>
        <x:v>5</x:v>
      </x:c>
      <x:c r="J1335" s="11" t="n">
        <x:f>IF('제외 후보'!AC1335&lt;&gt;"",'선정 규칙'!$B$22,0)</x:f>
        <x:v>0</x:v>
      </x:c>
      <x:c r="K1335" s="11" t="n">
        <x:f>SUM(B1335:J1335)</x:f>
        <x:v>-8</x:v>
      </x:c>
      <x:c r="L1335" s="11" t="n">
        <x:f>'제외 후보'!N1335</x:f>
        <x:v>-8</x:v>
      </x:c>
      <x:c r="M1335" s="2" t="str">
        <x:f>IF(K1335=L1335,"OK","MISMATCH")</x:f>
        <x:v>OK</x:v>
      </x:c>
    </x:row>
    <x:row r="1336">
      <x:c r="A1336" s="2" t="str">
        <x:f>'제외 후보'!G1336</x:f>
        <x:v>w_394086b0b5f607b0</x:v>
      </x:c>
      <x:c r="B1336" s="11" t="n">
        <x:f>IF('제외 후보'!Q1336&lt;&gt;"",'선정 규칙'!$B$4,0)</x:f>
        <x:v>0</x:v>
      </x:c>
      <x:c r="C1336" s="11" t="n">
        <x:f>IF(ISNUMBER(SEARCH("jmdict_uncommon_or_irregular",'제외 후보'!P1336)),'선정 규칙'!$B$5,IF(ISNUMBER(SEARCH("jmdict_rare_or_dated",'제외 후보'!P1336)),'선정 규칙'!$B$6,0))</x:f>
        <x:v>0</x:v>
      </x:c>
      <x:c r="D1336" s="11" t="n">
        <x:f>IF(ISNUMBER(SEARCH("jmdict_exact_pair_not_found",'제외 후보'!P1336)),'선정 규칙'!$B$7,0)</x:f>
        <x:v>0</x:v>
      </x:c>
      <x:c r="E1336" s="11" t="n">
        <x:f>IF(OR('제외 후보'!L1336="",'제외 후보'!L1336&lt;=0),'선정 규칙'!$B$8,IF('제외 후보'!L1336&lt;=1.5,'선정 규칙'!$B$9,IF('제외 후보'!L1336&lt;=2,'선정 규칙'!$B$10,IF('제외 후보'!L1336&lt;=2.5,'선정 규칙'!$B$11,IF('제외 후보'!L1336&lt;=3,'선정 규칙'!$B$12,IF('제외 후보'!L1336&lt;=3.5,'선정 규칙'!$B$13,IF('제외 후보'!L1336&gt;=4.5,'선정 규칙'!$B$14,0)))))))</x:f>
        <x:v>6</x:v>
      </x:c>
      <x:c r="F1336" s="11" t="n">
        <x:f>IF('제외 후보'!Y1336=0,'선정 규칙'!$B$15,IF('제외 후보'!Y1336&gt;=100,'선정 규칙'!$B$16,'선정 규칙'!$B$17))</x:f>
        <x:v>-25</x:v>
      </x:c>
      <x:c r="G1336" s="11" t="n">
        <x:f>IF('제외 후보'!M1336="있음",'선정 규칙'!$B$18,'선정 규칙'!$B$19)</x:f>
        <x:v>6</x:v>
      </x:c>
      <x:c r="H1336" s="11" t="n">
        <x:f>IF(ISNUMBER(SEARCH("freq-core",'제외 후보'!AD1336)),'선정 규칙'!$B$20,0)</x:f>
        <x:v>0</x:v>
      </x:c>
      <x:c r="I1336" s="11" t="n">
        <x:f>IF(ISNUMBER(SEARCH("weak_legacy_content",'제외 후보'!P1336)),'선정 규칙'!$B$21,0)</x:f>
        <x:v>5</x:v>
      </x:c>
      <x:c r="J1336" s="11" t="n">
        <x:f>IF('제외 후보'!AC1336&lt;&gt;"",'선정 규칙'!$B$22,0)</x:f>
        <x:v>0</x:v>
      </x:c>
      <x:c r="K1336" s="11" t="n">
        <x:f>SUM(B1336:J1336)</x:f>
        <x:v>-8</x:v>
      </x:c>
      <x:c r="L1336" s="11" t="n">
        <x:f>'제외 후보'!N1336</x:f>
        <x:v>-8</x:v>
      </x:c>
      <x:c r="M1336" s="2" t="str">
        <x:f>IF(K1336=L1336,"OK","MISMATCH")</x:f>
        <x:v>OK</x:v>
      </x:c>
    </x:row>
    <x:row r="1337">
      <x:c r="A1337" s="2" t="str">
        <x:f>'제외 후보'!G1337</x:f>
        <x:v>w_49bb1afcb7859161</x:v>
      </x:c>
      <x:c r="B1337" s="11" t="n">
        <x:f>IF('제외 후보'!Q1337&lt;&gt;"",'선정 규칙'!$B$4,0)</x:f>
        <x:v>0</x:v>
      </x:c>
      <x:c r="C1337" s="11" t="n">
        <x:f>IF(ISNUMBER(SEARCH("jmdict_uncommon_or_irregular",'제외 후보'!P1337)),'선정 규칙'!$B$5,IF(ISNUMBER(SEARCH("jmdict_rare_or_dated",'제외 후보'!P1337)),'선정 규칙'!$B$6,0))</x:f>
        <x:v>0</x:v>
      </x:c>
      <x:c r="D1337" s="11" t="n">
        <x:f>IF(ISNUMBER(SEARCH("jmdict_exact_pair_not_found",'제외 후보'!P1337)),'선정 규칙'!$B$7,0)</x:f>
        <x:v>0</x:v>
      </x:c>
      <x:c r="E1337" s="11" t="n">
        <x:f>IF(OR('제외 후보'!L1337="",'제외 후보'!L1337&lt;=0),'선정 규칙'!$B$8,IF('제외 후보'!L1337&lt;=1.5,'선정 규칙'!$B$9,IF('제외 후보'!L1337&lt;=2,'선정 규칙'!$B$10,IF('제외 후보'!L1337&lt;=2.5,'선정 규칙'!$B$11,IF('제외 후보'!L1337&lt;=3,'선정 규칙'!$B$12,IF('제외 후보'!L1337&lt;=3.5,'선정 규칙'!$B$13,IF('제외 후보'!L1337&gt;=4.5,'선정 규칙'!$B$14,0)))))))</x:f>
        <x:v>6</x:v>
      </x:c>
      <x:c r="F1337" s="11" t="n">
        <x:f>IF('제외 후보'!Y1337=0,'선정 규칙'!$B$15,IF('제외 후보'!Y1337&gt;=100,'선정 규칙'!$B$16,'선정 규칙'!$B$17))</x:f>
        <x:v>-25</x:v>
      </x:c>
      <x:c r="G1337" s="11" t="n">
        <x:f>IF('제외 후보'!M1337="있음",'선정 규칙'!$B$18,'선정 규칙'!$B$19)</x:f>
        <x:v>6</x:v>
      </x:c>
      <x:c r="H1337" s="11" t="n">
        <x:f>IF(ISNUMBER(SEARCH("freq-core",'제외 후보'!AD1337)),'선정 규칙'!$B$20,0)</x:f>
        <x:v>0</x:v>
      </x:c>
      <x:c r="I1337" s="11" t="n">
        <x:f>IF(ISNUMBER(SEARCH("weak_legacy_content",'제외 후보'!P1337)),'선정 규칙'!$B$21,0)</x:f>
        <x:v>5</x:v>
      </x:c>
      <x:c r="J1337" s="11" t="n">
        <x:f>IF('제외 후보'!AC1337&lt;&gt;"",'선정 규칙'!$B$22,0)</x:f>
        <x:v>0</x:v>
      </x:c>
      <x:c r="K1337" s="11" t="n">
        <x:f>SUM(B1337:J1337)</x:f>
        <x:v>-8</x:v>
      </x:c>
      <x:c r="L1337" s="11" t="n">
        <x:f>'제외 후보'!N1337</x:f>
        <x:v>-8</x:v>
      </x:c>
      <x:c r="M1337" s="2" t="str">
        <x:f>IF(K1337=L1337,"OK","MISMATCH")</x:f>
        <x:v>OK</x:v>
      </x:c>
    </x:row>
    <x:row r="1338">
      <x:c r="A1338" s="2" t="str">
        <x:f>'제외 후보'!G1338</x:f>
        <x:v>w_66161e64a1fedd91</x:v>
      </x:c>
      <x:c r="B1338" s="11" t="n">
        <x:f>IF('제외 후보'!Q1338&lt;&gt;"",'선정 규칙'!$B$4,0)</x:f>
        <x:v>0</x:v>
      </x:c>
      <x:c r="C1338" s="11" t="n">
        <x:f>IF(ISNUMBER(SEARCH("jmdict_uncommon_or_irregular",'제외 후보'!P1338)),'선정 규칙'!$B$5,IF(ISNUMBER(SEARCH("jmdict_rare_or_dated",'제외 후보'!P1338)),'선정 규칙'!$B$6,0))</x:f>
        <x:v>0</x:v>
      </x:c>
      <x:c r="D1338" s="11" t="n">
        <x:f>IF(ISNUMBER(SEARCH("jmdict_exact_pair_not_found",'제외 후보'!P1338)),'선정 규칙'!$B$7,0)</x:f>
        <x:v>0</x:v>
      </x:c>
      <x:c r="E1338" s="11" t="n">
        <x:f>IF(OR('제외 후보'!L1338="",'제외 후보'!L1338&lt;=0),'선정 규칙'!$B$8,IF('제외 후보'!L1338&lt;=1.5,'선정 규칙'!$B$9,IF('제외 후보'!L1338&lt;=2,'선정 규칙'!$B$10,IF('제외 후보'!L1338&lt;=2.5,'선정 규칙'!$B$11,IF('제외 후보'!L1338&lt;=3,'선정 규칙'!$B$12,IF('제외 후보'!L1338&lt;=3.5,'선정 규칙'!$B$13,IF('제외 후보'!L1338&gt;=4.5,'선정 규칙'!$B$14,0)))))))</x:f>
        <x:v>6</x:v>
      </x:c>
      <x:c r="F1338" s="11" t="n">
        <x:f>IF('제외 후보'!Y1338=0,'선정 규칙'!$B$15,IF('제외 후보'!Y1338&gt;=100,'선정 규칙'!$B$16,'선정 규칙'!$B$17))</x:f>
        <x:v>-25</x:v>
      </x:c>
      <x:c r="G1338" s="11" t="n">
        <x:f>IF('제외 후보'!M1338="있음",'선정 규칙'!$B$18,'선정 규칙'!$B$19)</x:f>
        <x:v>6</x:v>
      </x:c>
      <x:c r="H1338" s="11" t="n">
        <x:f>IF(ISNUMBER(SEARCH("freq-core",'제외 후보'!AD1338)),'선정 규칙'!$B$20,0)</x:f>
        <x:v>0</x:v>
      </x:c>
      <x:c r="I1338" s="11" t="n">
        <x:f>IF(ISNUMBER(SEARCH("weak_legacy_content",'제외 후보'!P1338)),'선정 규칙'!$B$21,0)</x:f>
        <x:v>5</x:v>
      </x:c>
      <x:c r="J1338" s="11" t="n">
        <x:f>IF('제외 후보'!AC1338&lt;&gt;"",'선정 규칙'!$B$22,0)</x:f>
        <x:v>0</x:v>
      </x:c>
      <x:c r="K1338" s="11" t="n">
        <x:f>SUM(B1338:J1338)</x:f>
        <x:v>-8</x:v>
      </x:c>
      <x:c r="L1338" s="11" t="n">
        <x:f>'제외 후보'!N1338</x:f>
        <x:v>-8</x:v>
      </x:c>
      <x:c r="M1338" s="2" t="str">
        <x:f>IF(K1338=L1338,"OK","MISMATCH")</x:f>
        <x:v>OK</x:v>
      </x:c>
    </x:row>
    <x:row r="1339">
      <x:c r="A1339" s="2" t="str">
        <x:f>'제외 후보'!G1339</x:f>
        <x:v>w_77072cf78322487c</x:v>
      </x:c>
      <x:c r="B1339" s="11" t="n">
        <x:f>IF('제외 후보'!Q1339&lt;&gt;"",'선정 규칙'!$B$4,0)</x:f>
        <x:v>0</x:v>
      </x:c>
      <x:c r="C1339" s="11" t="n">
        <x:f>IF(ISNUMBER(SEARCH("jmdict_uncommon_or_irregular",'제외 후보'!P1339)),'선정 규칙'!$B$5,IF(ISNUMBER(SEARCH("jmdict_rare_or_dated",'제외 후보'!P1339)),'선정 규칙'!$B$6,0))</x:f>
        <x:v>0</x:v>
      </x:c>
      <x:c r="D1339" s="11" t="n">
        <x:f>IF(ISNUMBER(SEARCH("jmdict_exact_pair_not_found",'제외 후보'!P1339)),'선정 규칙'!$B$7,0)</x:f>
        <x:v>0</x:v>
      </x:c>
      <x:c r="E1339" s="11" t="n">
        <x:f>IF(OR('제외 후보'!L1339="",'제외 후보'!L1339&lt;=0),'선정 규칙'!$B$8,IF('제외 후보'!L1339&lt;=1.5,'선정 규칙'!$B$9,IF('제외 후보'!L1339&lt;=2,'선정 규칙'!$B$10,IF('제외 후보'!L1339&lt;=2.5,'선정 규칙'!$B$11,IF('제외 후보'!L1339&lt;=3,'선정 규칙'!$B$12,IF('제외 후보'!L1339&lt;=3.5,'선정 규칙'!$B$13,IF('제외 후보'!L1339&gt;=4.5,'선정 규칙'!$B$14,0)))))))</x:f>
        <x:v>6</x:v>
      </x:c>
      <x:c r="F1339" s="11" t="n">
        <x:f>IF('제외 후보'!Y1339=0,'선정 규칙'!$B$15,IF('제외 후보'!Y1339&gt;=100,'선정 규칙'!$B$16,'선정 규칙'!$B$17))</x:f>
        <x:v>-25</x:v>
      </x:c>
      <x:c r="G1339" s="11" t="n">
        <x:f>IF('제외 후보'!M1339="있음",'선정 규칙'!$B$18,'선정 규칙'!$B$19)</x:f>
        <x:v>6</x:v>
      </x:c>
      <x:c r="H1339" s="11" t="n">
        <x:f>IF(ISNUMBER(SEARCH("freq-core",'제외 후보'!AD1339)),'선정 규칙'!$B$20,0)</x:f>
        <x:v>0</x:v>
      </x:c>
      <x:c r="I1339" s="11" t="n">
        <x:f>IF(ISNUMBER(SEARCH("weak_legacy_content",'제외 후보'!P1339)),'선정 규칙'!$B$21,0)</x:f>
        <x:v>5</x:v>
      </x:c>
      <x:c r="J1339" s="11" t="n">
        <x:f>IF('제외 후보'!AC1339&lt;&gt;"",'선정 규칙'!$B$22,0)</x:f>
        <x:v>0</x:v>
      </x:c>
      <x:c r="K1339" s="11" t="n">
        <x:f>SUM(B1339:J1339)</x:f>
        <x:v>-8</x:v>
      </x:c>
      <x:c r="L1339" s="11" t="n">
        <x:f>'제외 후보'!N1339</x:f>
        <x:v>-8</x:v>
      </x:c>
      <x:c r="M1339" s="2" t="str">
        <x:f>IF(K1339=L1339,"OK","MISMATCH")</x:f>
        <x:v>OK</x:v>
      </x:c>
    </x:row>
    <x:row r="1340">
      <x:c r="A1340" s="2" t="str">
        <x:f>'제외 후보'!G1340</x:f>
        <x:v>w_ca370c968ccf44ee</x:v>
      </x:c>
      <x:c r="B1340" s="11" t="n">
        <x:f>IF('제외 후보'!Q1340&lt;&gt;"",'선정 규칙'!$B$4,0)</x:f>
        <x:v>0</x:v>
      </x:c>
      <x:c r="C1340" s="11" t="n">
        <x:f>IF(ISNUMBER(SEARCH("jmdict_uncommon_or_irregular",'제외 후보'!P1340)),'선정 규칙'!$B$5,IF(ISNUMBER(SEARCH("jmdict_rare_or_dated",'제외 후보'!P1340)),'선정 규칙'!$B$6,0))</x:f>
        <x:v>0</x:v>
      </x:c>
      <x:c r="D1340" s="11" t="n">
        <x:f>IF(ISNUMBER(SEARCH("jmdict_exact_pair_not_found",'제외 후보'!P1340)),'선정 규칙'!$B$7,0)</x:f>
        <x:v>0</x:v>
      </x:c>
      <x:c r="E1340" s="11" t="n">
        <x:f>IF(OR('제외 후보'!L1340="",'제외 후보'!L1340&lt;=0),'선정 규칙'!$B$8,IF('제외 후보'!L1340&lt;=1.5,'선정 규칙'!$B$9,IF('제외 후보'!L1340&lt;=2,'선정 규칙'!$B$10,IF('제외 후보'!L1340&lt;=2.5,'선정 규칙'!$B$11,IF('제외 후보'!L1340&lt;=3,'선정 규칙'!$B$12,IF('제외 후보'!L1340&lt;=3.5,'선정 규칙'!$B$13,IF('제외 후보'!L1340&gt;=4.5,'선정 규칙'!$B$14,0)))))))</x:f>
        <x:v>6</x:v>
      </x:c>
      <x:c r="F1340" s="11" t="n">
        <x:f>IF('제외 후보'!Y1340=0,'선정 규칙'!$B$15,IF('제외 후보'!Y1340&gt;=100,'선정 규칙'!$B$16,'선정 규칙'!$B$17))</x:f>
        <x:v>-25</x:v>
      </x:c>
      <x:c r="G1340" s="11" t="n">
        <x:f>IF('제외 후보'!M1340="있음",'선정 규칙'!$B$18,'선정 규칙'!$B$19)</x:f>
        <x:v>6</x:v>
      </x:c>
      <x:c r="H1340" s="11" t="n">
        <x:f>IF(ISNUMBER(SEARCH("freq-core",'제외 후보'!AD1340)),'선정 규칙'!$B$20,0)</x:f>
        <x:v>0</x:v>
      </x:c>
      <x:c r="I1340" s="11" t="n">
        <x:f>IF(ISNUMBER(SEARCH("weak_legacy_content",'제외 후보'!P1340)),'선정 규칙'!$B$21,0)</x:f>
        <x:v>5</x:v>
      </x:c>
      <x:c r="J1340" s="11" t="n">
        <x:f>IF('제외 후보'!AC1340&lt;&gt;"",'선정 규칙'!$B$22,0)</x:f>
        <x:v>0</x:v>
      </x:c>
      <x:c r="K1340" s="11" t="n">
        <x:f>SUM(B1340:J1340)</x:f>
        <x:v>-8</x:v>
      </x:c>
      <x:c r="L1340" s="11" t="n">
        <x:f>'제외 후보'!N1340</x:f>
        <x:v>-8</x:v>
      </x:c>
      <x:c r="M1340" s="2" t="str">
        <x:f>IF(K1340=L1340,"OK","MISMATCH")</x:f>
        <x:v>OK</x:v>
      </x:c>
    </x:row>
    <x:row r="1341">
      <x:c r="A1341" s="2" t="str">
        <x:f>'제외 후보'!G1341</x:f>
        <x:v>w_ae85dbaaa55f38f2</x:v>
      </x:c>
      <x:c r="B1341" s="11" t="n">
        <x:f>IF('제외 후보'!Q1341&lt;&gt;"",'선정 규칙'!$B$4,0)</x:f>
        <x:v>0</x:v>
      </x:c>
      <x:c r="C1341" s="11" t="n">
        <x:f>IF(ISNUMBER(SEARCH("jmdict_uncommon_or_irregular",'제외 후보'!P1341)),'선정 규칙'!$B$5,IF(ISNUMBER(SEARCH("jmdict_rare_or_dated",'제외 후보'!P1341)),'선정 규칙'!$B$6,0))</x:f>
        <x:v>0</x:v>
      </x:c>
      <x:c r="D1341" s="11" t="n">
        <x:f>IF(ISNUMBER(SEARCH("jmdict_exact_pair_not_found",'제외 후보'!P1341)),'선정 규칙'!$B$7,0)</x:f>
        <x:v>0</x:v>
      </x:c>
      <x:c r="E1341" s="11" t="n">
        <x:f>IF(OR('제외 후보'!L1341="",'제외 후보'!L1341&lt;=0),'선정 규칙'!$B$8,IF('제외 후보'!L1341&lt;=1.5,'선정 규칙'!$B$9,IF('제외 후보'!L1341&lt;=2,'선정 규칙'!$B$10,IF('제외 후보'!L1341&lt;=2.5,'선정 규칙'!$B$11,IF('제외 후보'!L1341&lt;=3,'선정 규칙'!$B$12,IF('제외 후보'!L1341&lt;=3.5,'선정 규칙'!$B$13,IF('제외 후보'!L1341&gt;=4.5,'선정 규칙'!$B$14,0)))))))</x:f>
        <x:v>6</x:v>
      </x:c>
      <x:c r="F1341" s="11" t="n">
        <x:f>IF('제외 후보'!Y1341=0,'선정 규칙'!$B$15,IF('제외 후보'!Y1341&gt;=100,'선정 규칙'!$B$16,'선정 규칙'!$B$17))</x:f>
        <x:v>-25</x:v>
      </x:c>
      <x:c r="G1341" s="11" t="n">
        <x:f>IF('제외 후보'!M1341="있음",'선정 규칙'!$B$18,'선정 규칙'!$B$19)</x:f>
        <x:v>6</x:v>
      </x:c>
      <x:c r="H1341" s="11" t="n">
        <x:f>IF(ISNUMBER(SEARCH("freq-core",'제외 후보'!AD1341)),'선정 규칙'!$B$20,0)</x:f>
        <x:v>0</x:v>
      </x:c>
      <x:c r="I1341" s="11" t="n">
        <x:f>IF(ISNUMBER(SEARCH("weak_legacy_content",'제외 후보'!P1341)),'선정 규칙'!$B$21,0)</x:f>
        <x:v>5</x:v>
      </x:c>
      <x:c r="J1341" s="11" t="n">
        <x:f>IF('제외 후보'!AC1341&lt;&gt;"",'선정 규칙'!$B$22,0)</x:f>
        <x:v>0</x:v>
      </x:c>
      <x:c r="K1341" s="11" t="n">
        <x:f>SUM(B1341:J1341)</x:f>
        <x:v>-8</x:v>
      </x:c>
      <x:c r="L1341" s="11" t="n">
        <x:f>'제외 후보'!N1341</x:f>
        <x:v>-8</x:v>
      </x:c>
      <x:c r="M1341" s="2" t="str">
        <x:f>IF(K1341=L1341,"OK","MISMATCH")</x:f>
        <x:v>OK</x:v>
      </x:c>
    </x:row>
    <x:row r="1342">
      <x:c r="A1342" s="2" t="str">
        <x:f>'제외 후보'!G1342</x:f>
        <x:v>w_e73ffdf2b5edcf51</x:v>
      </x:c>
      <x:c r="B1342" s="11" t="n">
        <x:f>IF('제외 후보'!Q1342&lt;&gt;"",'선정 규칙'!$B$4,0)</x:f>
        <x:v>0</x:v>
      </x:c>
      <x:c r="C1342" s="11" t="n">
        <x:f>IF(ISNUMBER(SEARCH("jmdict_uncommon_or_irregular",'제외 후보'!P1342)),'선정 규칙'!$B$5,IF(ISNUMBER(SEARCH("jmdict_rare_or_dated",'제외 후보'!P1342)),'선정 규칙'!$B$6,0))</x:f>
        <x:v>0</x:v>
      </x:c>
      <x:c r="D1342" s="11" t="n">
        <x:f>IF(ISNUMBER(SEARCH("jmdict_exact_pair_not_found",'제외 후보'!P1342)),'선정 규칙'!$B$7,0)</x:f>
        <x:v>0</x:v>
      </x:c>
      <x:c r="E1342" s="11" t="n">
        <x:f>IF(OR('제외 후보'!L1342="",'제외 후보'!L1342&lt;=0),'선정 규칙'!$B$8,IF('제외 후보'!L1342&lt;=1.5,'선정 규칙'!$B$9,IF('제외 후보'!L1342&lt;=2,'선정 규칙'!$B$10,IF('제외 후보'!L1342&lt;=2.5,'선정 규칙'!$B$11,IF('제외 후보'!L1342&lt;=3,'선정 규칙'!$B$12,IF('제외 후보'!L1342&lt;=3.5,'선정 규칙'!$B$13,IF('제외 후보'!L1342&gt;=4.5,'선정 규칙'!$B$14,0)))))))</x:f>
        <x:v>6</x:v>
      </x:c>
      <x:c r="F1342" s="11" t="n">
        <x:f>IF('제외 후보'!Y1342=0,'선정 규칙'!$B$15,IF('제외 후보'!Y1342&gt;=100,'선정 규칙'!$B$16,'선정 규칙'!$B$17))</x:f>
        <x:v>-25</x:v>
      </x:c>
      <x:c r="G1342" s="11" t="n">
        <x:f>IF('제외 후보'!M1342="있음",'선정 규칙'!$B$18,'선정 규칙'!$B$19)</x:f>
        <x:v>6</x:v>
      </x:c>
      <x:c r="H1342" s="11" t="n">
        <x:f>IF(ISNUMBER(SEARCH("freq-core",'제외 후보'!AD1342)),'선정 규칙'!$B$20,0)</x:f>
        <x:v>0</x:v>
      </x:c>
      <x:c r="I1342" s="11" t="n">
        <x:f>IF(ISNUMBER(SEARCH("weak_legacy_content",'제외 후보'!P1342)),'선정 규칙'!$B$21,0)</x:f>
        <x:v>5</x:v>
      </x:c>
      <x:c r="J1342" s="11" t="n">
        <x:f>IF('제외 후보'!AC1342&lt;&gt;"",'선정 규칙'!$B$22,0)</x:f>
        <x:v>0</x:v>
      </x:c>
      <x:c r="K1342" s="11" t="n">
        <x:f>SUM(B1342:J1342)</x:f>
        <x:v>-8</x:v>
      </x:c>
      <x:c r="L1342" s="11" t="n">
        <x:f>'제외 후보'!N1342</x:f>
        <x:v>-8</x:v>
      </x:c>
      <x:c r="M1342" s="2" t="str">
        <x:f>IF(K1342=L1342,"OK","MISMATCH")</x:f>
        <x:v>OK</x:v>
      </x:c>
    </x:row>
    <x:row r="1343">
      <x:c r="A1343" s="2" t="str">
        <x:f>'제외 후보'!G1343</x:f>
        <x:v>w_1acc9dd872e06a4d</x:v>
      </x:c>
      <x:c r="B1343" s="11" t="n">
        <x:f>IF('제외 후보'!Q1343&lt;&gt;"",'선정 규칙'!$B$4,0)</x:f>
        <x:v>0</x:v>
      </x:c>
      <x:c r="C1343" s="11" t="n">
        <x:f>IF(ISNUMBER(SEARCH("jmdict_uncommon_or_irregular",'제외 후보'!P1343)),'선정 규칙'!$B$5,IF(ISNUMBER(SEARCH("jmdict_rare_or_dated",'제외 후보'!P1343)),'선정 규칙'!$B$6,0))</x:f>
        <x:v>0</x:v>
      </x:c>
      <x:c r="D1343" s="11" t="n">
        <x:f>IF(ISNUMBER(SEARCH("jmdict_exact_pair_not_found",'제외 후보'!P1343)),'선정 규칙'!$B$7,0)</x:f>
        <x:v>0</x:v>
      </x:c>
      <x:c r="E1343" s="11" t="n">
        <x:f>IF(OR('제외 후보'!L1343="",'제외 후보'!L1343&lt;=0),'선정 규칙'!$B$8,IF('제외 후보'!L1343&lt;=1.5,'선정 규칙'!$B$9,IF('제외 후보'!L1343&lt;=2,'선정 규칙'!$B$10,IF('제외 후보'!L1343&lt;=2.5,'선정 규칙'!$B$11,IF('제외 후보'!L1343&lt;=3,'선정 규칙'!$B$12,IF('제외 후보'!L1343&lt;=3.5,'선정 규칙'!$B$13,IF('제외 후보'!L1343&gt;=4.5,'선정 규칙'!$B$14,0)))))))</x:f>
        <x:v>6</x:v>
      </x:c>
      <x:c r="F1343" s="11" t="n">
        <x:f>IF('제외 후보'!Y1343=0,'선정 규칙'!$B$15,IF('제외 후보'!Y1343&gt;=100,'선정 규칙'!$B$16,'선정 규칙'!$B$17))</x:f>
        <x:v>-25</x:v>
      </x:c>
      <x:c r="G1343" s="11" t="n">
        <x:f>IF('제외 후보'!M1343="있음",'선정 규칙'!$B$18,'선정 규칙'!$B$19)</x:f>
        <x:v>6</x:v>
      </x:c>
      <x:c r="H1343" s="11" t="n">
        <x:f>IF(ISNUMBER(SEARCH("freq-core",'제외 후보'!AD1343)),'선정 규칙'!$B$20,0)</x:f>
        <x:v>0</x:v>
      </x:c>
      <x:c r="I1343" s="11" t="n">
        <x:f>IF(ISNUMBER(SEARCH("weak_legacy_content",'제외 후보'!P1343)),'선정 규칙'!$B$21,0)</x:f>
        <x:v>5</x:v>
      </x:c>
      <x:c r="J1343" s="11" t="n">
        <x:f>IF('제외 후보'!AC1343&lt;&gt;"",'선정 규칙'!$B$22,0)</x:f>
        <x:v>0</x:v>
      </x:c>
      <x:c r="K1343" s="11" t="n">
        <x:f>SUM(B1343:J1343)</x:f>
        <x:v>-8</x:v>
      </x:c>
      <x:c r="L1343" s="11" t="n">
        <x:f>'제외 후보'!N1343</x:f>
        <x:v>-8</x:v>
      </x:c>
      <x:c r="M1343" s="2" t="str">
        <x:f>IF(K1343=L1343,"OK","MISMATCH")</x:f>
        <x:v>OK</x:v>
      </x:c>
    </x:row>
    <x:row r="1344">
      <x:c r="A1344" s="2" t="str">
        <x:f>'제외 후보'!G1344</x:f>
        <x:v>w_5ae440548476d253</x:v>
      </x:c>
      <x:c r="B1344" s="11" t="n">
        <x:f>IF('제외 후보'!Q1344&lt;&gt;"",'선정 규칙'!$B$4,0)</x:f>
        <x:v>0</x:v>
      </x:c>
      <x:c r="C1344" s="11" t="n">
        <x:f>IF(ISNUMBER(SEARCH("jmdict_uncommon_or_irregular",'제외 후보'!P1344)),'선정 규칙'!$B$5,IF(ISNUMBER(SEARCH("jmdict_rare_or_dated",'제외 후보'!P1344)),'선정 규칙'!$B$6,0))</x:f>
        <x:v>0</x:v>
      </x:c>
      <x:c r="D1344" s="11" t="n">
        <x:f>IF(ISNUMBER(SEARCH("jmdict_exact_pair_not_found",'제외 후보'!P1344)),'선정 규칙'!$B$7,0)</x:f>
        <x:v>0</x:v>
      </x:c>
      <x:c r="E1344" s="11" t="n">
        <x:f>IF(OR('제외 후보'!L1344="",'제외 후보'!L1344&lt;=0),'선정 규칙'!$B$8,IF('제외 후보'!L1344&lt;=1.5,'선정 규칙'!$B$9,IF('제외 후보'!L1344&lt;=2,'선정 규칙'!$B$10,IF('제외 후보'!L1344&lt;=2.5,'선정 규칙'!$B$11,IF('제외 후보'!L1344&lt;=3,'선정 규칙'!$B$12,IF('제외 후보'!L1344&lt;=3.5,'선정 규칙'!$B$13,IF('제외 후보'!L1344&gt;=4.5,'선정 규칙'!$B$14,0)))))))</x:f>
        <x:v>6</x:v>
      </x:c>
      <x:c r="F1344" s="11" t="n">
        <x:f>IF('제외 후보'!Y1344=0,'선정 규칙'!$B$15,IF('제외 후보'!Y1344&gt;=100,'선정 규칙'!$B$16,'선정 규칙'!$B$17))</x:f>
        <x:v>-25</x:v>
      </x:c>
      <x:c r="G1344" s="11" t="n">
        <x:f>IF('제외 후보'!M1344="있음",'선정 규칙'!$B$18,'선정 규칙'!$B$19)</x:f>
        <x:v>6</x:v>
      </x:c>
      <x:c r="H1344" s="11" t="n">
        <x:f>IF(ISNUMBER(SEARCH("freq-core",'제외 후보'!AD1344)),'선정 규칙'!$B$20,0)</x:f>
        <x:v>0</x:v>
      </x:c>
      <x:c r="I1344" s="11" t="n">
        <x:f>IF(ISNUMBER(SEARCH("weak_legacy_content",'제외 후보'!P1344)),'선정 규칙'!$B$21,0)</x:f>
        <x:v>5</x:v>
      </x:c>
      <x:c r="J1344" s="11" t="n">
        <x:f>IF('제외 후보'!AC1344&lt;&gt;"",'선정 규칙'!$B$22,0)</x:f>
        <x:v>0</x:v>
      </x:c>
      <x:c r="K1344" s="11" t="n">
        <x:f>SUM(B1344:J1344)</x:f>
        <x:v>-8</x:v>
      </x:c>
      <x:c r="L1344" s="11" t="n">
        <x:f>'제외 후보'!N1344</x:f>
        <x:v>-8</x:v>
      </x:c>
      <x:c r="M1344" s="2" t="str">
        <x:f>IF(K1344=L1344,"OK","MISMATCH")</x:f>
        <x:v>OK</x:v>
      </x:c>
    </x:row>
    <x:row r="1345">
      <x:c r="A1345" s="2" t="str">
        <x:f>'제외 후보'!G1345</x:f>
        <x:v>w_c1e56e687da5a762</x:v>
      </x:c>
      <x:c r="B1345" s="11" t="n">
        <x:f>IF('제외 후보'!Q1345&lt;&gt;"",'선정 규칙'!$B$4,0)</x:f>
        <x:v>0</x:v>
      </x:c>
      <x:c r="C1345" s="11" t="n">
        <x:f>IF(ISNUMBER(SEARCH("jmdict_uncommon_or_irregular",'제외 후보'!P1345)),'선정 규칙'!$B$5,IF(ISNUMBER(SEARCH("jmdict_rare_or_dated",'제외 후보'!P1345)),'선정 규칙'!$B$6,0))</x:f>
        <x:v>0</x:v>
      </x:c>
      <x:c r="D1345" s="11" t="n">
        <x:f>IF(ISNUMBER(SEARCH("jmdict_exact_pair_not_found",'제외 후보'!P1345)),'선정 규칙'!$B$7,0)</x:f>
        <x:v>0</x:v>
      </x:c>
      <x:c r="E1345" s="11" t="n">
        <x:f>IF(OR('제외 후보'!L1345="",'제외 후보'!L1345&lt;=0),'선정 규칙'!$B$8,IF('제외 후보'!L1345&lt;=1.5,'선정 규칙'!$B$9,IF('제외 후보'!L1345&lt;=2,'선정 규칙'!$B$10,IF('제외 후보'!L1345&lt;=2.5,'선정 규칙'!$B$11,IF('제외 후보'!L1345&lt;=3,'선정 규칙'!$B$12,IF('제외 후보'!L1345&lt;=3.5,'선정 규칙'!$B$13,IF('제외 후보'!L1345&gt;=4.5,'선정 규칙'!$B$14,0)))))))</x:f>
        <x:v>6</x:v>
      </x:c>
      <x:c r="F1345" s="11" t="n">
        <x:f>IF('제외 후보'!Y1345=0,'선정 규칙'!$B$15,IF('제외 후보'!Y1345&gt;=100,'선정 규칙'!$B$16,'선정 규칙'!$B$17))</x:f>
        <x:v>-25</x:v>
      </x:c>
      <x:c r="G1345" s="11" t="n">
        <x:f>IF('제외 후보'!M1345="있음",'선정 규칙'!$B$18,'선정 규칙'!$B$19)</x:f>
        <x:v>6</x:v>
      </x:c>
      <x:c r="H1345" s="11" t="n">
        <x:f>IF(ISNUMBER(SEARCH("freq-core",'제외 후보'!AD1345)),'선정 규칙'!$B$20,0)</x:f>
        <x:v>0</x:v>
      </x:c>
      <x:c r="I1345" s="11" t="n">
        <x:f>IF(ISNUMBER(SEARCH("weak_legacy_content",'제외 후보'!P1345)),'선정 규칙'!$B$21,0)</x:f>
        <x:v>5</x:v>
      </x:c>
      <x:c r="J1345" s="11" t="n">
        <x:f>IF('제외 후보'!AC1345&lt;&gt;"",'선정 규칙'!$B$22,0)</x:f>
        <x:v>0</x:v>
      </x:c>
      <x:c r="K1345" s="11" t="n">
        <x:f>SUM(B1345:J1345)</x:f>
        <x:v>-8</x:v>
      </x:c>
      <x:c r="L1345" s="11" t="n">
        <x:f>'제외 후보'!N1345</x:f>
        <x:v>-8</x:v>
      </x:c>
      <x:c r="M1345" s="2" t="str">
        <x:f>IF(K1345=L1345,"OK","MISMATCH")</x:f>
        <x:v>OK</x:v>
      </x:c>
    </x:row>
    <x:row r="1346">
      <x:c r="A1346" s="2" t="str">
        <x:f>'제외 후보'!G1346</x:f>
        <x:v>w_526984765e2b6c63</x:v>
      </x:c>
      <x:c r="B1346" s="11" t="n">
        <x:f>IF('제외 후보'!Q1346&lt;&gt;"",'선정 규칙'!$B$4,0)</x:f>
        <x:v>0</x:v>
      </x:c>
      <x:c r="C1346" s="11" t="n">
        <x:f>IF(ISNUMBER(SEARCH("jmdict_uncommon_or_irregular",'제외 후보'!P1346)),'선정 규칙'!$B$5,IF(ISNUMBER(SEARCH("jmdict_rare_or_dated",'제외 후보'!P1346)),'선정 규칙'!$B$6,0))</x:f>
        <x:v>0</x:v>
      </x:c>
      <x:c r="D1346" s="11" t="n">
        <x:f>IF(ISNUMBER(SEARCH("jmdict_exact_pair_not_found",'제외 후보'!P1346)),'선정 규칙'!$B$7,0)</x:f>
        <x:v>0</x:v>
      </x:c>
      <x:c r="E1346" s="11" t="n">
        <x:f>IF(OR('제외 후보'!L1346="",'제외 후보'!L1346&lt;=0),'선정 규칙'!$B$8,IF('제외 후보'!L1346&lt;=1.5,'선정 규칙'!$B$9,IF('제외 후보'!L1346&lt;=2,'선정 규칙'!$B$10,IF('제외 후보'!L1346&lt;=2.5,'선정 규칙'!$B$11,IF('제외 후보'!L1346&lt;=3,'선정 규칙'!$B$12,IF('제외 후보'!L1346&lt;=3.5,'선정 규칙'!$B$13,IF('제외 후보'!L1346&gt;=4.5,'선정 규칙'!$B$14,0)))))))</x:f>
        <x:v>6</x:v>
      </x:c>
      <x:c r="F1346" s="11" t="n">
        <x:f>IF('제외 후보'!Y1346=0,'선정 규칙'!$B$15,IF('제외 후보'!Y1346&gt;=100,'선정 규칙'!$B$16,'선정 규칙'!$B$17))</x:f>
        <x:v>-25</x:v>
      </x:c>
      <x:c r="G1346" s="11" t="n">
        <x:f>IF('제외 후보'!M1346="있음",'선정 규칙'!$B$18,'선정 규칙'!$B$19)</x:f>
        <x:v>6</x:v>
      </x:c>
      <x:c r="H1346" s="11" t="n">
        <x:f>IF(ISNUMBER(SEARCH("freq-core",'제외 후보'!AD1346)),'선정 규칙'!$B$20,0)</x:f>
        <x:v>0</x:v>
      </x:c>
      <x:c r="I1346" s="11" t="n">
        <x:f>IF(ISNUMBER(SEARCH("weak_legacy_content",'제외 후보'!P1346)),'선정 규칙'!$B$21,0)</x:f>
        <x:v>5</x:v>
      </x:c>
      <x:c r="J1346" s="11" t="n">
        <x:f>IF('제외 후보'!AC1346&lt;&gt;"",'선정 규칙'!$B$22,0)</x:f>
        <x:v>0</x:v>
      </x:c>
      <x:c r="K1346" s="11" t="n">
        <x:f>SUM(B1346:J1346)</x:f>
        <x:v>-8</x:v>
      </x:c>
      <x:c r="L1346" s="11" t="n">
        <x:f>'제외 후보'!N1346</x:f>
        <x:v>-8</x:v>
      </x:c>
      <x:c r="M1346" s="2" t="str">
        <x:f>IF(K1346=L1346,"OK","MISMATCH")</x:f>
        <x:v>OK</x:v>
      </x:c>
    </x:row>
    <x:row r="1347">
      <x:c r="A1347" s="2" t="str">
        <x:f>'제외 후보'!G1347</x:f>
        <x:v>w_634085b8ca61db50</x:v>
      </x:c>
      <x:c r="B1347" s="11" t="n">
        <x:f>IF('제외 후보'!Q1347&lt;&gt;"",'선정 규칙'!$B$4,0)</x:f>
        <x:v>0</x:v>
      </x:c>
      <x:c r="C1347" s="11" t="n">
        <x:f>IF(ISNUMBER(SEARCH("jmdict_uncommon_or_irregular",'제외 후보'!P1347)),'선정 규칙'!$B$5,IF(ISNUMBER(SEARCH("jmdict_rare_or_dated",'제외 후보'!P1347)),'선정 규칙'!$B$6,0))</x:f>
        <x:v>0</x:v>
      </x:c>
      <x:c r="D1347" s="11" t="n">
        <x:f>IF(ISNUMBER(SEARCH("jmdict_exact_pair_not_found",'제외 후보'!P1347)),'선정 규칙'!$B$7,0)</x:f>
        <x:v>0</x:v>
      </x:c>
      <x:c r="E1347" s="11" t="n">
        <x:f>IF(OR('제외 후보'!L1347="",'제외 후보'!L1347&lt;=0),'선정 규칙'!$B$8,IF('제외 후보'!L1347&lt;=1.5,'선정 규칙'!$B$9,IF('제외 후보'!L1347&lt;=2,'선정 규칙'!$B$10,IF('제외 후보'!L1347&lt;=2.5,'선정 규칙'!$B$11,IF('제외 후보'!L1347&lt;=3,'선정 규칙'!$B$12,IF('제외 후보'!L1347&lt;=3.5,'선정 규칙'!$B$13,IF('제외 후보'!L1347&gt;=4.5,'선정 규칙'!$B$14,0)))))))</x:f>
        <x:v>6</x:v>
      </x:c>
      <x:c r="F1347" s="11" t="n">
        <x:f>IF('제외 후보'!Y1347=0,'선정 규칙'!$B$15,IF('제외 후보'!Y1347&gt;=100,'선정 규칙'!$B$16,'선정 규칙'!$B$17))</x:f>
        <x:v>-25</x:v>
      </x:c>
      <x:c r="G1347" s="11" t="n">
        <x:f>IF('제외 후보'!M1347="있음",'선정 규칙'!$B$18,'선정 규칙'!$B$19)</x:f>
        <x:v>6</x:v>
      </x:c>
      <x:c r="H1347" s="11" t="n">
        <x:f>IF(ISNUMBER(SEARCH("freq-core",'제외 후보'!AD1347)),'선정 규칙'!$B$20,0)</x:f>
        <x:v>0</x:v>
      </x:c>
      <x:c r="I1347" s="11" t="n">
        <x:f>IF(ISNUMBER(SEARCH("weak_legacy_content",'제외 후보'!P1347)),'선정 규칙'!$B$21,0)</x:f>
        <x:v>5</x:v>
      </x:c>
      <x:c r="J1347" s="11" t="n">
        <x:f>IF('제외 후보'!AC1347&lt;&gt;"",'선정 규칙'!$B$22,0)</x:f>
        <x:v>0</x:v>
      </x:c>
      <x:c r="K1347" s="11" t="n">
        <x:f>SUM(B1347:J1347)</x:f>
        <x:v>-8</x:v>
      </x:c>
      <x:c r="L1347" s="11" t="n">
        <x:f>'제외 후보'!N1347</x:f>
        <x:v>-8</x:v>
      </x:c>
      <x:c r="M1347" s="2" t="str">
        <x:f>IF(K1347=L1347,"OK","MISMATCH")</x:f>
        <x:v>OK</x:v>
      </x:c>
    </x:row>
  </x:sheetData>
  <x:conditionalFormatting sqref="M2:M1347">
    <x:cfRule type="containsText" dxfId="3" priority="1" operator="containsText" text="MISMATCH"/>
  </x:conditionalFormatting>
  <x:pageMargins left="0.7" right="0.7" top="0.75" bottom="0.75" header="0.3" footer="0.3"/>
  <x:tableParts count="1">
    <x:tablePart xmlns:r="http://schemas.openxmlformats.org/officeDocument/2006/relationships" r:id="R913ce778009743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48" hidden="0" customWidth="1"/>
    <x:col min="4" max="4" width="16" hidden="0" customWidth="1"/>
  </x:cols>
  <x:sheetData>
    <x:row r="1" ht="38" customHeight="1">
      <x:c r="A1" s="15" t="str">
        <x:v>선정 규칙과 점수 가중치</x:v>
      </x:c>
      <x:c r="B1" s="15"/>
      <x:c r="C1" s="15"/>
      <x:c r="D1" s="15"/>
    </x:row>
    <x:row r="3">
      <x:c r="A3" s="28" t="str">
        <x:v>신호</x:v>
      </x:c>
      <x:c r="B3" s="29" t="str">
        <x:v>점수</x:v>
      </x:c>
      <x:c r="C3" s="30" t="str">
        <x:v>설명</x:v>
      </x:c>
    </x:row>
    <x:row r="4">
      <x:c r="A4" s="19" t="str">
        <x:v>variant_duplicate</x:v>
      </x:c>
      <x:c r="B4" s="31" t="n">
        <x:v>60</x:v>
      </x:c>
      <x:c r="C4" s="21" t="str">
        <x:v>대표 표제어가 별도로 존재하는 변형</x:v>
      </x:c>
    </x:row>
    <x:row r="5">
      <x:c r="A5" s="19" t="str">
        <x:v>jmdict_severe</x:v>
      </x:c>
      <x:c r="B5" s="31" t="n">
        <x:v>50</x:v>
      </x:c>
      <x:c r="C5" s="21" t="str">
        <x:v>희귀·검색 전용·비표준 표기</x:v>
      </x:c>
    </x:row>
    <x:row r="6">
      <x:c r="A6" s="19" t="str">
        <x:v>jmdict_rare</x:v>
      </x:c>
      <x:c r="B6" s="31" t="n">
        <x:v>35</x:v>
      </x:c>
      <x:c r="C6" s="21" t="str">
        <x:v>희귀·구식 읽기/표기</x:v>
      </x:c>
    </x:row>
    <x:row r="7">
      <x:c r="A7" s="19" t="str">
        <x:v>unmatched_kanji</x:v>
      </x:c>
      <x:c r="B7" s="31" t="n">
        <x:v>35</x:v>
      </x:c>
      <x:c r="C7" s="21" t="str">
        <x:v>한자 표기+읽기 조합이 JMdict에 없음</x:v>
      </x:c>
    </x:row>
    <x:row r="8">
      <x:c r="A8" s="19" t="str">
        <x:v>frequency_missing</x:v>
      </x:c>
      <x:c r="B8" s="31" t="n">
        <x:v>40</x:v>
      </x:c>
      <x:c r="C8" s="21" t="str">
        <x:v>Zipf 빈도 없음 또는 0</x:v>
      </x:c>
    </x:row>
    <x:row r="9">
      <x:c r="A9" s="19" t="str">
        <x:v>frequency_le_1_5</x:v>
      </x:c>
      <x:c r="B9" s="31" t="n">
        <x:v>32</x:v>
      </x:c>
      <x:c r="C9" s="21" t="str">
        <x:v>Zipf ≤ 1.5</x:v>
      </x:c>
    </x:row>
    <x:row r="10">
      <x:c r="A10" s="19" t="str">
        <x:v>frequency_le_2_0</x:v>
      </x:c>
      <x:c r="B10" s="31" t="n">
        <x:v>26</x:v>
      </x:c>
      <x:c r="C10" s="21" t="str">
        <x:v>Zipf ≤ 2.0</x:v>
      </x:c>
    </x:row>
    <x:row r="11">
      <x:c r="A11" s="19" t="str">
        <x:v>frequency_le_2_5</x:v>
      </x:c>
      <x:c r="B11" s="31" t="n">
        <x:v>20</x:v>
      </x:c>
      <x:c r="C11" s="21" t="str">
        <x:v>Zipf ≤ 2.5</x:v>
      </x:c>
    </x:row>
    <x:row r="12">
      <x:c r="A12" s="19" t="str">
        <x:v>frequency_le_3_0</x:v>
      </x:c>
      <x:c r="B12" s="31" t="n">
        <x:v>12</x:v>
      </x:c>
      <x:c r="C12" s="21" t="str">
        <x:v>Zipf ≤ 3.0</x:v>
      </x:c>
    </x:row>
    <x:row r="13">
      <x:c r="A13" s="19" t="str">
        <x:v>frequency_le_3_5</x:v>
      </x:c>
      <x:c r="B13" s="31" t="n">
        <x:v>6</x:v>
      </x:c>
      <x:c r="C13" s="21" t="str">
        <x:v>Zipf ≤ 3.5</x:v>
      </x:c>
    </x:row>
    <x:row r="14">
      <x:c r="A14" s="19" t="str">
        <x:v>frequency_ge_4_5</x:v>
      </x:c>
      <x:c r="B14" s="31" t="n">
        <x:v>-20</x:v>
      </x:c>
      <x:c r="C14" s="21" t="str">
        <x:v>Zipf ≥ 4.5 보호</x:v>
      </x:c>
    </x:row>
    <x:row r="15">
      <x:c r="A15" s="19" t="str">
        <x:v>no_jmdict_priority</x:v>
      </x:c>
      <x:c r="B15" s="31" t="n">
        <x:v>12</x:v>
      </x:c>
      <x:c r="C15" s="21" t="str">
        <x:v>JMdict 우선 태그 없음</x:v>
      </x:c>
    </x:row>
    <x:row r="16">
      <x:c r="A16" s="19" t="str">
        <x:v>top_jmdict_priority</x:v>
      </x:c>
      <x:c r="B16" s="31" t="n">
        <x:v>-25</x:v>
      </x:c>
      <x:c r="C16" s="21" t="str">
        <x:v>JMdict 최상위 우선 태그 보호</x:v>
      </x:c>
    </x:row>
    <x:row r="17">
      <x:c r="A17" s="19" t="str">
        <x:v>other_jmdict_priority</x:v>
      </x:c>
      <x:c r="B17" s="31" t="n">
        <x:v>-12</x:v>
      </x:c>
      <x:c r="C17" s="21" t="str">
        <x:v>기타 JMdict 우선 태그 보호</x:v>
      </x:c>
    </x:row>
    <x:row r="18">
      <x:c r="A18" s="19" t="str">
        <x:v>has_example</x:v>
      </x:c>
      <x:c r="B18" s="31" t="n">
        <x:v>-25</x:v>
      </x:c>
      <x:c r="C18" s="21" t="str">
        <x:v>검증된 예문 보유 보호</x:v>
      </x:c>
    </x:row>
    <x:row r="19">
      <x:c r="A19" s="19" t="str">
        <x:v>no_example</x:v>
      </x:c>
      <x:c r="B19" s="31" t="n">
        <x:v>6</x:v>
      </x:c>
      <x:c r="C19" s="21" t="str">
        <x:v>검증된 예문 없음</x:v>
      </x:c>
    </x:row>
    <x:row r="20">
      <x:c r="A20" s="19" t="str">
        <x:v>legacy_freq_core</x:v>
      </x:c>
      <x:c r="B20" s="31" t="n">
        <x:v>-30</x:v>
      </x:c>
      <x:c r="C20" s="21" t="str">
        <x:v>기존 freq-core 태그 보호</x:v>
      </x:c>
    </x:row>
    <x:row r="21">
      <x:c r="A21" s="19" t="str">
        <x:v>weak_legacy_content</x:v>
      </x:c>
      <x:c r="B21" s="31" t="n">
        <x:v>5</x:v>
      </x:c>
      <x:c r="C21" s="21" t="str">
        <x:v>기존 콘텐츠 보강 필요</x:v>
      </x:c>
    </x:row>
    <x:row r="22">
      <x:c r="A22" s="22" t="str">
        <x:v>legacy_gloss_audit</x:v>
      </x:c>
      <x:c r="B22" s="32" t="n">
        <x:v>10</x:v>
      </x:c>
      <x:c r="C22" s="24" t="str">
        <x:v>기존 한국어 뜻 품질 감사 대상</x:v>
      </x:c>
    </x:row>
    <x:row r="25">
      <x:c r="A25" s="34" t="str">
        <x:v>운영 원칙</x:v>
      </x:c>
      <x:c r="B25" s="34"/>
      <x:c r="C25" s="34"/>
      <x:c r="D25" s="34"/>
    </x:row>
    <x:row r="26" ht="28" customHeight="1">
      <x:c r="A26" s="37" t="str">
        <x:v>1. PDF 최빈출 기존 일치 단어는 무조건 보호</x:v>
      </x:c>
      <x:c r="B26" s="37"/>
      <x:c r="C26" s="37"/>
      <x:c r="D26" s="37"/>
    </x:row>
    <x:row r="27" ht="28" customHeight="1">
      <x:c r="A27" s="37" t="str">
        <x:v>2. 변형 그룹마다 대표 표제어 최소 1개 보호</x:v>
      </x:c>
      <x:c r="B27" s="37"/>
      <x:c r="C27" s="37"/>
      <x:c r="D27" s="37"/>
    </x:row>
    <x:row r="28" ht="28" customHeight="1">
      <x:c r="A28" s="37" t="str">
        <x:v>3. 동일 JMdict 표제어·동일 읽기/뜻·명사/する 변형을 우선 후보화</x:v>
      </x:c>
      <x:c r="B28" s="37"/>
      <x:c r="C28" s="37"/>
      <x:c r="D28" s="37"/>
    </x:row>
    <x:row r="29" ht="28" customHeight="1">
      <x:c r="A29" s="37" t="str">
        <x:v>4. JMdict 희귀/비표준 표기, 낮은 Zipf 빈도, 예문 없음 순으로 제거 점수 가산</x:v>
      </x:c>
      <x:c r="B29" s="37"/>
      <x:c r="C29" s="37"/>
      <x:c r="D29" s="37"/>
    </x:row>
    <x:row r="30" ht="28" customHeight="1">
      <x:c r="A30" s="37" t="str">
        <x:v>5. JMdict 우선 어휘, 검증 예문, 기존 freq-core 태그는 제거 점수 감산</x:v>
      </x:c>
      <x:c r="B30" s="37"/>
      <x:c r="C30" s="37"/>
      <x:c r="D30" s="37"/>
    </x:row>
    <x:row r="31" ht="28" customHeight="1">
      <x:c r="A31" s="37" t="str">
        <x:v>6. 급수별 기존 개수는 강제하지 않음: 고빈도 초급 단어를 보호하고 전체 점수로 1,346개 선정</x:v>
      </x:c>
      <x:c r="B31" s="37"/>
      <x:c r="C31" s="37"/>
      <x:c r="D31" s="37"/>
    </x:row>
    <x:row r="32" ht="28" customHeight="1">
      <x:c r="A32" s="37" t="str">
        <x:v>7. 낮음 신뢰도는 전체 수량을 맞추기 위한 상대적 하위 후보이므로 2차 보류</x:v>
      </x:c>
      <x:c r="B32" s="37"/>
      <x:c r="C32" s="37"/>
      <x:c r="D32" s="37"/>
    </x:row>
  </x:sheetData>
  <x:mergeCells>
    <x:mergeCell ref="A1:D1"/>
    <x:mergeCell ref="A25:D25"/>
    <x:mergeCell ref="A26:D26"/>
    <x:mergeCell ref="A27:D27"/>
    <x:mergeCell ref="A28:D28"/>
    <x:mergeCell ref="A29:D29"/>
    <x:mergeCell ref="A30:D30"/>
    <x:mergeCell ref="A31:D31"/>
    <x:mergeCell ref="A32:D32"/>
  </x:mergeCells>
  <x:pageMargins left="0.7" right="0.7" top="0.75" bottom="0.75" header="0.3" footer="0.3"/>
</x:worksheet>
</file>